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ropbox\DFN\DFN_Git\Testing\Standalone\TestModelI_CriticalUniaxialExtension_output\"/>
    </mc:Choice>
  </mc:AlternateContent>
  <xr:revisionPtr revIDLastSave="0" documentId="8_{ECCEC2D3-5736-4B59-ACFB-26E8E90130EB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Implicit_Fracs" sheetId="90" r:id="rId1"/>
    <sheet name="Explicit_DFN" sheetId="91" r:id="rId2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L83" i="91" l="1"/>
  <c r="AK83" i="91"/>
  <c r="AL82" i="91"/>
  <c r="AK82" i="91"/>
  <c r="AL81" i="91"/>
  <c r="AK81" i="91"/>
  <c r="AL80" i="91"/>
  <c r="AK80" i="91"/>
  <c r="AL79" i="91"/>
  <c r="AK79" i="91"/>
  <c r="AL78" i="91"/>
  <c r="AK78" i="91"/>
  <c r="AL77" i="91"/>
  <c r="AK77" i="91"/>
  <c r="AL76" i="91"/>
  <c r="AK76" i="91"/>
  <c r="AL75" i="91"/>
  <c r="AK75" i="91"/>
  <c r="AL74" i="91"/>
  <c r="AK74" i="91"/>
  <c r="AL73" i="91"/>
  <c r="AK73" i="91"/>
  <c r="AL72" i="91"/>
  <c r="AK72" i="91"/>
  <c r="AL71" i="91"/>
  <c r="AK71" i="91"/>
  <c r="AL70" i="91"/>
  <c r="AK70" i="91"/>
  <c r="AL69" i="91"/>
  <c r="AK69" i="91"/>
  <c r="AL68" i="91"/>
  <c r="AK68" i="91"/>
  <c r="AL67" i="91"/>
  <c r="AK67" i="91"/>
  <c r="AL66" i="91"/>
  <c r="AK66" i="91"/>
  <c r="AL65" i="91"/>
  <c r="AK65" i="91"/>
  <c r="AL64" i="91"/>
  <c r="AK64" i="91"/>
  <c r="AL63" i="91"/>
  <c r="AK63" i="91"/>
  <c r="AL62" i="91"/>
  <c r="AK62" i="91"/>
  <c r="AL61" i="91"/>
  <c r="AK61" i="91"/>
  <c r="AL60" i="91"/>
  <c r="AK60" i="91"/>
  <c r="AL59" i="91"/>
  <c r="AK59" i="91"/>
  <c r="AL58" i="91"/>
  <c r="AK58" i="91"/>
  <c r="AL57" i="91"/>
  <c r="AK57" i="91"/>
  <c r="AL56" i="91"/>
  <c r="AK56" i="91"/>
  <c r="AL55" i="91"/>
  <c r="AK55" i="91"/>
  <c r="AL54" i="91"/>
  <c r="AK54" i="91"/>
  <c r="AL53" i="91"/>
  <c r="AK53" i="91"/>
  <c r="AL52" i="91"/>
  <c r="AK52" i="91"/>
  <c r="AL51" i="91"/>
  <c r="AK51" i="91"/>
  <c r="AL50" i="91"/>
  <c r="AK50" i="91"/>
  <c r="AL49" i="91"/>
  <c r="AK49" i="91"/>
  <c r="AL48" i="91"/>
  <c r="AK48" i="91"/>
  <c r="AL47" i="91"/>
  <c r="AK47" i="91"/>
  <c r="AL46" i="91"/>
  <c r="AK46" i="91"/>
  <c r="AL45" i="91"/>
  <c r="AK45" i="91"/>
  <c r="AL44" i="91"/>
  <c r="AK44" i="91"/>
  <c r="AL43" i="91"/>
  <c r="AK43" i="91"/>
  <c r="AL42" i="91"/>
  <c r="AK42" i="91"/>
  <c r="AL41" i="91"/>
  <c r="AK41" i="91"/>
  <c r="AL40" i="91"/>
  <c r="AK40" i="91"/>
  <c r="AL39" i="91"/>
  <c r="AK39" i="91"/>
  <c r="AL38" i="91"/>
  <c r="AK38" i="91"/>
  <c r="AL37" i="91"/>
  <c r="AK37" i="91"/>
  <c r="AL36" i="91"/>
  <c r="AK36" i="91"/>
  <c r="AL35" i="91"/>
  <c r="AK35" i="91"/>
  <c r="AL34" i="91"/>
  <c r="AK34" i="91"/>
  <c r="AL33" i="91"/>
  <c r="AK33" i="91"/>
  <c r="AL32" i="91"/>
  <c r="AK32" i="91"/>
  <c r="AL31" i="91"/>
  <c r="AK31" i="91"/>
  <c r="AL30" i="91"/>
  <c r="AK30" i="91"/>
  <c r="AL29" i="91"/>
  <c r="AK29" i="91"/>
  <c r="AL28" i="91"/>
  <c r="AK28" i="91"/>
  <c r="AL27" i="91"/>
  <c r="AK27" i="91"/>
  <c r="AL26" i="91"/>
  <c r="AK26" i="91"/>
  <c r="AL25" i="91"/>
  <c r="AK25" i="91"/>
  <c r="AL24" i="91"/>
  <c r="AK24" i="91"/>
  <c r="AL23" i="91"/>
  <c r="AK23" i="91"/>
  <c r="AL22" i="91"/>
  <c r="AK22" i="91"/>
  <c r="AL21" i="91"/>
  <c r="AK21" i="91"/>
  <c r="AL20" i="91"/>
  <c r="AK20" i="91"/>
  <c r="AL19" i="91"/>
  <c r="AK19" i="91"/>
  <c r="AL18" i="91"/>
  <c r="AK18" i="91"/>
  <c r="AL17" i="91"/>
  <c r="AK17" i="91"/>
  <c r="AL16" i="91"/>
  <c r="AK16" i="91"/>
  <c r="AL15" i="91"/>
  <c r="AK15" i="91"/>
  <c r="AL14" i="91"/>
  <c r="AK14" i="91"/>
  <c r="AL13" i="91"/>
  <c r="AK13" i="91"/>
  <c r="AL12" i="91"/>
  <c r="AK12" i="91"/>
  <c r="AL11" i="91"/>
  <c r="AK11" i="91"/>
  <c r="AL10" i="91"/>
  <c r="AK10" i="91"/>
  <c r="AL9" i="91"/>
  <c r="AK9" i="91"/>
  <c r="AL8" i="91"/>
  <c r="AK8" i="91"/>
  <c r="AL7" i="91"/>
  <c r="AK7" i="91"/>
  <c r="AL6" i="91"/>
  <c r="AK6" i="91"/>
  <c r="AL5" i="91"/>
  <c r="AK5" i="91"/>
  <c r="AL4" i="91"/>
  <c r="AK4" i="91"/>
  <c r="AL3" i="91"/>
  <c r="AK3" i="91"/>
  <c r="AM2" i="91"/>
  <c r="AM3" i="91" s="1"/>
  <c r="AM4" i="91" s="1"/>
  <c r="AM5" i="91" s="1"/>
  <c r="AM6" i="91" s="1"/>
  <c r="AM7" i="91" s="1"/>
  <c r="AM8" i="91" s="1"/>
  <c r="AM9" i="91" s="1"/>
  <c r="AM10" i="91" s="1"/>
  <c r="AM11" i="91" s="1"/>
  <c r="AM12" i="91" s="1"/>
  <c r="AM13" i="91" s="1"/>
  <c r="AM14" i="91" s="1"/>
  <c r="AM15" i="91" s="1"/>
  <c r="AM16" i="91" s="1"/>
  <c r="AM17" i="91" s="1"/>
  <c r="AM18" i="91" s="1"/>
  <c r="AM19" i="91" s="1"/>
  <c r="AM20" i="91" s="1"/>
  <c r="AM21" i="91" s="1"/>
  <c r="AM22" i="91" s="1"/>
  <c r="AM23" i="91" s="1"/>
  <c r="AM24" i="91" s="1"/>
  <c r="AM25" i="91" s="1"/>
  <c r="AM26" i="91" s="1"/>
  <c r="AM27" i="91" s="1"/>
  <c r="AM28" i="91" s="1"/>
  <c r="AM29" i="91" s="1"/>
  <c r="AM30" i="91" s="1"/>
  <c r="AM31" i="91" s="1"/>
  <c r="AM32" i="91" s="1"/>
  <c r="AM33" i="91" s="1"/>
  <c r="AM34" i="91" s="1"/>
  <c r="AM35" i="91" s="1"/>
  <c r="AM36" i="91" s="1"/>
  <c r="AM37" i="91" s="1"/>
  <c r="AM38" i="91" s="1"/>
  <c r="AM39" i="91" s="1"/>
  <c r="AM40" i="91" s="1"/>
  <c r="AM41" i="91" s="1"/>
  <c r="AM42" i="91" s="1"/>
  <c r="AM43" i="91" s="1"/>
  <c r="AM44" i="91" s="1"/>
  <c r="AM45" i="91" s="1"/>
  <c r="AM46" i="91" s="1"/>
  <c r="AM47" i="91" s="1"/>
  <c r="AM48" i="91" s="1"/>
  <c r="AM49" i="91" s="1"/>
  <c r="AM50" i="91" s="1"/>
  <c r="AM51" i="91" s="1"/>
  <c r="AM52" i="91" s="1"/>
  <c r="AM53" i="91" s="1"/>
  <c r="AM54" i="91" s="1"/>
  <c r="AM55" i="91" s="1"/>
  <c r="AM56" i="91" s="1"/>
  <c r="AM57" i="91" s="1"/>
  <c r="AM58" i="91" s="1"/>
  <c r="AM59" i="91" s="1"/>
  <c r="AM60" i="91" s="1"/>
  <c r="AM61" i="91" s="1"/>
  <c r="AM62" i="91" s="1"/>
  <c r="AM63" i="91" s="1"/>
  <c r="AM64" i="91" s="1"/>
  <c r="AM65" i="91" s="1"/>
  <c r="AM66" i="91" s="1"/>
  <c r="AM67" i="91" s="1"/>
  <c r="AM68" i="91" s="1"/>
  <c r="AM69" i="91" s="1"/>
  <c r="AM70" i="91" s="1"/>
  <c r="AM71" i="91" s="1"/>
  <c r="AM72" i="91" s="1"/>
  <c r="AM73" i="91" s="1"/>
  <c r="AM74" i="91" s="1"/>
  <c r="AM75" i="91" s="1"/>
  <c r="AM76" i="91" s="1"/>
  <c r="AM77" i="91" s="1"/>
  <c r="AM78" i="91" s="1"/>
  <c r="AM79" i="91" s="1"/>
  <c r="AM80" i="91" s="1"/>
  <c r="AM81" i="91" s="1"/>
  <c r="AM82" i="91" s="1"/>
  <c r="AM83" i="91" s="1"/>
  <c r="AL2" i="91"/>
  <c r="AK2" i="91"/>
  <c r="A441" i="90"/>
  <c r="A430" i="90"/>
  <c r="C430" i="90" l="1"/>
  <c r="D430" i="90"/>
  <c r="E430" i="90"/>
  <c r="F430" i="90"/>
  <c r="G430" i="90"/>
  <c r="H430" i="90"/>
  <c r="I430" i="90"/>
  <c r="J430" i="90"/>
  <c r="K430" i="90"/>
  <c r="L430" i="90"/>
  <c r="M430" i="90"/>
  <c r="N430" i="90"/>
  <c r="O430" i="90"/>
  <c r="P430" i="90"/>
  <c r="Q430" i="90"/>
  <c r="R430" i="90"/>
  <c r="S430" i="90"/>
  <c r="T430" i="90"/>
  <c r="U430" i="90"/>
  <c r="V430" i="90"/>
  <c r="C441" i="90"/>
  <c r="D441" i="90"/>
  <c r="E441" i="90"/>
  <c r="F441" i="90"/>
  <c r="G441" i="90"/>
  <c r="H441" i="90"/>
  <c r="I441" i="90"/>
  <c r="J441" i="90"/>
  <c r="K441" i="90"/>
  <c r="L441" i="90"/>
  <c r="M441" i="90"/>
  <c r="N441" i="90"/>
  <c r="O441" i="90"/>
  <c r="P441" i="90"/>
  <c r="Q441" i="90"/>
  <c r="R441" i="90"/>
  <c r="S441" i="90"/>
  <c r="T441" i="90"/>
  <c r="U441" i="90"/>
  <c r="V441" i="90"/>
  <c r="B441" i="90"/>
  <c r="B430" i="90"/>
  <c r="AA17" i="91" l="1"/>
  <c r="AA9" i="91"/>
  <c r="V445" i="90"/>
  <c r="U445" i="90"/>
  <c r="T445" i="90"/>
  <c r="S445" i="90"/>
  <c r="R445" i="90"/>
  <c r="Q445" i="90"/>
  <c r="P445" i="90"/>
  <c r="O445" i="90"/>
  <c r="N445" i="90"/>
  <c r="M445" i="90"/>
  <c r="L445" i="90"/>
  <c r="K445" i="90"/>
  <c r="J445" i="90"/>
  <c r="I445" i="90"/>
  <c r="H445" i="90"/>
  <c r="G445" i="90"/>
  <c r="F445" i="90"/>
  <c r="E445" i="90"/>
  <c r="D445" i="90"/>
  <c r="C445" i="90"/>
  <c r="B445" i="90"/>
  <c r="V444" i="90"/>
  <c r="U444" i="90"/>
  <c r="T444" i="90"/>
  <c r="S444" i="90"/>
  <c r="R444" i="90"/>
  <c r="Q444" i="90"/>
  <c r="P444" i="90"/>
  <c r="O444" i="90"/>
  <c r="N444" i="90"/>
  <c r="M444" i="90"/>
  <c r="L444" i="90"/>
  <c r="K444" i="90"/>
  <c r="J444" i="90"/>
  <c r="I444" i="90"/>
  <c r="H444" i="90"/>
  <c r="G444" i="90"/>
  <c r="F444" i="90"/>
  <c r="E444" i="90"/>
  <c r="D444" i="90"/>
  <c r="C444" i="90"/>
  <c r="B444" i="90"/>
  <c r="V443" i="90"/>
  <c r="U443" i="90"/>
  <c r="T443" i="90"/>
  <c r="S443" i="90"/>
  <c r="R443" i="90"/>
  <c r="Q443" i="90"/>
  <c r="P443" i="90"/>
  <c r="O443" i="90"/>
  <c r="N443" i="90"/>
  <c r="M443" i="90"/>
  <c r="L443" i="90"/>
  <c r="K443" i="90"/>
  <c r="J443" i="90"/>
  <c r="I443" i="90"/>
  <c r="H443" i="90"/>
  <c r="G443" i="90"/>
  <c r="F443" i="90"/>
  <c r="E443" i="90"/>
  <c r="D443" i="90"/>
  <c r="C443" i="90"/>
  <c r="B443" i="90"/>
  <c r="V442" i="90"/>
  <c r="U442" i="90"/>
  <c r="T442" i="90"/>
  <c r="S442" i="90"/>
  <c r="R442" i="90"/>
  <c r="Q442" i="90"/>
  <c r="P442" i="90"/>
  <c r="O442" i="90"/>
  <c r="N442" i="90"/>
  <c r="M442" i="90"/>
  <c r="L442" i="90"/>
  <c r="K442" i="90"/>
  <c r="J442" i="90"/>
  <c r="I442" i="90"/>
  <c r="H442" i="90"/>
  <c r="G442" i="90"/>
  <c r="F442" i="90"/>
  <c r="E442" i="90"/>
  <c r="D442" i="90"/>
  <c r="C442" i="90"/>
  <c r="B442" i="90"/>
  <c r="V434" i="90"/>
  <c r="U434" i="90"/>
  <c r="T434" i="90"/>
  <c r="S434" i="90"/>
  <c r="R434" i="90"/>
  <c r="Q434" i="90"/>
  <c r="P434" i="90"/>
  <c r="O434" i="90"/>
  <c r="N434" i="90"/>
  <c r="M434" i="90"/>
  <c r="L434" i="90"/>
  <c r="K434" i="90"/>
  <c r="J434" i="90"/>
  <c r="I434" i="90"/>
  <c r="H434" i="90"/>
  <c r="G434" i="90"/>
  <c r="F434" i="90"/>
  <c r="E434" i="90"/>
  <c r="D434" i="90"/>
  <c r="C434" i="90"/>
  <c r="B434" i="90"/>
  <c r="V433" i="90"/>
  <c r="U433" i="90"/>
  <c r="T433" i="90"/>
  <c r="S433" i="90"/>
  <c r="R433" i="90"/>
  <c r="Q433" i="90"/>
  <c r="P433" i="90"/>
  <c r="O433" i="90"/>
  <c r="N433" i="90"/>
  <c r="M433" i="90"/>
  <c r="L433" i="90"/>
  <c r="K433" i="90"/>
  <c r="J433" i="90"/>
  <c r="I433" i="90"/>
  <c r="H433" i="90"/>
  <c r="G433" i="90"/>
  <c r="F433" i="90"/>
  <c r="E433" i="90"/>
  <c r="D433" i="90"/>
  <c r="C433" i="90"/>
  <c r="B433" i="90"/>
  <c r="V432" i="90"/>
  <c r="U432" i="90"/>
  <c r="T432" i="90"/>
  <c r="S432" i="90"/>
  <c r="R432" i="90"/>
  <c r="Q432" i="90"/>
  <c r="P432" i="90"/>
  <c r="O432" i="90"/>
  <c r="N432" i="90"/>
  <c r="M432" i="90"/>
  <c r="L432" i="90"/>
  <c r="K432" i="90"/>
  <c r="J432" i="90"/>
  <c r="I432" i="90"/>
  <c r="H432" i="90"/>
  <c r="G432" i="90"/>
  <c r="F432" i="90"/>
  <c r="E432" i="90"/>
  <c r="D432" i="90"/>
  <c r="C432" i="90"/>
  <c r="B432" i="90"/>
  <c r="V431" i="90"/>
  <c r="U431" i="90"/>
  <c r="T431" i="90"/>
  <c r="S431" i="90"/>
  <c r="R431" i="90"/>
  <c r="Q431" i="90"/>
  <c r="P431" i="90"/>
  <c r="O431" i="90"/>
  <c r="N431" i="90"/>
  <c r="M431" i="90"/>
  <c r="L431" i="90"/>
  <c r="K431" i="90"/>
  <c r="J431" i="90"/>
  <c r="I431" i="90"/>
  <c r="H431" i="90"/>
  <c r="G431" i="90"/>
  <c r="F431" i="90"/>
  <c r="E431" i="90"/>
  <c r="D431" i="90"/>
  <c r="C431" i="90"/>
  <c r="B431" i="90"/>
  <c r="E435" i="90" l="1"/>
  <c r="E436" i="90"/>
  <c r="E437" i="90"/>
  <c r="E438" i="90"/>
  <c r="I435" i="90"/>
  <c r="I437" i="90"/>
  <c r="I438" i="90"/>
  <c r="I436" i="90"/>
  <c r="M436" i="90"/>
  <c r="M437" i="90"/>
  <c r="M438" i="90"/>
  <c r="M435" i="90"/>
  <c r="Q435" i="90"/>
  <c r="Q436" i="90"/>
  <c r="Q438" i="90"/>
  <c r="Q437" i="90"/>
  <c r="U435" i="90"/>
  <c r="U436" i="90"/>
  <c r="U437" i="90"/>
  <c r="U438" i="90"/>
  <c r="C446" i="90"/>
  <c r="C447" i="90"/>
  <c r="C448" i="90"/>
  <c r="C449" i="90"/>
  <c r="G446" i="90"/>
  <c r="G447" i="90"/>
  <c r="G448" i="90"/>
  <c r="G449" i="90"/>
  <c r="K446" i="90"/>
  <c r="K447" i="90"/>
  <c r="K448" i="90"/>
  <c r="K449" i="90"/>
  <c r="O446" i="90"/>
  <c r="O447" i="90"/>
  <c r="O448" i="90"/>
  <c r="O449" i="90"/>
  <c r="S446" i="90"/>
  <c r="S447" i="90"/>
  <c r="S448" i="90"/>
  <c r="S449" i="90"/>
  <c r="B438" i="90"/>
  <c r="B436" i="90"/>
  <c r="B437" i="90"/>
  <c r="B435" i="90"/>
  <c r="F435" i="90"/>
  <c r="F436" i="90"/>
  <c r="F437" i="90"/>
  <c r="F438" i="90"/>
  <c r="J435" i="90"/>
  <c r="J436" i="90"/>
  <c r="J437" i="90"/>
  <c r="J438" i="90"/>
  <c r="N438" i="90"/>
  <c r="N436" i="90"/>
  <c r="N437" i="90"/>
  <c r="N435" i="90"/>
  <c r="R437" i="90"/>
  <c r="R438" i="90"/>
  <c r="R435" i="90"/>
  <c r="R436" i="90"/>
  <c r="V436" i="90"/>
  <c r="V437" i="90"/>
  <c r="V435" i="90"/>
  <c r="V438" i="90"/>
  <c r="D446" i="90"/>
  <c r="D447" i="90"/>
  <c r="D448" i="90"/>
  <c r="D449" i="90"/>
  <c r="H446" i="90"/>
  <c r="H447" i="90"/>
  <c r="H448" i="90"/>
  <c r="H449" i="90"/>
  <c r="L446" i="90"/>
  <c r="L447" i="90"/>
  <c r="L448" i="90"/>
  <c r="L449" i="90"/>
  <c r="P446" i="90"/>
  <c r="P447" i="90"/>
  <c r="P448" i="90"/>
  <c r="P449" i="90"/>
  <c r="T446" i="90"/>
  <c r="T447" i="90"/>
  <c r="T448" i="90"/>
  <c r="T449" i="90"/>
  <c r="C435" i="90"/>
  <c r="C436" i="90"/>
  <c r="C437" i="90"/>
  <c r="C438" i="90"/>
  <c r="G435" i="90"/>
  <c r="G436" i="90"/>
  <c r="G437" i="90"/>
  <c r="G438" i="90"/>
  <c r="K435" i="90"/>
  <c r="K436" i="90"/>
  <c r="K437" i="90"/>
  <c r="K438" i="90"/>
  <c r="O435" i="90"/>
  <c r="O436" i="90"/>
  <c r="O437" i="90"/>
  <c r="O438" i="90"/>
  <c r="S435" i="90"/>
  <c r="S436" i="90"/>
  <c r="S437" i="90"/>
  <c r="S438" i="90"/>
  <c r="E446" i="90"/>
  <c r="E447" i="90"/>
  <c r="E448" i="90"/>
  <c r="E449" i="90"/>
  <c r="I447" i="90"/>
  <c r="I448" i="90"/>
  <c r="I449" i="90"/>
  <c r="I446" i="90"/>
  <c r="M446" i="90"/>
  <c r="M447" i="90"/>
  <c r="M448" i="90"/>
  <c r="M449" i="90"/>
  <c r="Q447" i="90"/>
  <c r="Q448" i="90"/>
  <c r="Q449" i="90"/>
  <c r="Q446" i="90"/>
  <c r="U447" i="90"/>
  <c r="U448" i="90"/>
  <c r="U449" i="90"/>
  <c r="U446" i="90"/>
  <c r="D438" i="90"/>
  <c r="D435" i="90"/>
  <c r="D436" i="90"/>
  <c r="D437" i="90"/>
  <c r="H437" i="90"/>
  <c r="H438" i="90"/>
  <c r="H435" i="90"/>
  <c r="H436" i="90"/>
  <c r="L435" i="90"/>
  <c r="L436" i="90"/>
  <c r="L437" i="90"/>
  <c r="L438" i="90"/>
  <c r="P437" i="90"/>
  <c r="P438" i="90"/>
  <c r="P435" i="90"/>
  <c r="P436" i="90"/>
  <c r="T438" i="90"/>
  <c r="T435" i="90"/>
  <c r="T436" i="90"/>
  <c r="T437" i="90"/>
  <c r="B449" i="90"/>
  <c r="B448" i="90"/>
  <c r="B447" i="90"/>
  <c r="B446" i="90"/>
  <c r="F446" i="90"/>
  <c r="F447" i="90"/>
  <c r="F448" i="90"/>
  <c r="F449" i="90"/>
  <c r="J448" i="90"/>
  <c r="J449" i="90"/>
  <c r="J446" i="90"/>
  <c r="J447" i="90"/>
  <c r="N447" i="90"/>
  <c r="N446" i="90"/>
  <c r="N448" i="90"/>
  <c r="N449" i="90"/>
  <c r="R447" i="90"/>
  <c r="R448" i="90"/>
  <c r="R449" i="90"/>
  <c r="R446" i="90"/>
  <c r="V449" i="90"/>
  <c r="V446" i="90"/>
  <c r="V447" i="90"/>
  <c r="V448" i="90"/>
</calcChain>
</file>

<file path=xl/sharedStrings.xml><?xml version="1.0" encoding="utf-8"?>
<sst xmlns="http://schemas.openxmlformats.org/spreadsheetml/2006/main" count="5825" uniqueCount="92">
  <si>
    <t>Timestep</t>
  </si>
  <si>
    <t>Driving stress</t>
  </si>
  <si>
    <t>a_uFP30</t>
  </si>
  <si>
    <t>s_uFP30</t>
  </si>
  <si>
    <t>a_uFP33</t>
  </si>
  <si>
    <t>s_uFP33</t>
  </si>
  <si>
    <t>a_MFP30</t>
  </si>
  <si>
    <t>sII_MFP30</t>
  </si>
  <si>
    <t>sIJ_MFP30</t>
  </si>
  <si>
    <t>Half-length</t>
  </si>
  <si>
    <t>Radius</t>
  </si>
  <si>
    <t>a_uFP32</t>
  </si>
  <si>
    <t>s_uFP32</t>
  </si>
  <si>
    <t>Dip</t>
  </si>
  <si>
    <t>Number of points</t>
  </si>
  <si>
    <t>FracNo</t>
  </si>
  <si>
    <t>X Minimum</t>
  </si>
  <si>
    <t>X Maximum</t>
  </si>
  <si>
    <t>Y Minimum</t>
  </si>
  <si>
    <t>Y Maximum</t>
  </si>
  <si>
    <t>Height</t>
  </si>
  <si>
    <t>Volume</t>
  </si>
  <si>
    <t>Nucleation time</t>
  </si>
  <si>
    <t>P30</t>
  </si>
  <si>
    <t>V</t>
  </si>
  <si>
    <t>IPlusHalfLength</t>
  </si>
  <si>
    <t>IMinusHalfLength</t>
  </si>
  <si>
    <t>HalfLength</t>
  </si>
  <si>
    <t>FS1</t>
  </si>
  <si>
    <t>FS2</t>
  </si>
  <si>
    <t>Set 1</t>
  </si>
  <si>
    <t>Set 2</t>
  </si>
  <si>
    <t>Set</t>
  </si>
  <si>
    <t>Total No fracs</t>
  </si>
  <si>
    <t>Plot area</t>
  </si>
  <si>
    <t>Data extraction area</t>
  </si>
  <si>
    <t>Proportion of active tips</t>
  </si>
  <si>
    <t>Proportion of tips in stress shadow</t>
  </si>
  <si>
    <t>Proportion of intersecting tips</t>
  </si>
  <si>
    <t>Proportion of non-connected tips</t>
  </si>
  <si>
    <t>HalfMFP32</t>
  </si>
  <si>
    <t>a_MFP32</t>
  </si>
  <si>
    <t>s_MFP32</t>
  </si>
  <si>
    <t>Fracture stage</t>
  </si>
  <si>
    <t>Elastic ehmin</t>
  </si>
  <si>
    <t>Elastic ehmax</t>
  </si>
  <si>
    <t>Total ehmin</t>
  </si>
  <si>
    <t>Total ehmax</t>
  </si>
  <si>
    <t>uF Porosity: Uniform aperture</t>
  </si>
  <si>
    <t>MF Porosity: Uniform aperture</t>
  </si>
  <si>
    <t>uF Porosity: Size-dependent aperture</t>
  </si>
  <si>
    <t>MF Porosity: Size-dependent aperture</t>
  </si>
  <si>
    <t>uF Porosity: Dynamic aperture</t>
  </si>
  <si>
    <t>MF Porosity: Dynamic aperture</t>
  </si>
  <si>
    <t>uF Porosity: Barton-Bandis aperture</t>
  </si>
  <si>
    <t>MF Porosity: Barton-Bandis aperture</t>
  </si>
  <si>
    <t>MFP30 from implicit model</t>
  </si>
  <si>
    <t>Active MFP30 from implicit model</t>
  </si>
  <si>
    <t>Active MFP32 from implicit model</t>
  </si>
  <si>
    <t>MFP32 from implicit model</t>
  </si>
  <si>
    <t>IPlusTipType</t>
  </si>
  <si>
    <t>IMinusTipType</t>
  </si>
  <si>
    <t>IPlusTerminatingFracture</t>
  </si>
  <si>
    <t>IMinusTerminatingFracture</t>
  </si>
  <si>
    <t>Nucleation time (ma)</t>
  </si>
  <si>
    <t>Duration (ma)</t>
  </si>
  <si>
    <t>End Time (ma)</t>
  </si>
  <si>
    <t>Slip pitch</t>
  </si>
  <si>
    <t>FS HMin Dip 90deg</t>
  </si>
  <si>
    <t>FS HMin Dip 58deg</t>
  </si>
  <si>
    <t>FS HMax Dip 90deg</t>
  </si>
  <si>
    <t>FS HMax Dip 58deg</t>
  </si>
  <si>
    <t>Displacement sense</t>
  </si>
  <si>
    <t>Clear zone volume</t>
  </si>
  <si>
    <t>NotActivated</t>
  </si>
  <si>
    <t>LeftLateral</t>
  </si>
  <si>
    <t>Normal</t>
  </si>
  <si>
    <t>RightLateral</t>
  </si>
  <si>
    <t>Growing</t>
  </si>
  <si>
    <t>ResidualActivity</t>
  </si>
  <si>
    <t>Deactivated</t>
  </si>
  <si>
    <t>FS 0 Dip 90deg</t>
  </si>
  <si>
    <t>FS 0 Dip 58deg</t>
  </si>
  <si>
    <t>FS 1 Dip 90deg</t>
  </si>
  <si>
    <t>FS 1 Dip 58deg</t>
  </si>
  <si>
    <t>OutOfBounds</t>
  </si>
  <si>
    <t>Start Points</t>
  </si>
  <si>
    <t>End Points</t>
  </si>
  <si>
    <t>StressShadow</t>
  </si>
  <si>
    <t>Propagating</t>
  </si>
  <si>
    <t>Tip type</t>
  </si>
  <si>
    <t>Terminating fracture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</si>
</sst>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1" fontId="0" fillId="0" borderId="0" xfId="0" applyNumberFormat="1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00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Implicit_Fracs!$AG$2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Implicit_Fracs!$C$4:$C$371</c:f>
              <c:numCache>
                <c:formatCode>General</c:formatCode>
                <c:ptCount val="368"/>
                <c:pt idx="0">
                  <c:v>6.5458908507104702E-2</c:v>
                </c:pt>
                <c:pt idx="1">
                  <c:v>0.10158646265419501</c:v>
                </c:pt>
                <c:pt idx="2">
                  <c:v>0.102060105178604</c:v>
                </c:pt>
                <c:pt idx="3">
                  <c:v>0.102354758409441</c:v>
                </c:pt>
                <c:pt idx="4">
                  <c:v>0.10257003610151801</c:v>
                </c:pt>
                <c:pt idx="5">
                  <c:v>0.102740146597483</c:v>
                </c:pt>
                <c:pt idx="6">
                  <c:v>0.10288102093448701</c:v>
                </c:pt>
                <c:pt idx="7">
                  <c:v>0.10300139565401099</c:v>
                </c:pt>
                <c:pt idx="8">
                  <c:v>0.10310658737638601</c:v>
                </c:pt>
                <c:pt idx="9">
                  <c:v>0.103200075337502</c:v>
                </c:pt>
                <c:pt idx="10">
                  <c:v>0.103284262204</c:v>
                </c:pt>
                <c:pt idx="11">
                  <c:v>0.103360877526633</c:v>
                </c:pt>
                <c:pt idx="12">
                  <c:v>0.103431208153653</c:v>
                </c:pt>
                <c:pt idx="13">
                  <c:v>0.103496237708407</c:v>
                </c:pt>
                <c:pt idx="14">
                  <c:v>0.103556735084609</c:v>
                </c:pt>
                <c:pt idx="15">
                  <c:v>0.103613312816801</c:v>
                </c:pt>
                <c:pt idx="16">
                  <c:v>0.103666466857375</c:v>
                </c:pt>
                <c:pt idx="17">
                  <c:v>0.10371660444741999</c:v>
                </c:pt>
                <c:pt idx="18">
                  <c:v>0.10376406411969299</c:v>
                </c:pt>
                <c:pt idx="19">
                  <c:v>0.10380913035858701</c:v>
                </c:pt>
                <c:pt idx="20">
                  <c:v>0.103852044544123</c:v>
                </c:pt>
                <c:pt idx="21">
                  <c:v>0.103893013256558</c:v>
                </c:pt>
                <c:pt idx="22">
                  <c:v>0.103932214670875</c:v>
                </c:pt>
                <c:pt idx="23">
                  <c:v>0.10396980354554</c:v>
                </c:pt>
                <c:pt idx="24">
                  <c:v>0.104005915161023</c:v>
                </c:pt>
                <c:pt idx="25">
                  <c:v>0.10404066846285701</c:v>
                </c:pt>
                <c:pt idx="26">
                  <c:v>0.104074168594671</c:v>
                </c:pt>
                <c:pt idx="27">
                  <c:v>0.10410650895807599</c:v>
                </c:pt>
                <c:pt idx="28">
                  <c:v>0.10413777290170501</c:v>
                </c:pt>
                <c:pt idx="29">
                  <c:v>0.104168035116796</c:v>
                </c:pt>
                <c:pt idx="30">
                  <c:v>0.104197362798492</c:v>
                </c:pt>
                <c:pt idx="31">
                  <c:v>0.104225816618547</c:v>
                </c:pt>
                <c:pt idx="32">
                  <c:v>0.104253451545067</c:v>
                </c:pt>
                <c:pt idx="33">
                  <c:v>0.104280317537286</c:v>
                </c:pt>
                <c:pt idx="34">
                  <c:v>0.10430646013757899</c:v>
                </c:pt>
                <c:pt idx="35">
                  <c:v>0.10433192097843901</c:v>
                </c:pt>
                <c:pt idx="36">
                  <c:v>0.104356738218675</c:v>
                </c:pt>
                <c:pt idx="37">
                  <c:v>0.10438094692038</c:v>
                </c:pt>
                <c:pt idx="38">
                  <c:v>0.104404579376061</c:v>
                </c:pt>
                <c:pt idx="39">
                  <c:v>0.10442766539470601</c:v>
                </c:pt>
                <c:pt idx="40">
                  <c:v>0.104450232550895</c:v>
                </c:pt>
                <c:pt idx="41">
                  <c:v>0.104472306403378</c:v>
                </c:pt>
                <c:pt idx="42">
                  <c:v>0.104493910687546</c:v>
                </c:pt>
                <c:pt idx="43">
                  <c:v>0.104515067485448</c:v>
                </c:pt>
                <c:pt idx="44">
                  <c:v>0.104535797376425</c:v>
                </c:pt>
                <c:pt idx="45">
                  <c:v>0.104556119570968</c:v>
                </c:pt>
                <c:pt idx="46">
                  <c:v>0.10457605202998201</c:v>
                </c:pt>
                <c:pt idx="47">
                  <c:v>0.10459561157132601</c:v>
                </c:pt>
                <c:pt idx="48">
                  <c:v>0.10461481396524</c:v>
                </c:pt>
                <c:pt idx="49">
                  <c:v>0.104633674020002</c:v>
                </c:pt>
                <c:pt idx="50">
                  <c:v>0.104652205659008</c:v>
                </c:pt>
                <c:pt idx="51">
                  <c:v>0.10467042199028</c:v>
                </c:pt>
                <c:pt idx="52">
                  <c:v>0.10468833536927501</c:v>
                </c:pt>
                <c:pt idx="53">
                  <c:v>0.104705957455764</c:v>
                </c:pt>
                <c:pt idx="54">
                  <c:v>0.104723299265432</c:v>
                </c:pt>
                <c:pt idx="55">
                  <c:v>0.10474037121678501</c:v>
                </c:pt>
                <c:pt idx="56">
                  <c:v>0.104757183173858</c:v>
                </c:pt>
                <c:pt idx="57">
                  <c:v>0.10477374448518</c:v>
                </c:pt>
                <c:pt idx="58">
                  <c:v>0.104790064019366</c:v>
                </c:pt>
                <c:pt idx="59">
                  <c:v>0.10480615019770299</c:v>
                </c:pt>
                <c:pt idx="60">
                  <c:v>0.104822011024007</c:v>
                </c:pt>
                <c:pt idx="61">
                  <c:v>0.10483765411203801</c:v>
                </c:pt>
                <c:pt idx="62">
                  <c:v>0.104853086710699</c:v>
                </c:pt>
                <c:pt idx="63">
                  <c:v>0.10486831572724099</c:v>
                </c:pt>
                <c:pt idx="64">
                  <c:v>0.104883347748643</c:v>
                </c:pt>
                <c:pt idx="65">
                  <c:v>0.104898189061358</c:v>
                </c:pt>
                <c:pt idx="66">
                  <c:v>0.104912845669559</c:v>
                </c:pt>
                <c:pt idx="67">
                  <c:v>0.10492732331202199</c:v>
                </c:pt>
                <c:pt idx="68">
                  <c:v>0.10494162747777</c:v>
                </c:pt>
                <c:pt idx="69">
                  <c:v>0.10495576342058401</c:v>
                </c:pt>
                <c:pt idx="70">
                  <c:v>0.104969736172476</c:v>
                </c:pt>
                <c:pt idx="71">
                  <c:v>0.104983550556215</c:v>
                </c:pt>
                <c:pt idx="72">
                  <c:v>0.104997211196988</c:v>
                </c:pt>
                <c:pt idx="73">
                  <c:v>0.105010722533251</c:v>
                </c:pt>
                <c:pt idx="74">
                  <c:v>0.10502408882686499</c:v>
                </c:pt>
                <c:pt idx="75">
                  <c:v>0.105037314172539</c:v>
                </c:pt>
                <c:pt idx="76">
                  <c:v>0.10505040250667</c:v>
                </c:pt>
                <c:pt idx="77">
                  <c:v>0.105063357615594</c:v>
                </c:pt>
                <c:pt idx="78">
                  <c:v>0.105076183143323</c:v>
                </c:pt>
                <c:pt idx="79">
                  <c:v>0.10508888259878001</c:v>
                </c:pt>
                <c:pt idx="80">
                  <c:v>0.105101459362598</c:v>
                </c:pt>
                <c:pt idx="81">
                  <c:v>0.10511391669348399</c:v>
                </c:pt>
                <c:pt idx="82">
                  <c:v>0.10512625773421</c:v>
                </c:pt>
                <c:pt idx="83">
                  <c:v>0.10513848551723599</c:v>
                </c:pt>
                <c:pt idx="84">
                  <c:v>0.10515060297000201</c:v>
                </c:pt>
                <c:pt idx="85">
                  <c:v>0.105162612919908</c:v>
                </c:pt>
                <c:pt idx="86">
                  <c:v>0.105174518099013</c:v>
                </c:pt>
                <c:pt idx="87">
                  <c:v>0.105186321148453</c:v>
                </c:pt>
                <c:pt idx="88">
                  <c:v>0.105198024622616</c:v>
                </c:pt>
                <c:pt idx="89">
                  <c:v>0.105209630993088</c:v>
                </c:pt>
                <c:pt idx="90">
                  <c:v>0.10522114265237301</c:v>
                </c:pt>
                <c:pt idx="91">
                  <c:v>0.105232561917411</c:v>
                </c:pt>
                <c:pt idx="92">
                  <c:v>0.105243891032912</c:v>
                </c:pt>
                <c:pt idx="93">
                  <c:v>0.105255132174505</c:v>
                </c:pt>
                <c:pt idx="94">
                  <c:v>0.10526628745172401</c:v>
                </c:pt>
                <c:pt idx="95">
                  <c:v>0.105277358910841</c:v>
                </c:pt>
                <c:pt idx="96">
                  <c:v>0.105288348537545</c:v>
                </c:pt>
                <c:pt idx="97">
                  <c:v>0.10529925825949001</c:v>
                </c:pt>
                <c:pt idx="98">
                  <c:v>0.105310089948715</c:v>
                </c:pt>
                <c:pt idx="99">
                  <c:v>0.10532084542394</c:v>
                </c:pt>
                <c:pt idx="100">
                  <c:v>0.105331526452749</c:v>
                </c:pt>
                <c:pt idx="101">
                  <c:v>0.10534213475366599</c:v>
                </c:pt>
                <c:pt idx="102">
                  <c:v>0.105352671998135</c:v>
                </c:pt>
                <c:pt idx="103">
                  <c:v>0.105363139812398</c:v>
                </c:pt>
                <c:pt idx="104">
                  <c:v>0.10537353977929</c:v>
                </c:pt>
                <c:pt idx="105">
                  <c:v>0.105383873439947</c:v>
                </c:pt>
                <c:pt idx="106">
                  <c:v>0.105394142295438</c:v>
                </c:pt>
                <c:pt idx="107">
                  <c:v>0.10540434780831399</c:v>
                </c:pt>
                <c:pt idx="108">
                  <c:v>0.1054144914041</c:v>
                </c:pt>
                <c:pt idx="109">
                  <c:v>0.105424574472708</c:v>
                </c:pt>
                <c:pt idx="110">
                  <c:v>0.10543459836979301</c:v>
                </c:pt>
                <c:pt idx="111">
                  <c:v>0.105444564418049</c:v>
                </c:pt>
                <c:pt idx="112">
                  <c:v>0.105454473908448</c:v>
                </c:pt>
                <c:pt idx="113">
                  <c:v>0.105464328101426</c:v>
                </c:pt>
                <c:pt idx="114">
                  <c:v>0.10547412822802001</c:v>
                </c:pt>
                <c:pt idx="115">
                  <c:v>0.10548387549095201</c:v>
                </c:pt>
                <c:pt idx="116">
                  <c:v>0.105493571065675</c:v>
                </c:pt>
                <c:pt idx="117">
                  <c:v>0.105503216101374</c:v>
                </c:pt>
                <c:pt idx="118">
                  <c:v>0.10551281172191999</c:v>
                </c:pt>
                <c:pt idx="119">
                  <c:v>0.10552235902679701</c:v>
                </c:pt>
                <c:pt idx="120">
                  <c:v>0.105531859091982</c:v>
                </c:pt>
                <c:pt idx="121">
                  <c:v>0.105541312970793</c:v>
                </c:pt>
                <c:pt idx="122">
                  <c:v>0.105550721694713</c:v>
                </c:pt>
                <c:pt idx="123">
                  <c:v>0.10556008627416701</c:v>
                </c:pt>
                <c:pt idx="124">
                  <c:v>0.105569407699282</c:v>
                </c:pt>
                <c:pt idx="125">
                  <c:v>0.105578686940613</c:v>
                </c:pt>
                <c:pt idx="126">
                  <c:v>0.10558792494984499</c:v>
                </c:pt>
                <c:pt idx="127">
                  <c:v>0.105597122660464</c:v>
                </c:pt>
                <c:pt idx="128">
                  <c:v>0.105606280988415</c:v>
                </c:pt>
                <c:pt idx="129">
                  <c:v>0.105615400832723</c:v>
                </c:pt>
                <c:pt idx="130">
                  <c:v>0.10562448307610101</c:v>
                </c:pt>
                <c:pt idx="131">
                  <c:v>0.105633528585537</c:v>
                </c:pt>
                <c:pt idx="132">
                  <c:v>0.105642538212856</c:v>
                </c:pt>
                <c:pt idx="133">
                  <c:v>0.10565151279527001</c:v>
                </c:pt>
                <c:pt idx="134">
                  <c:v>0.105660453155901</c:v>
                </c:pt>
                <c:pt idx="135">
                  <c:v>0.1056693601043</c:v>
                </c:pt>
                <c:pt idx="136">
                  <c:v>0.105678234436935</c:v>
                </c:pt>
                <c:pt idx="137">
                  <c:v>0.105687076937673</c:v>
                </c:pt>
                <c:pt idx="138">
                  <c:v>0.10569588837824601</c:v>
                </c:pt>
                <c:pt idx="139">
                  <c:v>0.105704669518702</c:v>
                </c:pt>
                <c:pt idx="140">
                  <c:v>0.105713421107842</c:v>
                </c:pt>
                <c:pt idx="141">
                  <c:v>0.105722143883642</c:v>
                </c:pt>
                <c:pt idx="142">
                  <c:v>0.10573083857367301</c:v>
                </c:pt>
                <c:pt idx="143">
                  <c:v>0.10573950589549699</c:v>
                </c:pt>
                <c:pt idx="144">
                  <c:v>0.105748146557059</c:v>
                </c:pt>
                <c:pt idx="145">
                  <c:v>0.105756761257069</c:v>
                </c:pt>
                <c:pt idx="146">
                  <c:v>0.105765350685371</c:v>
                </c:pt>
                <c:pt idx="147">
                  <c:v>0.10577391552330601</c:v>
                </c:pt>
                <c:pt idx="148">
                  <c:v>0.105782456444064</c:v>
                </c:pt>
                <c:pt idx="149">
                  <c:v>0.105790974113029</c:v>
                </c:pt>
                <c:pt idx="150">
                  <c:v>0.105799469188117</c:v>
                </c:pt>
                <c:pt idx="151">
                  <c:v>0.105807942320102</c:v>
                </c:pt>
                <c:pt idx="152">
                  <c:v>0.105816394152941</c:v>
                </c:pt>
                <c:pt idx="153">
                  <c:v>0.10582482532409</c:v>
                </c:pt>
                <c:pt idx="154">
                  <c:v>0.10583323646481201</c:v>
                </c:pt>
                <c:pt idx="155">
                  <c:v>0.105841628200482</c:v>
                </c:pt>
                <c:pt idx="156">
                  <c:v>0.105850001150887</c:v>
                </c:pt>
                <c:pt idx="157">
                  <c:v>0.105858355930516</c:v>
                </c:pt>
                <c:pt idx="158">
                  <c:v>0.105866693148851</c:v>
                </c:pt>
                <c:pt idx="159">
                  <c:v>0.105875013410654</c:v>
                </c:pt>
                <c:pt idx="160">
                  <c:v>0.10588331731624</c:v>
                </c:pt>
                <c:pt idx="161">
                  <c:v>0.105891605461765</c:v>
                </c:pt>
                <c:pt idx="162">
                  <c:v>0.10589987843948701</c:v>
                </c:pt>
                <c:pt idx="163">
                  <c:v>0.10590813683804701</c:v>
                </c:pt>
                <c:pt idx="164">
                  <c:v>0.10591638124273201</c:v>
                </c:pt>
                <c:pt idx="165">
                  <c:v>0.105924612235738</c:v>
                </c:pt>
                <c:pt idx="166">
                  <c:v>0.10593283039644</c:v>
                </c:pt>
                <c:pt idx="167">
                  <c:v>0.105941036301648</c:v>
                </c:pt>
                <c:pt idx="168">
                  <c:v>0.10594923052586901</c:v>
                </c:pt>
                <c:pt idx="169">
                  <c:v>0.105957413641566</c:v>
                </c:pt>
                <c:pt idx="170">
                  <c:v>0.105965586219415</c:v>
                </c:pt>
                <c:pt idx="171">
                  <c:v>0.105973748828566</c:v>
                </c:pt>
                <c:pt idx="172">
                  <c:v>0.10598190203689301</c:v>
                </c:pt>
                <c:pt idx="173">
                  <c:v>0.105990046411258</c:v>
                </c:pt>
                <c:pt idx="174">
                  <c:v>0.10599818251776701</c:v>
                </c:pt>
                <c:pt idx="175">
                  <c:v>0.106006310922025</c:v>
                </c:pt>
                <c:pt idx="176">
                  <c:v>0.106014432189397</c:v>
                </c:pt>
                <c:pt idx="177">
                  <c:v>0.106022546885271</c:v>
                </c:pt>
                <c:pt idx="178">
                  <c:v>0.10603065557531401</c:v>
                </c:pt>
                <c:pt idx="179">
                  <c:v>0.10603875882574</c:v>
                </c:pt>
                <c:pt idx="180">
                  <c:v>0.106046857203577</c:v>
                </c:pt>
                <c:pt idx="181">
                  <c:v>0.106054951276932</c:v>
                </c:pt>
                <c:pt idx="182">
                  <c:v>0.106063041615263</c:v>
                </c:pt>
                <c:pt idx="183">
                  <c:v>0.10607112878965499</c:v>
                </c:pt>
                <c:pt idx="184">
                  <c:v>0.106079213373101</c:v>
                </c:pt>
                <c:pt idx="185">
                  <c:v>0.106087295940776</c:v>
                </c:pt>
                <c:pt idx="186">
                  <c:v>0.10609537707033299</c:v>
                </c:pt>
                <c:pt idx="187">
                  <c:v>0.106103457342189</c:v>
                </c:pt>
                <c:pt idx="188">
                  <c:v>0.106111537339822</c:v>
                </c:pt>
                <c:pt idx="189">
                  <c:v>0.10611961765007601</c:v>
                </c:pt>
                <c:pt idx="190">
                  <c:v>0.106127698863465</c:v>
                </c:pt>
                <c:pt idx="191">
                  <c:v>0.10613578157449099</c:v>
                </c:pt>
                <c:pt idx="192">
                  <c:v>0.106143866381966</c:v>
                </c:pt>
                <c:pt idx="193">
                  <c:v>0.10615195388934</c:v>
                </c:pt>
                <c:pt idx="194">
                  <c:v>0.106160044705038</c:v>
                </c:pt>
                <c:pt idx="195">
                  <c:v>0.106168139442805</c:v>
                </c:pt>
                <c:pt idx="196">
                  <c:v>0.106176238722063</c:v>
                </c:pt>
                <c:pt idx="197">
                  <c:v>0.106184343168276</c:v>
                </c:pt>
                <c:pt idx="198">
                  <c:v>0.10619245341332301</c:v>
                </c:pt>
                <c:pt idx="199">
                  <c:v>0.106200570095885</c:v>
                </c:pt>
                <c:pt idx="200">
                  <c:v>0.10620869386184199</c:v>
                </c:pt>
                <c:pt idx="201">
                  <c:v>0.10621682536468401</c:v>
                </c:pt>
                <c:pt idx="202">
                  <c:v>0.106224965265935</c:v>
                </c:pt>
                <c:pt idx="203">
                  <c:v>0.106233114235588</c:v>
                </c:pt>
                <c:pt idx="204">
                  <c:v>0.10624127295256</c:v>
                </c:pt>
                <c:pt idx="205">
                  <c:v>0.10624944210515699</c:v>
                </c:pt>
                <c:pt idx="206">
                  <c:v>0.106257622391562</c:v>
                </c:pt>
                <c:pt idx="207">
                  <c:v>0.106265814520335</c:v>
                </c:pt>
                <c:pt idx="208">
                  <c:v>0.106274019210935</c:v>
                </c:pt>
                <c:pt idx="209">
                  <c:v>0.10628223719426</c:v>
                </c:pt>
                <c:pt idx="210">
                  <c:v>0.106290469213214</c:v>
                </c:pt>
                <c:pt idx="211">
                  <c:v>0.106298716023284</c:v>
                </c:pt>
                <c:pt idx="212">
                  <c:v>0.106306978393155</c:v>
                </c:pt>
                <c:pt idx="213">
                  <c:v>0.106315257105341</c:v>
                </c:pt>
                <c:pt idx="214">
                  <c:v>0.10632355295684801</c:v>
                </c:pt>
                <c:pt idx="215">
                  <c:v>0.10633186675985799</c:v>
                </c:pt>
                <c:pt idx="216">
                  <c:v>0.10634019934245301</c:v>
                </c:pt>
                <c:pt idx="217">
                  <c:v>0.106348551549366</c:v>
                </c:pt>
                <c:pt idx="218">
                  <c:v>0.106356924242761</c:v>
                </c:pt>
                <c:pt idx="219">
                  <c:v>0.10636531830306099</c:v>
                </c:pt>
                <c:pt idx="220">
                  <c:v>0.106373734629807</c:v>
                </c:pt>
                <c:pt idx="221">
                  <c:v>0.10638217414255299</c:v>
                </c:pt>
                <c:pt idx="222">
                  <c:v>0.106390637781818</c:v>
                </c:pt>
                <c:pt idx="223">
                  <c:v>0.10639912651007299</c:v>
                </c:pt>
                <c:pt idx="224">
                  <c:v>0.10640764131277999</c:v>
                </c:pt>
                <c:pt idx="225">
                  <c:v>0.10641618319948901</c:v>
                </c:pt>
                <c:pt idx="226">
                  <c:v>0.106424753204983</c:v>
                </c:pt>
                <c:pt idx="227">
                  <c:v>0.10643335239049</c:v>
                </c:pt>
                <c:pt idx="228">
                  <c:v>0.106441981844954</c:v>
                </c:pt>
                <c:pt idx="229">
                  <c:v>0.106450642686375</c:v>
                </c:pt>
                <c:pt idx="230">
                  <c:v>0.10645933606322799</c:v>
                </c:pt>
                <c:pt idx="231">
                  <c:v>0.10646806315594901</c:v>
                </c:pt>
                <c:pt idx="232">
                  <c:v>0.106476825178516</c:v>
                </c:pt>
                <c:pt idx="233">
                  <c:v>0.10648562338011</c:v>
                </c:pt>
                <c:pt idx="234">
                  <c:v>0.106494459046881</c:v>
                </c:pt>
                <c:pt idx="235">
                  <c:v>0.106503333503809</c:v>
                </c:pt>
                <c:pt idx="236">
                  <c:v>0.10651224811667701</c:v>
                </c:pt>
                <c:pt idx="237">
                  <c:v>0.106521204294171</c:v>
                </c:pt>
                <c:pt idx="238">
                  <c:v>0.106530203490093</c:v>
                </c:pt>
                <c:pt idx="239">
                  <c:v>0.10653924720572699</c:v>
                </c:pt>
                <c:pt idx="240">
                  <c:v>0.106548336992338</c:v>
                </c:pt>
                <c:pt idx="241">
                  <c:v>0.106557474453844</c:v>
                </c:pt>
                <c:pt idx="242">
                  <c:v>0.106566661249652</c:v>
                </c:pt>
                <c:pt idx="243">
                  <c:v>0.10657589909767901</c:v>
                </c:pt>
                <c:pt idx="244">
                  <c:v>0.10658518977758299</c:v>
                </c:pt>
                <c:pt idx="245">
                  <c:v>0.106594535134197</c:v>
                </c:pt>
                <c:pt idx="246">
                  <c:v>0.106603937081217</c:v>
                </c:pt>
                <c:pt idx="247">
                  <c:v>0.106613397605125</c:v>
                </c:pt>
                <c:pt idx="248">
                  <c:v>0.10662291876941001</c:v>
                </c:pt>
                <c:pt idx="249">
                  <c:v>0.106632502719071</c:v>
                </c:pt>
                <c:pt idx="250">
                  <c:v>0.10664215168546599</c:v>
                </c:pt>
                <c:pt idx="251">
                  <c:v>0.106651867991505</c:v>
                </c:pt>
                <c:pt idx="252">
                  <c:v>0.106661654057239</c:v>
                </c:pt>
                <c:pt idx="253">
                  <c:v>0.106671512405876</c:v>
                </c:pt>
                <c:pt idx="254">
                  <c:v>0.106681445670259</c:v>
                </c:pt>
                <c:pt idx="255">
                  <c:v>0.106691456599855</c:v>
                </c:pt>
                <c:pt idx="256">
                  <c:v>0.10670154806830701</c:v>
                </c:pt>
                <c:pt idx="257">
                  <c:v>0.106711723081597</c:v>
                </c:pt>
                <c:pt idx="258">
                  <c:v>0.106721984786882</c:v>
                </c:pt>
                <c:pt idx="259">
                  <c:v>0.106732336482082</c:v>
                </c:pt>
                <c:pt idx="260">
                  <c:v>0.10674278162628199</c:v>
                </c:pt>
                <c:pt idx="261">
                  <c:v>0.106753323851043</c:v>
                </c:pt>
                <c:pt idx="262">
                  <c:v>0.106763966972719</c:v>
                </c:pt>
                <c:pt idx="263">
                  <c:v>0.10677471500588499</c:v>
                </c:pt>
                <c:pt idx="264">
                  <c:v>0.10678557217800599</c:v>
                </c:pt>
                <c:pt idx="265">
                  <c:v>0.106796542945475</c:v>
                </c:pt>
                <c:pt idx="266">
                  <c:v>0.10680763201119001</c:v>
                </c:pt>
                <c:pt idx="267">
                  <c:v>0.106818844343851</c:v>
                </c:pt>
                <c:pt idx="268">
                  <c:v>0.106830185199162</c:v>
                </c:pt>
                <c:pt idx="269">
                  <c:v>0.1068416601432</c:v>
                </c:pt>
                <c:pt idx="270">
                  <c:v>0.106853275078199</c:v>
                </c:pt>
                <c:pt idx="271">
                  <c:v>0.10686503627105901</c:v>
                </c:pt>
                <c:pt idx="272">
                  <c:v>0.106876950384948</c:v>
                </c:pt>
                <c:pt idx="273">
                  <c:v>0.10688902451438199</c:v>
                </c:pt>
                <c:pt idx="274">
                  <c:v>0.106901266224276</c:v>
                </c:pt>
                <c:pt idx="275">
                  <c:v>0.106913683593506</c:v>
                </c:pt>
                <c:pt idx="276">
                  <c:v>0.106926285263621</c:v>
                </c:pt>
                <c:pt idx="277">
                  <c:v>0.106939080493455</c:v>
                </c:pt>
                <c:pt idx="278">
                  <c:v>0.10695207922051</c:v>
                </c:pt>
                <c:pt idx="279">
                  <c:v>0.10696529213014599</c:v>
                </c:pt>
                <c:pt idx="280">
                  <c:v>0.106978730733797</c:v>
                </c:pt>
                <c:pt idx="281">
                  <c:v>0.106992407457646</c:v>
                </c:pt>
                <c:pt idx="282">
                  <c:v>0.107006335743491</c:v>
                </c:pt>
                <c:pt idx="283">
                  <c:v>0.10702053016384699</c:v>
                </c:pt>
                <c:pt idx="284">
                  <c:v>0.107035006553762</c:v>
                </c:pt>
                <c:pt idx="285">
                  <c:v>0.107049782162317</c:v>
                </c:pt>
                <c:pt idx="286">
                  <c:v>0.10706487582742701</c:v>
                </c:pt>
                <c:pt idx="287">
                  <c:v>0.107080308178348</c:v>
                </c:pt>
                <c:pt idx="288">
                  <c:v>0.10709610187127599</c:v>
                </c:pt>
                <c:pt idx="289">
                  <c:v>0.10711228186470099</c:v>
                </c:pt>
                <c:pt idx="290">
                  <c:v>0.107128875742745</c:v>
                </c:pt>
                <c:pt idx="291">
                  <c:v>0.107145914096787</c:v>
                </c:pt>
                <c:pt idx="292">
                  <c:v>0.10716343097827</c:v>
                </c:pt>
                <c:pt idx="293">
                  <c:v>0.10718146443905199</c:v>
                </c:pt>
                <c:pt idx="294">
                  <c:v>0.107200057180087</c:v>
                </c:pt>
                <c:pt idx="295">
                  <c:v>0.10721925733519</c:v>
                </c:pt>
                <c:pt idx="296">
                  <c:v>0.107239119424452</c:v>
                </c:pt>
                <c:pt idx="297">
                  <c:v>0.10725970552248799</c:v>
                </c:pt>
                <c:pt idx="298">
                  <c:v>0.107281086701057</c:v>
                </c:pt>
                <c:pt idx="299">
                  <c:v>0.10730334482520799</c:v>
                </c:pt>
                <c:pt idx="300">
                  <c:v>0.107326574809414</c:v>
                </c:pt>
                <c:pt idx="301">
                  <c:v>0.10735088747820599</c:v>
                </c:pt>
                <c:pt idx="302">
                  <c:v>0.10737641322982</c:v>
                </c:pt>
                <c:pt idx="303">
                  <c:v>0.107403306778537</c:v>
                </c:pt>
                <c:pt idx="304">
                  <c:v>0.10743175336319</c:v>
                </c:pt>
                <c:pt idx="305">
                  <c:v>0.107461976972791</c:v>
                </c:pt>
                <c:pt idx="306">
                  <c:v>0.107494251381856</c:v>
                </c:pt>
                <c:pt idx="307">
                  <c:v>0.107528915147976</c:v>
                </c:pt>
                <c:pt idx="308">
                  <c:v>0.107566392263413</c:v>
                </c:pt>
                <c:pt idx="309">
                  <c:v>0.10760722096054399</c:v>
                </c:pt>
                <c:pt idx="310">
                  <c:v>0.107652094373539</c:v>
                </c:pt>
                <c:pt idx="311">
                  <c:v>0.107701918517204</c:v>
                </c:pt>
                <c:pt idx="312">
                  <c:v>0.107757895545197</c:v>
                </c:pt>
                <c:pt idx="313">
                  <c:v>0.107821643761701</c:v>
                </c:pt>
                <c:pt idx="314">
                  <c:v>0.107895371464266</c:v>
                </c:pt>
                <c:pt idx="315">
                  <c:v>0.107982136054144</c:v>
                </c:pt>
                <c:pt idx="316">
                  <c:v>0.108086279484475</c:v>
                </c:pt>
                <c:pt idx="317">
                  <c:v>0.10821441051713999</c:v>
                </c:pt>
                <c:pt idx="318">
                  <c:v>0.108378611684964</c:v>
                </c:pt>
                <c:pt idx="319">
                  <c:v>0.10851279142848901</c:v>
                </c:pt>
                <c:pt idx="320">
                  <c:v>0.108646878508965</c:v>
                </c:pt>
                <c:pt idx="321">
                  <c:v>0.108781836007877</c:v>
                </c:pt>
                <c:pt idx="322">
                  <c:v>0.108917703938839</c:v>
                </c:pt>
                <c:pt idx="323">
                  <c:v>0.109054545173906</c:v>
                </c:pt>
                <c:pt idx="324">
                  <c:v>0.109192417872054</c:v>
                </c:pt>
                <c:pt idx="325">
                  <c:v>0.109331376964383</c:v>
                </c:pt>
                <c:pt idx="326">
                  <c:v>0.10947147454287399</c:v>
                </c:pt>
                <c:pt idx="327">
                  <c:v>0.109612760241196</c:v>
                </c:pt>
                <c:pt idx="328">
                  <c:v>0.10975528157779101</c:v>
                </c:pt>
                <c:pt idx="329">
                  <c:v>0.109899084266184</c:v>
                </c:pt>
                <c:pt idx="330">
                  <c:v>0.110044212495958</c:v>
                </c:pt>
                <c:pt idx="331">
                  <c:v>0.11019070918751001</c:v>
                </c:pt>
                <c:pt idx="332">
                  <c:v>0.11033861622334599</c:v>
                </c:pt>
                <c:pt idx="333">
                  <c:v>0.110487974658393</c:v>
                </c:pt>
                <c:pt idx="334">
                  <c:v>0.110638824911563</c:v>
                </c:pt>
                <c:pt idx="335">
                  <c:v>0.110791206940568</c:v>
                </c:pt>
                <c:pt idx="336">
                  <c:v>0.11094516040180299</c:v>
                </c:pt>
                <c:pt idx="337">
                  <c:v>0.11110072479692901</c:v>
                </c:pt>
                <c:pt idx="338">
                  <c:v>0.111257939607629</c:v>
                </c:pt>
                <c:pt idx="339">
                  <c:v>0.111416844419904</c:v>
                </c:pt>
                <c:pt idx="340">
                  <c:v>0.111577479039088</c:v>
                </c:pt>
                <c:pt idx="341">
                  <c:v>0.111739883596728</c:v>
                </c:pt>
                <c:pt idx="342">
                  <c:v>0.111904098650297</c:v>
                </c:pt>
                <c:pt idx="343">
                  <c:v>0.11207016527668</c:v>
                </c:pt>
                <c:pt idx="344">
                  <c:v>0.112238125160255</c:v>
                </c:pt>
                <c:pt idx="345">
                  <c:v>0.11240802067632299</c:v>
                </c:pt>
                <c:pt idx="346">
                  <c:v>0.11257989497059701</c:v>
                </c:pt>
                <c:pt idx="347">
                  <c:v>0.112753792035371</c:v>
                </c:pt>
                <c:pt idx="348">
                  <c:v>0.112929756782956</c:v>
                </c:pt>
                <c:pt idx="349">
                  <c:v>0.113107835116922</c:v>
                </c:pt>
                <c:pt idx="350">
                  <c:v>0.113288074001635</c:v>
                </c:pt>
                <c:pt idx="351">
                  <c:v>0.113470521530551</c:v>
                </c:pt>
                <c:pt idx="352">
                  <c:v>0.113655226993682</c:v>
                </c:pt>
                <c:pt idx="353">
                  <c:v>0.113842240944644</c:v>
                </c:pt>
                <c:pt idx="354">
                  <c:v>0.114031615267637</c:v>
                </c:pt>
                <c:pt idx="355">
                  <c:v>0.11422340324472501</c:v>
                </c:pt>
                <c:pt idx="356">
                  <c:v>0.11441765962373</c:v>
                </c:pt>
                <c:pt idx="357">
                  <c:v>0.114614440687063</c:v>
                </c:pt>
                <c:pt idx="358">
                  <c:v>0.114813804321789</c:v>
                </c:pt>
                <c:pt idx="359">
                  <c:v>0.22425676384167301</c:v>
                </c:pt>
                <c:pt idx="360">
                  <c:v>0.30704288935609397</c:v>
                </c:pt>
                <c:pt idx="361">
                  <c:v>0.30834090817871301</c:v>
                </c:pt>
                <c:pt idx="362">
                  <c:v>0.30921577139060102</c:v>
                </c:pt>
                <c:pt idx="363">
                  <c:v>0.31017471350345399</c:v>
                </c:pt>
                <c:pt idx="364">
                  <c:v>0.31131883897321</c:v>
                </c:pt>
                <c:pt idx="365">
                  <c:v>0.31289797505880901</c:v>
                </c:pt>
                <c:pt idx="366">
                  <c:v>0.51289797505880896</c:v>
                </c:pt>
                <c:pt idx="367">
                  <c:v>0.51289797505880896</c:v>
                </c:pt>
              </c:numCache>
            </c:numRef>
          </c:xVal>
          <c:yVal>
            <c:numRef>
              <c:f>Implicit_Fracs!$AG$4:$AG$371</c:f>
              <c:numCache>
                <c:formatCode>General</c:formatCode>
                <c:ptCount val="368"/>
                <c:pt idx="0">
                  <c:v>0</c:v>
                </c:pt>
                <c:pt idx="1">
                  <c:v>2.5464790894702198E-3</c:v>
                </c:pt>
                <c:pt idx="2">
                  <c:v>5.07290910008851E-3</c:v>
                </c:pt>
                <c:pt idx="3">
                  <c:v>7.5893243063542698E-3</c:v>
                </c:pt>
                <c:pt idx="4">
                  <c:v>1.0095702827646999E-2</c:v>
                </c:pt>
                <c:pt idx="5">
                  <c:v>1.2592045094790101E-2</c:v>
                </c:pt>
                <c:pt idx="6">
                  <c:v>1.50783491062582E-2</c:v>
                </c:pt>
                <c:pt idx="7">
                  <c:v>1.7554609040178401E-2</c:v>
                </c:pt>
                <c:pt idx="8">
                  <c:v>2.0020815837793301E-2</c:v>
                </c:pt>
                <c:pt idx="9">
                  <c:v>2.2476957851803901E-2</c:v>
                </c:pt>
                <c:pt idx="10">
                  <c:v>2.49230213684343E-2</c:v>
                </c:pt>
                <c:pt idx="11">
                  <c:v>2.7358991009423999E-2</c:v>
                </c:pt>
                <c:pt idx="12">
                  <c:v>2.9784850039373399E-2</c:v>
                </c:pt>
                <c:pt idx="13">
                  <c:v>3.2200580601043603E-2</c:v>
                </c:pt>
                <c:pt idx="14">
                  <c:v>3.4606163896438703E-2</c:v>
                </c:pt>
                <c:pt idx="15">
                  <c:v>3.7001580327320302E-2</c:v>
                </c:pt>
                <c:pt idx="16">
                  <c:v>3.9386809605399503E-2</c:v>
                </c:pt>
                <c:pt idx="17">
                  <c:v>4.1761830839813198E-2</c:v>
                </c:pt>
                <c:pt idx="18">
                  <c:v>4.4126622607454903E-2</c:v>
                </c:pt>
                <c:pt idx="19">
                  <c:v>4.64811630102651E-2</c:v>
                </c:pt>
                <c:pt idx="20">
                  <c:v>4.8825429722467402E-2</c:v>
                </c:pt>
                <c:pt idx="21">
                  <c:v>5.1159400029977598E-2</c:v>
                </c:pt>
                <c:pt idx="22">
                  <c:v>5.34830508636195E-2</c:v>
                </c:pt>
                <c:pt idx="23">
                  <c:v>5.5796358827394803E-2</c:v>
                </c:pt>
                <c:pt idx="24">
                  <c:v>5.80993002227349E-2</c:v>
                </c:pt>
                <c:pt idx="25">
                  <c:v>6.0391851069476199E-2</c:v>
                </c:pt>
                <c:pt idx="26">
                  <c:v>6.2673987124109695E-2</c:v>
                </c:pt>
                <c:pt idx="27">
                  <c:v>6.4945683895760706E-2</c:v>
                </c:pt>
                <c:pt idx="28">
                  <c:v>6.7206916660253399E-2</c:v>
                </c:pt>
                <c:pt idx="29">
                  <c:v>6.9457660472544605E-2</c:v>
                </c:pt>
                <c:pt idx="30">
                  <c:v>7.1697890177772797E-2</c:v>
                </c:pt>
                <c:pt idx="31">
                  <c:v>7.3927580421095401E-2</c:v>
                </c:pt>
                <c:pt idx="32">
                  <c:v>7.6146705656502306E-2</c:v>
                </c:pt>
                <c:pt idx="33">
                  <c:v>7.8355240154713596E-2</c:v>
                </c:pt>
                <c:pt idx="34">
                  <c:v>8.0553158010297193E-2</c:v>
                </c:pt>
                <c:pt idx="35">
                  <c:v>8.2740433148078302E-2</c:v>
                </c:pt>
                <c:pt idx="36">
                  <c:v>8.4917039328944594E-2</c:v>
                </c:pt>
                <c:pt idx="37">
                  <c:v>8.7082950155101799E-2</c:v>
                </c:pt>
                <c:pt idx="38">
                  <c:v>8.9238136709707705E-2</c:v>
                </c:pt>
                <c:pt idx="39">
                  <c:v>9.1382569686451906E-2</c:v>
                </c:pt>
                <c:pt idx="40">
                  <c:v>9.35162194850475E-2</c:v>
                </c:pt>
                <c:pt idx="41">
                  <c:v>9.5639056213824097E-2</c:v>
                </c:pt>
                <c:pt idx="42">
                  <c:v>9.7751049691944203E-2</c:v>
                </c:pt>
                <c:pt idx="43">
                  <c:v>9.9852169451280198E-2</c:v>
                </c:pt>
                <c:pt idx="44">
                  <c:v>0.101942384737974</c:v>
                </c:pt>
                <c:pt idx="45">
                  <c:v>0.104021664513713</c:v>
                </c:pt>
                <c:pt idx="46">
                  <c:v>0.10608997745673</c:v>
                </c:pt>
                <c:pt idx="47">
                  <c:v>0.10814729196256601</c:v>
                </c:pt>
                <c:pt idx="48">
                  <c:v>0.11019357614459099</c:v>
                </c:pt>
                <c:pt idx="49">
                  <c:v>0.11222879783431899</c:v>
                </c:pt>
                <c:pt idx="50">
                  <c:v>0.114252924581508</c:v>
                </c:pt>
                <c:pt idx="51">
                  <c:v>0.116265923654093</c:v>
                </c:pt>
                <c:pt idx="52">
                  <c:v>0.118267762037922</c:v>
                </c:pt>
                <c:pt idx="53">
                  <c:v>0.12025840643633701</c:v>
                </c:pt>
                <c:pt idx="54">
                  <c:v>0.122237823269585</c:v>
                </c:pt>
                <c:pt idx="55">
                  <c:v>0.12420597867410001</c:v>
                </c:pt>
                <c:pt idx="56">
                  <c:v>0.12616283850162199</c:v>
                </c:pt>
                <c:pt idx="57">
                  <c:v>0.12810836831818501</c:v>
                </c:pt>
                <c:pt idx="58">
                  <c:v>0.13004253340299299</c:v>
                </c:pt>
                <c:pt idx="59">
                  <c:v>0.131965298747143</c:v>
                </c:pt>
                <c:pt idx="60">
                  <c:v>0.13387662905226</c:v>
                </c:pt>
                <c:pt idx="61">
                  <c:v>0.13577648872898501</c:v>
                </c:pt>
                <c:pt idx="62">
                  <c:v>0.137664841895389</c:v>
                </c:pt>
                <c:pt idx="63">
                  <c:v>0.13954165237524599</c:v>
                </c:pt>
                <c:pt idx="64">
                  <c:v>0.14140688369622101</c:v>
                </c:pt>
                <c:pt idx="65">
                  <c:v>0.14326049908795499</c:v>
                </c:pt>
                <c:pt idx="66">
                  <c:v>0.14510246148004599</c:v>
                </c:pt>
                <c:pt idx="67">
                  <c:v>0.14693273349994099</c:v>
                </c:pt>
                <c:pt idx="68">
                  <c:v>0.148751277470727</c:v>
                </c:pt>
                <c:pt idx="69">
                  <c:v>0.15055805540883099</c:v>
                </c:pt>
                <c:pt idx="70">
                  <c:v>0.152353029021638</c:v>
                </c:pt>
                <c:pt idx="71">
                  <c:v>0.15413615970500399</c:v>
                </c:pt>
                <c:pt idx="72">
                  <c:v>0.15590740854069801</c:v>
                </c:pt>
                <c:pt idx="73">
                  <c:v>0.15766673629373701</c:v>
                </c:pt>
                <c:pt idx="74">
                  <c:v>0.15941410340965501</c:v>
                </c:pt>
                <c:pt idx="75">
                  <c:v>0.16114947001166799</c:v>
                </c:pt>
                <c:pt idx="76">
                  <c:v>0.16287279589776599</c:v>
                </c:pt>
                <c:pt idx="77">
                  <c:v>0.164584040537712</c:v>
                </c:pt>
                <c:pt idx="78">
                  <c:v>0.16628316306996599</c:v>
                </c:pt>
                <c:pt idx="79">
                  <c:v>0.16797012229850899</c:v>
                </c:pt>
                <c:pt idx="80">
                  <c:v>0.16964487668959599</c:v>
                </c:pt>
                <c:pt idx="81">
                  <c:v>0.171307384368412</c:v>
                </c:pt>
                <c:pt idx="82">
                  <c:v>0.172957603115658</c:v>
                </c:pt>
                <c:pt idx="83">
                  <c:v>0.17459549036403699</c:v>
                </c:pt>
                <c:pt idx="84">
                  <c:v>0.176221003194659</c:v>
                </c:pt>
                <c:pt idx="85">
                  <c:v>0.177834098333364</c:v>
                </c:pt>
                <c:pt idx="86">
                  <c:v>0.179434732146947</c:v>
                </c:pt>
                <c:pt idx="87">
                  <c:v>0.181022860639307</c:v>
                </c:pt>
                <c:pt idx="88">
                  <c:v>0.18259843944750001</c:v>
                </c:pt>
                <c:pt idx="89">
                  <c:v>0.18416142383770301</c:v>
                </c:pt>
                <c:pt idx="90">
                  <c:v>0.18571176870108799</c:v>
                </c:pt>
                <c:pt idx="91">
                  <c:v>0.187249428549605</c:v>
                </c:pt>
                <c:pt idx="92">
                  <c:v>0.18877435751166799</c:v>
                </c:pt>
                <c:pt idx="93">
                  <c:v>0.19028650932775701</c:v>
                </c:pt>
                <c:pt idx="94">
                  <c:v>0.191785837345916</c:v>
                </c:pt>
                <c:pt idx="95">
                  <c:v>0.19327229451714201</c:v>
                </c:pt>
                <c:pt idx="96">
                  <c:v>0.194745833390713</c:v>
                </c:pt>
                <c:pt idx="97">
                  <c:v>0.19620640610937501</c:v>
                </c:pt>
                <c:pt idx="98">
                  <c:v>0.19765396440444499</c:v>
                </c:pt>
                <c:pt idx="99">
                  <c:v>0.19908845959082599</c:v>
                </c:pt>
                <c:pt idx="100">
                  <c:v>0.20050984256188001</c:v>
                </c:pt>
                <c:pt idx="101">
                  <c:v>0.20191806378423199</c:v>
                </c:pt>
                <c:pt idx="102">
                  <c:v>0.203313073292439</c:v>
                </c:pt>
                <c:pt idx="103">
                  <c:v>0.20469482068356801</c:v>
                </c:pt>
                <c:pt idx="104">
                  <c:v>0.20606325511164</c:v>
                </c:pt>
                <c:pt idx="105">
                  <c:v>0.20741832528197099</c:v>
                </c:pt>
                <c:pt idx="106">
                  <c:v>0.208759979445405</c:v>
                </c:pt>
                <c:pt idx="107">
                  <c:v>0.210088165392396</c:v>
                </c:pt>
                <c:pt idx="108">
                  <c:v>0.211402830447012</c:v>
                </c:pt>
                <c:pt idx="109">
                  <c:v>0.212703921460766</c:v>
                </c:pt>
                <c:pt idx="110">
                  <c:v>0.21399138480636401</c:v>
                </c:pt>
                <c:pt idx="111">
                  <c:v>0.21526516637128501</c:v>
                </c:pt>
                <c:pt idx="112">
                  <c:v>0.21652521155125301</c:v>
                </c:pt>
                <c:pt idx="113">
                  <c:v>0.217771465243569</c:v>
                </c:pt>
                <c:pt idx="114">
                  <c:v>0.21900387184028899</c:v>
                </c:pt>
                <c:pt idx="115">
                  <c:v>0.22022237522127799</c:v>
                </c:pt>
                <c:pt idx="116">
                  <c:v>0.22142691874710399</c:v>
                </c:pt>
                <c:pt idx="117">
                  <c:v>0.22261744525179999</c:v>
                </c:pt>
                <c:pt idx="118">
                  <c:v>0.22379389703545599</c:v>
                </c:pt>
                <c:pt idx="119">
                  <c:v>0.22495621585666101</c:v>
                </c:pt>
                <c:pt idx="120">
                  <c:v>0.22610434292479201</c:v>
                </c:pt>
                <c:pt idx="121">
                  <c:v>0.227238218892131</c:v>
                </c:pt>
                <c:pt idx="122">
                  <c:v>0.22835778384582101</c:v>
                </c:pt>
                <c:pt idx="123">
                  <c:v>0.22946297729964299</c:v>
                </c:pt>
                <c:pt idx="124">
                  <c:v>0.23055373818562599</c:v>
                </c:pt>
                <c:pt idx="125">
                  <c:v>0.231630004845469</c:v>
                </c:pt>
                <c:pt idx="126">
                  <c:v>0.23269171502177899</c:v>
                </c:pt>
                <c:pt idx="127">
                  <c:v>0.23373880584913201</c:v>
                </c:pt>
                <c:pt idx="128">
                  <c:v>0.234771213844917</c:v>
                </c:pt>
                <c:pt idx="129">
                  <c:v>0.235788874900003</c:v>
                </c:pt>
                <c:pt idx="130">
                  <c:v>0.23679172426919001</c:v>
                </c:pt>
                <c:pt idx="131">
                  <c:v>0.23777969656144801</c:v>
                </c:pt>
                <c:pt idx="132">
                  <c:v>0.23875272572994799</c:v>
                </c:pt>
                <c:pt idx="133">
                  <c:v>0.23971074506187601</c:v>
                </c:pt>
                <c:pt idx="134">
                  <c:v>0.240653687168004</c:v>
                </c:pt>
                <c:pt idx="135">
                  <c:v>0.24158148397203699</c:v>
                </c:pt>
                <c:pt idx="136">
                  <c:v>0.242494066699734</c:v>
                </c:pt>
                <c:pt idx="137">
                  <c:v>0.243391365867756</c:v>
                </c:pt>
                <c:pt idx="138">
                  <c:v>0.24427331127228299</c:v>
                </c:pt>
                <c:pt idx="139">
                  <c:v>0.245139831977365</c:v>
                </c:pt>
                <c:pt idx="140">
                  <c:v>0.24599085630300799</c:v>
                </c:pt>
                <c:pt idx="141">
                  <c:v>0.24682631181298001</c:v>
                </c:pt>
                <c:pt idx="142">
                  <c:v>0.24764612530233901</c:v>
                </c:pt>
                <c:pt idx="143">
                  <c:v>0.24845022278467899</c:v>
                </c:pt>
                <c:pt idx="144">
                  <c:v>0.249238529479064</c:v>
                </c:pt>
                <c:pt idx="145">
                  <c:v>0.25001096979666398</c:v>
                </c:pt>
                <c:pt idx="146">
                  <c:v>0.250767467327077</c:v>
                </c:pt>
                <c:pt idx="147">
                  <c:v>0.25150794482431899</c:v>
                </c:pt>
                <c:pt idx="148">
                  <c:v>0.25223232419248998</c:v>
                </c:pt>
                <c:pt idx="149">
                  <c:v>0.252940526471088</c:v>
                </c:pt>
                <c:pt idx="150">
                  <c:v>0.253632471819974</c:v>
                </c:pt>
                <c:pt idx="151">
                  <c:v>0.254308079503966</c:v>
                </c:pt>
                <c:pt idx="152">
                  <c:v>0.25496726787706903</c:v>
                </c:pt>
                <c:pt idx="153">
                  <c:v>0.25560995436630801</c:v>
                </c:pt>
                <c:pt idx="154">
                  <c:v>0.25623605545516898</c:v>
                </c:pt>
                <c:pt idx="155">
                  <c:v>0.25684548666662299</c:v>
                </c:pt>
                <c:pt idx="156">
                  <c:v>0.25743816254573498</c:v>
                </c:pt>
                <c:pt idx="157">
                  <c:v>0.258013996641833</c:v>
                </c:pt>
                <c:pt idx="158">
                  <c:v>0.25857290149022399</c:v>
                </c:pt>
                <c:pt idx="159">
                  <c:v>0.25911478859345299</c:v>
                </c:pt>
                <c:pt idx="160">
                  <c:v>0.25963956840208002</c:v>
                </c:pt>
                <c:pt idx="161">
                  <c:v>0.26014715029496099</c:v>
                </c:pt>
                <c:pt idx="162">
                  <c:v>0.26063744255902699</c:v>
                </c:pt>
                <c:pt idx="163">
                  <c:v>0.26111035236853303</c:v>
                </c:pt>
                <c:pt idx="164">
                  <c:v>0.261565785763759</c:v>
                </c:pt>
                <c:pt idx="165">
                  <c:v>0.26200364762917</c:v>
                </c:pt>
                <c:pt idx="166">
                  <c:v>0.26242384167097299</c:v>
                </c:pt>
                <c:pt idx="167">
                  <c:v>0.26282627039409601</c:v>
                </c:pt>
                <c:pt idx="168">
                  <c:v>0.26321083507853898</c:v>
                </c:pt>
                <c:pt idx="169">
                  <c:v>0.26357743575510101</c:v>
                </c:pt>
                <c:pt idx="170">
                  <c:v>0.26392597118042399</c:v>
                </c:pt>
                <c:pt idx="171">
                  <c:v>0.26425633881138699</c:v>
                </c:pt>
                <c:pt idx="172">
                  <c:v>0.26456843477877201</c:v>
                </c:pt>
                <c:pt idx="173">
                  <c:v>0.264862153860214</c:v>
                </c:pt>
                <c:pt idx="174">
                  <c:v>0.26513738945239002</c:v>
                </c:pt>
                <c:pt idx="175">
                  <c:v>0.26539403354244301</c:v>
                </c:pt>
                <c:pt idx="176">
                  <c:v>0.26563197667858301</c:v>
                </c:pt>
                <c:pt idx="177">
                  <c:v>0.265851107939864</c:v>
                </c:pt>
                <c:pt idx="178">
                  <c:v>0.26605131490510098</c:v>
                </c:pt>
                <c:pt idx="179">
                  <c:v>0.26623248362087798</c:v>
                </c:pt>
                <c:pt idx="180">
                  <c:v>0.266394498568649</c:v>
                </c:pt>
                <c:pt idx="181">
                  <c:v>0.26653724263086598</c:v>
                </c:pt>
                <c:pt idx="182">
                  <c:v>0.266660597056115</c:v>
                </c:pt>
                <c:pt idx="183">
                  <c:v>0.26676444142323402</c:v>
                </c:pt>
                <c:pt idx="184">
                  <c:v>0.26684865360434301</c:v>
                </c:pt>
                <c:pt idx="185">
                  <c:v>0.266913109726788</c:v>
                </c:pt>
                <c:pt idx="186">
                  <c:v>0.26695768413392101</c:v>
                </c:pt>
                <c:pt idx="187">
                  <c:v>0.266982249344697</c:v>
                </c:pt>
                <c:pt idx="188">
                  <c:v>0.26698667601203602</c:v>
                </c:pt>
                <c:pt idx="189">
                  <c:v>0.26697083287989698</c:v>
                </c:pt>
                <c:pt idx="190">
                  <c:v>0.26693458673902898</c:v>
                </c:pt>
                <c:pt idx="191">
                  <c:v>0.26687780238132602</c:v>
                </c:pt>
                <c:pt idx="192">
                  <c:v>0.26680034255276602</c:v>
                </c:pt>
                <c:pt idx="193">
                  <c:v>0.26670206790484102</c:v>
                </c:pt>
                <c:pt idx="194">
                  <c:v>0.26658283694444102</c:v>
                </c:pt>
                <c:pt idx="195">
                  <c:v>0.26644250598213898</c:v>
                </c:pt>
                <c:pt idx="196">
                  <c:v>0.26628092907878098</c:v>
                </c:pt>
                <c:pt idx="197">
                  <c:v>0.26609795799035302</c:v>
                </c:pt>
                <c:pt idx="198">
                  <c:v>0.265893442111022</c:v>
                </c:pt>
                <c:pt idx="199">
                  <c:v>0.26566722841429902</c:v>
                </c:pt>
                <c:pt idx="200">
                  <c:v>0.26541916139223598</c:v>
                </c:pt>
                <c:pt idx="201">
                  <c:v>0.26514908299258599</c:v>
                </c:pt>
                <c:pt idx="202">
                  <c:v>0.26485683255382098</c:v>
                </c:pt>
                <c:pt idx="203">
                  <c:v>0.26454224673795401</c:v>
                </c:pt>
                <c:pt idx="204">
                  <c:v>0.26420515946103301</c:v>
                </c:pt>
                <c:pt idx="205">
                  <c:v>0.263845401821234</c:v>
                </c:pt>
                <c:pt idx="206">
                  <c:v>0.26346280202445299</c:v>
                </c:pt>
                <c:pt idx="207">
                  <c:v>0.26305718530726002</c:v>
                </c:pt>
                <c:pt idx="208">
                  <c:v>0.26262837385714599</c:v>
                </c:pt>
                <c:pt idx="209">
                  <c:v>0.262176186729905</c:v>
                </c:pt>
                <c:pt idx="210">
                  <c:v>0.261700439764041</c:v>
                </c:pt>
                <c:pt idx="211">
                  <c:v>0.26120094549207801</c:v>
                </c:pt>
                <c:pt idx="212">
                  <c:v>0.26067751304861903</c:v>
                </c:pt>
                <c:pt idx="213">
                  <c:v>0.26012994807501799</c:v>
                </c:pt>
                <c:pt idx="214">
                  <c:v>0.25955805262050502</c:v>
                </c:pt>
                <c:pt idx="215">
                  <c:v>0.25896162503961501</c:v>
                </c:pt>
                <c:pt idx="216">
                  <c:v>0.25834045988573101</c:v>
                </c:pt>
                <c:pt idx="217">
                  <c:v>0.25769434780058798</c:v>
                </c:pt>
                <c:pt idx="218">
                  <c:v>0.25702307539952701</c:v>
                </c:pt>
                <c:pt idx="219">
                  <c:v>0.25632642515230197</c:v>
                </c:pt>
                <c:pt idx="220">
                  <c:v>0.25560417525925999</c:v>
                </c:pt>
                <c:pt idx="221">
                  <c:v>0.254856099522627</c:v>
                </c:pt>
                <c:pt idx="222">
                  <c:v>0.25408196721269699</c:v>
                </c:pt>
                <c:pt idx="223">
                  <c:v>0.253281542928674</c:v>
                </c:pt>
                <c:pt idx="224">
                  <c:v>0.25245458645390101</c:v>
                </c:pt>
                <c:pt idx="225">
                  <c:v>0.25160085260519899</c:v>
                </c:pt>
                <c:pt idx="226">
                  <c:v>0.25072009107603299</c:v>
                </c:pt>
                <c:pt idx="227">
                  <c:v>0.24981204627319201</c:v>
                </c:pt>
                <c:pt idx="228">
                  <c:v>0.24887645714666201</c:v>
                </c:pt>
                <c:pt idx="229">
                  <c:v>0.24791305701234301</c:v>
                </c:pt>
                <c:pt idx="230">
                  <c:v>0.24692157336725301</c:v>
                </c:pt>
                <c:pt idx="231">
                  <c:v>0.24590172769683399</c:v>
                </c:pt>
                <c:pt idx="232">
                  <c:v>0.24485323527393901</c:v>
                </c:pt>
                <c:pt idx="233">
                  <c:v>0.24377580494909201</c:v>
                </c:pt>
                <c:pt idx="234">
                  <c:v>0.24266913893154199</c:v>
                </c:pt>
                <c:pt idx="235">
                  <c:v>0.24153293256064301</c:v>
                </c:pt>
                <c:pt idx="236">
                  <c:v>0.24036687406703</c:v>
                </c:pt>
                <c:pt idx="237">
                  <c:v>0.239170644323068</c:v>
                </c:pt>
                <c:pt idx="238">
                  <c:v>0.23794391658198</c:v>
                </c:pt>
                <c:pt idx="239">
                  <c:v>0.23668635620504599</c:v>
                </c:pt>
                <c:pt idx="240">
                  <c:v>0.235397620376226</c:v>
                </c:pt>
                <c:pt idx="241">
                  <c:v>0.23407735780353101</c:v>
                </c:pt>
                <c:pt idx="242">
                  <c:v>0.23272520840639299</c:v>
                </c:pt>
                <c:pt idx="243">
                  <c:v>0.23134080298825699</c:v>
                </c:pt>
                <c:pt idx="244">
                  <c:v>0.229923762893607</c:v>
                </c:pt>
                <c:pt idx="245">
                  <c:v>0.228473699648513</c:v>
                </c:pt>
                <c:pt idx="246">
                  <c:v>0.226990214583807</c:v>
                </c:pt>
                <c:pt idx="247">
                  <c:v>0.22547289843989801</c:v>
                </c:pt>
                <c:pt idx="248">
                  <c:v>0.22392133095217601</c:v>
                </c:pt>
                <c:pt idx="249">
                  <c:v>0.222335080415937</c:v>
                </c:pt>
                <c:pt idx="250">
                  <c:v>0.22071370322963199</c:v>
                </c:pt>
                <c:pt idx="251">
                  <c:v>0.21905674341522299</c:v>
                </c:pt>
                <c:pt idx="252">
                  <c:v>0.21736373211436399</c:v>
                </c:pt>
                <c:pt idx="253">
                  <c:v>0.21563418705898901</c:v>
                </c:pt>
                <c:pt idx="254">
                  <c:v>0.213867612014908</c:v>
                </c:pt>
                <c:pt idx="255">
                  <c:v>0.21206349619684201</c:v>
                </c:pt>
                <c:pt idx="256">
                  <c:v>0.210221313653328</c:v>
                </c:pt>
                <c:pt idx="257">
                  <c:v>0.20834052261979399</c:v>
                </c:pt>
                <c:pt idx="258">
                  <c:v>0.20642056483806001</c:v>
                </c:pt>
                <c:pt idx="259">
                  <c:v>0.20446086484043199</c:v>
                </c:pt>
                <c:pt idx="260">
                  <c:v>0.202460829196485</c:v>
                </c:pt>
                <c:pt idx="261">
                  <c:v>0.20041984572060101</c:v>
                </c:pt>
                <c:pt idx="262">
                  <c:v>0.19833728263824099</c:v>
                </c:pt>
                <c:pt idx="263">
                  <c:v>0.19621248770893701</c:v>
                </c:pt>
                <c:pt idx="264">
                  <c:v>0.19404478730393601</c:v>
                </c:pt>
                <c:pt idx="265">
                  <c:v>0.19183348543652001</c:v>
                </c:pt>
                <c:pt idx="266">
                  <c:v>0.18957786274299801</c:v>
                </c:pt>
                <c:pt idx="267">
                  <c:v>0.18727717541258501</c:v>
                </c:pt>
                <c:pt idx="268">
                  <c:v>0.18493065406446099</c:v>
                </c:pt>
                <c:pt idx="269">
                  <c:v>0.18253750257066401</c:v>
                </c:pt>
                <c:pt idx="270">
                  <c:v>0.18009689682378999</c:v>
                </c:pt>
                <c:pt idx="271">
                  <c:v>0.17760798344908199</c:v>
                </c:pt>
                <c:pt idx="272">
                  <c:v>0.175069878461107</c:v>
                </c:pt>
                <c:pt idx="273">
                  <c:v>0.172481665866281</c:v>
                </c:pt>
                <c:pt idx="274">
                  <c:v>0.16984239621372499</c:v>
                </c:pt>
                <c:pt idx="275">
                  <c:v>0.16715108509861001</c:v>
                </c:pt>
                <c:pt idx="276">
                  <c:v>0.16440671162432999</c:v>
                </c:pt>
                <c:pt idx="277">
                  <c:v>0.161608216832683</c:v>
                </c:pt>
                <c:pt idx="278">
                  <c:v>0.15875450211488901</c:v>
                </c:pt>
                <c:pt idx="279">
                  <c:v>0.155844427621086</c:v>
                </c:pt>
                <c:pt idx="280">
                  <c:v>0.152876810692016</c:v>
                </c:pt>
                <c:pt idx="281">
                  <c:v>0.14985042434474499</c:v>
                </c:pt>
                <c:pt idx="282">
                  <c:v>0.14676399585441599</c:v>
                </c:pt>
                <c:pt idx="283">
                  <c:v>0.14361620548767001</c:v>
                </c:pt>
                <c:pt idx="284">
                  <c:v>0.14040568546069901</c:v>
                </c:pt>
                <c:pt idx="285">
                  <c:v>0.137131019217795</c:v>
                </c:pt>
                <c:pt idx="286">
                  <c:v>0.133790741156041</c:v>
                </c:pt>
                <c:pt idx="287">
                  <c:v>0.13038333696094301</c:v>
                </c:pt>
                <c:pt idx="288">
                  <c:v>0.126907244769427</c:v>
                </c:pt>
                <c:pt idx="289">
                  <c:v>0.12336085744495</c:v>
                </c:pt>
                <c:pt idx="290">
                  <c:v>0.119742526340164</c:v>
                </c:pt>
                <c:pt idx="291">
                  <c:v>0.11605056704414</c:v>
                </c:pt>
                <c:pt idx="292">
                  <c:v>0.11228326777411</c:v>
                </c:pt>
                <c:pt idx="293">
                  <c:v>0.10843890129239001</c:v>
                </c:pt>
                <c:pt idx="294">
                  <c:v>0.104515741529151</c:v>
                </c:pt>
                <c:pt idx="295">
                  <c:v>0.100512086502796</c:v>
                </c:pt>
                <c:pt idx="296">
                  <c:v>9.6426289696702402E-2</c:v>
                </c:pt>
                <c:pt idx="297">
                  <c:v>9.2256802839051202E-2</c:v>
                </c:pt>
                <c:pt idx="298">
                  <c:v>8.8002234135953802E-2</c:v>
                </c:pt>
                <c:pt idx="299">
                  <c:v>8.3661427565493995E-2</c:v>
                </c:pt>
                <c:pt idx="300">
                  <c:v>7.9233571055893598E-2</c:v>
                </c:pt>
                <c:pt idx="301">
                  <c:v>7.4718344547658994E-2</c:v>
                </c:pt>
                <c:pt idx="302">
                  <c:v>7.0116123526912003E-2</c:v>
                </c:pt>
                <c:pt idx="303">
                  <c:v>6.5428260284422599E-2</c:v>
                </c:pt>
                <c:pt idx="304">
                  <c:v>6.0657474888263202E-2</c:v>
                </c:pt>
                <c:pt idx="305">
                  <c:v>5.5808402087311297E-2</c:v>
                </c:pt>
                <c:pt idx="306">
                  <c:v>5.0888361076535001E-2</c:v>
                </c:pt>
                <c:pt idx="307">
                  <c:v>4.5908444778631798E-2</c:v>
                </c:pt>
                <c:pt idx="308">
                  <c:v>4.0885066523320697E-2</c:v>
                </c:pt>
                <c:pt idx="309">
                  <c:v>3.5842154923525799E-2</c:v>
                </c:pt>
                <c:pt idx="310">
                  <c:v>3.0814243165019701E-2</c:v>
                </c:pt>
                <c:pt idx="311">
                  <c:v>2.5850718577163902E-2</c:v>
                </c:pt>
                <c:pt idx="312">
                  <c:v>2.1021364723426798E-2</c:v>
                </c:pt>
                <c:pt idx="313">
                  <c:v>1.6422731512393499E-2</c:v>
                </c:pt>
                <c:pt idx="314">
                  <c:v>1.21831127167456E-2</c:v>
                </c:pt>
                <c:pt idx="315">
                  <c:v>8.4598459325834503E-3</c:v>
                </c:pt>
                <c:pt idx="316">
                  <c:v>5.4159511684456598E-3</c:v>
                </c:pt>
                <c:pt idx="317">
                  <c:v>3.1599645804521099E-3</c:v>
                </c:pt>
                <c:pt idx="318">
                  <c:v>1.69497660692748E-3</c:v>
                </c:pt>
                <c:pt idx="319">
                  <c:v>1.48220124127057E-3</c:v>
                </c:pt>
                <c:pt idx="320">
                  <c:v>1.2861769895356999E-3</c:v>
                </c:pt>
                <c:pt idx="321">
                  <c:v>1.11517340055332E-3</c:v>
                </c:pt>
                <c:pt idx="322">
                  <c:v>9.6578626873237104E-4</c:v>
                </c:pt>
                <c:pt idx="323">
                  <c:v>8.3545925394784798E-4</c:v>
                </c:pt>
                <c:pt idx="324">
                  <c:v>7.2190045408073204E-4</c:v>
                </c:pt>
                <c:pt idx="325">
                  <c:v>6.2307245875501598E-4</c:v>
                </c:pt>
                <c:pt idx="326">
                  <c:v>5.3716722334007404E-4</c:v>
                </c:pt>
                <c:pt idx="327">
                  <c:v>4.6258318715467601E-4</c:v>
                </c:pt>
                <c:pt idx="328">
                  <c:v>3.9790415021188002E-4</c:v>
                </c:pt>
                <c:pt idx="329">
                  <c:v>3.4187988437800498E-4</c:v>
                </c:pt>
                <c:pt idx="330">
                  <c:v>2.9340841889734801E-4</c:v>
                </c:pt>
                <c:pt idx="331">
                  <c:v>2.5151992330729901E-4</c:v>
                </c:pt>
                <c:pt idx="332">
                  <c:v>2.1536209898890299E-4</c:v>
                </c:pt>
                <c:pt idx="333">
                  <c:v>1.8418698332878101E-4</c:v>
                </c:pt>
                <c:pt idx="334">
                  <c:v>1.5733906684061401E-4</c:v>
                </c:pt>
                <c:pt idx="335">
                  <c:v>1.3424462283756299E-4</c:v>
                </c:pt>
                <c:pt idx="336">
                  <c:v>1.14402150691413E-4</c:v>
                </c:pt>
                <c:pt idx="337" formatCode="0.00E+00">
                  <c:v>9.7373836792581398E-5</c:v>
                </c:pt>
                <c:pt idx="338" formatCode="0.00E+00">
                  <c:v>8.2777941566992204E-5</c:v>
                </c:pt>
                <c:pt idx="339" formatCode="0.00E+00">
                  <c:v>7.0282025928134696E-5</c:v>
                </c:pt>
                <c:pt idx="340" formatCode="0.00E+00">
                  <c:v>5.9596936040159699E-5</c:v>
                </c:pt>
                <c:pt idx="341" formatCode="0.00E+00">
                  <c:v>5.0471471001770103E-5</c:v>
                </c:pt>
                <c:pt idx="342" formatCode="0.00E+00">
                  <c:v>4.2687663847909803E-5</c:v>
                </c:pt>
                <c:pt idx="343" formatCode="0.00E+00">
                  <c:v>3.6056611970474501E-5</c:v>
                </c:pt>
                <c:pt idx="344" formatCode="0.00E+00">
                  <c:v>3.0414798581442799E-5</c:v>
                </c:pt>
                <c:pt idx="345" formatCode="0.00E+00">
                  <c:v>2.56208521133859E-5</c:v>
                </c:pt>
                <c:pt idx="346" formatCode="0.00E+00">
                  <c:v>2.1552695428369099E-5</c:v>
                </c:pt>
                <c:pt idx="347" formatCode="0.00E+00">
                  <c:v>1.8105041360533701E-5</c:v>
                </c:pt>
                <c:pt idx="348" formatCode="0.00E+00">
                  <c:v>1.5187195437921901E-5</c:v>
                </c:pt>
                <c:pt idx="349" formatCode="0.00E+00">
                  <c:v>1.27211306138191E-5</c:v>
                </c:pt>
                <c:pt idx="350" formatCode="0.00E+00">
                  <c:v>1.06398024931506E-5</c:v>
                </c:pt>
                <c:pt idx="351" formatCode="0.00E+00">
                  <c:v>8.8856768768973093E-6</c:v>
                </c:pt>
                <c:pt idx="352" formatCode="0.00E+00">
                  <c:v>7.4094444823997402E-6</c:v>
                </c:pt>
                <c:pt idx="353" formatCode="0.00E+00">
                  <c:v>6.1689004474506503E-6</c:v>
                </c:pt>
                <c:pt idx="354" formatCode="0.00E+00">
                  <c:v>5.1279687101907197E-6</c:v>
                </c:pt>
                <c:pt idx="355" formatCode="0.00E+00">
                  <c:v>4.2558535944707201E-6</c:v>
                </c:pt>
                <c:pt idx="356" formatCode="0.00E+00">
                  <c:v>3.5263029409603902E-6</c:v>
                </c:pt>
                <c:pt idx="357" formatCode="0.00E+00">
                  <c:v>2.9169689267922298E-6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0A-4C2D-A2F9-FC22B2A073D9}"/>
            </c:ext>
          </c:extLst>
        </c:ser>
        <c:ser>
          <c:idx val="4"/>
          <c:order val="4"/>
          <c:tx>
            <c:strRef>
              <c:f>Implicit_Fracs!$AH$2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Implicit_Fracs!$C$4:$C$371</c:f>
              <c:numCache>
                <c:formatCode>General</c:formatCode>
                <c:ptCount val="368"/>
                <c:pt idx="0">
                  <c:v>6.5458908507104702E-2</c:v>
                </c:pt>
                <c:pt idx="1">
                  <c:v>0.10158646265419501</c:v>
                </c:pt>
                <c:pt idx="2">
                  <c:v>0.102060105178604</c:v>
                </c:pt>
                <c:pt idx="3">
                  <c:v>0.102354758409441</c:v>
                </c:pt>
                <c:pt idx="4">
                  <c:v>0.10257003610151801</c:v>
                </c:pt>
                <c:pt idx="5">
                  <c:v>0.102740146597483</c:v>
                </c:pt>
                <c:pt idx="6">
                  <c:v>0.10288102093448701</c:v>
                </c:pt>
                <c:pt idx="7">
                  <c:v>0.10300139565401099</c:v>
                </c:pt>
                <c:pt idx="8">
                  <c:v>0.10310658737638601</c:v>
                </c:pt>
                <c:pt idx="9">
                  <c:v>0.103200075337502</c:v>
                </c:pt>
                <c:pt idx="10">
                  <c:v>0.103284262204</c:v>
                </c:pt>
                <c:pt idx="11">
                  <c:v>0.103360877526633</c:v>
                </c:pt>
                <c:pt idx="12">
                  <c:v>0.103431208153653</c:v>
                </c:pt>
                <c:pt idx="13">
                  <c:v>0.103496237708407</c:v>
                </c:pt>
                <c:pt idx="14">
                  <c:v>0.103556735084609</c:v>
                </c:pt>
                <c:pt idx="15">
                  <c:v>0.103613312816801</c:v>
                </c:pt>
                <c:pt idx="16">
                  <c:v>0.103666466857375</c:v>
                </c:pt>
                <c:pt idx="17">
                  <c:v>0.10371660444741999</c:v>
                </c:pt>
                <c:pt idx="18">
                  <c:v>0.10376406411969299</c:v>
                </c:pt>
                <c:pt idx="19">
                  <c:v>0.10380913035858701</c:v>
                </c:pt>
                <c:pt idx="20">
                  <c:v>0.103852044544123</c:v>
                </c:pt>
                <c:pt idx="21">
                  <c:v>0.103893013256558</c:v>
                </c:pt>
                <c:pt idx="22">
                  <c:v>0.103932214670875</c:v>
                </c:pt>
                <c:pt idx="23">
                  <c:v>0.10396980354554</c:v>
                </c:pt>
                <c:pt idx="24">
                  <c:v>0.104005915161023</c:v>
                </c:pt>
                <c:pt idx="25">
                  <c:v>0.10404066846285701</c:v>
                </c:pt>
                <c:pt idx="26">
                  <c:v>0.104074168594671</c:v>
                </c:pt>
                <c:pt idx="27">
                  <c:v>0.10410650895807599</c:v>
                </c:pt>
                <c:pt idx="28">
                  <c:v>0.10413777290170501</c:v>
                </c:pt>
                <c:pt idx="29">
                  <c:v>0.104168035116796</c:v>
                </c:pt>
                <c:pt idx="30">
                  <c:v>0.104197362798492</c:v>
                </c:pt>
                <c:pt idx="31">
                  <c:v>0.104225816618547</c:v>
                </c:pt>
                <c:pt idx="32">
                  <c:v>0.104253451545067</c:v>
                </c:pt>
                <c:pt idx="33">
                  <c:v>0.104280317537286</c:v>
                </c:pt>
                <c:pt idx="34">
                  <c:v>0.10430646013757899</c:v>
                </c:pt>
                <c:pt idx="35">
                  <c:v>0.10433192097843901</c:v>
                </c:pt>
                <c:pt idx="36">
                  <c:v>0.104356738218675</c:v>
                </c:pt>
                <c:pt idx="37">
                  <c:v>0.10438094692038</c:v>
                </c:pt>
                <c:pt idx="38">
                  <c:v>0.104404579376061</c:v>
                </c:pt>
                <c:pt idx="39">
                  <c:v>0.10442766539470601</c:v>
                </c:pt>
                <c:pt idx="40">
                  <c:v>0.104450232550895</c:v>
                </c:pt>
                <c:pt idx="41">
                  <c:v>0.104472306403378</c:v>
                </c:pt>
                <c:pt idx="42">
                  <c:v>0.104493910687546</c:v>
                </c:pt>
                <c:pt idx="43">
                  <c:v>0.104515067485448</c:v>
                </c:pt>
                <c:pt idx="44">
                  <c:v>0.104535797376425</c:v>
                </c:pt>
                <c:pt idx="45">
                  <c:v>0.104556119570968</c:v>
                </c:pt>
                <c:pt idx="46">
                  <c:v>0.10457605202998201</c:v>
                </c:pt>
                <c:pt idx="47">
                  <c:v>0.10459561157132601</c:v>
                </c:pt>
                <c:pt idx="48">
                  <c:v>0.10461481396524</c:v>
                </c:pt>
                <c:pt idx="49">
                  <c:v>0.104633674020002</c:v>
                </c:pt>
                <c:pt idx="50">
                  <c:v>0.104652205659008</c:v>
                </c:pt>
                <c:pt idx="51">
                  <c:v>0.10467042199028</c:v>
                </c:pt>
                <c:pt idx="52">
                  <c:v>0.10468833536927501</c:v>
                </c:pt>
                <c:pt idx="53">
                  <c:v>0.104705957455764</c:v>
                </c:pt>
                <c:pt idx="54">
                  <c:v>0.104723299265432</c:v>
                </c:pt>
                <c:pt idx="55">
                  <c:v>0.10474037121678501</c:v>
                </c:pt>
                <c:pt idx="56">
                  <c:v>0.104757183173858</c:v>
                </c:pt>
                <c:pt idx="57">
                  <c:v>0.10477374448518</c:v>
                </c:pt>
                <c:pt idx="58">
                  <c:v>0.104790064019366</c:v>
                </c:pt>
                <c:pt idx="59">
                  <c:v>0.10480615019770299</c:v>
                </c:pt>
                <c:pt idx="60">
                  <c:v>0.104822011024007</c:v>
                </c:pt>
                <c:pt idx="61">
                  <c:v>0.10483765411203801</c:v>
                </c:pt>
                <c:pt idx="62">
                  <c:v>0.104853086710699</c:v>
                </c:pt>
                <c:pt idx="63">
                  <c:v>0.10486831572724099</c:v>
                </c:pt>
                <c:pt idx="64">
                  <c:v>0.104883347748643</c:v>
                </c:pt>
                <c:pt idx="65">
                  <c:v>0.104898189061358</c:v>
                </c:pt>
                <c:pt idx="66">
                  <c:v>0.104912845669559</c:v>
                </c:pt>
                <c:pt idx="67">
                  <c:v>0.10492732331202199</c:v>
                </c:pt>
                <c:pt idx="68">
                  <c:v>0.10494162747777</c:v>
                </c:pt>
                <c:pt idx="69">
                  <c:v>0.10495576342058401</c:v>
                </c:pt>
                <c:pt idx="70">
                  <c:v>0.104969736172476</c:v>
                </c:pt>
                <c:pt idx="71">
                  <c:v>0.104983550556215</c:v>
                </c:pt>
                <c:pt idx="72">
                  <c:v>0.104997211196988</c:v>
                </c:pt>
                <c:pt idx="73">
                  <c:v>0.105010722533251</c:v>
                </c:pt>
                <c:pt idx="74">
                  <c:v>0.10502408882686499</c:v>
                </c:pt>
                <c:pt idx="75">
                  <c:v>0.105037314172539</c:v>
                </c:pt>
                <c:pt idx="76">
                  <c:v>0.10505040250667</c:v>
                </c:pt>
                <c:pt idx="77">
                  <c:v>0.105063357615594</c:v>
                </c:pt>
                <c:pt idx="78">
                  <c:v>0.105076183143323</c:v>
                </c:pt>
                <c:pt idx="79">
                  <c:v>0.10508888259878001</c:v>
                </c:pt>
                <c:pt idx="80">
                  <c:v>0.105101459362598</c:v>
                </c:pt>
                <c:pt idx="81">
                  <c:v>0.10511391669348399</c:v>
                </c:pt>
                <c:pt idx="82">
                  <c:v>0.10512625773421</c:v>
                </c:pt>
                <c:pt idx="83">
                  <c:v>0.10513848551723599</c:v>
                </c:pt>
                <c:pt idx="84">
                  <c:v>0.10515060297000201</c:v>
                </c:pt>
                <c:pt idx="85">
                  <c:v>0.105162612919908</c:v>
                </c:pt>
                <c:pt idx="86">
                  <c:v>0.105174518099013</c:v>
                </c:pt>
                <c:pt idx="87">
                  <c:v>0.105186321148453</c:v>
                </c:pt>
                <c:pt idx="88">
                  <c:v>0.105198024622616</c:v>
                </c:pt>
                <c:pt idx="89">
                  <c:v>0.105209630993088</c:v>
                </c:pt>
                <c:pt idx="90">
                  <c:v>0.10522114265237301</c:v>
                </c:pt>
                <c:pt idx="91">
                  <c:v>0.105232561917411</c:v>
                </c:pt>
                <c:pt idx="92">
                  <c:v>0.105243891032912</c:v>
                </c:pt>
                <c:pt idx="93">
                  <c:v>0.105255132174505</c:v>
                </c:pt>
                <c:pt idx="94">
                  <c:v>0.10526628745172401</c:v>
                </c:pt>
                <c:pt idx="95">
                  <c:v>0.105277358910841</c:v>
                </c:pt>
                <c:pt idx="96">
                  <c:v>0.105288348537545</c:v>
                </c:pt>
                <c:pt idx="97">
                  <c:v>0.10529925825949001</c:v>
                </c:pt>
                <c:pt idx="98">
                  <c:v>0.105310089948715</c:v>
                </c:pt>
                <c:pt idx="99">
                  <c:v>0.10532084542394</c:v>
                </c:pt>
                <c:pt idx="100">
                  <c:v>0.105331526452749</c:v>
                </c:pt>
                <c:pt idx="101">
                  <c:v>0.10534213475366599</c:v>
                </c:pt>
                <c:pt idx="102">
                  <c:v>0.105352671998135</c:v>
                </c:pt>
                <c:pt idx="103">
                  <c:v>0.105363139812398</c:v>
                </c:pt>
                <c:pt idx="104">
                  <c:v>0.10537353977929</c:v>
                </c:pt>
                <c:pt idx="105">
                  <c:v>0.105383873439947</c:v>
                </c:pt>
                <c:pt idx="106">
                  <c:v>0.105394142295438</c:v>
                </c:pt>
                <c:pt idx="107">
                  <c:v>0.10540434780831399</c:v>
                </c:pt>
                <c:pt idx="108">
                  <c:v>0.1054144914041</c:v>
                </c:pt>
                <c:pt idx="109">
                  <c:v>0.105424574472708</c:v>
                </c:pt>
                <c:pt idx="110">
                  <c:v>0.10543459836979301</c:v>
                </c:pt>
                <c:pt idx="111">
                  <c:v>0.105444564418049</c:v>
                </c:pt>
                <c:pt idx="112">
                  <c:v>0.105454473908448</c:v>
                </c:pt>
                <c:pt idx="113">
                  <c:v>0.105464328101426</c:v>
                </c:pt>
                <c:pt idx="114">
                  <c:v>0.10547412822802001</c:v>
                </c:pt>
                <c:pt idx="115">
                  <c:v>0.10548387549095201</c:v>
                </c:pt>
                <c:pt idx="116">
                  <c:v>0.105493571065675</c:v>
                </c:pt>
                <c:pt idx="117">
                  <c:v>0.105503216101374</c:v>
                </c:pt>
                <c:pt idx="118">
                  <c:v>0.10551281172191999</c:v>
                </c:pt>
                <c:pt idx="119">
                  <c:v>0.10552235902679701</c:v>
                </c:pt>
                <c:pt idx="120">
                  <c:v>0.105531859091982</c:v>
                </c:pt>
                <c:pt idx="121">
                  <c:v>0.105541312970793</c:v>
                </c:pt>
                <c:pt idx="122">
                  <c:v>0.105550721694713</c:v>
                </c:pt>
                <c:pt idx="123">
                  <c:v>0.10556008627416701</c:v>
                </c:pt>
                <c:pt idx="124">
                  <c:v>0.105569407699282</c:v>
                </c:pt>
                <c:pt idx="125">
                  <c:v>0.105578686940613</c:v>
                </c:pt>
                <c:pt idx="126">
                  <c:v>0.10558792494984499</c:v>
                </c:pt>
                <c:pt idx="127">
                  <c:v>0.105597122660464</c:v>
                </c:pt>
                <c:pt idx="128">
                  <c:v>0.105606280988415</c:v>
                </c:pt>
                <c:pt idx="129">
                  <c:v>0.105615400832723</c:v>
                </c:pt>
                <c:pt idx="130">
                  <c:v>0.10562448307610101</c:v>
                </c:pt>
                <c:pt idx="131">
                  <c:v>0.105633528585537</c:v>
                </c:pt>
                <c:pt idx="132">
                  <c:v>0.105642538212856</c:v>
                </c:pt>
                <c:pt idx="133">
                  <c:v>0.10565151279527001</c:v>
                </c:pt>
                <c:pt idx="134">
                  <c:v>0.105660453155901</c:v>
                </c:pt>
                <c:pt idx="135">
                  <c:v>0.1056693601043</c:v>
                </c:pt>
                <c:pt idx="136">
                  <c:v>0.105678234436935</c:v>
                </c:pt>
                <c:pt idx="137">
                  <c:v>0.105687076937673</c:v>
                </c:pt>
                <c:pt idx="138">
                  <c:v>0.10569588837824601</c:v>
                </c:pt>
                <c:pt idx="139">
                  <c:v>0.105704669518702</c:v>
                </c:pt>
                <c:pt idx="140">
                  <c:v>0.105713421107842</c:v>
                </c:pt>
                <c:pt idx="141">
                  <c:v>0.105722143883642</c:v>
                </c:pt>
                <c:pt idx="142">
                  <c:v>0.10573083857367301</c:v>
                </c:pt>
                <c:pt idx="143">
                  <c:v>0.10573950589549699</c:v>
                </c:pt>
                <c:pt idx="144">
                  <c:v>0.105748146557059</c:v>
                </c:pt>
                <c:pt idx="145">
                  <c:v>0.105756761257069</c:v>
                </c:pt>
                <c:pt idx="146">
                  <c:v>0.105765350685371</c:v>
                </c:pt>
                <c:pt idx="147">
                  <c:v>0.10577391552330601</c:v>
                </c:pt>
                <c:pt idx="148">
                  <c:v>0.105782456444064</c:v>
                </c:pt>
                <c:pt idx="149">
                  <c:v>0.105790974113029</c:v>
                </c:pt>
                <c:pt idx="150">
                  <c:v>0.105799469188117</c:v>
                </c:pt>
                <c:pt idx="151">
                  <c:v>0.105807942320102</c:v>
                </c:pt>
                <c:pt idx="152">
                  <c:v>0.105816394152941</c:v>
                </c:pt>
                <c:pt idx="153">
                  <c:v>0.10582482532409</c:v>
                </c:pt>
                <c:pt idx="154">
                  <c:v>0.10583323646481201</c:v>
                </c:pt>
                <c:pt idx="155">
                  <c:v>0.105841628200482</c:v>
                </c:pt>
                <c:pt idx="156">
                  <c:v>0.105850001150887</c:v>
                </c:pt>
                <c:pt idx="157">
                  <c:v>0.105858355930516</c:v>
                </c:pt>
                <c:pt idx="158">
                  <c:v>0.105866693148851</c:v>
                </c:pt>
                <c:pt idx="159">
                  <c:v>0.105875013410654</c:v>
                </c:pt>
                <c:pt idx="160">
                  <c:v>0.10588331731624</c:v>
                </c:pt>
                <c:pt idx="161">
                  <c:v>0.105891605461765</c:v>
                </c:pt>
                <c:pt idx="162">
                  <c:v>0.10589987843948701</c:v>
                </c:pt>
                <c:pt idx="163">
                  <c:v>0.10590813683804701</c:v>
                </c:pt>
                <c:pt idx="164">
                  <c:v>0.10591638124273201</c:v>
                </c:pt>
                <c:pt idx="165">
                  <c:v>0.105924612235738</c:v>
                </c:pt>
                <c:pt idx="166">
                  <c:v>0.10593283039644</c:v>
                </c:pt>
                <c:pt idx="167">
                  <c:v>0.105941036301648</c:v>
                </c:pt>
                <c:pt idx="168">
                  <c:v>0.10594923052586901</c:v>
                </c:pt>
                <c:pt idx="169">
                  <c:v>0.105957413641566</c:v>
                </c:pt>
                <c:pt idx="170">
                  <c:v>0.105965586219415</c:v>
                </c:pt>
                <c:pt idx="171">
                  <c:v>0.105973748828566</c:v>
                </c:pt>
                <c:pt idx="172">
                  <c:v>0.10598190203689301</c:v>
                </c:pt>
                <c:pt idx="173">
                  <c:v>0.105990046411258</c:v>
                </c:pt>
                <c:pt idx="174">
                  <c:v>0.10599818251776701</c:v>
                </c:pt>
                <c:pt idx="175">
                  <c:v>0.106006310922025</c:v>
                </c:pt>
                <c:pt idx="176">
                  <c:v>0.106014432189397</c:v>
                </c:pt>
                <c:pt idx="177">
                  <c:v>0.106022546885271</c:v>
                </c:pt>
                <c:pt idx="178">
                  <c:v>0.10603065557531401</c:v>
                </c:pt>
                <c:pt idx="179">
                  <c:v>0.10603875882574</c:v>
                </c:pt>
                <c:pt idx="180">
                  <c:v>0.106046857203577</c:v>
                </c:pt>
                <c:pt idx="181">
                  <c:v>0.106054951276932</c:v>
                </c:pt>
                <c:pt idx="182">
                  <c:v>0.106063041615263</c:v>
                </c:pt>
                <c:pt idx="183">
                  <c:v>0.10607112878965499</c:v>
                </c:pt>
                <c:pt idx="184">
                  <c:v>0.106079213373101</c:v>
                </c:pt>
                <c:pt idx="185">
                  <c:v>0.106087295940776</c:v>
                </c:pt>
                <c:pt idx="186">
                  <c:v>0.10609537707033299</c:v>
                </c:pt>
                <c:pt idx="187">
                  <c:v>0.106103457342189</c:v>
                </c:pt>
                <c:pt idx="188">
                  <c:v>0.106111537339822</c:v>
                </c:pt>
                <c:pt idx="189">
                  <c:v>0.10611961765007601</c:v>
                </c:pt>
                <c:pt idx="190">
                  <c:v>0.106127698863465</c:v>
                </c:pt>
                <c:pt idx="191">
                  <c:v>0.10613578157449099</c:v>
                </c:pt>
                <c:pt idx="192">
                  <c:v>0.106143866381966</c:v>
                </c:pt>
                <c:pt idx="193">
                  <c:v>0.10615195388934</c:v>
                </c:pt>
                <c:pt idx="194">
                  <c:v>0.106160044705038</c:v>
                </c:pt>
                <c:pt idx="195">
                  <c:v>0.106168139442805</c:v>
                </c:pt>
                <c:pt idx="196">
                  <c:v>0.106176238722063</c:v>
                </c:pt>
                <c:pt idx="197">
                  <c:v>0.106184343168276</c:v>
                </c:pt>
                <c:pt idx="198">
                  <c:v>0.10619245341332301</c:v>
                </c:pt>
                <c:pt idx="199">
                  <c:v>0.106200570095885</c:v>
                </c:pt>
                <c:pt idx="200">
                  <c:v>0.10620869386184199</c:v>
                </c:pt>
                <c:pt idx="201">
                  <c:v>0.10621682536468401</c:v>
                </c:pt>
                <c:pt idx="202">
                  <c:v>0.106224965265935</c:v>
                </c:pt>
                <c:pt idx="203">
                  <c:v>0.106233114235588</c:v>
                </c:pt>
                <c:pt idx="204">
                  <c:v>0.10624127295256</c:v>
                </c:pt>
                <c:pt idx="205">
                  <c:v>0.10624944210515699</c:v>
                </c:pt>
                <c:pt idx="206">
                  <c:v>0.106257622391562</c:v>
                </c:pt>
                <c:pt idx="207">
                  <c:v>0.106265814520335</c:v>
                </c:pt>
                <c:pt idx="208">
                  <c:v>0.106274019210935</c:v>
                </c:pt>
                <c:pt idx="209">
                  <c:v>0.10628223719426</c:v>
                </c:pt>
                <c:pt idx="210">
                  <c:v>0.106290469213214</c:v>
                </c:pt>
                <c:pt idx="211">
                  <c:v>0.106298716023284</c:v>
                </c:pt>
                <c:pt idx="212">
                  <c:v>0.106306978393155</c:v>
                </c:pt>
                <c:pt idx="213">
                  <c:v>0.106315257105341</c:v>
                </c:pt>
                <c:pt idx="214">
                  <c:v>0.10632355295684801</c:v>
                </c:pt>
                <c:pt idx="215">
                  <c:v>0.10633186675985799</c:v>
                </c:pt>
                <c:pt idx="216">
                  <c:v>0.10634019934245301</c:v>
                </c:pt>
                <c:pt idx="217">
                  <c:v>0.106348551549366</c:v>
                </c:pt>
                <c:pt idx="218">
                  <c:v>0.106356924242761</c:v>
                </c:pt>
                <c:pt idx="219">
                  <c:v>0.10636531830306099</c:v>
                </c:pt>
                <c:pt idx="220">
                  <c:v>0.106373734629807</c:v>
                </c:pt>
                <c:pt idx="221">
                  <c:v>0.10638217414255299</c:v>
                </c:pt>
                <c:pt idx="222">
                  <c:v>0.106390637781818</c:v>
                </c:pt>
                <c:pt idx="223">
                  <c:v>0.10639912651007299</c:v>
                </c:pt>
                <c:pt idx="224">
                  <c:v>0.10640764131277999</c:v>
                </c:pt>
                <c:pt idx="225">
                  <c:v>0.10641618319948901</c:v>
                </c:pt>
                <c:pt idx="226">
                  <c:v>0.106424753204983</c:v>
                </c:pt>
                <c:pt idx="227">
                  <c:v>0.10643335239049</c:v>
                </c:pt>
                <c:pt idx="228">
                  <c:v>0.106441981844954</c:v>
                </c:pt>
                <c:pt idx="229">
                  <c:v>0.106450642686375</c:v>
                </c:pt>
                <c:pt idx="230">
                  <c:v>0.10645933606322799</c:v>
                </c:pt>
                <c:pt idx="231">
                  <c:v>0.10646806315594901</c:v>
                </c:pt>
                <c:pt idx="232">
                  <c:v>0.106476825178516</c:v>
                </c:pt>
                <c:pt idx="233">
                  <c:v>0.10648562338011</c:v>
                </c:pt>
                <c:pt idx="234">
                  <c:v>0.106494459046881</c:v>
                </c:pt>
                <c:pt idx="235">
                  <c:v>0.106503333503809</c:v>
                </c:pt>
                <c:pt idx="236">
                  <c:v>0.10651224811667701</c:v>
                </c:pt>
                <c:pt idx="237">
                  <c:v>0.106521204294171</c:v>
                </c:pt>
                <c:pt idx="238">
                  <c:v>0.106530203490093</c:v>
                </c:pt>
                <c:pt idx="239">
                  <c:v>0.10653924720572699</c:v>
                </c:pt>
                <c:pt idx="240">
                  <c:v>0.106548336992338</c:v>
                </c:pt>
                <c:pt idx="241">
                  <c:v>0.106557474453844</c:v>
                </c:pt>
                <c:pt idx="242">
                  <c:v>0.106566661249652</c:v>
                </c:pt>
                <c:pt idx="243">
                  <c:v>0.10657589909767901</c:v>
                </c:pt>
                <c:pt idx="244">
                  <c:v>0.10658518977758299</c:v>
                </c:pt>
                <c:pt idx="245">
                  <c:v>0.106594535134197</c:v>
                </c:pt>
                <c:pt idx="246">
                  <c:v>0.106603937081217</c:v>
                </c:pt>
                <c:pt idx="247">
                  <c:v>0.106613397605125</c:v>
                </c:pt>
                <c:pt idx="248">
                  <c:v>0.10662291876941001</c:v>
                </c:pt>
                <c:pt idx="249">
                  <c:v>0.106632502719071</c:v>
                </c:pt>
                <c:pt idx="250">
                  <c:v>0.10664215168546599</c:v>
                </c:pt>
                <c:pt idx="251">
                  <c:v>0.106651867991505</c:v>
                </c:pt>
                <c:pt idx="252">
                  <c:v>0.106661654057239</c:v>
                </c:pt>
                <c:pt idx="253">
                  <c:v>0.106671512405876</c:v>
                </c:pt>
                <c:pt idx="254">
                  <c:v>0.106681445670259</c:v>
                </c:pt>
                <c:pt idx="255">
                  <c:v>0.106691456599855</c:v>
                </c:pt>
                <c:pt idx="256">
                  <c:v>0.10670154806830701</c:v>
                </c:pt>
                <c:pt idx="257">
                  <c:v>0.106711723081597</c:v>
                </c:pt>
                <c:pt idx="258">
                  <c:v>0.106721984786882</c:v>
                </c:pt>
                <c:pt idx="259">
                  <c:v>0.106732336482082</c:v>
                </c:pt>
                <c:pt idx="260">
                  <c:v>0.10674278162628199</c:v>
                </c:pt>
                <c:pt idx="261">
                  <c:v>0.106753323851043</c:v>
                </c:pt>
                <c:pt idx="262">
                  <c:v>0.106763966972719</c:v>
                </c:pt>
                <c:pt idx="263">
                  <c:v>0.10677471500588499</c:v>
                </c:pt>
                <c:pt idx="264">
                  <c:v>0.10678557217800599</c:v>
                </c:pt>
                <c:pt idx="265">
                  <c:v>0.106796542945475</c:v>
                </c:pt>
                <c:pt idx="266">
                  <c:v>0.10680763201119001</c:v>
                </c:pt>
                <c:pt idx="267">
                  <c:v>0.106818844343851</c:v>
                </c:pt>
                <c:pt idx="268">
                  <c:v>0.106830185199162</c:v>
                </c:pt>
                <c:pt idx="269">
                  <c:v>0.1068416601432</c:v>
                </c:pt>
                <c:pt idx="270">
                  <c:v>0.106853275078199</c:v>
                </c:pt>
                <c:pt idx="271">
                  <c:v>0.10686503627105901</c:v>
                </c:pt>
                <c:pt idx="272">
                  <c:v>0.106876950384948</c:v>
                </c:pt>
                <c:pt idx="273">
                  <c:v>0.10688902451438199</c:v>
                </c:pt>
                <c:pt idx="274">
                  <c:v>0.106901266224276</c:v>
                </c:pt>
                <c:pt idx="275">
                  <c:v>0.106913683593506</c:v>
                </c:pt>
                <c:pt idx="276">
                  <c:v>0.106926285263621</c:v>
                </c:pt>
                <c:pt idx="277">
                  <c:v>0.106939080493455</c:v>
                </c:pt>
                <c:pt idx="278">
                  <c:v>0.10695207922051</c:v>
                </c:pt>
                <c:pt idx="279">
                  <c:v>0.10696529213014599</c:v>
                </c:pt>
                <c:pt idx="280">
                  <c:v>0.106978730733797</c:v>
                </c:pt>
                <c:pt idx="281">
                  <c:v>0.106992407457646</c:v>
                </c:pt>
                <c:pt idx="282">
                  <c:v>0.107006335743491</c:v>
                </c:pt>
                <c:pt idx="283">
                  <c:v>0.10702053016384699</c:v>
                </c:pt>
                <c:pt idx="284">
                  <c:v>0.107035006553762</c:v>
                </c:pt>
                <c:pt idx="285">
                  <c:v>0.107049782162317</c:v>
                </c:pt>
                <c:pt idx="286">
                  <c:v>0.10706487582742701</c:v>
                </c:pt>
                <c:pt idx="287">
                  <c:v>0.107080308178348</c:v>
                </c:pt>
                <c:pt idx="288">
                  <c:v>0.10709610187127599</c:v>
                </c:pt>
                <c:pt idx="289">
                  <c:v>0.10711228186470099</c:v>
                </c:pt>
                <c:pt idx="290">
                  <c:v>0.107128875742745</c:v>
                </c:pt>
                <c:pt idx="291">
                  <c:v>0.107145914096787</c:v>
                </c:pt>
                <c:pt idx="292">
                  <c:v>0.10716343097827</c:v>
                </c:pt>
                <c:pt idx="293">
                  <c:v>0.10718146443905199</c:v>
                </c:pt>
                <c:pt idx="294">
                  <c:v>0.107200057180087</c:v>
                </c:pt>
                <c:pt idx="295">
                  <c:v>0.10721925733519</c:v>
                </c:pt>
                <c:pt idx="296">
                  <c:v>0.107239119424452</c:v>
                </c:pt>
                <c:pt idx="297">
                  <c:v>0.10725970552248799</c:v>
                </c:pt>
                <c:pt idx="298">
                  <c:v>0.107281086701057</c:v>
                </c:pt>
                <c:pt idx="299">
                  <c:v>0.10730334482520799</c:v>
                </c:pt>
                <c:pt idx="300">
                  <c:v>0.107326574809414</c:v>
                </c:pt>
                <c:pt idx="301">
                  <c:v>0.10735088747820599</c:v>
                </c:pt>
                <c:pt idx="302">
                  <c:v>0.10737641322982</c:v>
                </c:pt>
                <c:pt idx="303">
                  <c:v>0.107403306778537</c:v>
                </c:pt>
                <c:pt idx="304">
                  <c:v>0.10743175336319</c:v>
                </c:pt>
                <c:pt idx="305">
                  <c:v>0.107461976972791</c:v>
                </c:pt>
                <c:pt idx="306">
                  <c:v>0.107494251381856</c:v>
                </c:pt>
                <c:pt idx="307">
                  <c:v>0.107528915147976</c:v>
                </c:pt>
                <c:pt idx="308">
                  <c:v>0.107566392263413</c:v>
                </c:pt>
                <c:pt idx="309">
                  <c:v>0.10760722096054399</c:v>
                </c:pt>
                <c:pt idx="310">
                  <c:v>0.107652094373539</c:v>
                </c:pt>
                <c:pt idx="311">
                  <c:v>0.107701918517204</c:v>
                </c:pt>
                <c:pt idx="312">
                  <c:v>0.107757895545197</c:v>
                </c:pt>
                <c:pt idx="313">
                  <c:v>0.107821643761701</c:v>
                </c:pt>
                <c:pt idx="314">
                  <c:v>0.107895371464266</c:v>
                </c:pt>
                <c:pt idx="315">
                  <c:v>0.107982136054144</c:v>
                </c:pt>
                <c:pt idx="316">
                  <c:v>0.108086279484475</c:v>
                </c:pt>
                <c:pt idx="317">
                  <c:v>0.10821441051713999</c:v>
                </c:pt>
                <c:pt idx="318">
                  <c:v>0.108378611684964</c:v>
                </c:pt>
                <c:pt idx="319">
                  <c:v>0.10851279142848901</c:v>
                </c:pt>
                <c:pt idx="320">
                  <c:v>0.108646878508965</c:v>
                </c:pt>
                <c:pt idx="321">
                  <c:v>0.108781836007877</c:v>
                </c:pt>
                <c:pt idx="322">
                  <c:v>0.108917703938839</c:v>
                </c:pt>
                <c:pt idx="323">
                  <c:v>0.109054545173906</c:v>
                </c:pt>
                <c:pt idx="324">
                  <c:v>0.109192417872054</c:v>
                </c:pt>
                <c:pt idx="325">
                  <c:v>0.109331376964383</c:v>
                </c:pt>
                <c:pt idx="326">
                  <c:v>0.10947147454287399</c:v>
                </c:pt>
                <c:pt idx="327">
                  <c:v>0.109612760241196</c:v>
                </c:pt>
                <c:pt idx="328">
                  <c:v>0.10975528157779101</c:v>
                </c:pt>
                <c:pt idx="329">
                  <c:v>0.109899084266184</c:v>
                </c:pt>
                <c:pt idx="330">
                  <c:v>0.110044212495958</c:v>
                </c:pt>
                <c:pt idx="331">
                  <c:v>0.11019070918751001</c:v>
                </c:pt>
                <c:pt idx="332">
                  <c:v>0.11033861622334599</c:v>
                </c:pt>
                <c:pt idx="333">
                  <c:v>0.110487974658393</c:v>
                </c:pt>
                <c:pt idx="334">
                  <c:v>0.110638824911563</c:v>
                </c:pt>
                <c:pt idx="335">
                  <c:v>0.110791206940568</c:v>
                </c:pt>
                <c:pt idx="336">
                  <c:v>0.11094516040180299</c:v>
                </c:pt>
                <c:pt idx="337">
                  <c:v>0.11110072479692901</c:v>
                </c:pt>
                <c:pt idx="338">
                  <c:v>0.111257939607629</c:v>
                </c:pt>
                <c:pt idx="339">
                  <c:v>0.111416844419904</c:v>
                </c:pt>
                <c:pt idx="340">
                  <c:v>0.111577479039088</c:v>
                </c:pt>
                <c:pt idx="341">
                  <c:v>0.111739883596728</c:v>
                </c:pt>
                <c:pt idx="342">
                  <c:v>0.111904098650297</c:v>
                </c:pt>
                <c:pt idx="343">
                  <c:v>0.11207016527668</c:v>
                </c:pt>
                <c:pt idx="344">
                  <c:v>0.112238125160255</c:v>
                </c:pt>
                <c:pt idx="345">
                  <c:v>0.11240802067632299</c:v>
                </c:pt>
                <c:pt idx="346">
                  <c:v>0.11257989497059701</c:v>
                </c:pt>
                <c:pt idx="347">
                  <c:v>0.112753792035371</c:v>
                </c:pt>
                <c:pt idx="348">
                  <c:v>0.112929756782956</c:v>
                </c:pt>
                <c:pt idx="349">
                  <c:v>0.113107835116922</c:v>
                </c:pt>
                <c:pt idx="350">
                  <c:v>0.113288074001635</c:v>
                </c:pt>
                <c:pt idx="351">
                  <c:v>0.113470521530551</c:v>
                </c:pt>
                <c:pt idx="352">
                  <c:v>0.113655226993682</c:v>
                </c:pt>
                <c:pt idx="353">
                  <c:v>0.113842240944644</c:v>
                </c:pt>
                <c:pt idx="354">
                  <c:v>0.114031615267637</c:v>
                </c:pt>
                <c:pt idx="355">
                  <c:v>0.11422340324472501</c:v>
                </c:pt>
                <c:pt idx="356">
                  <c:v>0.11441765962373</c:v>
                </c:pt>
                <c:pt idx="357">
                  <c:v>0.114614440687063</c:v>
                </c:pt>
                <c:pt idx="358">
                  <c:v>0.114813804321789</c:v>
                </c:pt>
                <c:pt idx="359">
                  <c:v>0.22425676384167301</c:v>
                </c:pt>
                <c:pt idx="360">
                  <c:v>0.30704288935609397</c:v>
                </c:pt>
                <c:pt idx="361">
                  <c:v>0.30834090817871301</c:v>
                </c:pt>
                <c:pt idx="362">
                  <c:v>0.30921577139060102</c:v>
                </c:pt>
                <c:pt idx="363">
                  <c:v>0.31017471350345399</c:v>
                </c:pt>
                <c:pt idx="364">
                  <c:v>0.31131883897321</c:v>
                </c:pt>
                <c:pt idx="365">
                  <c:v>0.31289797505880901</c:v>
                </c:pt>
                <c:pt idx="366">
                  <c:v>0.51289797505880896</c:v>
                </c:pt>
                <c:pt idx="367">
                  <c:v>0.51289797505880896</c:v>
                </c:pt>
              </c:numCache>
            </c:numRef>
          </c:xVal>
          <c:yVal>
            <c:numRef>
              <c:f>Implicit_Fracs!$AH$4:$AH$371</c:f>
              <c:numCache>
                <c:formatCode>General</c:formatCode>
                <c:ptCount val="368"/>
                <c:pt idx="0">
                  <c:v>0</c:v>
                </c:pt>
                <c:pt idx="1">
                  <c:v>0</c:v>
                </c:pt>
                <c:pt idx="2" formatCode="0.00E+00">
                  <c:v>1.4854334218081599E-5</c:v>
                </c:pt>
                <c:pt idx="3" formatCode="0.00E+00">
                  <c:v>3.9806867850231198E-5</c:v>
                </c:pt>
                <c:pt idx="4" formatCode="0.00E+00">
                  <c:v>7.48160871365929E-5</c:v>
                </c:pt>
                <c:pt idx="5">
                  <c:v>1.198687280476E-4</c:v>
                </c:pt>
                <c:pt idx="6">
                  <c:v>1.7496186938714201E-4</c:v>
                </c:pt>
                <c:pt idx="7">
                  <c:v>2.4009835153759101E-4</c:v>
                </c:pt>
                <c:pt idx="8">
                  <c:v>3.1528499331454199E-4</c:v>
                </c:pt>
                <c:pt idx="9">
                  <c:v>4.0053163023566301E-4</c:v>
                </c:pt>
                <c:pt idx="10">
                  <c:v>4.9585047523719198E-4</c:v>
                </c:pt>
                <c:pt idx="11">
                  <c:v>6.01255650496431E-4</c:v>
                </c:pt>
                <c:pt idx="12">
                  <c:v>7.1676283196400704E-4</c:v>
                </c:pt>
                <c:pt idx="13">
                  <c:v>8.4238897596617204E-4</c:v>
                </c:pt>
                <c:pt idx="14">
                  <c:v>9.7815210750964998E-4</c:v>
                </c:pt>
                <c:pt idx="15">
                  <c:v>1.12407115526399E-3</c:v>
                </c:pt>
                <c:pt idx="16">
                  <c:v>1.2801658218561101E-3</c:v>
                </c:pt>
                <c:pt idx="17">
                  <c:v>1.44645648090548E-3</c:v>
                </c:pt>
                <c:pt idx="18">
                  <c:v>1.6229640943845401E-3</c:v>
                </c:pt>
                <c:pt idx="19">
                  <c:v>1.8097101455329301E-3</c:v>
                </c:pt>
                <c:pt idx="20">
                  <c:v>2.0067165837790099E-3</c:v>
                </c:pt>
                <c:pt idx="21">
                  <c:v>2.2140057790292602E-3</c:v>
                </c:pt>
                <c:pt idx="22">
                  <c:v>2.4316004833466499E-3</c:v>
                </c:pt>
                <c:pt idx="23">
                  <c:v>2.65952379852534E-3</c:v>
                </c:pt>
                <c:pt idx="24">
                  <c:v>2.89779914842094E-3</c:v>
                </c:pt>
                <c:pt idx="25">
                  <c:v>3.1464502551600201E-3</c:v>
                </c:pt>
                <c:pt idx="26">
                  <c:v>3.4055011185428002E-3</c:v>
                </c:pt>
                <c:pt idx="27">
                  <c:v>3.67497599810061E-3</c:v>
                </c:pt>
                <c:pt idx="28">
                  <c:v>3.9548993973783503E-3</c:v>
                </c:pt>
                <c:pt idx="29">
                  <c:v>4.2452960500963897E-3</c:v>
                </c:pt>
                <c:pt idx="30">
                  <c:v>4.5461909079123203E-3</c:v>
                </c:pt>
                <c:pt idx="31">
                  <c:v>4.8576091295506399E-3</c:v>
                </c:pt>
                <c:pt idx="32">
                  <c:v>5.1795760711144702E-3</c:v>
                </c:pt>
                <c:pt idx="33">
                  <c:v>5.5121172774178998E-3</c:v>
                </c:pt>
                <c:pt idx="34">
                  <c:v>5.8552584742106303E-3</c:v>
                </c:pt>
                <c:pt idx="35">
                  <c:v>6.20902556118E-3</c:v>
                </c:pt>
                <c:pt idx="36">
                  <c:v>6.5734446056397297E-3</c:v>
                </c:pt>
                <c:pt idx="37">
                  <c:v>6.9485418368231003E-3</c:v>
                </c:pt>
                <c:pt idx="38">
                  <c:v>7.3343459469460198E-3</c:v>
                </c:pt>
                <c:pt idx="39">
                  <c:v>7.7308860203619701E-3</c:v>
                </c:pt>
                <c:pt idx="40">
                  <c:v>8.1381914398676695E-3</c:v>
                </c:pt>
                <c:pt idx="41">
                  <c:v>8.5562918835165695E-3</c:v>
                </c:pt>
                <c:pt idx="42">
                  <c:v>8.9852173218727995E-3</c:v>
                </c:pt>
                <c:pt idx="43">
                  <c:v>9.4249980156657902E-3</c:v>
                </c:pt>
                <c:pt idx="44">
                  <c:v>9.8756645138092496E-3</c:v>
                </c:pt>
                <c:pt idx="45">
                  <c:v>1.0337247651754301E-2</c:v>
                </c:pt>
                <c:pt idx="46">
                  <c:v>1.0809778550147199E-2</c:v>
                </c:pt>
                <c:pt idx="47">
                  <c:v>1.1293288613770099E-2</c:v>
                </c:pt>
                <c:pt idx="48">
                  <c:v>1.1787809530738699E-2</c:v>
                </c:pt>
                <c:pt idx="49">
                  <c:v>1.2293373271942101E-2</c:v>
                </c:pt>
                <c:pt idx="50">
                  <c:v>1.28100120907045E-2</c:v>
                </c:pt>
                <c:pt idx="51">
                  <c:v>1.3337758522656E-2</c:v>
                </c:pt>
                <c:pt idx="52">
                  <c:v>1.38766453857962E-2</c:v>
                </c:pt>
                <c:pt idx="53">
                  <c:v>1.44267057807414E-2</c:v>
                </c:pt>
                <c:pt idx="54">
                  <c:v>1.498797309114E-2</c:v>
                </c:pt>
                <c:pt idx="55">
                  <c:v>1.5560480984253E-2</c:v>
                </c:pt>
                <c:pt idx="56">
                  <c:v>1.6144263411684599E-2</c:v>
                </c:pt>
                <c:pt idx="57">
                  <c:v>1.6739354610256201E-2</c:v>
                </c:pt>
                <c:pt idx="58">
                  <c:v>1.7345789103022501E-2</c:v>
                </c:pt>
                <c:pt idx="59">
                  <c:v>1.7963601700412501E-2</c:v>
                </c:pt>
                <c:pt idx="60">
                  <c:v>1.8592827501503501E-2</c:v>
                </c:pt>
                <c:pt idx="61">
                  <c:v>1.9233501895406901E-2</c:v>
                </c:pt>
                <c:pt idx="62">
                  <c:v>1.9885660562778101E-2</c:v>
                </c:pt>
                <c:pt idx="63">
                  <c:v>2.0549339477432399E-2</c:v>
                </c:pt>
                <c:pt idx="64">
                  <c:v>2.1224574908069699E-2</c:v>
                </c:pt>
                <c:pt idx="65">
                  <c:v>2.1911403420106799E-2</c:v>
                </c:pt>
                <c:pt idx="66">
                  <c:v>2.26098618776071E-2</c:v>
                </c:pt>
                <c:pt idx="67">
                  <c:v>2.33199874453138E-2</c:v>
                </c:pt>
                <c:pt idx="68">
                  <c:v>2.4041817590774901E-2</c:v>
                </c:pt>
                <c:pt idx="69">
                  <c:v>2.4775390086565902E-2</c:v>
                </c:pt>
                <c:pt idx="70">
                  <c:v>2.5520743012607899E-2</c:v>
                </c:pt>
                <c:pt idx="71">
                  <c:v>2.62779147585697E-2</c:v>
                </c:pt>
                <c:pt idx="72">
                  <c:v>2.7046944026366902E-2</c:v>
                </c:pt>
                <c:pt idx="73">
                  <c:v>2.7827869832744299E-2</c:v>
                </c:pt>
                <c:pt idx="74">
                  <c:v>2.8620731511952199E-2</c:v>
                </c:pt>
                <c:pt idx="75">
                  <c:v>2.9425568718501799E-2</c:v>
                </c:pt>
                <c:pt idx="76">
                  <c:v>3.0242421430013999E-2</c:v>
                </c:pt>
                <c:pt idx="77">
                  <c:v>3.1071329950150099E-2</c:v>
                </c:pt>
                <c:pt idx="78">
                  <c:v>3.1912334911629897E-2</c:v>
                </c:pt>
                <c:pt idx="79">
                  <c:v>3.2765477279333897E-2</c:v>
                </c:pt>
                <c:pt idx="80">
                  <c:v>3.3630798353489602E-2</c:v>
                </c:pt>
                <c:pt idx="81">
                  <c:v>3.4508339772945103E-2</c:v>
                </c:pt>
                <c:pt idx="82">
                  <c:v>3.5398143518528498E-2</c:v>
                </c:pt>
                <c:pt idx="83">
                  <c:v>3.6300251916490701E-2</c:v>
                </c:pt>
                <c:pt idx="84">
                  <c:v>3.72147076420331E-2</c:v>
                </c:pt>
                <c:pt idx="85">
                  <c:v>3.8141553722929503E-2</c:v>
                </c:pt>
                <c:pt idx="86">
                  <c:v>3.9080833543221102E-2</c:v>
                </c:pt>
                <c:pt idx="87">
                  <c:v>4.0032590847015E-2</c:v>
                </c:pt>
                <c:pt idx="88">
                  <c:v>4.0996869742357597E-2</c:v>
                </c:pt>
                <c:pt idx="89">
                  <c:v>4.1973714705206E-2</c:v>
                </c:pt>
                <c:pt idx="90">
                  <c:v>4.2963170583486102E-2</c:v>
                </c:pt>
                <c:pt idx="91">
                  <c:v>4.3965282601239497E-2</c:v>
                </c:pt>
                <c:pt idx="92">
                  <c:v>4.4980096362866699E-2</c:v>
                </c:pt>
                <c:pt idx="93">
                  <c:v>4.60076578574641E-2</c:v>
                </c:pt>
                <c:pt idx="94">
                  <c:v>4.7048013463252499E-2</c:v>
                </c:pt>
                <c:pt idx="95">
                  <c:v>4.8101209952097199E-2</c:v>
                </c:pt>
                <c:pt idx="96">
                  <c:v>4.9167294494140902E-2</c:v>
                </c:pt>
                <c:pt idx="97">
                  <c:v>5.0246314662517402E-2</c:v>
                </c:pt>
                <c:pt idx="98">
                  <c:v>5.1338318438175497E-2</c:v>
                </c:pt>
                <c:pt idx="99">
                  <c:v>5.2443354214807399E-2</c:v>
                </c:pt>
                <c:pt idx="100">
                  <c:v>5.35614708038692E-2</c:v>
                </c:pt>
                <c:pt idx="101">
                  <c:v>5.46927174397197E-2</c:v>
                </c:pt>
                <c:pt idx="102">
                  <c:v>5.5837143784859301E-2</c:v>
                </c:pt>
                <c:pt idx="103">
                  <c:v>5.6994799935283301E-2</c:v>
                </c:pt>
                <c:pt idx="104">
                  <c:v>5.8165736425940098E-2</c:v>
                </c:pt>
                <c:pt idx="105">
                  <c:v>5.9350004236305501E-2</c:v>
                </c:pt>
                <c:pt idx="106">
                  <c:v>6.0547654796081603E-2</c:v>
                </c:pt>
                <c:pt idx="107">
                  <c:v>6.1758739990993697E-2</c:v>
                </c:pt>
                <c:pt idx="108">
                  <c:v>6.2983312168735206E-2</c:v>
                </c:pt>
                <c:pt idx="109">
                  <c:v>6.4221424145005299E-2</c:v>
                </c:pt>
                <c:pt idx="110">
                  <c:v>6.5473129209705397E-2</c:v>
                </c:pt>
                <c:pt idx="111">
                  <c:v>6.6738481133225697E-2</c:v>
                </c:pt>
                <c:pt idx="112">
                  <c:v>6.8017534172897798E-2</c:v>
                </c:pt>
                <c:pt idx="113">
                  <c:v>6.9310343079564601E-2</c:v>
                </c:pt>
                <c:pt idx="114">
                  <c:v>7.0616963104283295E-2</c:v>
                </c:pt>
                <c:pt idx="115">
                  <c:v>7.1937450005179898E-2</c:v>
                </c:pt>
                <c:pt idx="116">
                  <c:v>7.3271860054433993E-2</c:v>
                </c:pt>
                <c:pt idx="117">
                  <c:v>7.4620250045426398E-2</c:v>
                </c:pt>
                <c:pt idx="118">
                  <c:v>7.5982677300021506E-2</c:v>
                </c:pt>
                <c:pt idx="119">
                  <c:v>7.7359199676007601E-2</c:v>
                </c:pt>
                <c:pt idx="120">
                  <c:v>7.8749875574696898E-2</c:v>
                </c:pt>
                <c:pt idx="121">
                  <c:v>8.0154763948682303E-2</c:v>
                </c:pt>
                <c:pt idx="122">
                  <c:v>8.1573924309766399E-2</c:v>
                </c:pt>
                <c:pt idx="123">
                  <c:v>8.3007416737046605E-2</c:v>
                </c:pt>
                <c:pt idx="124">
                  <c:v>8.4455301885186601E-2</c:v>
                </c:pt>
                <c:pt idx="125">
                  <c:v>8.5917640992850097E-2</c:v>
                </c:pt>
                <c:pt idx="126">
                  <c:v>8.7394495891327598E-2</c:v>
                </c:pt>
                <c:pt idx="127">
                  <c:v>8.8885929013349102E-2</c:v>
                </c:pt>
                <c:pt idx="128">
                  <c:v>9.0392003402075705E-2</c:v>
                </c:pt>
                <c:pt idx="129">
                  <c:v>9.1912782720302497E-2</c:v>
                </c:pt>
                <c:pt idx="130">
                  <c:v>9.3448331259849707E-2</c:v>
                </c:pt>
                <c:pt idx="131">
                  <c:v>9.4998713951161606E-2</c:v>
                </c:pt>
                <c:pt idx="132">
                  <c:v>9.6563996373119507E-2</c:v>
                </c:pt>
                <c:pt idx="133">
                  <c:v>9.8144244763083699E-2</c:v>
                </c:pt>
                <c:pt idx="134">
                  <c:v>9.9739526027126699E-2</c:v>
                </c:pt>
                <c:pt idx="135">
                  <c:v>0.10134990775052</c:v>
                </c:pt>
                <c:pt idx="136">
                  <c:v>0.102975458208455</c:v>
                </c:pt>
                <c:pt idx="137">
                  <c:v>0.10461624637698801</c:v>
                </c:pt>
                <c:pt idx="138">
                  <c:v>0.10627234194425</c:v>
                </c:pt>
                <c:pt idx="139">
                  <c:v>0.10794381532189599</c:v>
                </c:pt>
                <c:pt idx="140">
                  <c:v>0.109630737656835</c:v>
                </c:pt>
                <c:pt idx="141">
                  <c:v>0.111333180843205</c:v>
                </c:pt>
                <c:pt idx="142">
                  <c:v>0.113051217534638</c:v>
                </c:pt>
                <c:pt idx="143">
                  <c:v>0.11478492115681101</c:v>
                </c:pt>
                <c:pt idx="144">
                  <c:v>0.11653436592027699</c:v>
                </c:pt>
                <c:pt idx="145">
                  <c:v>0.118299626833612</c:v>
                </c:pt>
                <c:pt idx="146">
                  <c:v>0.120080779716849</c:v>
                </c:pt>
                <c:pt idx="147">
                  <c:v>0.121877901215248</c:v>
                </c:pt>
                <c:pt idx="148">
                  <c:v>0.123691068813397</c:v>
                </c:pt>
                <c:pt idx="149">
                  <c:v>0.12552036084962401</c:v>
                </c:pt>
                <c:pt idx="150">
                  <c:v>0.127365856530778</c:v>
                </c:pt>
                <c:pt idx="151">
                  <c:v>0.12922763594735601</c:v>
                </c:pt>
                <c:pt idx="152">
                  <c:v>0.131105780089003</c:v>
                </c:pt>
                <c:pt idx="153">
                  <c:v>0.13300037086038599</c:v>
                </c:pt>
                <c:pt idx="154">
                  <c:v>0.13491149109745801</c:v>
                </c:pt>
                <c:pt idx="155">
                  <c:v>0.13683922458412301</c:v>
                </c:pt>
                <c:pt idx="156">
                  <c:v>0.138783656069323</c:v>
                </c:pt>
                <c:pt idx="157">
                  <c:v>0.14074487128452601</c:v>
                </c:pt>
                <c:pt idx="158">
                  <c:v>0.14272295696169099</c:v>
                </c:pt>
                <c:pt idx="159">
                  <c:v>0.14471800085165701</c:v>
                </c:pt>
                <c:pt idx="160">
                  <c:v>0.146730091743003</c:v>
                </c:pt>
                <c:pt idx="161">
                  <c:v>0.148759319481408</c:v>
                </c:pt>
                <c:pt idx="162">
                  <c:v>0.150805774989482</c:v>
                </c:pt>
                <c:pt idx="163">
                  <c:v>0.152869550287136</c:v>
                </c:pt>
                <c:pt idx="164">
                  <c:v>0.15495073851244701</c:v>
                </c:pt>
                <c:pt idx="165">
                  <c:v>0.15704943394311999</c:v>
                </c:pt>
                <c:pt idx="166">
                  <c:v>0.15916573201846601</c:v>
                </c:pt>
                <c:pt idx="167">
                  <c:v>0.161299729361982</c:v>
                </c:pt>
                <c:pt idx="168">
                  <c:v>0.163451523804546</c:v>
                </c:pt>
                <c:pt idx="169">
                  <c:v>0.16562121440820099</c:v>
                </c:pt>
                <c:pt idx="170">
                  <c:v>0.167808901490614</c:v>
                </c:pt>
                <c:pt idx="171">
                  <c:v>0.17001468665018599</c:v>
                </c:pt>
                <c:pt idx="172">
                  <c:v>0.17223867279183699</c:v>
                </c:pt>
                <c:pt idx="173">
                  <c:v>0.17448096415351899</c:v>
                </c:pt>
                <c:pt idx="174">
                  <c:v>0.17674166633344701</c:v>
                </c:pt>
                <c:pt idx="175">
                  <c:v>0.179020886318111</c:v>
                </c:pt>
                <c:pt idx="176">
                  <c:v>0.181318732511034</c:v>
                </c:pt>
                <c:pt idx="177">
                  <c:v>0.18363531476238601</c:v>
                </c:pt>
                <c:pt idx="178">
                  <c:v>0.185970744399414</c:v>
                </c:pt>
                <c:pt idx="179">
                  <c:v>0.188325134257739</c:v>
                </c:pt>
                <c:pt idx="180">
                  <c:v>0.19069859871356901</c:v>
                </c:pt>
                <c:pt idx="181">
                  <c:v>0.19309125371684199</c:v>
                </c:pt>
                <c:pt idx="182">
                  <c:v>0.19550321682531299</c:v>
                </c:pt>
                <c:pt idx="183">
                  <c:v>0.197934607239691</c:v>
                </c:pt>
                <c:pt idx="184">
                  <c:v>0.20038554583975199</c:v>
                </c:pt>
                <c:pt idx="185">
                  <c:v>0.20285615522157999</c:v>
                </c:pt>
                <c:pt idx="186">
                  <c:v>0.20534655973590199</c:v>
                </c:pt>
                <c:pt idx="187">
                  <c:v>0.20785688552757001</c:v>
                </c:pt>
                <c:pt idx="188">
                  <c:v>0.21038726057627</c:v>
                </c:pt>
                <c:pt idx="189">
                  <c:v>0.212937814738448</c:v>
                </c:pt>
                <c:pt idx="190">
                  <c:v>0.215508679790548</c:v>
                </c:pt>
                <c:pt idx="191">
                  <c:v>0.21809998947357301</c:v>
                </c:pt>
                <c:pt idx="192">
                  <c:v>0.22071187953907601</c:v>
                </c:pt>
                <c:pt idx="193">
                  <c:v>0.22334448779653299</c:v>
                </c:pt>
                <c:pt idx="194">
                  <c:v>0.22599795416229801</c:v>
                </c:pt>
                <c:pt idx="195">
                  <c:v>0.22867242071004401</c:v>
                </c:pt>
                <c:pt idx="196">
                  <c:v>0.23136803172289</c:v>
                </c:pt>
                <c:pt idx="197">
                  <c:v>0.23408493374716899</c:v>
                </c:pt>
                <c:pt idx="198">
                  <c:v>0.23682327564797501</c:v>
                </c:pt>
                <c:pt idx="199">
                  <c:v>0.23958320866652999</c:v>
                </c:pt>
                <c:pt idx="200">
                  <c:v>0.24236488647946</c:v>
                </c:pt>
                <c:pt idx="201">
                  <c:v>0.24516846526001301</c:v>
                </c:pt>
                <c:pt idx="202">
                  <c:v>0.247994103741386</c:v>
                </c:pt>
                <c:pt idx="203">
                  <c:v>0.25084196328212999</c:v>
                </c:pt>
                <c:pt idx="204">
                  <c:v>0.253712207933874</c:v>
                </c:pt>
                <c:pt idx="205">
                  <c:v>0.25660500451129098</c:v>
                </c:pt>
                <c:pt idx="206">
                  <c:v>0.25952052266452003</c:v>
                </c:pt>
                <c:pt idx="207">
                  <c:v>0.26245893495413303</c:v>
                </c:pt>
                <c:pt idx="208">
                  <c:v>0.26542041692871499</c:v>
                </c:pt>
                <c:pt idx="209">
                  <c:v>0.268405147205174</c:v>
                </c:pt>
                <c:pt idx="210">
                  <c:v>0.27141330755197202</c:v>
                </c:pt>
                <c:pt idx="211">
                  <c:v>0.27444508297529802</c:v>
                </c:pt>
                <c:pt idx="212">
                  <c:v>0.277500661808392</c:v>
                </c:pt>
                <c:pt idx="213">
                  <c:v>0.28058023580411301</c:v>
                </c:pt>
                <c:pt idx="214">
                  <c:v>0.28368400023094298</c:v>
                </c:pt>
                <c:pt idx="215">
                  <c:v>0.28681215397252602</c:v>
                </c:pt>
                <c:pt idx="216">
                  <c:v>0.28996489963094602</c:v>
                </c:pt>
                <c:pt idx="217">
                  <c:v>0.29314244363388497</c:v>
                </c:pt>
                <c:pt idx="218">
                  <c:v>0.29634499634586497</c:v>
                </c:pt>
                <c:pt idx="219">
                  <c:v>0.29957277218376299</c:v>
                </c:pt>
                <c:pt idx="220">
                  <c:v>0.30282598973673802</c:v>
                </c:pt>
                <c:pt idx="221">
                  <c:v>0.30610487189087199</c:v>
                </c:pt>
                <c:pt idx="222">
                  <c:v>0.30940964595869702</c:v>
                </c:pt>
                <c:pt idx="223">
                  <c:v>0.31274054381379801</c:v>
                </c:pt>
                <c:pt idx="224">
                  <c:v>0.31609780203084398</c:v>
                </c:pt>
                <c:pt idx="225">
                  <c:v>0.31948166203119999</c:v>
                </c:pt>
                <c:pt idx="226">
                  <c:v>0.32289237023445699</c:v>
                </c:pt>
                <c:pt idx="227">
                  <c:v>0.32633017821615701</c:v>
                </c:pt>
                <c:pt idx="228">
                  <c:v>0.32979534287197698</c:v>
                </c:pt>
                <c:pt idx="229">
                  <c:v>0.33328812658877799</c:v>
                </c:pt>
                <c:pt idx="230">
                  <c:v>0.33680879742277198</c:v>
                </c:pt>
                <c:pt idx="231">
                  <c:v>0.34035762928520302</c:v>
                </c:pt>
                <c:pt idx="232">
                  <c:v>0.34393490213595501</c:v>
                </c:pt>
                <c:pt idx="233">
                  <c:v>0.34754090218542799</c:v>
                </c:pt>
                <c:pt idx="234">
                  <c:v>0.35117592210513598</c:v>
                </c:pt>
                <c:pt idx="235">
                  <c:v>0.35484026124749302</c:v>
                </c:pt>
                <c:pt idx="236">
                  <c:v>0.35853422587525202</c:v>
                </c:pt>
                <c:pt idx="237">
                  <c:v>0.362258129401063</c:v>
                </c:pt>
                <c:pt idx="238">
                  <c:v>0.366012292637727</c:v>
                </c:pt>
                <c:pt idx="239">
                  <c:v>0.36979704405973102</c:v>
                </c:pt>
                <c:pt idx="240">
                  <c:v>0.37361272007657997</c:v>
                </c:pt>
                <c:pt idx="241">
                  <c:v>0.37745966531861502</c:v>
                </c:pt>
                <c:pt idx="242">
                  <c:v>0.38133823293595498</c:v>
                </c:pt>
                <c:pt idx="243">
                  <c:v>0.38524878491134701</c:v>
                </c:pt>
                <c:pt idx="244">
                  <c:v>0.389191692387517</c:v>
                </c:pt>
                <c:pt idx="245">
                  <c:v>0.393167336009969</c:v>
                </c:pt>
                <c:pt idx="246">
                  <c:v>0.397176106285969</c:v>
                </c:pt>
                <c:pt idx="247">
                  <c:v>0.40121840396060099</c:v>
                </c:pt>
                <c:pt idx="248">
                  <c:v>0.40529464041088797</c:v>
                </c:pt>
                <c:pt idx="249">
                  <c:v>0.40940523805886703</c:v>
                </c:pt>
                <c:pt idx="250">
                  <c:v>0.41355063080471999</c:v>
                </c:pt>
                <c:pt idx="251">
                  <c:v>0.41773126448101799</c:v>
                </c:pt>
                <c:pt idx="252">
                  <c:v>0.42194759732918802</c:v>
                </c:pt>
                <c:pt idx="253">
                  <c:v>0.42620010049946599</c:v>
                </c:pt>
                <c:pt idx="254">
                  <c:v>0.43048925857551201</c:v>
                </c:pt>
                <c:pt idx="255">
                  <c:v>0.434815570125061</c:v>
                </c:pt>
                <c:pt idx="256">
                  <c:v>0.43917954827789701</c:v>
                </c:pt>
                <c:pt idx="257">
                  <c:v>0.44358172133262203</c:v>
                </c:pt>
                <c:pt idx="258">
                  <c:v>0.44802263339361198</c:v>
                </c:pt>
                <c:pt idx="259">
                  <c:v>0.45250284503969201</c:v>
                </c:pt>
                <c:pt idx="260">
                  <c:v>0.457022934026033</c:v>
                </c:pt>
                <c:pt idx="261">
                  <c:v>0.46158349602078202</c:v>
                </c:pt>
                <c:pt idx="262">
                  <c:v>0.46618514537795402</c:v>
                </c:pt>
                <c:pt idx="263">
                  <c:v>0.470828515948092</c:v>
                </c:pt>
                <c:pt idx="264">
                  <c:v>0.47551426192811902</c:v>
                </c:pt>
                <c:pt idx="265">
                  <c:v>0.48024305875168499</c:v>
                </c:pt>
                <c:pt idx="266">
                  <c:v>0.48501560402125199</c:v>
                </c:pt>
                <c:pt idx="267">
                  <c:v>0.48983261848278498</c:v>
                </c:pt>
                <c:pt idx="268">
                  <c:v>0.49469484704379102</c:v>
                </c:pt>
                <c:pt idx="269">
                  <c:v>0.49960305983487902</c:v>
                </c:pt>
                <c:pt idx="270">
                  <c:v>0.50455805331460402</c:v>
                </c:pt>
                <c:pt idx="271">
                  <c:v>0.509560651416474</c:v>
                </c:pt>
                <c:pt idx="272">
                  <c:v>0.51461170673625301</c:v>
                </c:pt>
                <c:pt idx="273">
                  <c:v>0.51971210175633398</c:v>
                </c:pt>
                <c:pt idx="274">
                  <c:v>0.52486275010240802</c:v>
                </c:pt>
                <c:pt idx="275">
                  <c:v>0.53006459782569904</c:v>
                </c:pt>
                <c:pt idx="276">
                  <c:v>0.53531862470134695</c:v>
                </c:pt>
                <c:pt idx="277">
                  <c:v>0.54062584553030002</c:v>
                </c:pt>
                <c:pt idx="278">
                  <c:v>0.54598731142775003</c:v>
                </c:pt>
                <c:pt idx="279">
                  <c:v>0.551404111075673</c:v>
                </c:pt>
                <c:pt idx="280">
                  <c:v>0.55687737191021103</c:v>
                </c:pt>
                <c:pt idx="281">
                  <c:v>0.56240826120537102</c:v>
                </c:pt>
                <c:pt idx="282">
                  <c:v>0.56799798700333703</c:v>
                </c:pt>
                <c:pt idx="283">
                  <c:v>0.57364779882651795</c:v>
                </c:pt>
                <c:pt idx="284">
                  <c:v>0.57935898808744801</c:v>
                </c:pt>
                <c:pt idx="285">
                  <c:v>0.58513288808766895</c:v>
                </c:pt>
                <c:pt idx="286">
                  <c:v>0.59097087346438604</c:v>
                </c:pt>
                <c:pt idx="287">
                  <c:v>0.59687435890145901</c:v>
                </c:pt>
                <c:pt idx="288">
                  <c:v>0.602844796865868</c:v>
                </c:pt>
                <c:pt idx="289">
                  <c:v>0.60888367405774602</c:v>
                </c:pt>
                <c:pt idx="290">
                  <c:v>0.61499250616580303</c:v>
                </c:pt>
                <c:pt idx="291">
                  <c:v>0.62117283039114002</c:v>
                </c:pt>
                <c:pt idx="292">
                  <c:v>0.627426195030937</c:v>
                </c:pt>
                <c:pt idx="293">
                  <c:v>0.63375414518190398</c:v>
                </c:pt>
                <c:pt idx="294">
                  <c:v>0.64015820331016504</c:v>
                </c:pt>
                <c:pt idx="295">
                  <c:v>0.64663984300672805</c:v>
                </c:pt>
                <c:pt idx="296">
                  <c:v>0.65320045366078605</c:v>
                </c:pt>
                <c:pt idx="297">
                  <c:v>0.659841292971032</c:v>
                </c:pt>
                <c:pt idx="298">
                  <c:v>0.66656342308318695</c:v>
                </c:pt>
                <c:pt idx="299">
                  <c:v>0.67336762455225796</c:v>
                </c:pt>
                <c:pt idx="300">
                  <c:v>0.68025428007816702</c:v>
                </c:pt>
                <c:pt idx="301">
                  <c:v>0.68722321675598996</c:v>
                </c:pt>
                <c:pt idx="302">
                  <c:v>0.69427349097962998</c:v>
                </c:pt>
                <c:pt idx="303">
                  <c:v>0.70140309349672203</c:v>
                </c:pt>
                <c:pt idx="304">
                  <c:v>0.70860854250045502</c:v>
                </c:pt>
                <c:pt idx="305">
                  <c:v>0.71588431873926095</c:v>
                </c:pt>
                <c:pt idx="306">
                  <c:v>0.72322207665944804</c:v>
                </c:pt>
                <c:pt idx="307">
                  <c:v>0.73060953748874602</c:v>
                </c:pt>
                <c:pt idx="308">
                  <c:v>0.738028932333468</c:v>
                </c:pt>
                <c:pt idx="309">
                  <c:v>0.74545481746120001</c:v>
                </c:pt>
                <c:pt idx="310">
                  <c:v>0.75285104295029903</c:v>
                </c:pt>
                <c:pt idx="311">
                  <c:v>0.76016666577291803</c:v>
                </c:pt>
                <c:pt idx="312">
                  <c:v>0.76733079210558996</c:v>
                </c:pt>
                <c:pt idx="313">
                  <c:v>0.77424705141294903</c:v>
                </c:pt>
                <c:pt idx="314">
                  <c:v>0.78079040270966904</c:v>
                </c:pt>
                <c:pt idx="315">
                  <c:v>0.78681353894518202</c:v>
                </c:pt>
                <c:pt idx="316">
                  <c:v>0.79217812956088296</c:v>
                </c:pt>
                <c:pt idx="317">
                  <c:v>0.79683429024203001</c:v>
                </c:pt>
                <c:pt idx="318">
                  <c:v>0.79975721203892502</c:v>
                </c:pt>
                <c:pt idx="319">
                  <c:v>0.80214399081565901</c:v>
                </c:pt>
                <c:pt idx="320">
                  <c:v>0.80451323345877601</c:v>
                </c:pt>
                <c:pt idx="321">
                  <c:v>0.80688145753735896</c:v>
                </c:pt>
                <c:pt idx="322">
                  <c:v>0.80924820436203404</c:v>
                </c:pt>
                <c:pt idx="323">
                  <c:v>0.81161351236484602</c:v>
                </c:pt>
                <c:pt idx="324">
                  <c:v>0.81397739814178804</c:v>
                </c:pt>
                <c:pt idx="325">
                  <c:v>0.81633987527747298</c:v>
                </c:pt>
                <c:pt idx="326">
                  <c:v>0.81870095399048703</c:v>
                </c:pt>
                <c:pt idx="327">
                  <c:v>0.82106064137856405</c:v>
                </c:pt>
                <c:pt idx="328">
                  <c:v>0.82341894164066298</c:v>
                </c:pt>
                <c:pt idx="329">
                  <c:v>0.82577585629068395</c:v>
                </c:pt>
                <c:pt idx="330">
                  <c:v>0.82813138436028999</c:v>
                </c:pt>
                <c:pt idx="331">
                  <c:v>0.83048552258942698</c:v>
                </c:pt>
                <c:pt idx="332">
                  <c:v>0.83283826560375296</c:v>
                </c:pt>
                <c:pt idx="333">
                  <c:v>0.83518960607858395</c:v>
                </c:pt>
                <c:pt idx="334">
                  <c:v>0.83753953488936095</c:v>
                </c:pt>
                <c:pt idx="335">
                  <c:v>0.83988804124886596</c:v>
                </c:pt>
                <c:pt idx="336">
                  <c:v>0.84223511283164498</c:v>
                </c:pt>
                <c:pt idx="337">
                  <c:v>0.84458073588619098</c:v>
                </c:pt>
                <c:pt idx="338">
                  <c:v>0.84692489533556603</c:v>
                </c:pt>
                <c:pt idx="339">
                  <c:v>0.84926757486716897</c:v>
                </c:pt>
                <c:pt idx="340">
                  <c:v>0.85160875701238703</c:v>
                </c:pt>
                <c:pt idx="341">
                  <c:v>0.85394842321686404</c:v>
                </c:pt>
                <c:pt idx="342">
                  <c:v>0.85628655390211805</c:v>
                </c:pt>
                <c:pt idx="343">
                  <c:v>0.85862312851920897</c:v>
                </c:pt>
                <c:pt idx="344">
                  <c:v>0.86095812559510598</c:v>
                </c:pt>
                <c:pt idx="345">
                  <c:v>0.86329152277239896</c:v>
                </c:pt>
                <c:pt idx="346">
                  <c:v>0.86562329684292605</c:v>
                </c:pt>
                <c:pt idx="347">
                  <c:v>0.86795342377586604</c:v>
                </c:pt>
                <c:pt idx="348">
                  <c:v>0.870281878740788</c:v>
                </c:pt>
                <c:pt idx="349">
                  <c:v>0.87260863612611705</c:v>
                </c:pt>
                <c:pt idx="350">
                  <c:v>0.87493366955343599</c:v>
                </c:pt>
                <c:pt idx="351">
                  <c:v>0.87725695188798403</c:v>
                </c:pt>
                <c:pt idx="352">
                  <c:v>0.87957845524571399</c:v>
                </c:pt>
                <c:pt idx="353">
                  <c:v>0.88189815099718805</c:v>
                </c:pt>
                <c:pt idx="354">
                  <c:v>0.88421600976860504</c:v>
                </c:pt>
                <c:pt idx="355">
                  <c:v>0.88653200144018895</c:v>
                </c:pt>
                <c:pt idx="356">
                  <c:v>0.88884609514216395</c:v>
                </c:pt>
                <c:pt idx="357">
                  <c:v>0.89115825924849101</c:v>
                </c:pt>
                <c:pt idx="358">
                  <c:v>0.89116117621741797</c:v>
                </c:pt>
                <c:pt idx="359">
                  <c:v>0.89116117621741797</c:v>
                </c:pt>
                <c:pt idx="360">
                  <c:v>0.89116117621741797</c:v>
                </c:pt>
                <c:pt idx="361">
                  <c:v>0.89116117621741797</c:v>
                </c:pt>
                <c:pt idx="362">
                  <c:v>0.89116117621741797</c:v>
                </c:pt>
                <c:pt idx="363">
                  <c:v>0.89116117621741797</c:v>
                </c:pt>
                <c:pt idx="364">
                  <c:v>0.89116117621741797</c:v>
                </c:pt>
                <c:pt idx="365">
                  <c:v>0.89116117621741797</c:v>
                </c:pt>
                <c:pt idx="366">
                  <c:v>0.89116117621741797</c:v>
                </c:pt>
                <c:pt idx="367">
                  <c:v>0.89116117621741797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A0A-4C2D-A2F9-FC22B2A073D9}"/>
            </c:ext>
          </c:extLst>
        </c:ser>
        <c:ser>
          <c:idx val="5"/>
          <c:order val="5"/>
          <c:tx>
            <c:strRef>
              <c:f>Implicit_Fracs!$AI$2</c:f>
              <c:strCache>
                <c:ptCount val="1"/>
                <c:pt idx="0">
                  <c:v>Clear zone volume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Implicit_Fracs!$C$4:$C$371</c:f>
              <c:numCache>
                <c:formatCode>General</c:formatCode>
                <c:ptCount val="368"/>
                <c:pt idx="0">
                  <c:v>6.5458908507104702E-2</c:v>
                </c:pt>
                <c:pt idx="1">
                  <c:v>0.10158646265419501</c:v>
                </c:pt>
                <c:pt idx="2">
                  <c:v>0.102060105178604</c:v>
                </c:pt>
                <c:pt idx="3">
                  <c:v>0.102354758409441</c:v>
                </c:pt>
                <c:pt idx="4">
                  <c:v>0.10257003610151801</c:v>
                </c:pt>
                <c:pt idx="5">
                  <c:v>0.102740146597483</c:v>
                </c:pt>
                <c:pt idx="6">
                  <c:v>0.10288102093448701</c:v>
                </c:pt>
                <c:pt idx="7">
                  <c:v>0.10300139565401099</c:v>
                </c:pt>
                <c:pt idx="8">
                  <c:v>0.10310658737638601</c:v>
                </c:pt>
                <c:pt idx="9">
                  <c:v>0.103200075337502</c:v>
                </c:pt>
                <c:pt idx="10">
                  <c:v>0.103284262204</c:v>
                </c:pt>
                <c:pt idx="11">
                  <c:v>0.103360877526633</c:v>
                </c:pt>
                <c:pt idx="12">
                  <c:v>0.103431208153653</c:v>
                </c:pt>
                <c:pt idx="13">
                  <c:v>0.103496237708407</c:v>
                </c:pt>
                <c:pt idx="14">
                  <c:v>0.103556735084609</c:v>
                </c:pt>
                <c:pt idx="15">
                  <c:v>0.103613312816801</c:v>
                </c:pt>
                <c:pt idx="16">
                  <c:v>0.103666466857375</c:v>
                </c:pt>
                <c:pt idx="17">
                  <c:v>0.10371660444741999</c:v>
                </c:pt>
                <c:pt idx="18">
                  <c:v>0.10376406411969299</c:v>
                </c:pt>
                <c:pt idx="19">
                  <c:v>0.10380913035858701</c:v>
                </c:pt>
                <c:pt idx="20">
                  <c:v>0.103852044544123</c:v>
                </c:pt>
                <c:pt idx="21">
                  <c:v>0.103893013256558</c:v>
                </c:pt>
                <c:pt idx="22">
                  <c:v>0.103932214670875</c:v>
                </c:pt>
                <c:pt idx="23">
                  <c:v>0.10396980354554</c:v>
                </c:pt>
                <c:pt idx="24">
                  <c:v>0.104005915161023</c:v>
                </c:pt>
                <c:pt idx="25">
                  <c:v>0.10404066846285701</c:v>
                </c:pt>
                <c:pt idx="26">
                  <c:v>0.104074168594671</c:v>
                </c:pt>
                <c:pt idx="27">
                  <c:v>0.10410650895807599</c:v>
                </c:pt>
                <c:pt idx="28">
                  <c:v>0.10413777290170501</c:v>
                </c:pt>
                <c:pt idx="29">
                  <c:v>0.104168035116796</c:v>
                </c:pt>
                <c:pt idx="30">
                  <c:v>0.104197362798492</c:v>
                </c:pt>
                <c:pt idx="31">
                  <c:v>0.104225816618547</c:v>
                </c:pt>
                <c:pt idx="32">
                  <c:v>0.104253451545067</c:v>
                </c:pt>
                <c:pt idx="33">
                  <c:v>0.104280317537286</c:v>
                </c:pt>
                <c:pt idx="34">
                  <c:v>0.10430646013757899</c:v>
                </c:pt>
                <c:pt idx="35">
                  <c:v>0.10433192097843901</c:v>
                </c:pt>
                <c:pt idx="36">
                  <c:v>0.104356738218675</c:v>
                </c:pt>
                <c:pt idx="37">
                  <c:v>0.10438094692038</c:v>
                </c:pt>
                <c:pt idx="38">
                  <c:v>0.104404579376061</c:v>
                </c:pt>
                <c:pt idx="39">
                  <c:v>0.10442766539470601</c:v>
                </c:pt>
                <c:pt idx="40">
                  <c:v>0.104450232550895</c:v>
                </c:pt>
                <c:pt idx="41">
                  <c:v>0.104472306403378</c:v>
                </c:pt>
                <c:pt idx="42">
                  <c:v>0.104493910687546</c:v>
                </c:pt>
                <c:pt idx="43">
                  <c:v>0.104515067485448</c:v>
                </c:pt>
                <c:pt idx="44">
                  <c:v>0.104535797376425</c:v>
                </c:pt>
                <c:pt idx="45">
                  <c:v>0.104556119570968</c:v>
                </c:pt>
                <c:pt idx="46">
                  <c:v>0.10457605202998201</c:v>
                </c:pt>
                <c:pt idx="47">
                  <c:v>0.10459561157132601</c:v>
                </c:pt>
                <c:pt idx="48">
                  <c:v>0.10461481396524</c:v>
                </c:pt>
                <c:pt idx="49">
                  <c:v>0.104633674020002</c:v>
                </c:pt>
                <c:pt idx="50">
                  <c:v>0.104652205659008</c:v>
                </c:pt>
                <c:pt idx="51">
                  <c:v>0.10467042199028</c:v>
                </c:pt>
                <c:pt idx="52">
                  <c:v>0.10468833536927501</c:v>
                </c:pt>
                <c:pt idx="53">
                  <c:v>0.104705957455764</c:v>
                </c:pt>
                <c:pt idx="54">
                  <c:v>0.104723299265432</c:v>
                </c:pt>
                <c:pt idx="55">
                  <c:v>0.10474037121678501</c:v>
                </c:pt>
                <c:pt idx="56">
                  <c:v>0.104757183173858</c:v>
                </c:pt>
                <c:pt idx="57">
                  <c:v>0.10477374448518</c:v>
                </c:pt>
                <c:pt idx="58">
                  <c:v>0.104790064019366</c:v>
                </c:pt>
                <c:pt idx="59">
                  <c:v>0.10480615019770299</c:v>
                </c:pt>
                <c:pt idx="60">
                  <c:v>0.104822011024007</c:v>
                </c:pt>
                <c:pt idx="61">
                  <c:v>0.10483765411203801</c:v>
                </c:pt>
                <c:pt idx="62">
                  <c:v>0.104853086710699</c:v>
                </c:pt>
                <c:pt idx="63">
                  <c:v>0.10486831572724099</c:v>
                </c:pt>
                <c:pt idx="64">
                  <c:v>0.104883347748643</c:v>
                </c:pt>
                <c:pt idx="65">
                  <c:v>0.104898189061358</c:v>
                </c:pt>
                <c:pt idx="66">
                  <c:v>0.104912845669559</c:v>
                </c:pt>
                <c:pt idx="67">
                  <c:v>0.10492732331202199</c:v>
                </c:pt>
                <c:pt idx="68">
                  <c:v>0.10494162747777</c:v>
                </c:pt>
                <c:pt idx="69">
                  <c:v>0.10495576342058401</c:v>
                </c:pt>
                <c:pt idx="70">
                  <c:v>0.104969736172476</c:v>
                </c:pt>
                <c:pt idx="71">
                  <c:v>0.104983550556215</c:v>
                </c:pt>
                <c:pt idx="72">
                  <c:v>0.104997211196988</c:v>
                </c:pt>
                <c:pt idx="73">
                  <c:v>0.105010722533251</c:v>
                </c:pt>
                <c:pt idx="74">
                  <c:v>0.10502408882686499</c:v>
                </c:pt>
                <c:pt idx="75">
                  <c:v>0.105037314172539</c:v>
                </c:pt>
                <c:pt idx="76">
                  <c:v>0.10505040250667</c:v>
                </c:pt>
                <c:pt idx="77">
                  <c:v>0.105063357615594</c:v>
                </c:pt>
                <c:pt idx="78">
                  <c:v>0.105076183143323</c:v>
                </c:pt>
                <c:pt idx="79">
                  <c:v>0.10508888259878001</c:v>
                </c:pt>
                <c:pt idx="80">
                  <c:v>0.105101459362598</c:v>
                </c:pt>
                <c:pt idx="81">
                  <c:v>0.10511391669348399</c:v>
                </c:pt>
                <c:pt idx="82">
                  <c:v>0.10512625773421</c:v>
                </c:pt>
                <c:pt idx="83">
                  <c:v>0.10513848551723599</c:v>
                </c:pt>
                <c:pt idx="84">
                  <c:v>0.10515060297000201</c:v>
                </c:pt>
                <c:pt idx="85">
                  <c:v>0.105162612919908</c:v>
                </c:pt>
                <c:pt idx="86">
                  <c:v>0.105174518099013</c:v>
                </c:pt>
                <c:pt idx="87">
                  <c:v>0.105186321148453</c:v>
                </c:pt>
                <c:pt idx="88">
                  <c:v>0.105198024622616</c:v>
                </c:pt>
                <c:pt idx="89">
                  <c:v>0.105209630993088</c:v>
                </c:pt>
                <c:pt idx="90">
                  <c:v>0.10522114265237301</c:v>
                </c:pt>
                <c:pt idx="91">
                  <c:v>0.105232561917411</c:v>
                </c:pt>
                <c:pt idx="92">
                  <c:v>0.105243891032912</c:v>
                </c:pt>
                <c:pt idx="93">
                  <c:v>0.105255132174505</c:v>
                </c:pt>
                <c:pt idx="94">
                  <c:v>0.10526628745172401</c:v>
                </c:pt>
                <c:pt idx="95">
                  <c:v>0.105277358910841</c:v>
                </c:pt>
                <c:pt idx="96">
                  <c:v>0.105288348537545</c:v>
                </c:pt>
                <c:pt idx="97">
                  <c:v>0.10529925825949001</c:v>
                </c:pt>
                <c:pt idx="98">
                  <c:v>0.105310089948715</c:v>
                </c:pt>
                <c:pt idx="99">
                  <c:v>0.10532084542394</c:v>
                </c:pt>
                <c:pt idx="100">
                  <c:v>0.105331526452749</c:v>
                </c:pt>
                <c:pt idx="101">
                  <c:v>0.10534213475366599</c:v>
                </c:pt>
                <c:pt idx="102">
                  <c:v>0.105352671998135</c:v>
                </c:pt>
                <c:pt idx="103">
                  <c:v>0.105363139812398</c:v>
                </c:pt>
                <c:pt idx="104">
                  <c:v>0.10537353977929</c:v>
                </c:pt>
                <c:pt idx="105">
                  <c:v>0.105383873439947</c:v>
                </c:pt>
                <c:pt idx="106">
                  <c:v>0.105394142295438</c:v>
                </c:pt>
                <c:pt idx="107">
                  <c:v>0.10540434780831399</c:v>
                </c:pt>
                <c:pt idx="108">
                  <c:v>0.1054144914041</c:v>
                </c:pt>
                <c:pt idx="109">
                  <c:v>0.105424574472708</c:v>
                </c:pt>
                <c:pt idx="110">
                  <c:v>0.10543459836979301</c:v>
                </c:pt>
                <c:pt idx="111">
                  <c:v>0.105444564418049</c:v>
                </c:pt>
                <c:pt idx="112">
                  <c:v>0.105454473908448</c:v>
                </c:pt>
                <c:pt idx="113">
                  <c:v>0.105464328101426</c:v>
                </c:pt>
                <c:pt idx="114">
                  <c:v>0.10547412822802001</c:v>
                </c:pt>
                <c:pt idx="115">
                  <c:v>0.10548387549095201</c:v>
                </c:pt>
                <c:pt idx="116">
                  <c:v>0.105493571065675</c:v>
                </c:pt>
                <c:pt idx="117">
                  <c:v>0.105503216101374</c:v>
                </c:pt>
                <c:pt idx="118">
                  <c:v>0.10551281172191999</c:v>
                </c:pt>
                <c:pt idx="119">
                  <c:v>0.10552235902679701</c:v>
                </c:pt>
                <c:pt idx="120">
                  <c:v>0.105531859091982</c:v>
                </c:pt>
                <c:pt idx="121">
                  <c:v>0.105541312970793</c:v>
                </c:pt>
                <c:pt idx="122">
                  <c:v>0.105550721694713</c:v>
                </c:pt>
                <c:pt idx="123">
                  <c:v>0.10556008627416701</c:v>
                </c:pt>
                <c:pt idx="124">
                  <c:v>0.105569407699282</c:v>
                </c:pt>
                <c:pt idx="125">
                  <c:v>0.105578686940613</c:v>
                </c:pt>
                <c:pt idx="126">
                  <c:v>0.10558792494984499</c:v>
                </c:pt>
                <c:pt idx="127">
                  <c:v>0.105597122660464</c:v>
                </c:pt>
                <c:pt idx="128">
                  <c:v>0.105606280988415</c:v>
                </c:pt>
                <c:pt idx="129">
                  <c:v>0.105615400832723</c:v>
                </c:pt>
                <c:pt idx="130">
                  <c:v>0.10562448307610101</c:v>
                </c:pt>
                <c:pt idx="131">
                  <c:v>0.105633528585537</c:v>
                </c:pt>
                <c:pt idx="132">
                  <c:v>0.105642538212856</c:v>
                </c:pt>
                <c:pt idx="133">
                  <c:v>0.10565151279527001</c:v>
                </c:pt>
                <c:pt idx="134">
                  <c:v>0.105660453155901</c:v>
                </c:pt>
                <c:pt idx="135">
                  <c:v>0.1056693601043</c:v>
                </c:pt>
                <c:pt idx="136">
                  <c:v>0.105678234436935</c:v>
                </c:pt>
                <c:pt idx="137">
                  <c:v>0.105687076937673</c:v>
                </c:pt>
                <c:pt idx="138">
                  <c:v>0.10569588837824601</c:v>
                </c:pt>
                <c:pt idx="139">
                  <c:v>0.105704669518702</c:v>
                </c:pt>
                <c:pt idx="140">
                  <c:v>0.105713421107842</c:v>
                </c:pt>
                <c:pt idx="141">
                  <c:v>0.105722143883642</c:v>
                </c:pt>
                <c:pt idx="142">
                  <c:v>0.10573083857367301</c:v>
                </c:pt>
                <c:pt idx="143">
                  <c:v>0.10573950589549699</c:v>
                </c:pt>
                <c:pt idx="144">
                  <c:v>0.105748146557059</c:v>
                </c:pt>
                <c:pt idx="145">
                  <c:v>0.105756761257069</c:v>
                </c:pt>
                <c:pt idx="146">
                  <c:v>0.105765350685371</c:v>
                </c:pt>
                <c:pt idx="147">
                  <c:v>0.10577391552330601</c:v>
                </c:pt>
                <c:pt idx="148">
                  <c:v>0.105782456444064</c:v>
                </c:pt>
                <c:pt idx="149">
                  <c:v>0.105790974113029</c:v>
                </c:pt>
                <c:pt idx="150">
                  <c:v>0.105799469188117</c:v>
                </c:pt>
                <c:pt idx="151">
                  <c:v>0.105807942320102</c:v>
                </c:pt>
                <c:pt idx="152">
                  <c:v>0.105816394152941</c:v>
                </c:pt>
                <c:pt idx="153">
                  <c:v>0.10582482532409</c:v>
                </c:pt>
                <c:pt idx="154">
                  <c:v>0.10583323646481201</c:v>
                </c:pt>
                <c:pt idx="155">
                  <c:v>0.105841628200482</c:v>
                </c:pt>
                <c:pt idx="156">
                  <c:v>0.105850001150887</c:v>
                </c:pt>
                <c:pt idx="157">
                  <c:v>0.105858355930516</c:v>
                </c:pt>
                <c:pt idx="158">
                  <c:v>0.105866693148851</c:v>
                </c:pt>
                <c:pt idx="159">
                  <c:v>0.105875013410654</c:v>
                </c:pt>
                <c:pt idx="160">
                  <c:v>0.10588331731624</c:v>
                </c:pt>
                <c:pt idx="161">
                  <c:v>0.105891605461765</c:v>
                </c:pt>
                <c:pt idx="162">
                  <c:v>0.10589987843948701</c:v>
                </c:pt>
                <c:pt idx="163">
                  <c:v>0.10590813683804701</c:v>
                </c:pt>
                <c:pt idx="164">
                  <c:v>0.10591638124273201</c:v>
                </c:pt>
                <c:pt idx="165">
                  <c:v>0.105924612235738</c:v>
                </c:pt>
                <c:pt idx="166">
                  <c:v>0.10593283039644</c:v>
                </c:pt>
                <c:pt idx="167">
                  <c:v>0.105941036301648</c:v>
                </c:pt>
                <c:pt idx="168">
                  <c:v>0.10594923052586901</c:v>
                </c:pt>
                <c:pt idx="169">
                  <c:v>0.105957413641566</c:v>
                </c:pt>
                <c:pt idx="170">
                  <c:v>0.105965586219415</c:v>
                </c:pt>
                <c:pt idx="171">
                  <c:v>0.105973748828566</c:v>
                </c:pt>
                <c:pt idx="172">
                  <c:v>0.10598190203689301</c:v>
                </c:pt>
                <c:pt idx="173">
                  <c:v>0.105990046411258</c:v>
                </c:pt>
                <c:pt idx="174">
                  <c:v>0.10599818251776701</c:v>
                </c:pt>
                <c:pt idx="175">
                  <c:v>0.106006310922025</c:v>
                </c:pt>
                <c:pt idx="176">
                  <c:v>0.106014432189397</c:v>
                </c:pt>
                <c:pt idx="177">
                  <c:v>0.106022546885271</c:v>
                </c:pt>
                <c:pt idx="178">
                  <c:v>0.10603065557531401</c:v>
                </c:pt>
                <c:pt idx="179">
                  <c:v>0.10603875882574</c:v>
                </c:pt>
                <c:pt idx="180">
                  <c:v>0.106046857203577</c:v>
                </c:pt>
                <c:pt idx="181">
                  <c:v>0.106054951276932</c:v>
                </c:pt>
                <c:pt idx="182">
                  <c:v>0.106063041615263</c:v>
                </c:pt>
                <c:pt idx="183">
                  <c:v>0.10607112878965499</c:v>
                </c:pt>
                <c:pt idx="184">
                  <c:v>0.106079213373101</c:v>
                </c:pt>
                <c:pt idx="185">
                  <c:v>0.106087295940776</c:v>
                </c:pt>
                <c:pt idx="186">
                  <c:v>0.10609537707033299</c:v>
                </c:pt>
                <c:pt idx="187">
                  <c:v>0.106103457342189</c:v>
                </c:pt>
                <c:pt idx="188">
                  <c:v>0.106111537339822</c:v>
                </c:pt>
                <c:pt idx="189">
                  <c:v>0.10611961765007601</c:v>
                </c:pt>
                <c:pt idx="190">
                  <c:v>0.106127698863465</c:v>
                </c:pt>
                <c:pt idx="191">
                  <c:v>0.10613578157449099</c:v>
                </c:pt>
                <c:pt idx="192">
                  <c:v>0.106143866381966</c:v>
                </c:pt>
                <c:pt idx="193">
                  <c:v>0.10615195388934</c:v>
                </c:pt>
                <c:pt idx="194">
                  <c:v>0.106160044705038</c:v>
                </c:pt>
                <c:pt idx="195">
                  <c:v>0.106168139442805</c:v>
                </c:pt>
                <c:pt idx="196">
                  <c:v>0.106176238722063</c:v>
                </c:pt>
                <c:pt idx="197">
                  <c:v>0.106184343168276</c:v>
                </c:pt>
                <c:pt idx="198">
                  <c:v>0.10619245341332301</c:v>
                </c:pt>
                <c:pt idx="199">
                  <c:v>0.106200570095885</c:v>
                </c:pt>
                <c:pt idx="200">
                  <c:v>0.10620869386184199</c:v>
                </c:pt>
                <c:pt idx="201">
                  <c:v>0.10621682536468401</c:v>
                </c:pt>
                <c:pt idx="202">
                  <c:v>0.106224965265935</c:v>
                </c:pt>
                <c:pt idx="203">
                  <c:v>0.106233114235588</c:v>
                </c:pt>
                <c:pt idx="204">
                  <c:v>0.10624127295256</c:v>
                </c:pt>
                <c:pt idx="205">
                  <c:v>0.10624944210515699</c:v>
                </c:pt>
                <c:pt idx="206">
                  <c:v>0.106257622391562</c:v>
                </c:pt>
                <c:pt idx="207">
                  <c:v>0.106265814520335</c:v>
                </c:pt>
                <c:pt idx="208">
                  <c:v>0.106274019210935</c:v>
                </c:pt>
                <c:pt idx="209">
                  <c:v>0.10628223719426</c:v>
                </c:pt>
                <c:pt idx="210">
                  <c:v>0.106290469213214</c:v>
                </c:pt>
                <c:pt idx="211">
                  <c:v>0.106298716023284</c:v>
                </c:pt>
                <c:pt idx="212">
                  <c:v>0.106306978393155</c:v>
                </c:pt>
                <c:pt idx="213">
                  <c:v>0.106315257105341</c:v>
                </c:pt>
                <c:pt idx="214">
                  <c:v>0.10632355295684801</c:v>
                </c:pt>
                <c:pt idx="215">
                  <c:v>0.10633186675985799</c:v>
                </c:pt>
                <c:pt idx="216">
                  <c:v>0.10634019934245301</c:v>
                </c:pt>
                <c:pt idx="217">
                  <c:v>0.106348551549366</c:v>
                </c:pt>
                <c:pt idx="218">
                  <c:v>0.106356924242761</c:v>
                </c:pt>
                <c:pt idx="219">
                  <c:v>0.10636531830306099</c:v>
                </c:pt>
                <c:pt idx="220">
                  <c:v>0.106373734629807</c:v>
                </c:pt>
                <c:pt idx="221">
                  <c:v>0.10638217414255299</c:v>
                </c:pt>
                <c:pt idx="222">
                  <c:v>0.106390637781818</c:v>
                </c:pt>
                <c:pt idx="223">
                  <c:v>0.10639912651007299</c:v>
                </c:pt>
                <c:pt idx="224">
                  <c:v>0.10640764131277999</c:v>
                </c:pt>
                <c:pt idx="225">
                  <c:v>0.10641618319948901</c:v>
                </c:pt>
                <c:pt idx="226">
                  <c:v>0.106424753204983</c:v>
                </c:pt>
                <c:pt idx="227">
                  <c:v>0.10643335239049</c:v>
                </c:pt>
                <c:pt idx="228">
                  <c:v>0.106441981844954</c:v>
                </c:pt>
                <c:pt idx="229">
                  <c:v>0.106450642686375</c:v>
                </c:pt>
                <c:pt idx="230">
                  <c:v>0.10645933606322799</c:v>
                </c:pt>
                <c:pt idx="231">
                  <c:v>0.10646806315594901</c:v>
                </c:pt>
                <c:pt idx="232">
                  <c:v>0.106476825178516</c:v>
                </c:pt>
                <c:pt idx="233">
                  <c:v>0.10648562338011</c:v>
                </c:pt>
                <c:pt idx="234">
                  <c:v>0.106494459046881</c:v>
                </c:pt>
                <c:pt idx="235">
                  <c:v>0.106503333503809</c:v>
                </c:pt>
                <c:pt idx="236">
                  <c:v>0.10651224811667701</c:v>
                </c:pt>
                <c:pt idx="237">
                  <c:v>0.106521204294171</c:v>
                </c:pt>
                <c:pt idx="238">
                  <c:v>0.106530203490093</c:v>
                </c:pt>
                <c:pt idx="239">
                  <c:v>0.10653924720572699</c:v>
                </c:pt>
                <c:pt idx="240">
                  <c:v>0.106548336992338</c:v>
                </c:pt>
                <c:pt idx="241">
                  <c:v>0.106557474453844</c:v>
                </c:pt>
                <c:pt idx="242">
                  <c:v>0.106566661249652</c:v>
                </c:pt>
                <c:pt idx="243">
                  <c:v>0.10657589909767901</c:v>
                </c:pt>
                <c:pt idx="244">
                  <c:v>0.10658518977758299</c:v>
                </c:pt>
                <c:pt idx="245">
                  <c:v>0.106594535134197</c:v>
                </c:pt>
                <c:pt idx="246">
                  <c:v>0.106603937081217</c:v>
                </c:pt>
                <c:pt idx="247">
                  <c:v>0.106613397605125</c:v>
                </c:pt>
                <c:pt idx="248">
                  <c:v>0.10662291876941001</c:v>
                </c:pt>
                <c:pt idx="249">
                  <c:v>0.106632502719071</c:v>
                </c:pt>
                <c:pt idx="250">
                  <c:v>0.10664215168546599</c:v>
                </c:pt>
                <c:pt idx="251">
                  <c:v>0.106651867991505</c:v>
                </c:pt>
                <c:pt idx="252">
                  <c:v>0.106661654057239</c:v>
                </c:pt>
                <c:pt idx="253">
                  <c:v>0.106671512405876</c:v>
                </c:pt>
                <c:pt idx="254">
                  <c:v>0.106681445670259</c:v>
                </c:pt>
                <c:pt idx="255">
                  <c:v>0.106691456599855</c:v>
                </c:pt>
                <c:pt idx="256">
                  <c:v>0.10670154806830701</c:v>
                </c:pt>
                <c:pt idx="257">
                  <c:v>0.106711723081597</c:v>
                </c:pt>
                <c:pt idx="258">
                  <c:v>0.106721984786882</c:v>
                </c:pt>
                <c:pt idx="259">
                  <c:v>0.106732336482082</c:v>
                </c:pt>
                <c:pt idx="260">
                  <c:v>0.10674278162628199</c:v>
                </c:pt>
                <c:pt idx="261">
                  <c:v>0.106753323851043</c:v>
                </c:pt>
                <c:pt idx="262">
                  <c:v>0.106763966972719</c:v>
                </c:pt>
                <c:pt idx="263">
                  <c:v>0.10677471500588499</c:v>
                </c:pt>
                <c:pt idx="264">
                  <c:v>0.10678557217800599</c:v>
                </c:pt>
                <c:pt idx="265">
                  <c:v>0.106796542945475</c:v>
                </c:pt>
                <c:pt idx="266">
                  <c:v>0.10680763201119001</c:v>
                </c:pt>
                <c:pt idx="267">
                  <c:v>0.106818844343851</c:v>
                </c:pt>
                <c:pt idx="268">
                  <c:v>0.106830185199162</c:v>
                </c:pt>
                <c:pt idx="269">
                  <c:v>0.1068416601432</c:v>
                </c:pt>
                <c:pt idx="270">
                  <c:v>0.106853275078199</c:v>
                </c:pt>
                <c:pt idx="271">
                  <c:v>0.10686503627105901</c:v>
                </c:pt>
                <c:pt idx="272">
                  <c:v>0.106876950384948</c:v>
                </c:pt>
                <c:pt idx="273">
                  <c:v>0.10688902451438199</c:v>
                </c:pt>
                <c:pt idx="274">
                  <c:v>0.106901266224276</c:v>
                </c:pt>
                <c:pt idx="275">
                  <c:v>0.106913683593506</c:v>
                </c:pt>
                <c:pt idx="276">
                  <c:v>0.106926285263621</c:v>
                </c:pt>
                <c:pt idx="277">
                  <c:v>0.106939080493455</c:v>
                </c:pt>
                <c:pt idx="278">
                  <c:v>0.10695207922051</c:v>
                </c:pt>
                <c:pt idx="279">
                  <c:v>0.10696529213014599</c:v>
                </c:pt>
                <c:pt idx="280">
                  <c:v>0.106978730733797</c:v>
                </c:pt>
                <c:pt idx="281">
                  <c:v>0.106992407457646</c:v>
                </c:pt>
                <c:pt idx="282">
                  <c:v>0.107006335743491</c:v>
                </c:pt>
                <c:pt idx="283">
                  <c:v>0.10702053016384699</c:v>
                </c:pt>
                <c:pt idx="284">
                  <c:v>0.107035006553762</c:v>
                </c:pt>
                <c:pt idx="285">
                  <c:v>0.107049782162317</c:v>
                </c:pt>
                <c:pt idx="286">
                  <c:v>0.10706487582742701</c:v>
                </c:pt>
                <c:pt idx="287">
                  <c:v>0.107080308178348</c:v>
                </c:pt>
                <c:pt idx="288">
                  <c:v>0.10709610187127599</c:v>
                </c:pt>
                <c:pt idx="289">
                  <c:v>0.10711228186470099</c:v>
                </c:pt>
                <c:pt idx="290">
                  <c:v>0.107128875742745</c:v>
                </c:pt>
                <c:pt idx="291">
                  <c:v>0.107145914096787</c:v>
                </c:pt>
                <c:pt idx="292">
                  <c:v>0.10716343097827</c:v>
                </c:pt>
                <c:pt idx="293">
                  <c:v>0.10718146443905199</c:v>
                </c:pt>
                <c:pt idx="294">
                  <c:v>0.107200057180087</c:v>
                </c:pt>
                <c:pt idx="295">
                  <c:v>0.10721925733519</c:v>
                </c:pt>
                <c:pt idx="296">
                  <c:v>0.107239119424452</c:v>
                </c:pt>
                <c:pt idx="297">
                  <c:v>0.10725970552248799</c:v>
                </c:pt>
                <c:pt idx="298">
                  <c:v>0.107281086701057</c:v>
                </c:pt>
                <c:pt idx="299">
                  <c:v>0.10730334482520799</c:v>
                </c:pt>
                <c:pt idx="300">
                  <c:v>0.107326574809414</c:v>
                </c:pt>
                <c:pt idx="301">
                  <c:v>0.10735088747820599</c:v>
                </c:pt>
                <c:pt idx="302">
                  <c:v>0.10737641322982</c:v>
                </c:pt>
                <c:pt idx="303">
                  <c:v>0.107403306778537</c:v>
                </c:pt>
                <c:pt idx="304">
                  <c:v>0.10743175336319</c:v>
                </c:pt>
                <c:pt idx="305">
                  <c:v>0.107461976972791</c:v>
                </c:pt>
                <c:pt idx="306">
                  <c:v>0.107494251381856</c:v>
                </c:pt>
                <c:pt idx="307">
                  <c:v>0.107528915147976</c:v>
                </c:pt>
                <c:pt idx="308">
                  <c:v>0.107566392263413</c:v>
                </c:pt>
                <c:pt idx="309">
                  <c:v>0.10760722096054399</c:v>
                </c:pt>
                <c:pt idx="310">
                  <c:v>0.107652094373539</c:v>
                </c:pt>
                <c:pt idx="311">
                  <c:v>0.107701918517204</c:v>
                </c:pt>
                <c:pt idx="312">
                  <c:v>0.107757895545197</c:v>
                </c:pt>
                <c:pt idx="313">
                  <c:v>0.107821643761701</c:v>
                </c:pt>
                <c:pt idx="314">
                  <c:v>0.107895371464266</c:v>
                </c:pt>
                <c:pt idx="315">
                  <c:v>0.107982136054144</c:v>
                </c:pt>
                <c:pt idx="316">
                  <c:v>0.108086279484475</c:v>
                </c:pt>
                <c:pt idx="317">
                  <c:v>0.10821441051713999</c:v>
                </c:pt>
                <c:pt idx="318">
                  <c:v>0.108378611684964</c:v>
                </c:pt>
                <c:pt idx="319">
                  <c:v>0.10851279142848901</c:v>
                </c:pt>
                <c:pt idx="320">
                  <c:v>0.108646878508965</c:v>
                </c:pt>
                <c:pt idx="321">
                  <c:v>0.108781836007877</c:v>
                </c:pt>
                <c:pt idx="322">
                  <c:v>0.108917703938839</c:v>
                </c:pt>
                <c:pt idx="323">
                  <c:v>0.109054545173906</c:v>
                </c:pt>
                <c:pt idx="324">
                  <c:v>0.109192417872054</c:v>
                </c:pt>
                <c:pt idx="325">
                  <c:v>0.109331376964383</c:v>
                </c:pt>
                <c:pt idx="326">
                  <c:v>0.10947147454287399</c:v>
                </c:pt>
                <c:pt idx="327">
                  <c:v>0.109612760241196</c:v>
                </c:pt>
                <c:pt idx="328">
                  <c:v>0.10975528157779101</c:v>
                </c:pt>
                <c:pt idx="329">
                  <c:v>0.109899084266184</c:v>
                </c:pt>
                <c:pt idx="330">
                  <c:v>0.110044212495958</c:v>
                </c:pt>
                <c:pt idx="331">
                  <c:v>0.11019070918751001</c:v>
                </c:pt>
                <c:pt idx="332">
                  <c:v>0.11033861622334599</c:v>
                </c:pt>
                <c:pt idx="333">
                  <c:v>0.110487974658393</c:v>
                </c:pt>
                <c:pt idx="334">
                  <c:v>0.110638824911563</c:v>
                </c:pt>
                <c:pt idx="335">
                  <c:v>0.110791206940568</c:v>
                </c:pt>
                <c:pt idx="336">
                  <c:v>0.11094516040180299</c:v>
                </c:pt>
                <c:pt idx="337">
                  <c:v>0.11110072479692901</c:v>
                </c:pt>
                <c:pt idx="338">
                  <c:v>0.111257939607629</c:v>
                </c:pt>
                <c:pt idx="339">
                  <c:v>0.111416844419904</c:v>
                </c:pt>
                <c:pt idx="340">
                  <c:v>0.111577479039088</c:v>
                </c:pt>
                <c:pt idx="341">
                  <c:v>0.111739883596728</c:v>
                </c:pt>
                <c:pt idx="342">
                  <c:v>0.111904098650297</c:v>
                </c:pt>
                <c:pt idx="343">
                  <c:v>0.11207016527668</c:v>
                </c:pt>
                <c:pt idx="344">
                  <c:v>0.112238125160255</c:v>
                </c:pt>
                <c:pt idx="345">
                  <c:v>0.11240802067632299</c:v>
                </c:pt>
                <c:pt idx="346">
                  <c:v>0.11257989497059701</c:v>
                </c:pt>
                <c:pt idx="347">
                  <c:v>0.112753792035371</c:v>
                </c:pt>
                <c:pt idx="348">
                  <c:v>0.112929756782956</c:v>
                </c:pt>
                <c:pt idx="349">
                  <c:v>0.113107835116922</c:v>
                </c:pt>
                <c:pt idx="350">
                  <c:v>0.113288074001635</c:v>
                </c:pt>
                <c:pt idx="351">
                  <c:v>0.113470521530551</c:v>
                </c:pt>
                <c:pt idx="352">
                  <c:v>0.113655226993682</c:v>
                </c:pt>
                <c:pt idx="353">
                  <c:v>0.113842240944644</c:v>
                </c:pt>
                <c:pt idx="354">
                  <c:v>0.114031615267637</c:v>
                </c:pt>
                <c:pt idx="355">
                  <c:v>0.11422340324472501</c:v>
                </c:pt>
                <c:pt idx="356">
                  <c:v>0.11441765962373</c:v>
                </c:pt>
                <c:pt idx="357">
                  <c:v>0.114614440687063</c:v>
                </c:pt>
                <c:pt idx="358">
                  <c:v>0.114813804321789</c:v>
                </c:pt>
                <c:pt idx="359">
                  <c:v>0.22425676384167301</c:v>
                </c:pt>
                <c:pt idx="360">
                  <c:v>0.30704288935609397</c:v>
                </c:pt>
                <c:pt idx="361">
                  <c:v>0.30834090817871301</c:v>
                </c:pt>
                <c:pt idx="362">
                  <c:v>0.30921577139060102</c:v>
                </c:pt>
                <c:pt idx="363">
                  <c:v>0.31017471350345399</c:v>
                </c:pt>
                <c:pt idx="364">
                  <c:v>0.31131883897321</c:v>
                </c:pt>
                <c:pt idx="365">
                  <c:v>0.31289797505880901</c:v>
                </c:pt>
                <c:pt idx="366">
                  <c:v>0.51289797505880896</c:v>
                </c:pt>
                <c:pt idx="367">
                  <c:v>0.51289797505880896</c:v>
                </c:pt>
              </c:numCache>
            </c:numRef>
          </c:xVal>
          <c:yVal>
            <c:numRef>
              <c:f>Implicit_Fracs!$AI$4:$AI$371</c:f>
              <c:numCache>
                <c:formatCode>General</c:formatCode>
                <c:ptCount val="368"/>
                <c:pt idx="0">
                  <c:v>1</c:v>
                </c:pt>
                <c:pt idx="1">
                  <c:v>0.99829869838329599</c:v>
                </c:pt>
                <c:pt idx="2">
                  <c:v>0.99490549322605304</c:v>
                </c:pt>
                <c:pt idx="3">
                  <c:v>0.991237276814802</c:v>
                </c:pt>
                <c:pt idx="4">
                  <c:v>0.98757498137683297</c:v>
                </c:pt>
                <c:pt idx="5">
                  <c:v>0.98397459893429595</c:v>
                </c:pt>
                <c:pt idx="6">
                  <c:v>0.98043609814436705</c:v>
                </c:pt>
                <c:pt idx="7">
                  <c:v>0.97694748793446295</c:v>
                </c:pt>
                <c:pt idx="8">
                  <c:v>0.97349678890111802</c:v>
                </c:pt>
                <c:pt idx="9">
                  <c:v>0.97007468359966698</c:v>
                </c:pt>
                <c:pt idx="10">
                  <c:v>0.96667451355437495</c:v>
                </c:pt>
                <c:pt idx="11">
                  <c:v>0.96329167545249605</c:v>
                </c:pt>
                <c:pt idx="12">
                  <c:v>0.95992301805376601</c:v>
                </c:pt>
                <c:pt idx="13">
                  <c:v>0.95656637814986001</c:v>
                </c:pt>
                <c:pt idx="14">
                  <c:v>0.95322025541142796</c:v>
                </c:pt>
                <c:pt idx="15">
                  <c:v>0.949883593748306</c:v>
                </c:pt>
                <c:pt idx="16">
                  <c:v>0.946555636843463</c:v>
                </c:pt>
                <c:pt idx="17">
                  <c:v>0.94323583312160897</c:v>
                </c:pt>
                <c:pt idx="18">
                  <c:v>0.93992377300660501</c:v>
                </c:pt>
                <c:pt idx="19">
                  <c:v>0.93661914711912797</c:v>
                </c:pt>
                <c:pt idx="20">
                  <c:v>0.93332171806881303</c:v>
                </c:pt>
                <c:pt idx="21">
                  <c:v>0.93003130112985699</c:v>
                </c:pt>
                <c:pt idx="22">
                  <c:v>0.92674775078217997</c:v>
                </c:pt>
                <c:pt idx="23">
                  <c:v>0.92347095117637601</c:v>
                </c:pt>
                <c:pt idx="24">
                  <c:v>0.92020080926261305</c:v>
                </c:pt>
                <c:pt idx="25">
                  <c:v>0.91693724975692903</c:v>
                </c:pt>
                <c:pt idx="26">
                  <c:v>0.91368021139546496</c:v>
                </c:pt>
                <c:pt idx="27">
                  <c:v>0.91042964410608895</c:v>
                </c:pt>
                <c:pt idx="28">
                  <c:v>0.90718550684367805</c:v>
                </c:pt>
                <c:pt idx="29">
                  <c:v>0.90394776591267001</c:v>
                </c:pt>
                <c:pt idx="30">
                  <c:v>0.900716393652359</c:v>
                </c:pt>
                <c:pt idx="31">
                  <c:v>0.89749136739575897</c:v>
                </c:pt>
                <c:pt idx="32">
                  <c:v>0.89427266863722699</c:v>
                </c:pt>
                <c:pt idx="33">
                  <c:v>0.89106028236118795</c:v>
                </c:pt>
                <c:pt idx="34">
                  <c:v>0.88785419649640696</c:v>
                </c:pt>
                <c:pt idx="35">
                  <c:v>0.88465440146906704</c:v>
                </c:pt>
                <c:pt idx="36">
                  <c:v>0.881460889834215</c:v>
                </c:pt>
                <c:pt idx="37">
                  <c:v>0.87826821385871401</c:v>
                </c:pt>
                <c:pt idx="38">
                  <c:v>0.87507628927050896</c:v>
                </c:pt>
                <c:pt idx="39">
                  <c:v>0.87188524701150905</c:v>
                </c:pt>
                <c:pt idx="40">
                  <c:v>0.86869520880902096</c:v>
                </c:pt>
                <c:pt idx="41">
                  <c:v>0.86550628807881902</c:v>
                </c:pt>
                <c:pt idx="42">
                  <c:v>0.86231859072073103</c:v>
                </c:pt>
                <c:pt idx="43">
                  <c:v>0.85913221582175003</c:v>
                </c:pt>
                <c:pt idx="44">
                  <c:v>0.85594725627926405</c:v>
                </c:pt>
                <c:pt idx="45">
                  <c:v>0.85276379935507296</c:v>
                </c:pt>
                <c:pt idx="46">
                  <c:v>0.84958192716920999</c:v>
                </c:pt>
                <c:pt idx="47">
                  <c:v>0.84640171714125001</c:v>
                </c:pt>
                <c:pt idx="48">
                  <c:v>0.84322324238569102</c:v>
                </c:pt>
                <c:pt idx="49">
                  <c:v>0.84004657206699995</c:v>
                </c:pt>
                <c:pt idx="50">
                  <c:v>0.83687177171920202</c:v>
                </c:pt>
                <c:pt idx="51">
                  <c:v>0.833698903534138</c:v>
                </c:pt>
                <c:pt idx="52">
                  <c:v>0.83052802662206104</c:v>
                </c:pt>
                <c:pt idx="53">
                  <c:v>0.82735919724765195</c:v>
                </c:pt>
                <c:pt idx="54">
                  <c:v>0.82419246904422905</c:v>
                </c:pt>
                <c:pt idx="55">
                  <c:v>0.82102789320849501</c:v>
                </c:pt>
                <c:pt idx="56">
                  <c:v>0.817865518677929</c:v>
                </c:pt>
                <c:pt idx="57">
                  <c:v>0.81470539229266103</c:v>
                </c:pt>
                <c:pt idx="58">
                  <c:v>0.81154755894338404</c:v>
                </c:pt>
                <c:pt idx="59">
                  <c:v>0.808392061706801</c:v>
                </c:pt>
                <c:pt idx="60">
                  <c:v>0.80523894196977397</c:v>
                </c:pt>
                <c:pt idx="61">
                  <c:v>0.80208823954335695</c:v>
                </c:pt>
                <c:pt idx="62">
                  <c:v>0.79893999276763294</c:v>
                </c:pt>
                <c:pt idx="63">
                  <c:v>0.79579423860827503</c:v>
                </c:pt>
                <c:pt idx="64">
                  <c:v>0.79265101274559202</c:v>
                </c:pt>
                <c:pt idx="65">
                  <c:v>0.78951034965673705</c:v>
                </c:pt>
                <c:pt idx="66">
                  <c:v>0.78637228269173698</c:v>
                </c:pt>
                <c:pt idx="67">
                  <c:v>0.78323684414385297</c:v>
                </c:pt>
                <c:pt idx="68">
                  <c:v>0.78010406531481702</c:v>
                </c:pt>
                <c:pt idx="69">
                  <c:v>0.77697397657535705</c:v>
                </c:pt>
                <c:pt idx="70">
                  <c:v>0.77384660742141897</c:v>
                </c:pt>
                <c:pt idx="71">
                  <c:v>0.77072198652647805</c:v>
                </c:pt>
                <c:pt idx="72">
                  <c:v>0.76760014179022495</c:v>
                </c:pt>
                <c:pt idx="73">
                  <c:v>0.764481100383965</c:v>
                </c:pt>
                <c:pt idx="74">
                  <c:v>0.76136488879295094</c:v>
                </c:pt>
                <c:pt idx="75">
                  <c:v>0.75825153285595404</c:v>
                </c:pt>
                <c:pt idx="76">
                  <c:v>0.75514105780222995</c:v>
                </c:pt>
                <c:pt idx="77">
                  <c:v>0.75203348828613503</c:v>
                </c:pt>
                <c:pt idx="78">
                  <c:v>0.748928848419531</c:v>
                </c:pt>
                <c:pt idx="79">
                  <c:v>0.745827161802185</c:v>
                </c:pt>
                <c:pt idx="80">
                  <c:v>0.74272845155028999</c:v>
                </c:pt>
                <c:pt idx="81">
                  <c:v>0.73963274032325799</c:v>
                </c:pt>
                <c:pt idx="82">
                  <c:v>0.73654005034888803</c:v>
                </c:pt>
                <c:pt idx="83">
                  <c:v>0.73345040344707602</c:v>
                </c:pt>
                <c:pt idx="84">
                  <c:v>0.73036382105212605</c:v>
                </c:pt>
                <c:pt idx="85">
                  <c:v>0.72728032423376099</c:v>
                </c:pt>
                <c:pt idx="86">
                  <c:v>0.72419993371698799</c:v>
                </c:pt>
                <c:pt idx="87">
                  <c:v>0.72112266990079099</c:v>
                </c:pt>
                <c:pt idx="88">
                  <c:v>0.71804855287583902</c:v>
                </c:pt>
                <c:pt idx="89">
                  <c:v>0.71497760244120201</c:v>
                </c:pt>
                <c:pt idx="90">
                  <c:v>0.71190983812016695</c:v>
                </c:pt>
                <c:pt idx="91">
                  <c:v>0.70884527917523998</c:v>
                </c:pt>
                <c:pt idx="92">
                  <c:v>0.70578394462232497</c:v>
                </c:pt>
                <c:pt idx="93">
                  <c:v>0.70272585324419401</c:v>
                </c:pt>
                <c:pt idx="94">
                  <c:v>0.69967102360325595</c:v>
                </c:pt>
                <c:pt idx="95">
                  <c:v>0.69661947405371405</c:v>
                </c:pt>
                <c:pt idx="96">
                  <c:v>0.69357122275306005</c:v>
                </c:pt>
                <c:pt idx="97">
                  <c:v>0.69052628767307001</c:v>
                </c:pt>
                <c:pt idx="98">
                  <c:v>0.68748468661022999</c:v>
                </c:pt>
                <c:pt idx="99">
                  <c:v>0.684446437195667</c:v>
                </c:pt>
                <c:pt idx="100">
                  <c:v>0.68141155690464095</c:v>
                </c:pt>
                <c:pt idx="101">
                  <c:v>0.67838006306555798</c:v>
                </c:pt>
                <c:pt idx="102">
                  <c:v>0.67535197286860604</c:v>
                </c:pt>
                <c:pt idx="103">
                  <c:v>0.67232730337397295</c:v>
                </c:pt>
                <c:pt idx="104">
                  <c:v>0.66930607151972299</c:v>
                </c:pt>
                <c:pt idx="105">
                  <c:v>0.66628829412933099</c:v>
                </c:pt>
                <c:pt idx="106">
                  <c:v>0.66327398791885295</c:v>
                </c:pt>
                <c:pt idx="107">
                  <c:v>0.66026316950385899</c:v>
                </c:pt>
                <c:pt idx="108">
                  <c:v>0.65725585540599896</c:v>
                </c:pt>
                <c:pt idx="109">
                  <c:v>0.65425206205937703</c:v>
                </c:pt>
                <c:pt idx="110">
                  <c:v>0.65125180581658504</c:v>
                </c:pt>
                <c:pt idx="111">
                  <c:v>0.64825510295459099</c:v>
                </c:pt>
                <c:pt idx="112">
                  <c:v>0.64526196968030602</c:v>
                </c:pt>
                <c:pt idx="113">
                  <c:v>0.64227242213598801</c:v>
                </c:pt>
                <c:pt idx="114">
                  <c:v>0.63928647640443803</c:v>
                </c:pt>
                <c:pt idx="115">
                  <c:v>0.63630414851398498</c:v>
                </c:pt>
                <c:pt idx="116">
                  <c:v>0.63332545444331101</c:v>
                </c:pt>
                <c:pt idx="117">
                  <c:v>0.63035041012607296</c:v>
                </c:pt>
                <c:pt idx="118">
                  <c:v>0.62737903145538898</c:v>
                </c:pt>
                <c:pt idx="119">
                  <c:v>0.62441133428816498</c:v>
                </c:pt>
                <c:pt idx="120">
                  <c:v>0.62144733444926503</c:v>
                </c:pt>
                <c:pt idx="121">
                  <c:v>0.61848704773555396</c:v>
                </c:pt>
                <c:pt idx="122">
                  <c:v>0.61553048991978898</c:v>
                </c:pt>
                <c:pt idx="123">
                  <c:v>0.61257767675441899</c:v>
                </c:pt>
                <c:pt idx="124">
                  <c:v>0.60962862397523498</c:v>
                </c:pt>
                <c:pt idx="125">
                  <c:v>0.60668334730493401</c:v>
                </c:pt>
                <c:pt idx="126">
                  <c:v>0.60374186245656503</c:v>
                </c:pt>
                <c:pt idx="127">
                  <c:v>0.60080418513686196</c:v>
                </c:pt>
                <c:pt idx="128">
                  <c:v>0.59787033104951703</c:v>
                </c:pt>
                <c:pt idx="129">
                  <c:v>0.59494031589832597</c:v>
                </c:pt>
                <c:pt idx="130">
                  <c:v>0.59201415539027202</c:v>
                </c:pt>
                <c:pt idx="131">
                  <c:v>0.58909186523853196</c:v>
                </c:pt>
                <c:pt idx="132">
                  <c:v>0.58617346116539204</c:v>
                </c:pt>
                <c:pt idx="133">
                  <c:v>0.58325895890507595</c:v>
                </c:pt>
                <c:pt idx="134">
                  <c:v>0.58034837420655605</c:v>
                </c:pt>
                <c:pt idx="135">
                  <c:v>0.57744172283625905</c:v>
                </c:pt>
                <c:pt idx="136">
                  <c:v>0.57453902058070705</c:v>
                </c:pt>
                <c:pt idx="137">
                  <c:v>0.57164028324913496</c:v>
                </c:pt>
                <c:pt idx="138">
                  <c:v>0.56874552667602196</c:v>
                </c:pt>
                <c:pt idx="139">
                  <c:v>0.56585476672358603</c:v>
                </c:pt>
                <c:pt idx="140">
                  <c:v>0.56296801928421603</c:v>
                </c:pt>
                <c:pt idx="141">
                  <c:v>0.56008530028288395</c:v>
                </c:pt>
                <c:pt idx="142">
                  <c:v>0.55720662567949397</c:v>
                </c:pt>
                <c:pt idx="143">
                  <c:v>0.55433201147118305</c:v>
                </c:pt>
                <c:pt idx="144">
                  <c:v>0.55146147369461496</c:v>
                </c:pt>
                <c:pt idx="145">
                  <c:v>0.54859502842819896</c:v>
                </c:pt>
                <c:pt idx="146">
                  <c:v>0.54573269179431105</c:v>
                </c:pt>
                <c:pt idx="147">
                  <c:v>0.54287447996146598</c:v>
                </c:pt>
                <c:pt idx="148">
                  <c:v>0.540020409146448</c:v>
                </c:pt>
                <c:pt idx="149">
                  <c:v>0.53717049561644004</c:v>
                </c:pt>
                <c:pt idx="150">
                  <c:v>0.53432475569111404</c:v>
                </c:pt>
                <c:pt idx="151">
                  <c:v>0.53148320574469898</c:v>
                </c:pt>
                <c:pt idx="152">
                  <c:v>0.528645862208029</c:v>
                </c:pt>
                <c:pt idx="153">
                  <c:v>0.52581274157056501</c:v>
                </c:pt>
                <c:pt idx="154">
                  <c:v>0.52298386038240596</c:v>
                </c:pt>
                <c:pt idx="155">
                  <c:v>0.52015923525628405</c:v>
                </c:pt>
                <c:pt idx="156">
                  <c:v>0.517338882869535</c:v>
                </c:pt>
                <c:pt idx="157">
                  <c:v>0.51452281996607296</c:v>
                </c:pt>
                <c:pt idx="158">
                  <c:v>0.51171106335832806</c:v>
                </c:pt>
                <c:pt idx="159">
                  <c:v>0.50890362992919702</c:v>
                </c:pt>
                <c:pt idx="160">
                  <c:v>0.50610053663397403</c:v>
                </c:pt>
                <c:pt idx="161">
                  <c:v>0.50330180050226903</c:v>
                </c:pt>
                <c:pt idx="162">
                  <c:v>0.50050743863993996</c:v>
                </c:pt>
                <c:pt idx="163">
                  <c:v>0.497717468230986</c:v>
                </c:pt>
                <c:pt idx="164">
                  <c:v>0.49493190653949298</c:v>
                </c:pt>
                <c:pt idx="165">
                  <c:v>0.492150770911497</c:v>
                </c:pt>
                <c:pt idx="166">
                  <c:v>0.48937407877692202</c:v>
                </c:pt>
                <c:pt idx="167">
                  <c:v>0.48660184765148001</c:v>
                </c:pt>
                <c:pt idx="168">
                  <c:v>0.483834095138578</c:v>
                </c:pt>
                <c:pt idx="169">
                  <c:v>0.48107083893123398</c:v>
                </c:pt>
                <c:pt idx="170">
                  <c:v>0.478312096813998</c:v>
                </c:pt>
                <c:pt idx="171">
                  <c:v>0.47555788666485499</c:v>
                </c:pt>
                <c:pt idx="172">
                  <c:v>0.47280822645718101</c:v>
                </c:pt>
                <c:pt idx="173">
                  <c:v>0.47006313426166202</c:v>
                </c:pt>
                <c:pt idx="174">
                  <c:v>0.46732262824825299</c:v>
                </c:pt>
                <c:pt idx="175">
                  <c:v>0.46458672668811102</c:v>
                </c:pt>
                <c:pt idx="176">
                  <c:v>0.46185544795560302</c:v>
                </c:pt>
                <c:pt idx="177">
                  <c:v>0.45912881053025301</c:v>
                </c:pt>
                <c:pt idx="178">
                  <c:v>0.45640683299875401</c:v>
                </c:pt>
                <c:pt idx="179">
                  <c:v>0.45368953405698098</c:v>
                </c:pt>
                <c:pt idx="180">
                  <c:v>0.45097693251201898</c:v>
                </c:pt>
                <c:pt idx="181">
                  <c:v>0.44826904728419897</c:v>
                </c:pt>
                <c:pt idx="182">
                  <c:v>0.445565897409196</c:v>
                </c:pt>
                <c:pt idx="183">
                  <c:v>0.44286750204007203</c:v>
                </c:pt>
                <c:pt idx="184">
                  <c:v>0.440173880449437</c:v>
                </c:pt>
                <c:pt idx="185">
                  <c:v>0.43748505203155003</c:v>
                </c:pt>
                <c:pt idx="186">
                  <c:v>0.43480103630449302</c:v>
                </c:pt>
                <c:pt idx="187">
                  <c:v>0.43212185291236199</c:v>
                </c:pt>
                <c:pt idx="188">
                  <c:v>0.42944752162747302</c:v>
                </c:pt>
                <c:pt idx="189">
                  <c:v>0.426778062352624</c:v>
                </c:pt>
                <c:pt idx="190">
                  <c:v>0.424113495123361</c:v>
                </c:pt>
                <c:pt idx="191">
                  <c:v>0.421453840110314</c:v>
                </c:pt>
                <c:pt idx="192">
                  <c:v>0.41879911762150801</c:v>
                </c:pt>
                <c:pt idx="193">
                  <c:v>0.41614934810479698</c:v>
                </c:pt>
                <c:pt idx="194">
                  <c:v>0.413504552150251</c:v>
                </c:pt>
                <c:pt idx="195">
                  <c:v>0.41086475049264898</c:v>
                </c:pt>
                <c:pt idx="196">
                  <c:v>0.40822996401397799</c:v>
                </c:pt>
                <c:pt idx="197">
                  <c:v>0.40560021374599498</c:v>
                </c:pt>
                <c:pt idx="198">
                  <c:v>0.402975520872838</c:v>
                </c:pt>
                <c:pt idx="199">
                  <c:v>0.40035590673367399</c:v>
                </c:pt>
                <c:pt idx="200">
                  <c:v>0.39774139282540799</c:v>
                </c:pt>
                <c:pt idx="201">
                  <c:v>0.39513200080546101</c:v>
                </c:pt>
                <c:pt idx="202">
                  <c:v>0.392527752494579</c:v>
                </c:pt>
                <c:pt idx="203">
                  <c:v>0.389928669879746</c:v>
                </c:pt>
                <c:pt idx="204">
                  <c:v>0.38733477511709302</c:v>
                </c:pt>
                <c:pt idx="205">
                  <c:v>0.38474609053494402</c:v>
                </c:pt>
                <c:pt idx="206">
                  <c:v>0.38216263863691102</c:v>
                </c:pt>
                <c:pt idx="207">
                  <c:v>0.379584442105037</c:v>
                </c:pt>
                <c:pt idx="208">
                  <c:v>0.37701152380304498</c:v>
                </c:pt>
                <c:pt idx="209">
                  <c:v>0.37444390677968598</c:v>
                </c:pt>
                <c:pt idx="210">
                  <c:v>0.37188161427212002</c:v>
                </c:pt>
                <c:pt idx="211">
                  <c:v>0.369324669709436</c:v>
                </c:pt>
                <c:pt idx="212">
                  <c:v>0.36677309671625002</c:v>
                </c:pt>
                <c:pt idx="213">
                  <c:v>0.36422691911641097</c:v>
                </c:pt>
                <c:pt idx="214">
                  <c:v>0.36168616093679901</c:v>
                </c:pt>
                <c:pt idx="215">
                  <c:v>0.359150846411254</c:v>
                </c:pt>
                <c:pt idx="216">
                  <c:v>0.356620999984607</c:v>
                </c:pt>
                <c:pt idx="217">
                  <c:v>0.354096646316857</c:v>
                </c:pt>
                <c:pt idx="218">
                  <c:v>0.35157781028745599</c:v>
                </c:pt>
                <c:pt idx="219">
                  <c:v>0.34906451699973601</c:v>
                </c:pt>
                <c:pt idx="220">
                  <c:v>0.34655679178551102</c:v>
                </c:pt>
                <c:pt idx="221">
                  <c:v>0.34405466020980502</c:v>
                </c:pt>
                <c:pt idx="222">
                  <c:v>0.34155814807573998</c:v>
                </c:pt>
                <c:pt idx="223">
                  <c:v>0.33906728142963899</c:v>
                </c:pt>
                <c:pt idx="224">
                  <c:v>0.33658208656626698</c:v>
                </c:pt>
                <c:pt idx="225">
                  <c:v>0.33410259003429399</c:v>
                </c:pt>
                <c:pt idx="226">
                  <c:v>0.33162881864195898</c:v>
                </c:pt>
                <c:pt idx="227">
                  <c:v>0.32916079946295101</c:v>
                </c:pt>
                <c:pt idx="228">
                  <c:v>0.32669855984253598</c:v>
                </c:pt>
                <c:pt idx="229">
                  <c:v>0.324242127403917</c:v>
                </c:pt>
                <c:pt idx="230">
                  <c:v>0.32179153005486599</c:v>
                </c:pt>
                <c:pt idx="231">
                  <c:v>0.31934679599465299</c:v>
                </c:pt>
                <c:pt idx="232">
                  <c:v>0.31690795372124603</c:v>
                </c:pt>
                <c:pt idx="233">
                  <c:v>0.31447503203885802</c:v>
                </c:pt>
                <c:pt idx="234">
                  <c:v>0.31204806006583302</c:v>
                </c:pt>
                <c:pt idx="235">
                  <c:v>0.30962706724289402</c:v>
                </c:pt>
                <c:pt idx="236">
                  <c:v>0.30721208334177202</c:v>
                </c:pt>
                <c:pt idx="237">
                  <c:v>0.30480313847428198</c:v>
                </c:pt>
                <c:pt idx="238">
                  <c:v>0.30240026310184398</c:v>
                </c:pt>
                <c:pt idx="239">
                  <c:v>0.30000348804546101</c:v>
                </c:pt>
                <c:pt idx="240">
                  <c:v>0.29761284449624797</c:v>
                </c:pt>
                <c:pt idx="241">
                  <c:v>0.29522836402651298</c:v>
                </c:pt>
                <c:pt idx="242">
                  <c:v>0.29285007860144602</c:v>
                </c:pt>
                <c:pt idx="243">
                  <c:v>0.29047802059142502</c:v>
                </c:pt>
                <c:pt idx="244">
                  <c:v>0.28811222278507498</c:v>
                </c:pt>
                <c:pt idx="245">
                  <c:v>0.28575271840303401</c:v>
                </c:pt>
                <c:pt idx="246">
                  <c:v>0.28339954111256899</c:v>
                </c:pt>
                <c:pt idx="247">
                  <c:v>0.28105272504307699</c:v>
                </c:pt>
                <c:pt idx="248">
                  <c:v>0.27871230480252301</c:v>
                </c:pt>
                <c:pt idx="249">
                  <c:v>0.27637831549495001</c:v>
                </c:pt>
                <c:pt idx="250">
                  <c:v>0.27405079273910499</c:v>
                </c:pt>
                <c:pt idx="251">
                  <c:v>0.27172977268829202</c:v>
                </c:pt>
                <c:pt idx="252">
                  <c:v>0.26941529205159898</c:v>
                </c:pt>
                <c:pt idx="253">
                  <c:v>0.26710738811655199</c:v>
                </c:pt>
                <c:pt idx="254">
                  <c:v>0.264806098773406</c:v>
                </c:pt>
                <c:pt idx="255">
                  <c:v>0.26251146254115398</c:v>
                </c:pt>
                <c:pt idx="256">
                  <c:v>0.26022351859548598</c:v>
                </c:pt>
                <c:pt idx="257">
                  <c:v>0.25794230679883201</c:v>
                </c:pt>
                <c:pt idx="258">
                  <c:v>0.25566786773273698</c:v>
                </c:pt>
                <c:pt idx="259">
                  <c:v>0.25340024273276601</c:v>
                </c:pt>
                <c:pt idx="260">
                  <c:v>0.25113947392622898</c:v>
                </c:pt>
                <c:pt idx="261">
                  <c:v>0.248885604272995</c:v>
                </c:pt>
                <c:pt idx="262">
                  <c:v>0.24663867760974301</c:v>
                </c:pt>
                <c:pt idx="263">
                  <c:v>0.24439873869800599</c:v>
                </c:pt>
                <c:pt idx="264">
                  <c:v>0.24216583327642099</c:v>
                </c:pt>
                <c:pt idx="265">
                  <c:v>0.23994000811767899</c:v>
                </c:pt>
                <c:pt idx="266">
                  <c:v>0.23772131109066999</c:v>
                </c:pt>
                <c:pt idx="267">
                  <c:v>0.23550979122847099</c:v>
                </c:pt>
                <c:pt idx="268">
                  <c:v>0.23330549880281901</c:v>
                </c:pt>
                <c:pt idx="269">
                  <c:v>0.23110848540589299</c:v>
                </c:pt>
                <c:pt idx="270">
                  <c:v>0.22891880404025899</c:v>
                </c:pt>
                <c:pt idx="271">
                  <c:v>0.226736509218043</c:v>
                </c:pt>
                <c:pt idx="272">
                  <c:v>0.22456165707046999</c:v>
                </c:pt>
                <c:pt idx="273">
                  <c:v>0.222394305469128</c:v>
                </c:pt>
                <c:pt idx="274">
                  <c:v>0.22023451416051801</c:v>
                </c:pt>
                <c:pt idx="275">
                  <c:v>0.21808234491568901</c:v>
                </c:pt>
                <c:pt idx="276">
                  <c:v>0.215937861697032</c:v>
                </c:pt>
                <c:pt idx="277">
                  <c:v>0.21380113084465799</c:v>
                </c:pt>
                <c:pt idx="278">
                  <c:v>0.21167222128517801</c:v>
                </c:pt>
                <c:pt idx="279">
                  <c:v>0.20955120476620301</c:v>
                </c:pt>
                <c:pt idx="280">
                  <c:v>0.20743815612038299</c:v>
                </c:pt>
                <c:pt idx="281">
                  <c:v>0.20533315356360199</c:v>
                </c:pt>
                <c:pt idx="282">
                  <c:v>0.20323627903261501</c:v>
                </c:pt>
                <c:pt idx="283">
                  <c:v>0.20114761856853</c:v>
                </c:pt>
                <c:pt idx="284">
                  <c:v>0.19906726275364101</c:v>
                </c:pt>
                <c:pt idx="285">
                  <c:v>0.19699530721059</c:v>
                </c:pt>
                <c:pt idx="286">
                  <c:v>0.19493185317459699</c:v>
                </c:pt>
                <c:pt idx="287">
                  <c:v>0.192877008151604</c:v>
                </c:pt>
                <c:pt idx="288">
                  <c:v>0.19083088667780301</c:v>
                </c:pt>
                <c:pt idx="289">
                  <c:v>0.18879361119927099</c:v>
                </c:pt>
                <c:pt idx="290">
                  <c:v>0.18676531309427399</c:v>
                </c:pt>
                <c:pt idx="291">
                  <c:v>0.18474613386577601</c:v>
                </c:pt>
                <c:pt idx="292">
                  <c:v>0.18273622653756899</c:v>
                </c:pt>
                <c:pt idx="293">
                  <c:v>0.18073575729489599</c:v>
                </c:pt>
                <c:pt idx="294">
                  <c:v>0.178744907419459</c:v>
                </c:pt>
                <c:pt idx="295">
                  <c:v>0.176763875579871</c:v>
                </c:pt>
                <c:pt idx="296">
                  <c:v>0.174792880552086</c:v>
                </c:pt>
                <c:pt idx="297">
                  <c:v>0.17283216446057401</c:v>
                </c:pt>
                <c:pt idx="298">
                  <c:v>0.17088199664994599</c:v>
                </c:pt>
                <c:pt idx="299">
                  <c:v>0.16894267831791901</c:v>
                </c:pt>
                <c:pt idx="300">
                  <c:v>0.16701454806230001</c:v>
                </c:pt>
                <c:pt idx="301">
                  <c:v>0.16509798851285001</c:v>
                </c:pt>
                <c:pt idx="302">
                  <c:v>0.163193434224148</c:v>
                </c:pt>
                <c:pt idx="303">
                  <c:v>0.161301380978746</c:v>
                </c:pt>
                <c:pt idx="304">
                  <c:v>0.15942239655134999</c:v>
                </c:pt>
                <c:pt idx="305">
                  <c:v>0.157557132734928</c:v>
                </c:pt>
                <c:pt idx="306">
                  <c:v>0.15570633786808999</c:v>
                </c:pt>
                <c:pt idx="307">
                  <c:v>0.153870867906373</c:v>
                </c:pt>
                <c:pt idx="308">
                  <c:v>0.1520516915929</c:v>
                </c:pt>
                <c:pt idx="309">
                  <c:v>0.15024988017306501</c:v>
                </c:pt>
                <c:pt idx="310">
                  <c:v>0.148466561648291</c:v>
                </c:pt>
                <c:pt idx="311">
                  <c:v>0.14670279827232499</c:v>
                </c:pt>
                <c:pt idx="312">
                  <c:v>0.144959302869967</c:v>
                </c:pt>
                <c:pt idx="313">
                  <c:v>0.143235823141383</c:v>
                </c:pt>
                <c:pt idx="314">
                  <c:v>0.14152985138832699</c:v>
                </c:pt>
                <c:pt idx="315">
                  <c:v>0.139833962810331</c:v>
                </c:pt>
                <c:pt idx="316">
                  <c:v>0.13813018474609501</c:v>
                </c:pt>
                <c:pt idx="317">
                  <c:v>0.136376260929858</c:v>
                </c:pt>
                <c:pt idx="318">
                  <c:v>0.13531213279218501</c:v>
                </c:pt>
                <c:pt idx="319">
                  <c:v>0.13373389252449</c:v>
                </c:pt>
                <c:pt idx="320">
                  <c:v>0.132162855534254</c:v>
                </c:pt>
                <c:pt idx="321">
                  <c:v>0.13058135095694701</c:v>
                </c:pt>
                <c:pt idx="322">
                  <c:v>0.12899238763996401</c:v>
                </c:pt>
                <c:pt idx="323">
                  <c:v>0.12739797784586601</c:v>
                </c:pt>
                <c:pt idx="324">
                  <c:v>0.12579993417014201</c:v>
                </c:pt>
                <c:pt idx="325">
                  <c:v>0.12419986643045799</c:v>
                </c:pt>
                <c:pt idx="326">
                  <c:v>0.122599202870865</c:v>
                </c:pt>
                <c:pt idx="327">
                  <c:v>0.120999209033855</c:v>
                </c:pt>
                <c:pt idx="328">
                  <c:v>0.119401005104216</c:v>
                </c:pt>
                <c:pt idx="329">
                  <c:v>0.117805581748437</c:v>
                </c:pt>
                <c:pt idx="330">
                  <c:v>0.11621381451358299</c:v>
                </c:pt>
                <c:pt idx="331">
                  <c:v>0.114626476862052</c:v>
                </c:pt>
                <c:pt idx="332">
                  <c:v>0.113044251926973</c:v>
                </c:pt>
                <c:pt idx="333">
                  <c:v>0.111467743077582</c:v>
                </c:pt>
                <c:pt idx="334">
                  <c:v>0.10989748338552401</c:v>
                </c:pt>
                <c:pt idx="335">
                  <c:v>0.10833394408229299</c:v>
                </c:pt>
                <c:pt idx="336">
                  <c:v>0.106777542095621</c:v>
                </c:pt>
                <c:pt idx="337">
                  <c:v>0.105228646748941</c:v>
                </c:pt>
                <c:pt idx="338">
                  <c:v>0.10368758570358701</c:v>
                </c:pt>
                <c:pt idx="339">
                  <c:v>0.102154650218322</c:v>
                </c:pt>
                <c:pt idx="340">
                  <c:v>0.10063009979554401</c:v>
                </c:pt>
                <c:pt idx="341">
                  <c:v>9.9114166278094107E-2</c:v>
                </c:pt>
                <c:pt idx="342">
                  <c:v>9.7607057455293494E-2</c:v>
                </c:pt>
                <c:pt idx="343">
                  <c:v>9.6108960231659796E-2</c:v>
                </c:pt>
                <c:pt idx="344">
                  <c:v>9.46200434068145E-2</c:v>
                </c:pt>
                <c:pt idx="345">
                  <c:v>9.3140460110444995E-2</c:v>
                </c:pt>
                <c:pt idx="346">
                  <c:v>9.1670349931821202E-2</c:v>
                </c:pt>
                <c:pt idx="347">
                  <c:v>9.0209840779338302E-2</c:v>
                </c:pt>
                <c:pt idx="348">
                  <c:v>8.8759050501840506E-2</c:v>
                </c:pt>
                <c:pt idx="349">
                  <c:v>8.73180883000787E-2</c:v>
                </c:pt>
                <c:pt idx="350">
                  <c:v>8.5887055953563093E-2</c:v>
                </c:pt>
                <c:pt idx="351">
                  <c:v>8.4466048885259395E-2</c:v>
                </c:pt>
                <c:pt idx="352">
                  <c:v>8.3055157084046802E-2</c:v>
                </c:pt>
                <c:pt idx="353">
                  <c:v>8.1654465902564796E-2</c:v>
                </c:pt>
                <c:pt idx="354">
                  <c:v>8.0264056746035498E-2</c:v>
                </c:pt>
                <c:pt idx="355">
                  <c:v>7.8884007665803904E-2</c:v>
                </c:pt>
                <c:pt idx="356">
                  <c:v>7.7514393869706003E-2</c:v>
                </c:pt>
                <c:pt idx="357">
                  <c:v>7.6155288159911294E-2</c:v>
                </c:pt>
                <c:pt idx="358">
                  <c:v>7.6155288159911294E-2</c:v>
                </c:pt>
                <c:pt idx="359">
                  <c:v>7.6155288159911294E-2</c:v>
                </c:pt>
                <c:pt idx="360">
                  <c:v>7.5865010466928506E-2</c:v>
                </c:pt>
                <c:pt idx="361">
                  <c:v>7.0837204351928695E-2</c:v>
                </c:pt>
                <c:pt idx="362">
                  <c:v>6.6590842572431599E-2</c:v>
                </c:pt>
                <c:pt idx="363">
                  <c:v>6.2548852666912902E-2</c:v>
                </c:pt>
                <c:pt idx="364">
                  <c:v>5.8848420968576801E-2</c:v>
                </c:pt>
                <c:pt idx="365">
                  <c:v>5.5745948038352401E-2</c:v>
                </c:pt>
                <c:pt idx="366">
                  <c:v>5.5745951535411398E-2</c:v>
                </c:pt>
                <c:pt idx="367">
                  <c:v>5.5745951535411398E-2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A0A-4C2D-A2F9-FC22B2A07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1840"/>
        <c:axId val="412572232"/>
      </c:scatterChart>
      <c:scatterChart>
        <c:scatterStyle val="lineMarker"/>
        <c:varyColors val="0"/>
        <c:ser>
          <c:idx val="0"/>
          <c:order val="0"/>
          <c:tx>
            <c:strRef>
              <c:f>Implicit_Fracs!$AD$2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Implicit_Fracs!$C$4:$C$371</c:f>
              <c:numCache>
                <c:formatCode>General</c:formatCode>
                <c:ptCount val="368"/>
                <c:pt idx="0">
                  <c:v>6.5458908507104702E-2</c:v>
                </c:pt>
                <c:pt idx="1">
                  <c:v>0.10158646265419501</c:v>
                </c:pt>
                <c:pt idx="2">
                  <c:v>0.102060105178604</c:v>
                </c:pt>
                <c:pt idx="3">
                  <c:v>0.102354758409441</c:v>
                </c:pt>
                <c:pt idx="4">
                  <c:v>0.10257003610151801</c:v>
                </c:pt>
                <c:pt idx="5">
                  <c:v>0.102740146597483</c:v>
                </c:pt>
                <c:pt idx="6">
                  <c:v>0.10288102093448701</c:v>
                </c:pt>
                <c:pt idx="7">
                  <c:v>0.10300139565401099</c:v>
                </c:pt>
                <c:pt idx="8">
                  <c:v>0.10310658737638601</c:v>
                </c:pt>
                <c:pt idx="9">
                  <c:v>0.103200075337502</c:v>
                </c:pt>
                <c:pt idx="10">
                  <c:v>0.103284262204</c:v>
                </c:pt>
                <c:pt idx="11">
                  <c:v>0.103360877526633</c:v>
                </c:pt>
                <c:pt idx="12">
                  <c:v>0.103431208153653</c:v>
                </c:pt>
                <c:pt idx="13">
                  <c:v>0.103496237708407</c:v>
                </c:pt>
                <c:pt idx="14">
                  <c:v>0.103556735084609</c:v>
                </c:pt>
                <c:pt idx="15">
                  <c:v>0.103613312816801</c:v>
                </c:pt>
                <c:pt idx="16">
                  <c:v>0.103666466857375</c:v>
                </c:pt>
                <c:pt idx="17">
                  <c:v>0.10371660444741999</c:v>
                </c:pt>
                <c:pt idx="18">
                  <c:v>0.10376406411969299</c:v>
                </c:pt>
                <c:pt idx="19">
                  <c:v>0.10380913035858701</c:v>
                </c:pt>
                <c:pt idx="20">
                  <c:v>0.103852044544123</c:v>
                </c:pt>
                <c:pt idx="21">
                  <c:v>0.103893013256558</c:v>
                </c:pt>
                <c:pt idx="22">
                  <c:v>0.103932214670875</c:v>
                </c:pt>
                <c:pt idx="23">
                  <c:v>0.10396980354554</c:v>
                </c:pt>
                <c:pt idx="24">
                  <c:v>0.104005915161023</c:v>
                </c:pt>
                <c:pt idx="25">
                  <c:v>0.10404066846285701</c:v>
                </c:pt>
                <c:pt idx="26">
                  <c:v>0.104074168594671</c:v>
                </c:pt>
                <c:pt idx="27">
                  <c:v>0.10410650895807599</c:v>
                </c:pt>
                <c:pt idx="28">
                  <c:v>0.10413777290170501</c:v>
                </c:pt>
                <c:pt idx="29">
                  <c:v>0.104168035116796</c:v>
                </c:pt>
                <c:pt idx="30">
                  <c:v>0.104197362798492</c:v>
                </c:pt>
                <c:pt idx="31">
                  <c:v>0.104225816618547</c:v>
                </c:pt>
                <c:pt idx="32">
                  <c:v>0.104253451545067</c:v>
                </c:pt>
                <c:pt idx="33">
                  <c:v>0.104280317537286</c:v>
                </c:pt>
                <c:pt idx="34">
                  <c:v>0.10430646013757899</c:v>
                </c:pt>
                <c:pt idx="35">
                  <c:v>0.10433192097843901</c:v>
                </c:pt>
                <c:pt idx="36">
                  <c:v>0.104356738218675</c:v>
                </c:pt>
                <c:pt idx="37">
                  <c:v>0.10438094692038</c:v>
                </c:pt>
                <c:pt idx="38">
                  <c:v>0.104404579376061</c:v>
                </c:pt>
                <c:pt idx="39">
                  <c:v>0.10442766539470601</c:v>
                </c:pt>
                <c:pt idx="40">
                  <c:v>0.104450232550895</c:v>
                </c:pt>
                <c:pt idx="41">
                  <c:v>0.104472306403378</c:v>
                </c:pt>
                <c:pt idx="42">
                  <c:v>0.104493910687546</c:v>
                </c:pt>
                <c:pt idx="43">
                  <c:v>0.104515067485448</c:v>
                </c:pt>
                <c:pt idx="44">
                  <c:v>0.104535797376425</c:v>
                </c:pt>
                <c:pt idx="45">
                  <c:v>0.104556119570968</c:v>
                </c:pt>
                <c:pt idx="46">
                  <c:v>0.10457605202998201</c:v>
                </c:pt>
                <c:pt idx="47">
                  <c:v>0.10459561157132601</c:v>
                </c:pt>
                <c:pt idx="48">
                  <c:v>0.10461481396524</c:v>
                </c:pt>
                <c:pt idx="49">
                  <c:v>0.104633674020002</c:v>
                </c:pt>
                <c:pt idx="50">
                  <c:v>0.104652205659008</c:v>
                </c:pt>
                <c:pt idx="51">
                  <c:v>0.10467042199028</c:v>
                </c:pt>
                <c:pt idx="52">
                  <c:v>0.10468833536927501</c:v>
                </c:pt>
                <c:pt idx="53">
                  <c:v>0.104705957455764</c:v>
                </c:pt>
                <c:pt idx="54">
                  <c:v>0.104723299265432</c:v>
                </c:pt>
                <c:pt idx="55">
                  <c:v>0.10474037121678501</c:v>
                </c:pt>
                <c:pt idx="56">
                  <c:v>0.104757183173858</c:v>
                </c:pt>
                <c:pt idx="57">
                  <c:v>0.10477374448518</c:v>
                </c:pt>
                <c:pt idx="58">
                  <c:v>0.104790064019366</c:v>
                </c:pt>
                <c:pt idx="59">
                  <c:v>0.10480615019770299</c:v>
                </c:pt>
                <c:pt idx="60">
                  <c:v>0.104822011024007</c:v>
                </c:pt>
                <c:pt idx="61">
                  <c:v>0.10483765411203801</c:v>
                </c:pt>
                <c:pt idx="62">
                  <c:v>0.104853086710699</c:v>
                </c:pt>
                <c:pt idx="63">
                  <c:v>0.10486831572724099</c:v>
                </c:pt>
                <c:pt idx="64">
                  <c:v>0.104883347748643</c:v>
                </c:pt>
                <c:pt idx="65">
                  <c:v>0.104898189061358</c:v>
                </c:pt>
                <c:pt idx="66">
                  <c:v>0.104912845669559</c:v>
                </c:pt>
                <c:pt idx="67">
                  <c:v>0.10492732331202199</c:v>
                </c:pt>
                <c:pt idx="68">
                  <c:v>0.10494162747777</c:v>
                </c:pt>
                <c:pt idx="69">
                  <c:v>0.10495576342058401</c:v>
                </c:pt>
                <c:pt idx="70">
                  <c:v>0.104969736172476</c:v>
                </c:pt>
                <c:pt idx="71">
                  <c:v>0.104983550556215</c:v>
                </c:pt>
                <c:pt idx="72">
                  <c:v>0.104997211196988</c:v>
                </c:pt>
                <c:pt idx="73">
                  <c:v>0.105010722533251</c:v>
                </c:pt>
                <c:pt idx="74">
                  <c:v>0.10502408882686499</c:v>
                </c:pt>
                <c:pt idx="75">
                  <c:v>0.105037314172539</c:v>
                </c:pt>
                <c:pt idx="76">
                  <c:v>0.10505040250667</c:v>
                </c:pt>
                <c:pt idx="77">
                  <c:v>0.105063357615594</c:v>
                </c:pt>
                <c:pt idx="78">
                  <c:v>0.105076183143323</c:v>
                </c:pt>
                <c:pt idx="79">
                  <c:v>0.10508888259878001</c:v>
                </c:pt>
                <c:pt idx="80">
                  <c:v>0.105101459362598</c:v>
                </c:pt>
                <c:pt idx="81">
                  <c:v>0.10511391669348399</c:v>
                </c:pt>
                <c:pt idx="82">
                  <c:v>0.10512625773421</c:v>
                </c:pt>
                <c:pt idx="83">
                  <c:v>0.10513848551723599</c:v>
                </c:pt>
                <c:pt idx="84">
                  <c:v>0.10515060297000201</c:v>
                </c:pt>
                <c:pt idx="85">
                  <c:v>0.105162612919908</c:v>
                </c:pt>
                <c:pt idx="86">
                  <c:v>0.105174518099013</c:v>
                </c:pt>
                <c:pt idx="87">
                  <c:v>0.105186321148453</c:v>
                </c:pt>
                <c:pt idx="88">
                  <c:v>0.105198024622616</c:v>
                </c:pt>
                <c:pt idx="89">
                  <c:v>0.105209630993088</c:v>
                </c:pt>
                <c:pt idx="90">
                  <c:v>0.10522114265237301</c:v>
                </c:pt>
                <c:pt idx="91">
                  <c:v>0.105232561917411</c:v>
                </c:pt>
                <c:pt idx="92">
                  <c:v>0.105243891032912</c:v>
                </c:pt>
                <c:pt idx="93">
                  <c:v>0.105255132174505</c:v>
                </c:pt>
                <c:pt idx="94">
                  <c:v>0.10526628745172401</c:v>
                </c:pt>
                <c:pt idx="95">
                  <c:v>0.105277358910841</c:v>
                </c:pt>
                <c:pt idx="96">
                  <c:v>0.105288348537545</c:v>
                </c:pt>
                <c:pt idx="97">
                  <c:v>0.10529925825949001</c:v>
                </c:pt>
                <c:pt idx="98">
                  <c:v>0.105310089948715</c:v>
                </c:pt>
                <c:pt idx="99">
                  <c:v>0.10532084542394</c:v>
                </c:pt>
                <c:pt idx="100">
                  <c:v>0.105331526452749</c:v>
                </c:pt>
                <c:pt idx="101">
                  <c:v>0.10534213475366599</c:v>
                </c:pt>
                <c:pt idx="102">
                  <c:v>0.105352671998135</c:v>
                </c:pt>
                <c:pt idx="103">
                  <c:v>0.105363139812398</c:v>
                </c:pt>
                <c:pt idx="104">
                  <c:v>0.10537353977929</c:v>
                </c:pt>
                <c:pt idx="105">
                  <c:v>0.105383873439947</c:v>
                </c:pt>
                <c:pt idx="106">
                  <c:v>0.105394142295438</c:v>
                </c:pt>
                <c:pt idx="107">
                  <c:v>0.10540434780831399</c:v>
                </c:pt>
                <c:pt idx="108">
                  <c:v>0.1054144914041</c:v>
                </c:pt>
                <c:pt idx="109">
                  <c:v>0.105424574472708</c:v>
                </c:pt>
                <c:pt idx="110">
                  <c:v>0.10543459836979301</c:v>
                </c:pt>
                <c:pt idx="111">
                  <c:v>0.105444564418049</c:v>
                </c:pt>
                <c:pt idx="112">
                  <c:v>0.105454473908448</c:v>
                </c:pt>
                <c:pt idx="113">
                  <c:v>0.105464328101426</c:v>
                </c:pt>
                <c:pt idx="114">
                  <c:v>0.10547412822802001</c:v>
                </c:pt>
                <c:pt idx="115">
                  <c:v>0.10548387549095201</c:v>
                </c:pt>
                <c:pt idx="116">
                  <c:v>0.105493571065675</c:v>
                </c:pt>
                <c:pt idx="117">
                  <c:v>0.105503216101374</c:v>
                </c:pt>
                <c:pt idx="118">
                  <c:v>0.10551281172191999</c:v>
                </c:pt>
                <c:pt idx="119">
                  <c:v>0.10552235902679701</c:v>
                </c:pt>
                <c:pt idx="120">
                  <c:v>0.105531859091982</c:v>
                </c:pt>
                <c:pt idx="121">
                  <c:v>0.105541312970793</c:v>
                </c:pt>
                <c:pt idx="122">
                  <c:v>0.105550721694713</c:v>
                </c:pt>
                <c:pt idx="123">
                  <c:v>0.10556008627416701</c:v>
                </c:pt>
                <c:pt idx="124">
                  <c:v>0.105569407699282</c:v>
                </c:pt>
                <c:pt idx="125">
                  <c:v>0.105578686940613</c:v>
                </c:pt>
                <c:pt idx="126">
                  <c:v>0.10558792494984499</c:v>
                </c:pt>
                <c:pt idx="127">
                  <c:v>0.105597122660464</c:v>
                </c:pt>
                <c:pt idx="128">
                  <c:v>0.105606280988415</c:v>
                </c:pt>
                <c:pt idx="129">
                  <c:v>0.105615400832723</c:v>
                </c:pt>
                <c:pt idx="130">
                  <c:v>0.10562448307610101</c:v>
                </c:pt>
                <c:pt idx="131">
                  <c:v>0.105633528585537</c:v>
                </c:pt>
                <c:pt idx="132">
                  <c:v>0.105642538212856</c:v>
                </c:pt>
                <c:pt idx="133">
                  <c:v>0.10565151279527001</c:v>
                </c:pt>
                <c:pt idx="134">
                  <c:v>0.105660453155901</c:v>
                </c:pt>
                <c:pt idx="135">
                  <c:v>0.1056693601043</c:v>
                </c:pt>
                <c:pt idx="136">
                  <c:v>0.105678234436935</c:v>
                </c:pt>
                <c:pt idx="137">
                  <c:v>0.105687076937673</c:v>
                </c:pt>
                <c:pt idx="138">
                  <c:v>0.10569588837824601</c:v>
                </c:pt>
                <c:pt idx="139">
                  <c:v>0.105704669518702</c:v>
                </c:pt>
                <c:pt idx="140">
                  <c:v>0.105713421107842</c:v>
                </c:pt>
                <c:pt idx="141">
                  <c:v>0.105722143883642</c:v>
                </c:pt>
                <c:pt idx="142">
                  <c:v>0.10573083857367301</c:v>
                </c:pt>
                <c:pt idx="143">
                  <c:v>0.10573950589549699</c:v>
                </c:pt>
                <c:pt idx="144">
                  <c:v>0.105748146557059</c:v>
                </c:pt>
                <c:pt idx="145">
                  <c:v>0.105756761257069</c:v>
                </c:pt>
                <c:pt idx="146">
                  <c:v>0.105765350685371</c:v>
                </c:pt>
                <c:pt idx="147">
                  <c:v>0.10577391552330601</c:v>
                </c:pt>
                <c:pt idx="148">
                  <c:v>0.105782456444064</c:v>
                </c:pt>
                <c:pt idx="149">
                  <c:v>0.105790974113029</c:v>
                </c:pt>
                <c:pt idx="150">
                  <c:v>0.105799469188117</c:v>
                </c:pt>
                <c:pt idx="151">
                  <c:v>0.105807942320102</c:v>
                </c:pt>
                <c:pt idx="152">
                  <c:v>0.105816394152941</c:v>
                </c:pt>
                <c:pt idx="153">
                  <c:v>0.10582482532409</c:v>
                </c:pt>
                <c:pt idx="154">
                  <c:v>0.10583323646481201</c:v>
                </c:pt>
                <c:pt idx="155">
                  <c:v>0.105841628200482</c:v>
                </c:pt>
                <c:pt idx="156">
                  <c:v>0.105850001150887</c:v>
                </c:pt>
                <c:pt idx="157">
                  <c:v>0.105858355930516</c:v>
                </c:pt>
                <c:pt idx="158">
                  <c:v>0.105866693148851</c:v>
                </c:pt>
                <c:pt idx="159">
                  <c:v>0.105875013410654</c:v>
                </c:pt>
                <c:pt idx="160">
                  <c:v>0.10588331731624</c:v>
                </c:pt>
                <c:pt idx="161">
                  <c:v>0.105891605461765</c:v>
                </c:pt>
                <c:pt idx="162">
                  <c:v>0.10589987843948701</c:v>
                </c:pt>
                <c:pt idx="163">
                  <c:v>0.10590813683804701</c:v>
                </c:pt>
                <c:pt idx="164">
                  <c:v>0.10591638124273201</c:v>
                </c:pt>
                <c:pt idx="165">
                  <c:v>0.105924612235738</c:v>
                </c:pt>
                <c:pt idx="166">
                  <c:v>0.10593283039644</c:v>
                </c:pt>
                <c:pt idx="167">
                  <c:v>0.105941036301648</c:v>
                </c:pt>
                <c:pt idx="168">
                  <c:v>0.10594923052586901</c:v>
                </c:pt>
                <c:pt idx="169">
                  <c:v>0.105957413641566</c:v>
                </c:pt>
                <c:pt idx="170">
                  <c:v>0.105965586219415</c:v>
                </c:pt>
                <c:pt idx="171">
                  <c:v>0.105973748828566</c:v>
                </c:pt>
                <c:pt idx="172">
                  <c:v>0.10598190203689301</c:v>
                </c:pt>
                <c:pt idx="173">
                  <c:v>0.105990046411258</c:v>
                </c:pt>
                <c:pt idx="174">
                  <c:v>0.10599818251776701</c:v>
                </c:pt>
                <c:pt idx="175">
                  <c:v>0.106006310922025</c:v>
                </c:pt>
                <c:pt idx="176">
                  <c:v>0.106014432189397</c:v>
                </c:pt>
                <c:pt idx="177">
                  <c:v>0.106022546885271</c:v>
                </c:pt>
                <c:pt idx="178">
                  <c:v>0.10603065557531401</c:v>
                </c:pt>
                <c:pt idx="179">
                  <c:v>0.10603875882574</c:v>
                </c:pt>
                <c:pt idx="180">
                  <c:v>0.106046857203577</c:v>
                </c:pt>
                <c:pt idx="181">
                  <c:v>0.106054951276932</c:v>
                </c:pt>
                <c:pt idx="182">
                  <c:v>0.106063041615263</c:v>
                </c:pt>
                <c:pt idx="183">
                  <c:v>0.10607112878965499</c:v>
                </c:pt>
                <c:pt idx="184">
                  <c:v>0.106079213373101</c:v>
                </c:pt>
                <c:pt idx="185">
                  <c:v>0.106087295940776</c:v>
                </c:pt>
                <c:pt idx="186">
                  <c:v>0.10609537707033299</c:v>
                </c:pt>
                <c:pt idx="187">
                  <c:v>0.106103457342189</c:v>
                </c:pt>
                <c:pt idx="188">
                  <c:v>0.106111537339822</c:v>
                </c:pt>
                <c:pt idx="189">
                  <c:v>0.10611961765007601</c:v>
                </c:pt>
                <c:pt idx="190">
                  <c:v>0.106127698863465</c:v>
                </c:pt>
                <c:pt idx="191">
                  <c:v>0.10613578157449099</c:v>
                </c:pt>
                <c:pt idx="192">
                  <c:v>0.106143866381966</c:v>
                </c:pt>
                <c:pt idx="193">
                  <c:v>0.10615195388934</c:v>
                </c:pt>
                <c:pt idx="194">
                  <c:v>0.106160044705038</c:v>
                </c:pt>
                <c:pt idx="195">
                  <c:v>0.106168139442805</c:v>
                </c:pt>
                <c:pt idx="196">
                  <c:v>0.106176238722063</c:v>
                </c:pt>
                <c:pt idx="197">
                  <c:v>0.106184343168276</c:v>
                </c:pt>
                <c:pt idx="198">
                  <c:v>0.10619245341332301</c:v>
                </c:pt>
                <c:pt idx="199">
                  <c:v>0.106200570095885</c:v>
                </c:pt>
                <c:pt idx="200">
                  <c:v>0.10620869386184199</c:v>
                </c:pt>
                <c:pt idx="201">
                  <c:v>0.10621682536468401</c:v>
                </c:pt>
                <c:pt idx="202">
                  <c:v>0.106224965265935</c:v>
                </c:pt>
                <c:pt idx="203">
                  <c:v>0.106233114235588</c:v>
                </c:pt>
                <c:pt idx="204">
                  <c:v>0.10624127295256</c:v>
                </c:pt>
                <c:pt idx="205">
                  <c:v>0.10624944210515699</c:v>
                </c:pt>
                <c:pt idx="206">
                  <c:v>0.106257622391562</c:v>
                </c:pt>
                <c:pt idx="207">
                  <c:v>0.106265814520335</c:v>
                </c:pt>
                <c:pt idx="208">
                  <c:v>0.106274019210935</c:v>
                </c:pt>
                <c:pt idx="209">
                  <c:v>0.10628223719426</c:v>
                </c:pt>
                <c:pt idx="210">
                  <c:v>0.106290469213214</c:v>
                </c:pt>
                <c:pt idx="211">
                  <c:v>0.106298716023284</c:v>
                </c:pt>
                <c:pt idx="212">
                  <c:v>0.106306978393155</c:v>
                </c:pt>
                <c:pt idx="213">
                  <c:v>0.106315257105341</c:v>
                </c:pt>
                <c:pt idx="214">
                  <c:v>0.10632355295684801</c:v>
                </c:pt>
                <c:pt idx="215">
                  <c:v>0.10633186675985799</c:v>
                </c:pt>
                <c:pt idx="216">
                  <c:v>0.10634019934245301</c:v>
                </c:pt>
                <c:pt idx="217">
                  <c:v>0.106348551549366</c:v>
                </c:pt>
                <c:pt idx="218">
                  <c:v>0.106356924242761</c:v>
                </c:pt>
                <c:pt idx="219">
                  <c:v>0.10636531830306099</c:v>
                </c:pt>
                <c:pt idx="220">
                  <c:v>0.106373734629807</c:v>
                </c:pt>
                <c:pt idx="221">
                  <c:v>0.10638217414255299</c:v>
                </c:pt>
                <c:pt idx="222">
                  <c:v>0.106390637781818</c:v>
                </c:pt>
                <c:pt idx="223">
                  <c:v>0.10639912651007299</c:v>
                </c:pt>
                <c:pt idx="224">
                  <c:v>0.10640764131277999</c:v>
                </c:pt>
                <c:pt idx="225">
                  <c:v>0.10641618319948901</c:v>
                </c:pt>
                <c:pt idx="226">
                  <c:v>0.106424753204983</c:v>
                </c:pt>
                <c:pt idx="227">
                  <c:v>0.10643335239049</c:v>
                </c:pt>
                <c:pt idx="228">
                  <c:v>0.106441981844954</c:v>
                </c:pt>
                <c:pt idx="229">
                  <c:v>0.106450642686375</c:v>
                </c:pt>
                <c:pt idx="230">
                  <c:v>0.10645933606322799</c:v>
                </c:pt>
                <c:pt idx="231">
                  <c:v>0.10646806315594901</c:v>
                </c:pt>
                <c:pt idx="232">
                  <c:v>0.106476825178516</c:v>
                </c:pt>
                <c:pt idx="233">
                  <c:v>0.10648562338011</c:v>
                </c:pt>
                <c:pt idx="234">
                  <c:v>0.106494459046881</c:v>
                </c:pt>
                <c:pt idx="235">
                  <c:v>0.106503333503809</c:v>
                </c:pt>
                <c:pt idx="236">
                  <c:v>0.10651224811667701</c:v>
                </c:pt>
                <c:pt idx="237">
                  <c:v>0.106521204294171</c:v>
                </c:pt>
                <c:pt idx="238">
                  <c:v>0.106530203490093</c:v>
                </c:pt>
                <c:pt idx="239">
                  <c:v>0.10653924720572699</c:v>
                </c:pt>
                <c:pt idx="240">
                  <c:v>0.106548336992338</c:v>
                </c:pt>
                <c:pt idx="241">
                  <c:v>0.106557474453844</c:v>
                </c:pt>
                <c:pt idx="242">
                  <c:v>0.106566661249652</c:v>
                </c:pt>
                <c:pt idx="243">
                  <c:v>0.10657589909767901</c:v>
                </c:pt>
                <c:pt idx="244">
                  <c:v>0.10658518977758299</c:v>
                </c:pt>
                <c:pt idx="245">
                  <c:v>0.106594535134197</c:v>
                </c:pt>
                <c:pt idx="246">
                  <c:v>0.106603937081217</c:v>
                </c:pt>
                <c:pt idx="247">
                  <c:v>0.106613397605125</c:v>
                </c:pt>
                <c:pt idx="248">
                  <c:v>0.10662291876941001</c:v>
                </c:pt>
                <c:pt idx="249">
                  <c:v>0.106632502719071</c:v>
                </c:pt>
                <c:pt idx="250">
                  <c:v>0.10664215168546599</c:v>
                </c:pt>
                <c:pt idx="251">
                  <c:v>0.106651867991505</c:v>
                </c:pt>
                <c:pt idx="252">
                  <c:v>0.106661654057239</c:v>
                </c:pt>
                <c:pt idx="253">
                  <c:v>0.106671512405876</c:v>
                </c:pt>
                <c:pt idx="254">
                  <c:v>0.106681445670259</c:v>
                </c:pt>
                <c:pt idx="255">
                  <c:v>0.106691456599855</c:v>
                </c:pt>
                <c:pt idx="256">
                  <c:v>0.10670154806830701</c:v>
                </c:pt>
                <c:pt idx="257">
                  <c:v>0.106711723081597</c:v>
                </c:pt>
                <c:pt idx="258">
                  <c:v>0.106721984786882</c:v>
                </c:pt>
                <c:pt idx="259">
                  <c:v>0.106732336482082</c:v>
                </c:pt>
                <c:pt idx="260">
                  <c:v>0.10674278162628199</c:v>
                </c:pt>
                <c:pt idx="261">
                  <c:v>0.106753323851043</c:v>
                </c:pt>
                <c:pt idx="262">
                  <c:v>0.106763966972719</c:v>
                </c:pt>
                <c:pt idx="263">
                  <c:v>0.10677471500588499</c:v>
                </c:pt>
                <c:pt idx="264">
                  <c:v>0.10678557217800599</c:v>
                </c:pt>
                <c:pt idx="265">
                  <c:v>0.106796542945475</c:v>
                </c:pt>
                <c:pt idx="266">
                  <c:v>0.10680763201119001</c:v>
                </c:pt>
                <c:pt idx="267">
                  <c:v>0.106818844343851</c:v>
                </c:pt>
                <c:pt idx="268">
                  <c:v>0.106830185199162</c:v>
                </c:pt>
                <c:pt idx="269">
                  <c:v>0.1068416601432</c:v>
                </c:pt>
                <c:pt idx="270">
                  <c:v>0.106853275078199</c:v>
                </c:pt>
                <c:pt idx="271">
                  <c:v>0.10686503627105901</c:v>
                </c:pt>
                <c:pt idx="272">
                  <c:v>0.106876950384948</c:v>
                </c:pt>
                <c:pt idx="273">
                  <c:v>0.10688902451438199</c:v>
                </c:pt>
                <c:pt idx="274">
                  <c:v>0.106901266224276</c:v>
                </c:pt>
                <c:pt idx="275">
                  <c:v>0.106913683593506</c:v>
                </c:pt>
                <c:pt idx="276">
                  <c:v>0.106926285263621</c:v>
                </c:pt>
                <c:pt idx="277">
                  <c:v>0.106939080493455</c:v>
                </c:pt>
                <c:pt idx="278">
                  <c:v>0.10695207922051</c:v>
                </c:pt>
                <c:pt idx="279">
                  <c:v>0.10696529213014599</c:v>
                </c:pt>
                <c:pt idx="280">
                  <c:v>0.106978730733797</c:v>
                </c:pt>
                <c:pt idx="281">
                  <c:v>0.106992407457646</c:v>
                </c:pt>
                <c:pt idx="282">
                  <c:v>0.107006335743491</c:v>
                </c:pt>
                <c:pt idx="283">
                  <c:v>0.10702053016384699</c:v>
                </c:pt>
                <c:pt idx="284">
                  <c:v>0.107035006553762</c:v>
                </c:pt>
                <c:pt idx="285">
                  <c:v>0.107049782162317</c:v>
                </c:pt>
                <c:pt idx="286">
                  <c:v>0.10706487582742701</c:v>
                </c:pt>
                <c:pt idx="287">
                  <c:v>0.107080308178348</c:v>
                </c:pt>
                <c:pt idx="288">
                  <c:v>0.10709610187127599</c:v>
                </c:pt>
                <c:pt idx="289">
                  <c:v>0.10711228186470099</c:v>
                </c:pt>
                <c:pt idx="290">
                  <c:v>0.107128875742745</c:v>
                </c:pt>
                <c:pt idx="291">
                  <c:v>0.107145914096787</c:v>
                </c:pt>
                <c:pt idx="292">
                  <c:v>0.10716343097827</c:v>
                </c:pt>
                <c:pt idx="293">
                  <c:v>0.10718146443905199</c:v>
                </c:pt>
                <c:pt idx="294">
                  <c:v>0.107200057180087</c:v>
                </c:pt>
                <c:pt idx="295">
                  <c:v>0.10721925733519</c:v>
                </c:pt>
                <c:pt idx="296">
                  <c:v>0.107239119424452</c:v>
                </c:pt>
                <c:pt idx="297">
                  <c:v>0.10725970552248799</c:v>
                </c:pt>
                <c:pt idx="298">
                  <c:v>0.107281086701057</c:v>
                </c:pt>
                <c:pt idx="299">
                  <c:v>0.10730334482520799</c:v>
                </c:pt>
                <c:pt idx="300">
                  <c:v>0.107326574809414</c:v>
                </c:pt>
                <c:pt idx="301">
                  <c:v>0.10735088747820599</c:v>
                </c:pt>
                <c:pt idx="302">
                  <c:v>0.10737641322982</c:v>
                </c:pt>
                <c:pt idx="303">
                  <c:v>0.107403306778537</c:v>
                </c:pt>
                <c:pt idx="304">
                  <c:v>0.10743175336319</c:v>
                </c:pt>
                <c:pt idx="305">
                  <c:v>0.107461976972791</c:v>
                </c:pt>
                <c:pt idx="306">
                  <c:v>0.107494251381856</c:v>
                </c:pt>
                <c:pt idx="307">
                  <c:v>0.107528915147976</c:v>
                </c:pt>
                <c:pt idx="308">
                  <c:v>0.107566392263413</c:v>
                </c:pt>
                <c:pt idx="309">
                  <c:v>0.10760722096054399</c:v>
                </c:pt>
                <c:pt idx="310">
                  <c:v>0.107652094373539</c:v>
                </c:pt>
                <c:pt idx="311">
                  <c:v>0.107701918517204</c:v>
                </c:pt>
                <c:pt idx="312">
                  <c:v>0.107757895545197</c:v>
                </c:pt>
                <c:pt idx="313">
                  <c:v>0.107821643761701</c:v>
                </c:pt>
                <c:pt idx="314">
                  <c:v>0.107895371464266</c:v>
                </c:pt>
                <c:pt idx="315">
                  <c:v>0.107982136054144</c:v>
                </c:pt>
                <c:pt idx="316">
                  <c:v>0.108086279484475</c:v>
                </c:pt>
                <c:pt idx="317">
                  <c:v>0.10821441051713999</c:v>
                </c:pt>
                <c:pt idx="318">
                  <c:v>0.108378611684964</c:v>
                </c:pt>
                <c:pt idx="319">
                  <c:v>0.10851279142848901</c:v>
                </c:pt>
                <c:pt idx="320">
                  <c:v>0.108646878508965</c:v>
                </c:pt>
                <c:pt idx="321">
                  <c:v>0.108781836007877</c:v>
                </c:pt>
                <c:pt idx="322">
                  <c:v>0.108917703938839</c:v>
                </c:pt>
                <c:pt idx="323">
                  <c:v>0.109054545173906</c:v>
                </c:pt>
                <c:pt idx="324">
                  <c:v>0.109192417872054</c:v>
                </c:pt>
                <c:pt idx="325">
                  <c:v>0.109331376964383</c:v>
                </c:pt>
                <c:pt idx="326">
                  <c:v>0.10947147454287399</c:v>
                </c:pt>
                <c:pt idx="327">
                  <c:v>0.109612760241196</c:v>
                </c:pt>
                <c:pt idx="328">
                  <c:v>0.10975528157779101</c:v>
                </c:pt>
                <c:pt idx="329">
                  <c:v>0.109899084266184</c:v>
                </c:pt>
                <c:pt idx="330">
                  <c:v>0.110044212495958</c:v>
                </c:pt>
                <c:pt idx="331">
                  <c:v>0.11019070918751001</c:v>
                </c:pt>
                <c:pt idx="332">
                  <c:v>0.11033861622334599</c:v>
                </c:pt>
                <c:pt idx="333">
                  <c:v>0.110487974658393</c:v>
                </c:pt>
                <c:pt idx="334">
                  <c:v>0.110638824911563</c:v>
                </c:pt>
                <c:pt idx="335">
                  <c:v>0.110791206940568</c:v>
                </c:pt>
                <c:pt idx="336">
                  <c:v>0.11094516040180299</c:v>
                </c:pt>
                <c:pt idx="337">
                  <c:v>0.11110072479692901</c:v>
                </c:pt>
                <c:pt idx="338">
                  <c:v>0.111257939607629</c:v>
                </c:pt>
                <c:pt idx="339">
                  <c:v>0.111416844419904</c:v>
                </c:pt>
                <c:pt idx="340">
                  <c:v>0.111577479039088</c:v>
                </c:pt>
                <c:pt idx="341">
                  <c:v>0.111739883596728</c:v>
                </c:pt>
                <c:pt idx="342">
                  <c:v>0.111904098650297</c:v>
                </c:pt>
                <c:pt idx="343">
                  <c:v>0.11207016527668</c:v>
                </c:pt>
                <c:pt idx="344">
                  <c:v>0.112238125160255</c:v>
                </c:pt>
                <c:pt idx="345">
                  <c:v>0.11240802067632299</c:v>
                </c:pt>
                <c:pt idx="346">
                  <c:v>0.11257989497059701</c:v>
                </c:pt>
                <c:pt idx="347">
                  <c:v>0.112753792035371</c:v>
                </c:pt>
                <c:pt idx="348">
                  <c:v>0.112929756782956</c:v>
                </c:pt>
                <c:pt idx="349">
                  <c:v>0.113107835116922</c:v>
                </c:pt>
                <c:pt idx="350">
                  <c:v>0.113288074001635</c:v>
                </c:pt>
                <c:pt idx="351">
                  <c:v>0.113470521530551</c:v>
                </c:pt>
                <c:pt idx="352">
                  <c:v>0.113655226993682</c:v>
                </c:pt>
                <c:pt idx="353">
                  <c:v>0.113842240944644</c:v>
                </c:pt>
                <c:pt idx="354">
                  <c:v>0.114031615267637</c:v>
                </c:pt>
                <c:pt idx="355">
                  <c:v>0.11422340324472501</c:v>
                </c:pt>
                <c:pt idx="356">
                  <c:v>0.11441765962373</c:v>
                </c:pt>
                <c:pt idx="357">
                  <c:v>0.114614440687063</c:v>
                </c:pt>
                <c:pt idx="358">
                  <c:v>0.114813804321789</c:v>
                </c:pt>
                <c:pt idx="359">
                  <c:v>0.22425676384167301</c:v>
                </c:pt>
                <c:pt idx="360">
                  <c:v>0.30704288935609397</c:v>
                </c:pt>
                <c:pt idx="361">
                  <c:v>0.30834090817871301</c:v>
                </c:pt>
                <c:pt idx="362">
                  <c:v>0.30921577139060102</c:v>
                </c:pt>
                <c:pt idx="363">
                  <c:v>0.31017471350345399</c:v>
                </c:pt>
                <c:pt idx="364">
                  <c:v>0.31131883897321</c:v>
                </c:pt>
                <c:pt idx="365">
                  <c:v>0.31289797505880901</c:v>
                </c:pt>
                <c:pt idx="366">
                  <c:v>0.51289797505880896</c:v>
                </c:pt>
                <c:pt idx="367">
                  <c:v>0.51289797505880896</c:v>
                </c:pt>
              </c:numCache>
            </c:numRef>
          </c:xVal>
          <c:yVal>
            <c:numRef>
              <c:f>Implicit_Fracs!$AD$4:$AD$371</c:f>
              <c:numCache>
                <c:formatCode>General</c:formatCode>
                <c:ptCount val="368"/>
                <c:pt idx="0">
                  <c:v>1.6E-2</c:v>
                </c:pt>
                <c:pt idx="1">
                  <c:v>2.0569934438908501E-2</c:v>
                </c:pt>
                <c:pt idx="2">
                  <c:v>2.1996241380325899E-2</c:v>
                </c:pt>
                <c:pt idx="3">
                  <c:v>2.2874461139119201E-2</c:v>
                </c:pt>
                <c:pt idx="4">
                  <c:v>2.3503298065937501E-2</c:v>
                </c:pt>
                <c:pt idx="5">
                  <c:v>2.39871394670476E-2</c:v>
                </c:pt>
                <c:pt idx="6">
                  <c:v>2.4375383850366798E-2</c:v>
                </c:pt>
                <c:pt idx="7">
                  <c:v>2.4695503102407802E-2</c:v>
                </c:pt>
                <c:pt idx="8">
                  <c:v>2.49644235466614E-2</c:v>
                </c:pt>
                <c:pt idx="9">
                  <c:v>2.5193346162292799E-2</c:v>
                </c:pt>
                <c:pt idx="10">
                  <c:v>2.5390085470079302E-2</c:v>
                </c:pt>
                <c:pt idx="11">
                  <c:v>2.55603202845173E-2</c:v>
                </c:pt>
                <c:pt idx="12">
                  <c:v>2.57083135234728E-2</c:v>
                </c:pt>
                <c:pt idx="13">
                  <c:v>2.5837351029950099E-2</c:v>
                </c:pt>
                <c:pt idx="14">
                  <c:v>2.59500218374225E-2</c:v>
                </c:pt>
                <c:pt idx="15">
                  <c:v>2.6048404181350598E-2</c:v>
                </c:pt>
                <c:pt idx="16">
                  <c:v>2.61341930072806E-2</c:v>
                </c:pt>
                <c:pt idx="17">
                  <c:v>2.6208789816692099E-2</c:v>
                </c:pt>
                <c:pt idx="18">
                  <c:v>2.6273367498160501E-2</c:v>
                </c:pt>
                <c:pt idx="19">
                  <c:v>2.6328918088509502E-2</c:v>
                </c:pt>
                <c:pt idx="20">
                  <c:v>2.63762886063592E-2</c:v>
                </c:pt>
                <c:pt idx="21">
                  <c:v>2.6416208375365E-2</c:v>
                </c:pt>
                <c:pt idx="22">
                  <c:v>2.64493101615298E-2</c:v>
                </c:pt>
                <c:pt idx="23">
                  <c:v>2.64761467387431E-2</c:v>
                </c:pt>
                <c:pt idx="24">
                  <c:v>2.6497204024543398E-2</c:v>
                </c:pt>
                <c:pt idx="25">
                  <c:v>2.65129116077331E-2</c:v>
                </c:pt>
                <c:pt idx="26">
                  <c:v>2.6523651268055601E-2</c:v>
                </c:pt>
                <c:pt idx="27">
                  <c:v>2.65297639325143E-2</c:v>
                </c:pt>
                <c:pt idx="28">
                  <c:v>2.6531555401847099E-2</c:v>
                </c:pt>
                <c:pt idx="29">
                  <c:v>2.6529301100278999E-2</c:v>
                </c:pt>
                <c:pt idx="30">
                  <c:v>2.6523250042742998E-2</c:v>
                </c:pt>
                <c:pt idx="31">
                  <c:v>2.6513628170027899E-2</c:v>
                </c:pt>
                <c:pt idx="32">
                  <c:v>2.6500641169512298E-2</c:v>
                </c:pt>
                <c:pt idx="33">
                  <c:v>2.6484476874284998E-2</c:v>
                </c:pt>
                <c:pt idx="34">
                  <c:v>2.6465307314431401E-2</c:v>
                </c:pt>
                <c:pt idx="35">
                  <c:v>2.6443290479583999E-2</c:v>
                </c:pt>
                <c:pt idx="36">
                  <c:v>2.6418571840405899E-2</c:v>
                </c:pt>
                <c:pt idx="37">
                  <c:v>2.63912856677141E-2</c:v>
                </c:pt>
                <c:pt idx="38">
                  <c:v>2.6361554959915701E-2</c:v>
                </c:pt>
                <c:pt idx="39">
                  <c:v>2.6329493680629101E-2</c:v>
                </c:pt>
                <c:pt idx="40">
                  <c:v>2.6295207683316901E-2</c:v>
                </c:pt>
                <c:pt idx="41">
                  <c:v>2.6258795479803702E-2</c:v>
                </c:pt>
                <c:pt idx="42">
                  <c:v>2.62203489190489E-2</c:v>
                </c:pt>
                <c:pt idx="43">
                  <c:v>2.6179953788531201E-2</c:v>
                </c:pt>
                <c:pt idx="44">
                  <c:v>2.6137690348654399E-2</c:v>
                </c:pt>
                <c:pt idx="45">
                  <c:v>2.60936338089802E-2</c:v>
                </c:pt>
                <c:pt idx="46">
                  <c:v>2.6047854753766898E-2</c:v>
                </c:pt>
                <c:pt idx="47">
                  <c:v>2.60004195231913E-2</c:v>
                </c:pt>
                <c:pt idx="48">
                  <c:v>2.59513905557116E-2</c:v>
                </c:pt>
                <c:pt idx="49">
                  <c:v>2.5900826696255101E-2</c:v>
                </c:pt>
                <c:pt idx="50">
                  <c:v>2.5848783474271102E-2</c:v>
                </c:pt>
                <c:pt idx="51">
                  <c:v>2.57953133551347E-2</c:v>
                </c:pt>
                <c:pt idx="52">
                  <c:v>2.57404659679304E-2</c:v>
                </c:pt>
                <c:pt idx="53">
                  <c:v>2.56842883122433E-2</c:v>
                </c:pt>
                <c:pt idx="54">
                  <c:v>2.56268249462531E-2</c:v>
                </c:pt>
                <c:pt idx="55">
                  <c:v>2.5568118158134999E-2</c:v>
                </c:pt>
                <c:pt idx="56">
                  <c:v>2.5508208122526702E-2</c:v>
                </c:pt>
                <c:pt idx="57">
                  <c:v>2.54471330436058E-2</c:v>
                </c:pt>
                <c:pt idx="58">
                  <c:v>2.5384929286136702E-2</c:v>
                </c:pt>
                <c:pt idx="59">
                  <c:v>2.5321631495691999E-2</c:v>
                </c:pt>
                <c:pt idx="60">
                  <c:v>2.52572727091076E-2</c:v>
                </c:pt>
                <c:pt idx="61">
                  <c:v>2.51918844561176E-2</c:v>
                </c:pt>
                <c:pt idx="62">
                  <c:v>2.5125496853004799E-2</c:v>
                </c:pt>
                <c:pt idx="63">
                  <c:v>2.5058138689013802E-2</c:v>
                </c:pt>
                <c:pt idx="64">
                  <c:v>2.4989837506192401E-2</c:v>
                </c:pt>
                <c:pt idx="65">
                  <c:v>2.4920619673255699E-2</c:v>
                </c:pt>
                <c:pt idx="66">
                  <c:v>2.4850510454006901E-2</c:v>
                </c:pt>
                <c:pt idx="67">
                  <c:v>2.4779534070790601E-2</c:v>
                </c:pt>
                <c:pt idx="68">
                  <c:v>2.4707713763411399E-2</c:v>
                </c:pt>
                <c:pt idx="69">
                  <c:v>2.4635071843900801E-2</c:v>
                </c:pt>
                <c:pt idx="70">
                  <c:v>2.4561629747483601E-2</c:v>
                </c:pt>
                <c:pt idx="71">
                  <c:v>2.4487408080057799E-2</c:v>
                </c:pt>
                <c:pt idx="72">
                  <c:v>2.4412426662471301E-2</c:v>
                </c:pt>
                <c:pt idx="73">
                  <c:v>2.4336704571855501E-2</c:v>
                </c:pt>
                <c:pt idx="74">
                  <c:v>2.4260260180247399E-2</c:v>
                </c:pt>
                <c:pt idx="75">
                  <c:v>2.4183111190713698E-2</c:v>
                </c:pt>
                <c:pt idx="76">
                  <c:v>2.4105274671169401E-2</c:v>
                </c:pt>
                <c:pt idx="77">
                  <c:v>2.4026767086067099E-2</c:v>
                </c:pt>
                <c:pt idx="78">
                  <c:v>2.3947604326116999E-2</c:v>
                </c:pt>
                <c:pt idx="79">
                  <c:v>2.3867801736183698E-2</c:v>
                </c:pt>
                <c:pt idx="80">
                  <c:v>2.3787374141494198E-2</c:v>
                </c:pt>
                <c:pt idx="81">
                  <c:v>2.3706335872279199E-2</c:v>
                </c:pt>
                <c:pt idx="82">
                  <c:v>2.3624700786958799E-2</c:v>
                </c:pt>
                <c:pt idx="83">
                  <c:v>2.3542482293977401E-2</c:v>
                </c:pt>
                <c:pt idx="84">
                  <c:v>2.34596933723803E-2</c:v>
                </c:pt>
                <c:pt idx="85">
                  <c:v>2.3376346591219701E-2</c:v>
                </c:pt>
                <c:pt idx="86">
                  <c:v>2.32924541278705E-2</c:v>
                </c:pt>
                <c:pt idx="87">
                  <c:v>2.3208027785327101E-2</c:v>
                </c:pt>
                <c:pt idx="88">
                  <c:v>2.31230790085524E-2</c:v>
                </c:pt>
                <c:pt idx="89">
                  <c:v>2.3037618899938501E-2</c:v>
                </c:pt>
                <c:pt idx="90">
                  <c:v>2.2951658233938101E-2</c:v>
                </c:pt>
                <c:pt idx="91">
                  <c:v>2.2865207470920901E-2</c:v>
                </c:pt>
                <c:pt idx="92">
                  <c:v>2.27782767703027E-2</c:v>
                </c:pt>
                <c:pt idx="93">
                  <c:v>2.2690876002993399E-2</c:v>
                </c:pt>
                <c:pt idx="94">
                  <c:v>2.2603014763207901E-2</c:v>
                </c:pt>
                <c:pt idx="95">
                  <c:v>2.2514702379677499E-2</c:v>
                </c:pt>
                <c:pt idx="96">
                  <c:v>2.2425947926297801E-2</c:v>
                </c:pt>
                <c:pt idx="97">
                  <c:v>2.23367602322504E-2</c:v>
                </c:pt>
                <c:pt idx="98">
                  <c:v>2.2247147891625602E-2</c:v>
                </c:pt>
                <c:pt idx="99">
                  <c:v>2.21571192725789E-2</c:v>
                </c:pt>
                <c:pt idx="100">
                  <c:v>2.2066682526046998E-2</c:v>
                </c:pt>
                <c:pt idx="101">
                  <c:v>2.19758455940493E-2</c:v>
                </c:pt>
                <c:pt idx="102">
                  <c:v>2.18846162175983E-2</c:v>
                </c:pt>
                <c:pt idx="103">
                  <c:v>2.1793001944242E-2</c:v>
                </c:pt>
                <c:pt idx="104">
                  <c:v>2.17010101352582E-2</c:v>
                </c:pt>
                <c:pt idx="105">
                  <c:v>2.1608647972520399E-2</c:v>
                </c:pt>
                <c:pt idx="106">
                  <c:v>2.1515922465053201E-2</c:v>
                </c:pt>
                <c:pt idx="107">
                  <c:v>2.1422840455295401E-2</c:v>
                </c:pt>
                <c:pt idx="108">
                  <c:v>2.1329408625083798E-2</c:v>
                </c:pt>
                <c:pt idx="109">
                  <c:v>2.1235633501377301E-2</c:v>
                </c:pt>
                <c:pt idx="110">
                  <c:v>2.11415214617292E-2</c:v>
                </c:pt>
                <c:pt idx="111">
                  <c:v>2.1047078739527599E-2</c:v>
                </c:pt>
                <c:pt idx="112">
                  <c:v>2.0952311429009801E-2</c:v>
                </c:pt>
                <c:pt idx="113">
                  <c:v>2.0857225490066699E-2</c:v>
                </c:pt>
                <c:pt idx="114">
                  <c:v>2.0761826752846699E-2</c:v>
                </c:pt>
                <c:pt idx="115">
                  <c:v>2.06661209221684E-2</c:v>
                </c:pt>
                <c:pt idx="116">
                  <c:v>2.05701135817534E-2</c:v>
                </c:pt>
                <c:pt idx="117">
                  <c:v>2.0473810198286601E-2</c:v>
                </c:pt>
                <c:pt idx="118">
                  <c:v>2.0377216125313499E-2</c:v>
                </c:pt>
                <c:pt idx="119">
                  <c:v>2.0280336606983501E-2</c:v>
                </c:pt>
                <c:pt idx="120">
                  <c:v>2.0183176781643799E-2</c:v>
                </c:pt>
                <c:pt idx="121">
                  <c:v>2.0085741685294901E-2</c:v>
                </c:pt>
                <c:pt idx="122">
                  <c:v>1.99880362549105E-2</c:v>
                </c:pt>
                <c:pt idx="123">
                  <c:v>1.9890065331632099E-2</c:v>
                </c:pt>
                <c:pt idx="124">
                  <c:v>1.9791833663841098E-2</c:v>
                </c:pt>
                <c:pt idx="125">
                  <c:v>1.9693345910116299E-2</c:v>
                </c:pt>
                <c:pt idx="126">
                  <c:v>1.9594606642080601E-2</c:v>
                </c:pt>
                <c:pt idx="127">
                  <c:v>1.9495620347143298E-2</c:v>
                </c:pt>
                <c:pt idx="128">
                  <c:v>1.9396391431142201E-2</c:v>
                </c:pt>
                <c:pt idx="129">
                  <c:v>1.92969242208899E-2</c:v>
                </c:pt>
                <c:pt idx="130">
                  <c:v>1.9197222966629301E-2</c:v>
                </c:pt>
                <c:pt idx="131">
                  <c:v>1.90972918444017E-2</c:v>
                </c:pt>
                <c:pt idx="132">
                  <c:v>1.8997134958332499E-2</c:v>
                </c:pt>
                <c:pt idx="133">
                  <c:v>1.88967563428355E-2</c:v>
                </c:pt>
                <c:pt idx="134">
                  <c:v>1.8796159964744399E-2</c:v>
                </c:pt>
                <c:pt idx="135">
                  <c:v>1.8695349725369102E-2</c:v>
                </c:pt>
                <c:pt idx="136">
                  <c:v>1.85943294624831E-2</c:v>
                </c:pt>
                <c:pt idx="137">
                  <c:v>1.8493102952246099E-2</c:v>
                </c:pt>
                <c:pt idx="138">
                  <c:v>1.83916739110613E-2</c:v>
                </c:pt>
                <c:pt idx="139">
                  <c:v>1.82900459973728E-2</c:v>
                </c:pt>
                <c:pt idx="140">
                  <c:v>1.8188222813404601E-2</c:v>
                </c:pt>
                <c:pt idx="141">
                  <c:v>1.8086207906844499E-2</c:v>
                </c:pt>
                <c:pt idx="142">
                  <c:v>1.7984004772473899E-2</c:v>
                </c:pt>
                <c:pt idx="143">
                  <c:v>1.7881616853747302E-2</c:v>
                </c:pt>
                <c:pt idx="144">
                  <c:v>1.7779047544322499E-2</c:v>
                </c:pt>
                <c:pt idx="145">
                  <c:v>1.7676300189544001E-2</c:v>
                </c:pt>
                <c:pt idx="146">
                  <c:v>1.7573378087882102E-2</c:v>
                </c:pt>
                <c:pt idx="147">
                  <c:v>1.7470284492328399E-2</c:v>
                </c:pt>
                <c:pt idx="148">
                  <c:v>1.7367022611750198E-2</c:v>
                </c:pt>
                <c:pt idx="149">
                  <c:v>1.7263595612205598E-2</c:v>
                </c:pt>
                <c:pt idx="150">
                  <c:v>1.7160006618221299E-2</c:v>
                </c:pt>
                <c:pt idx="151">
                  <c:v>1.7056258714033001E-2</c:v>
                </c:pt>
                <c:pt idx="152">
                  <c:v>1.6952354944792199E-2</c:v>
                </c:pt>
                <c:pt idx="153">
                  <c:v>1.68482983177386E-2</c:v>
                </c:pt>
                <c:pt idx="154">
                  <c:v>1.6744091803341899E-2</c:v>
                </c:pt>
                <c:pt idx="155">
                  <c:v>1.6639738336411702E-2</c:v>
                </c:pt>
                <c:pt idx="156">
                  <c:v>1.6535240817178699E-2</c:v>
                </c:pt>
                <c:pt idx="157">
                  <c:v>1.64306021123484E-2</c:v>
                </c:pt>
                <c:pt idx="158">
                  <c:v>1.6325825056126599E-2</c:v>
                </c:pt>
                <c:pt idx="159">
                  <c:v>1.6220912451219701E-2</c:v>
                </c:pt>
                <c:pt idx="160">
                  <c:v>1.6115867069810899E-2</c:v>
                </c:pt>
                <c:pt idx="161">
                  <c:v>1.60106916545119E-2</c:v>
                </c:pt>
                <c:pt idx="162">
                  <c:v>1.5905388919292201E-2</c:v>
                </c:pt>
                <c:pt idx="163">
                  <c:v>1.5799961550387001E-2</c:v>
                </c:pt>
                <c:pt idx="164">
                  <c:v>1.5694412207184601E-2</c:v>
                </c:pt>
                <c:pt idx="165">
                  <c:v>1.55887435230925E-2</c:v>
                </c:pt>
                <c:pt idx="166">
                  <c:v>1.54829581063867E-2</c:v>
                </c:pt>
                <c:pt idx="167">
                  <c:v>1.53770585410414E-2</c:v>
                </c:pt>
                <c:pt idx="168">
                  <c:v>1.5271047387542E-2</c:v>
                </c:pt>
                <c:pt idx="169">
                  <c:v>1.5164927183681801E-2</c:v>
                </c:pt>
                <c:pt idx="170">
                  <c:v>1.5058700445343E-2</c:v>
                </c:pt>
                <c:pt idx="171">
                  <c:v>1.49523696672616E-2</c:v>
                </c:pt>
                <c:pt idx="172">
                  <c:v>1.48459373237806E-2</c:v>
                </c:pt>
                <c:pt idx="173">
                  <c:v>1.47394058695872E-2</c:v>
                </c:pt>
                <c:pt idx="174">
                  <c:v>1.46327777404393E-2</c:v>
                </c:pt>
                <c:pt idx="175">
                  <c:v>1.45260553538778E-2</c:v>
                </c:pt>
                <c:pt idx="176">
                  <c:v>1.4419241109930101E-2</c:v>
                </c:pt>
                <c:pt idx="177">
                  <c:v>1.43123373918006E-2</c:v>
                </c:pt>
                <c:pt idx="178">
                  <c:v>1.42053465665519E-2</c:v>
                </c:pt>
                <c:pt idx="179">
                  <c:v>1.40982709857776E-2</c:v>
                </c:pt>
                <c:pt idx="180">
                  <c:v>1.3991112986264501E-2</c:v>
                </c:pt>
                <c:pt idx="181">
                  <c:v>1.3883874890647499E-2</c:v>
                </c:pt>
                <c:pt idx="182">
                  <c:v>1.3776559008057699E-2</c:v>
                </c:pt>
                <c:pt idx="183">
                  <c:v>1.36691676347613E-2</c:v>
                </c:pt>
                <c:pt idx="184">
                  <c:v>1.3561703054795199E-2</c:v>
                </c:pt>
                <c:pt idx="185">
                  <c:v>1.34541675405938E-2</c:v>
                </c:pt>
                <c:pt idx="186">
                  <c:v>1.33465633536127E-2</c:v>
                </c:pt>
                <c:pt idx="187">
                  <c:v>1.3238892744947E-2</c:v>
                </c:pt>
                <c:pt idx="188">
                  <c:v>1.3131157955945501E-2</c:v>
                </c:pt>
                <c:pt idx="189">
                  <c:v>1.3023361218822299E-2</c:v>
                </c:pt>
                <c:pt idx="190">
                  <c:v>1.2915504757264299E-2</c:v>
                </c:pt>
                <c:pt idx="191">
                  <c:v>1.2807590787038799E-2</c:v>
                </c:pt>
                <c:pt idx="192">
                  <c:v>1.26996215165961E-2</c:v>
                </c:pt>
                <c:pt idx="193">
                  <c:v>1.25915991476754E-2</c:v>
                </c:pt>
                <c:pt idx="194">
                  <c:v>1.24835258759064E-2</c:v>
                </c:pt>
                <c:pt idx="195">
                  <c:v>1.23754038914148E-2</c:v>
                </c:pt>
                <c:pt idx="196">
                  <c:v>1.22672353794254E-2</c:v>
                </c:pt>
                <c:pt idx="197">
                  <c:v>1.21590225208705E-2</c:v>
                </c:pt>
                <c:pt idx="198">
                  <c:v>1.20507674929974E-2</c:v>
                </c:pt>
                <c:pt idx="199">
                  <c:v>1.19424724699817E-2</c:v>
                </c:pt>
                <c:pt idx="200">
                  <c:v>1.18341396235418E-2</c:v>
                </c:pt>
                <c:pt idx="201">
                  <c:v>1.1725771123561201E-2</c:v>
                </c:pt>
                <c:pt idx="202">
                  <c:v>1.1617369138713101E-2</c:v>
                </c:pt>
                <c:pt idx="203">
                  <c:v>1.15089358370937E-2</c:v>
                </c:pt>
                <c:pt idx="204">
                  <c:v>1.14004733868602E-2</c:v>
                </c:pt>
                <c:pt idx="205">
                  <c:v>1.1291983956878599E-2</c:v>
                </c:pt>
                <c:pt idx="206">
                  <c:v>1.1183469717379799E-2</c:v>
                </c:pt>
                <c:pt idx="207">
                  <c:v>1.1074932840624999E-2</c:v>
                </c:pt>
                <c:pt idx="208">
                  <c:v>1.0966375501582099E-2</c:v>
                </c:pt>
                <c:pt idx="209">
                  <c:v>1.08577998786151E-2</c:v>
                </c:pt>
                <c:pt idx="210">
                  <c:v>1.07492081541839E-2</c:v>
                </c:pt>
                <c:pt idx="211">
                  <c:v>1.06406025155609E-2</c:v>
                </c:pt>
                <c:pt idx="212">
                  <c:v>1.0531985155561301E-2</c:v>
                </c:pt>
                <c:pt idx="213">
                  <c:v>1.04233582732907E-2</c:v>
                </c:pt>
                <c:pt idx="214">
                  <c:v>1.03147240749098E-2</c:v>
                </c:pt>
                <c:pt idx="215">
                  <c:v>1.0206084774420201E-2</c:v>
                </c:pt>
                <c:pt idx="216">
                  <c:v>1.00974425944688E-2</c:v>
                </c:pt>
                <c:pt idx="217">
                  <c:v>9.9887997671775607E-3</c:v>
                </c:pt>
                <c:pt idx="218">
                  <c:v>9.8801585349948505E-3</c:v>
                </c:pt>
                <c:pt idx="219">
                  <c:v>9.7715211515741907E-3</c:v>
                </c:pt>
                <c:pt idx="220">
                  <c:v>9.6628898826818001E-3</c:v>
                </c:pt>
                <c:pt idx="221">
                  <c:v>9.5542670071330701E-3</c:v>
                </c:pt>
                <c:pt idx="222">
                  <c:v>9.4456548177613703E-3</c:v>
                </c:pt>
                <c:pt idx="223">
                  <c:v>9.3370556224232001E-3</c:v>
                </c:pt>
                <c:pt idx="224">
                  <c:v>9.2284717450389197E-3</c:v>
                </c:pt>
                <c:pt idx="225">
                  <c:v>9.1199055266745002E-3</c:v>
                </c:pt>
                <c:pt idx="226">
                  <c:v>9.0113593266662392E-3</c:v>
                </c:pt>
                <c:pt idx="227">
                  <c:v>8.9028355237910708E-3</c:v>
                </c:pt>
                <c:pt idx="228">
                  <c:v>8.7943365174876498E-3</c:v>
                </c:pt>
                <c:pt idx="229">
                  <c:v>8.6858647291291492E-3</c:v>
                </c:pt>
                <c:pt idx="230">
                  <c:v>8.5774226033543104E-3</c:v>
                </c:pt>
                <c:pt idx="231">
                  <c:v>8.4690126094601106E-3</c:v>
                </c:pt>
                <c:pt idx="232">
                  <c:v>8.3606372428592004E-3</c:v>
                </c:pt>
                <c:pt idx="233">
                  <c:v>8.2522990266096895E-3</c:v>
                </c:pt>
                <c:pt idx="234">
                  <c:v>8.1440005130209801E-3</c:v>
                </c:pt>
                <c:pt idx="235">
                  <c:v>8.0357442853414996E-3</c:v>
                </c:pt>
                <c:pt idx="236">
                  <c:v>7.9275329595349994E-3</c:v>
                </c:pt>
                <c:pt idx="237">
                  <c:v>7.8193691861529208E-3</c:v>
                </c:pt>
                <c:pt idx="238">
                  <c:v>7.7112556523098001E-3</c:v>
                </c:pt>
                <c:pt idx="239">
                  <c:v>7.6031950837683899E-3</c:v>
                </c:pt>
                <c:pt idx="240">
                  <c:v>7.4951902471463603E-3</c:v>
                </c:pt>
                <c:pt idx="241">
                  <c:v>7.3872439522521599E-3</c:v>
                </c:pt>
                <c:pt idx="242">
                  <c:v>7.2793590545616998E-3</c:v>
                </c:pt>
                <c:pt idx="243">
                  <c:v>7.1715384578452199E-3</c:v>
                </c:pt>
                <c:pt idx="244">
                  <c:v>7.06378511696112E-3</c:v>
                </c:pt>
                <c:pt idx="245">
                  <c:v>6.95610204082642E-3</c:v>
                </c:pt>
                <c:pt idx="246">
                  <c:v>6.8484922955819403E-3</c:v>
                </c:pt>
                <c:pt idx="247">
                  <c:v>6.7409590079684301E-3</c:v>
                </c:pt>
                <c:pt idx="248">
                  <c:v>6.6335053689305602E-3</c:v>
                </c:pt>
                <c:pt idx="249">
                  <c:v>6.5261346374718204E-3</c:v>
                </c:pt>
                <c:pt idx="250">
                  <c:v>6.4188501447803303E-3</c:v>
                </c:pt>
                <c:pt idx="251">
                  <c:v>6.3116552986518604E-3</c:v>
                </c:pt>
                <c:pt idx="252">
                  <c:v>6.2045535882377803E-3</c:v>
                </c:pt>
                <c:pt idx="253">
                  <c:v>6.0975485891470397E-3</c:v>
                </c:pt>
                <c:pt idx="254">
                  <c:v>5.9906439689375998E-3</c:v>
                </c:pt>
                <c:pt idx="255">
                  <c:v>5.8838434930336796E-3</c:v>
                </c:pt>
                <c:pt idx="256">
                  <c:v>5.7771510311118704E-3</c:v>
                </c:pt>
                <c:pt idx="257">
                  <c:v>5.6705705640018103E-3</c:v>
                </c:pt>
                <c:pt idx="258">
                  <c:v>5.56410619115479E-3</c:v>
                </c:pt>
                <c:pt idx="259">
                  <c:v>5.4577621387376296E-3</c:v>
                </c:pt>
                <c:pt idx="260">
                  <c:v>5.3515427684178198E-3</c:v>
                </c:pt>
                <c:pt idx="261">
                  <c:v>5.2454525869136204E-3</c:v>
                </c:pt>
                <c:pt idx="262">
                  <c:v>5.1394962563919202E-3</c:v>
                </c:pt>
                <c:pt idx="263">
                  <c:v>5.0336786058068203E-3</c:v>
                </c:pt>
                <c:pt idx="264">
                  <c:v>4.9280046432841999E-3</c:v>
                </c:pt>
                <c:pt idx="265">
                  <c:v>4.8224795696726799E-3</c:v>
                </c:pt>
                <c:pt idx="266">
                  <c:v>4.7171087933940096E-3</c:v>
                </c:pt>
                <c:pt idx="267">
                  <c:v>4.6118979467494603E-3</c:v>
                </c:pt>
                <c:pt idx="268">
                  <c:v>4.5068529038543E-3</c:v>
                </c:pt>
                <c:pt idx="269">
                  <c:v>4.4019798004026603E-3</c:v>
                </c:pt>
                <c:pt idx="270">
                  <c:v>4.2972850554894903E-3</c:v>
                </c:pt>
                <c:pt idx="271">
                  <c:v>4.1927753957540998E-3</c:v>
                </c:pt>
                <c:pt idx="272">
                  <c:v>4.0884578821451696E-3</c:v>
                </c:pt>
                <c:pt idx="273">
                  <c:v>3.9843399396556102E-3</c:v>
                </c:pt>
                <c:pt idx="274">
                  <c:v>3.8804293904304201E-3</c:v>
                </c:pt>
                <c:pt idx="275">
                  <c:v>3.77673449071303E-3</c:v>
                </c:pt>
                <c:pt idx="276">
                  <c:v>3.67326397217302E-3</c:v>
                </c:pt>
                <c:pt idx="277">
                  <c:v>3.57002708824766E-3</c:v>
                </c:pt>
                <c:pt idx="278">
                  <c:v>3.4670336662376601E-3</c:v>
                </c:pt>
                <c:pt idx="279">
                  <c:v>3.3642941660266398E-3</c:v>
                </c:pt>
                <c:pt idx="280">
                  <c:v>3.2618197464462902E-3</c:v>
                </c:pt>
                <c:pt idx="281">
                  <c:v>3.15962234049988E-3</c:v>
                </c:pt>
                <c:pt idx="282">
                  <c:v>3.0577147408760701E-3</c:v>
                </c:pt>
                <c:pt idx="283">
                  <c:v>2.9561106974647202E-3</c:v>
                </c:pt>
                <c:pt idx="284">
                  <c:v>2.85482502891631E-3</c:v>
                </c:pt>
                <c:pt idx="285">
                  <c:v>2.7538737506983698E-3</c:v>
                </c:pt>
                <c:pt idx="286">
                  <c:v>2.6532742226048501E-3</c:v>
                </c:pt>
                <c:pt idx="287">
                  <c:v>2.55304531929776E-3</c:v>
                </c:pt>
                <c:pt idx="288">
                  <c:v>2.4532076282338402E-3</c:v>
                </c:pt>
                <c:pt idx="289">
                  <c:v>2.3537836802980799E-3</c:v>
                </c:pt>
                <c:pt idx="290">
                  <c:v>2.2547982196728998E-3</c:v>
                </c:pt>
                <c:pt idx="291">
                  <c:v>2.1562785210074899E-3</c:v>
                </c:pt>
                <c:pt idx="292">
                  <c:v>2.0582547638845401E-3</c:v>
                </c:pt>
                <c:pt idx="293">
                  <c:v>1.9607604770550801E-3</c:v>
                </c:pt>
                <c:pt idx="294">
                  <c:v>1.8638330680731099E-3</c:v>
                </c:pt>
                <c:pt idx="295">
                  <c:v>1.76751445803402E-3</c:v>
                </c:pt>
                <c:pt idx="296">
                  <c:v>1.67185184638367E-3</c:v>
                </c:pt>
                <c:pt idx="297">
                  <c:v>1.57689863760022E-3</c:v>
                </c:pt>
                <c:pt idx="298">
                  <c:v>1.48271557045492E-3</c:v>
                </c:pt>
                <c:pt idx="299">
                  <c:v>1.3893721021797699E-3</c:v>
                </c:pt>
                <c:pt idx="300">
                  <c:v>1.29694811504177E-3</c:v>
                </c:pt>
                <c:pt idx="301">
                  <c:v>1.2055360325658199E-3</c:v>
                </c:pt>
                <c:pt idx="302">
                  <c:v>1.1152434581141899E-3</c:v>
                </c:pt>
                <c:pt idx="303">
                  <c:v>1.02619648082006E-3</c:v>
                </c:pt>
                <c:pt idx="304">
                  <c:v>9.3854383342176597E-4</c:v>
                </c:pt>
                <c:pt idx="305">
                  <c:v>8.52462131744584E-4</c:v>
                </c:pt>
                <c:pt idx="306">
                  <c:v>7.6816246944589001E-4</c:v>
                </c:pt>
                <c:pt idx="307">
                  <c:v>6.8589866442436297E-4</c:v>
                </c:pt>
                <c:pt idx="308">
                  <c:v>6.0597740615602597E-4</c:v>
                </c:pt>
                <c:pt idx="309">
                  <c:v>5.2877032324425495E-4</c:v>
                </c:pt>
                <c:pt idx="310">
                  <c:v>4.5472732838030601E-4</c:v>
                </c:pt>
                <c:pt idx="311">
                  <c:v>3.8438897934634002E-4</c:v>
                </c:pt>
                <c:pt idx="312">
                  <c:v>3.1839199688055701E-4</c:v>
                </c:pt>
                <c:pt idx="313">
                  <c:v>2.5745479809200899E-4</c:v>
                </c:pt>
                <c:pt idx="314">
                  <c:v>2.02317182851855E-4</c:v>
                </c:pt>
                <c:pt idx="315">
                  <c:v>1.5359255027391899E-4</c:v>
                </c:pt>
                <c:pt idx="316">
                  <c:v>1.11492061551583E-4</c:v>
                </c:pt>
                <c:pt idx="317" formatCode="0.00E+00">
                  <c:v>7.5454976022693005E-5</c:v>
                </c:pt>
                <c:pt idx="318" formatCode="0.00E+00">
                  <c:v>8.0290065547054904E-5</c:v>
                </c:pt>
                <c:pt idx="319" formatCode="0.00E+00">
                  <c:v>7.0743481397062197E-5</c:v>
                </c:pt>
                <c:pt idx="320" formatCode="0.00E+00">
                  <c:v>6.1885392726486701E-5</c:v>
                </c:pt>
                <c:pt idx="321" formatCode="0.00E+00">
                  <c:v>5.40993552582924E-5</c:v>
                </c:pt>
                <c:pt idx="322" formatCode="0.00E+00">
                  <c:v>4.7250763575499003E-5</c:v>
                </c:pt>
                <c:pt idx="323" formatCode="0.00E+00">
                  <c:v>4.1232100769163197E-5</c:v>
                </c:pt>
                <c:pt idx="324" formatCode="0.00E+00">
                  <c:v>3.5947276080096901E-5</c:v>
                </c:pt>
                <c:pt idx="325" formatCode="0.00E+00">
                  <c:v>3.1310823382625397E-5</c:v>
                </c:pt>
                <c:pt idx="326" formatCode="0.00E+00">
                  <c:v>2.7246768079484298E-5</c:v>
                </c:pt>
                <c:pt idx="327" formatCode="0.00E+00">
                  <c:v>2.36876215706106E-5</c:v>
                </c:pt>
                <c:pt idx="328" formatCode="0.00E+00">
                  <c:v>2.0573478169093701E-5</c:v>
                </c:pt>
                <c:pt idx="329" formatCode="0.00E+00">
                  <c:v>1.7851204189899298E-5</c:v>
                </c:pt>
                <c:pt idx="330" formatCode="0.00E+00">
                  <c:v>1.5473709872685999E-5</c:v>
                </c:pt>
                <c:pt idx="331" formatCode="0.00E+00">
                  <c:v>1.3399295859941299E-5</c:v>
                </c:pt>
                <c:pt idx="332" formatCode="0.00E+00">
                  <c:v>1.1591066839809899E-5</c:v>
                </c:pt>
                <c:pt idx="333" formatCode="0.00E+00">
                  <c:v>1.0016405724769199E-5</c:v>
                </c:pt>
                <c:pt idx="334" formatCode="0.00E+00">
                  <c:v>8.64650239974952E-6</c:v>
                </c:pt>
                <c:pt idx="335" formatCode="0.00E+00">
                  <c:v>7.4559316562048699E-6</c:v>
                </c:pt>
                <c:pt idx="336" formatCode="0.00E+00">
                  <c:v>6.4222754465159104E-6</c:v>
                </c:pt>
                <c:pt idx="337" formatCode="0.00E+00">
                  <c:v>5.5257850566776599E-6</c:v>
                </c:pt>
                <c:pt idx="338" formatCode="0.00E+00">
                  <c:v>4.7490792125568398E-6</c:v>
                </c:pt>
                <c:pt idx="339" formatCode="0.00E+00">
                  <c:v>4.0768745122512399E-6</c:v>
                </c:pt>
                <c:pt idx="340" formatCode="0.00E+00">
                  <c:v>3.4957449190765898E-6</c:v>
                </c:pt>
                <c:pt idx="341" formatCode="0.00E+00">
                  <c:v>2.99390736031284E-6</c:v>
                </c:pt>
                <c:pt idx="342" formatCode="0.00E+00">
                  <c:v>2.56103075924232E-6</c:v>
                </c:pt>
                <c:pt idx="343" formatCode="0.00E+00">
                  <c:v>2.18806608490494E-6</c:v>
                </c:pt>
                <c:pt idx="344" formatCode="0.00E+00">
                  <c:v>1.8670952376943299E-6</c:v>
                </c:pt>
                <c:pt idx="345" formatCode="0.00E+00">
                  <c:v>1.5911968014735201E-6</c:v>
                </c:pt>
                <c:pt idx="346" formatCode="0.00E+00">
                  <c:v>1.3543268861209599E-6</c:v>
                </c:pt>
                <c:pt idx="347" formatCode="0.00E+00">
                  <c:v>1.15121345998041E-6</c:v>
                </c:pt>
                <c:pt idx="348" formatCode="0.00E+00">
                  <c:v>9.7726273108117896E-7</c:v>
                </c:pt>
                <c:pt idx="349" formatCode="0.00E+00">
                  <c:v>8.28476280598364E-7</c:v>
                </c:pt>
                <c:pt idx="350" formatCode="0.00E+00">
                  <c:v>7.0137778309806699E-7</c:v>
                </c:pt>
                <c:pt idx="351" formatCode="0.00E+00">
                  <c:v>5.9294826682753905E-7</c:v>
                </c:pt>
                <c:pt idx="352" formatCode="0.00E+00">
                  <c:v>5.0056897473670503E-7</c:v>
                </c:pt>
                <c:pt idx="353" formatCode="0.00E+00">
                  <c:v>4.2197098404546802E-7</c:v>
                </c:pt>
                <c:pt idx="354" formatCode="0.00E+00">
                  <c:v>3.5519082991204101E-7</c:v>
                </c:pt>
                <c:pt idx="355" formatCode="0.00E+00">
                  <c:v>2.9853145794905002E-7</c:v>
                </c:pt>
                <c:pt idx="356" formatCode="0.00E+00">
                  <c:v>2.5052790174861102E-7</c:v>
                </c:pt>
                <c:pt idx="357" formatCode="0.00E+00">
                  <c:v>2.0991714592188399E-7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0A-4C2D-A2F9-FC22B2A073D9}"/>
            </c:ext>
          </c:extLst>
        </c:ser>
        <c:ser>
          <c:idx val="1"/>
          <c:order val="1"/>
          <c:tx>
            <c:strRef>
              <c:f>Implicit_Fracs!$AE$2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Implicit_Fracs!$C$4:$C$371</c:f>
              <c:numCache>
                <c:formatCode>General</c:formatCode>
                <c:ptCount val="368"/>
                <c:pt idx="0">
                  <c:v>6.5458908507104702E-2</c:v>
                </c:pt>
                <c:pt idx="1">
                  <c:v>0.10158646265419501</c:v>
                </c:pt>
                <c:pt idx="2">
                  <c:v>0.102060105178604</c:v>
                </c:pt>
                <c:pt idx="3">
                  <c:v>0.102354758409441</c:v>
                </c:pt>
                <c:pt idx="4">
                  <c:v>0.10257003610151801</c:v>
                </c:pt>
                <c:pt idx="5">
                  <c:v>0.102740146597483</c:v>
                </c:pt>
                <c:pt idx="6">
                  <c:v>0.10288102093448701</c:v>
                </c:pt>
                <c:pt idx="7">
                  <c:v>0.10300139565401099</c:v>
                </c:pt>
                <c:pt idx="8">
                  <c:v>0.10310658737638601</c:v>
                </c:pt>
                <c:pt idx="9">
                  <c:v>0.103200075337502</c:v>
                </c:pt>
                <c:pt idx="10">
                  <c:v>0.103284262204</c:v>
                </c:pt>
                <c:pt idx="11">
                  <c:v>0.103360877526633</c:v>
                </c:pt>
                <c:pt idx="12">
                  <c:v>0.103431208153653</c:v>
                </c:pt>
                <c:pt idx="13">
                  <c:v>0.103496237708407</c:v>
                </c:pt>
                <c:pt idx="14">
                  <c:v>0.103556735084609</c:v>
                </c:pt>
                <c:pt idx="15">
                  <c:v>0.103613312816801</c:v>
                </c:pt>
                <c:pt idx="16">
                  <c:v>0.103666466857375</c:v>
                </c:pt>
                <c:pt idx="17">
                  <c:v>0.10371660444741999</c:v>
                </c:pt>
                <c:pt idx="18">
                  <c:v>0.10376406411969299</c:v>
                </c:pt>
                <c:pt idx="19">
                  <c:v>0.10380913035858701</c:v>
                </c:pt>
                <c:pt idx="20">
                  <c:v>0.103852044544123</c:v>
                </c:pt>
                <c:pt idx="21">
                  <c:v>0.103893013256558</c:v>
                </c:pt>
                <c:pt idx="22">
                  <c:v>0.103932214670875</c:v>
                </c:pt>
                <c:pt idx="23">
                  <c:v>0.10396980354554</c:v>
                </c:pt>
                <c:pt idx="24">
                  <c:v>0.104005915161023</c:v>
                </c:pt>
                <c:pt idx="25">
                  <c:v>0.10404066846285701</c:v>
                </c:pt>
                <c:pt idx="26">
                  <c:v>0.104074168594671</c:v>
                </c:pt>
                <c:pt idx="27">
                  <c:v>0.10410650895807599</c:v>
                </c:pt>
                <c:pt idx="28">
                  <c:v>0.10413777290170501</c:v>
                </c:pt>
                <c:pt idx="29">
                  <c:v>0.104168035116796</c:v>
                </c:pt>
                <c:pt idx="30">
                  <c:v>0.104197362798492</c:v>
                </c:pt>
                <c:pt idx="31">
                  <c:v>0.104225816618547</c:v>
                </c:pt>
                <c:pt idx="32">
                  <c:v>0.104253451545067</c:v>
                </c:pt>
                <c:pt idx="33">
                  <c:v>0.104280317537286</c:v>
                </c:pt>
                <c:pt idx="34">
                  <c:v>0.10430646013757899</c:v>
                </c:pt>
                <c:pt idx="35">
                  <c:v>0.10433192097843901</c:v>
                </c:pt>
                <c:pt idx="36">
                  <c:v>0.104356738218675</c:v>
                </c:pt>
                <c:pt idx="37">
                  <c:v>0.10438094692038</c:v>
                </c:pt>
                <c:pt idx="38">
                  <c:v>0.104404579376061</c:v>
                </c:pt>
                <c:pt idx="39">
                  <c:v>0.10442766539470601</c:v>
                </c:pt>
                <c:pt idx="40">
                  <c:v>0.104450232550895</c:v>
                </c:pt>
                <c:pt idx="41">
                  <c:v>0.104472306403378</c:v>
                </c:pt>
                <c:pt idx="42">
                  <c:v>0.104493910687546</c:v>
                </c:pt>
                <c:pt idx="43">
                  <c:v>0.104515067485448</c:v>
                </c:pt>
                <c:pt idx="44">
                  <c:v>0.104535797376425</c:v>
                </c:pt>
                <c:pt idx="45">
                  <c:v>0.104556119570968</c:v>
                </c:pt>
                <c:pt idx="46">
                  <c:v>0.10457605202998201</c:v>
                </c:pt>
                <c:pt idx="47">
                  <c:v>0.10459561157132601</c:v>
                </c:pt>
                <c:pt idx="48">
                  <c:v>0.10461481396524</c:v>
                </c:pt>
                <c:pt idx="49">
                  <c:v>0.104633674020002</c:v>
                </c:pt>
                <c:pt idx="50">
                  <c:v>0.104652205659008</c:v>
                </c:pt>
                <c:pt idx="51">
                  <c:v>0.10467042199028</c:v>
                </c:pt>
                <c:pt idx="52">
                  <c:v>0.10468833536927501</c:v>
                </c:pt>
                <c:pt idx="53">
                  <c:v>0.104705957455764</c:v>
                </c:pt>
                <c:pt idx="54">
                  <c:v>0.104723299265432</c:v>
                </c:pt>
                <c:pt idx="55">
                  <c:v>0.10474037121678501</c:v>
                </c:pt>
                <c:pt idx="56">
                  <c:v>0.104757183173858</c:v>
                </c:pt>
                <c:pt idx="57">
                  <c:v>0.10477374448518</c:v>
                </c:pt>
                <c:pt idx="58">
                  <c:v>0.104790064019366</c:v>
                </c:pt>
                <c:pt idx="59">
                  <c:v>0.10480615019770299</c:v>
                </c:pt>
                <c:pt idx="60">
                  <c:v>0.104822011024007</c:v>
                </c:pt>
                <c:pt idx="61">
                  <c:v>0.10483765411203801</c:v>
                </c:pt>
                <c:pt idx="62">
                  <c:v>0.104853086710699</c:v>
                </c:pt>
                <c:pt idx="63">
                  <c:v>0.10486831572724099</c:v>
                </c:pt>
                <c:pt idx="64">
                  <c:v>0.104883347748643</c:v>
                </c:pt>
                <c:pt idx="65">
                  <c:v>0.104898189061358</c:v>
                </c:pt>
                <c:pt idx="66">
                  <c:v>0.104912845669559</c:v>
                </c:pt>
                <c:pt idx="67">
                  <c:v>0.10492732331202199</c:v>
                </c:pt>
                <c:pt idx="68">
                  <c:v>0.10494162747777</c:v>
                </c:pt>
                <c:pt idx="69">
                  <c:v>0.10495576342058401</c:v>
                </c:pt>
                <c:pt idx="70">
                  <c:v>0.104969736172476</c:v>
                </c:pt>
                <c:pt idx="71">
                  <c:v>0.104983550556215</c:v>
                </c:pt>
                <c:pt idx="72">
                  <c:v>0.104997211196988</c:v>
                </c:pt>
                <c:pt idx="73">
                  <c:v>0.105010722533251</c:v>
                </c:pt>
                <c:pt idx="74">
                  <c:v>0.10502408882686499</c:v>
                </c:pt>
                <c:pt idx="75">
                  <c:v>0.105037314172539</c:v>
                </c:pt>
                <c:pt idx="76">
                  <c:v>0.10505040250667</c:v>
                </c:pt>
                <c:pt idx="77">
                  <c:v>0.105063357615594</c:v>
                </c:pt>
                <c:pt idx="78">
                  <c:v>0.105076183143323</c:v>
                </c:pt>
                <c:pt idx="79">
                  <c:v>0.10508888259878001</c:v>
                </c:pt>
                <c:pt idx="80">
                  <c:v>0.105101459362598</c:v>
                </c:pt>
                <c:pt idx="81">
                  <c:v>0.10511391669348399</c:v>
                </c:pt>
                <c:pt idx="82">
                  <c:v>0.10512625773421</c:v>
                </c:pt>
                <c:pt idx="83">
                  <c:v>0.10513848551723599</c:v>
                </c:pt>
                <c:pt idx="84">
                  <c:v>0.10515060297000201</c:v>
                </c:pt>
                <c:pt idx="85">
                  <c:v>0.105162612919908</c:v>
                </c:pt>
                <c:pt idx="86">
                  <c:v>0.105174518099013</c:v>
                </c:pt>
                <c:pt idx="87">
                  <c:v>0.105186321148453</c:v>
                </c:pt>
                <c:pt idx="88">
                  <c:v>0.105198024622616</c:v>
                </c:pt>
                <c:pt idx="89">
                  <c:v>0.105209630993088</c:v>
                </c:pt>
                <c:pt idx="90">
                  <c:v>0.10522114265237301</c:v>
                </c:pt>
                <c:pt idx="91">
                  <c:v>0.105232561917411</c:v>
                </c:pt>
                <c:pt idx="92">
                  <c:v>0.105243891032912</c:v>
                </c:pt>
                <c:pt idx="93">
                  <c:v>0.105255132174505</c:v>
                </c:pt>
                <c:pt idx="94">
                  <c:v>0.10526628745172401</c:v>
                </c:pt>
                <c:pt idx="95">
                  <c:v>0.105277358910841</c:v>
                </c:pt>
                <c:pt idx="96">
                  <c:v>0.105288348537545</c:v>
                </c:pt>
                <c:pt idx="97">
                  <c:v>0.10529925825949001</c:v>
                </c:pt>
                <c:pt idx="98">
                  <c:v>0.105310089948715</c:v>
                </c:pt>
                <c:pt idx="99">
                  <c:v>0.10532084542394</c:v>
                </c:pt>
                <c:pt idx="100">
                  <c:v>0.105331526452749</c:v>
                </c:pt>
                <c:pt idx="101">
                  <c:v>0.10534213475366599</c:v>
                </c:pt>
                <c:pt idx="102">
                  <c:v>0.105352671998135</c:v>
                </c:pt>
                <c:pt idx="103">
                  <c:v>0.105363139812398</c:v>
                </c:pt>
                <c:pt idx="104">
                  <c:v>0.10537353977929</c:v>
                </c:pt>
                <c:pt idx="105">
                  <c:v>0.105383873439947</c:v>
                </c:pt>
                <c:pt idx="106">
                  <c:v>0.105394142295438</c:v>
                </c:pt>
                <c:pt idx="107">
                  <c:v>0.10540434780831399</c:v>
                </c:pt>
                <c:pt idx="108">
                  <c:v>0.1054144914041</c:v>
                </c:pt>
                <c:pt idx="109">
                  <c:v>0.105424574472708</c:v>
                </c:pt>
                <c:pt idx="110">
                  <c:v>0.10543459836979301</c:v>
                </c:pt>
                <c:pt idx="111">
                  <c:v>0.105444564418049</c:v>
                </c:pt>
                <c:pt idx="112">
                  <c:v>0.105454473908448</c:v>
                </c:pt>
                <c:pt idx="113">
                  <c:v>0.105464328101426</c:v>
                </c:pt>
                <c:pt idx="114">
                  <c:v>0.10547412822802001</c:v>
                </c:pt>
                <c:pt idx="115">
                  <c:v>0.10548387549095201</c:v>
                </c:pt>
                <c:pt idx="116">
                  <c:v>0.105493571065675</c:v>
                </c:pt>
                <c:pt idx="117">
                  <c:v>0.105503216101374</c:v>
                </c:pt>
                <c:pt idx="118">
                  <c:v>0.10551281172191999</c:v>
                </c:pt>
                <c:pt idx="119">
                  <c:v>0.10552235902679701</c:v>
                </c:pt>
                <c:pt idx="120">
                  <c:v>0.105531859091982</c:v>
                </c:pt>
                <c:pt idx="121">
                  <c:v>0.105541312970793</c:v>
                </c:pt>
                <c:pt idx="122">
                  <c:v>0.105550721694713</c:v>
                </c:pt>
                <c:pt idx="123">
                  <c:v>0.10556008627416701</c:v>
                </c:pt>
                <c:pt idx="124">
                  <c:v>0.105569407699282</c:v>
                </c:pt>
                <c:pt idx="125">
                  <c:v>0.105578686940613</c:v>
                </c:pt>
                <c:pt idx="126">
                  <c:v>0.10558792494984499</c:v>
                </c:pt>
                <c:pt idx="127">
                  <c:v>0.105597122660464</c:v>
                </c:pt>
                <c:pt idx="128">
                  <c:v>0.105606280988415</c:v>
                </c:pt>
                <c:pt idx="129">
                  <c:v>0.105615400832723</c:v>
                </c:pt>
                <c:pt idx="130">
                  <c:v>0.10562448307610101</c:v>
                </c:pt>
                <c:pt idx="131">
                  <c:v>0.105633528585537</c:v>
                </c:pt>
                <c:pt idx="132">
                  <c:v>0.105642538212856</c:v>
                </c:pt>
                <c:pt idx="133">
                  <c:v>0.10565151279527001</c:v>
                </c:pt>
                <c:pt idx="134">
                  <c:v>0.105660453155901</c:v>
                </c:pt>
                <c:pt idx="135">
                  <c:v>0.1056693601043</c:v>
                </c:pt>
                <c:pt idx="136">
                  <c:v>0.105678234436935</c:v>
                </c:pt>
                <c:pt idx="137">
                  <c:v>0.105687076937673</c:v>
                </c:pt>
                <c:pt idx="138">
                  <c:v>0.10569588837824601</c:v>
                </c:pt>
                <c:pt idx="139">
                  <c:v>0.105704669518702</c:v>
                </c:pt>
                <c:pt idx="140">
                  <c:v>0.105713421107842</c:v>
                </c:pt>
                <c:pt idx="141">
                  <c:v>0.105722143883642</c:v>
                </c:pt>
                <c:pt idx="142">
                  <c:v>0.10573083857367301</c:v>
                </c:pt>
                <c:pt idx="143">
                  <c:v>0.10573950589549699</c:v>
                </c:pt>
                <c:pt idx="144">
                  <c:v>0.105748146557059</c:v>
                </c:pt>
                <c:pt idx="145">
                  <c:v>0.105756761257069</c:v>
                </c:pt>
                <c:pt idx="146">
                  <c:v>0.105765350685371</c:v>
                </c:pt>
                <c:pt idx="147">
                  <c:v>0.10577391552330601</c:v>
                </c:pt>
                <c:pt idx="148">
                  <c:v>0.105782456444064</c:v>
                </c:pt>
                <c:pt idx="149">
                  <c:v>0.105790974113029</c:v>
                </c:pt>
                <c:pt idx="150">
                  <c:v>0.105799469188117</c:v>
                </c:pt>
                <c:pt idx="151">
                  <c:v>0.105807942320102</c:v>
                </c:pt>
                <c:pt idx="152">
                  <c:v>0.105816394152941</c:v>
                </c:pt>
                <c:pt idx="153">
                  <c:v>0.10582482532409</c:v>
                </c:pt>
                <c:pt idx="154">
                  <c:v>0.10583323646481201</c:v>
                </c:pt>
                <c:pt idx="155">
                  <c:v>0.105841628200482</c:v>
                </c:pt>
                <c:pt idx="156">
                  <c:v>0.105850001150887</c:v>
                </c:pt>
                <c:pt idx="157">
                  <c:v>0.105858355930516</c:v>
                </c:pt>
                <c:pt idx="158">
                  <c:v>0.105866693148851</c:v>
                </c:pt>
                <c:pt idx="159">
                  <c:v>0.105875013410654</c:v>
                </c:pt>
                <c:pt idx="160">
                  <c:v>0.10588331731624</c:v>
                </c:pt>
                <c:pt idx="161">
                  <c:v>0.105891605461765</c:v>
                </c:pt>
                <c:pt idx="162">
                  <c:v>0.10589987843948701</c:v>
                </c:pt>
                <c:pt idx="163">
                  <c:v>0.10590813683804701</c:v>
                </c:pt>
                <c:pt idx="164">
                  <c:v>0.10591638124273201</c:v>
                </c:pt>
                <c:pt idx="165">
                  <c:v>0.105924612235738</c:v>
                </c:pt>
                <c:pt idx="166">
                  <c:v>0.10593283039644</c:v>
                </c:pt>
                <c:pt idx="167">
                  <c:v>0.105941036301648</c:v>
                </c:pt>
                <c:pt idx="168">
                  <c:v>0.10594923052586901</c:v>
                </c:pt>
                <c:pt idx="169">
                  <c:v>0.105957413641566</c:v>
                </c:pt>
                <c:pt idx="170">
                  <c:v>0.105965586219415</c:v>
                </c:pt>
                <c:pt idx="171">
                  <c:v>0.105973748828566</c:v>
                </c:pt>
                <c:pt idx="172">
                  <c:v>0.10598190203689301</c:v>
                </c:pt>
                <c:pt idx="173">
                  <c:v>0.105990046411258</c:v>
                </c:pt>
                <c:pt idx="174">
                  <c:v>0.10599818251776701</c:v>
                </c:pt>
                <c:pt idx="175">
                  <c:v>0.106006310922025</c:v>
                </c:pt>
                <c:pt idx="176">
                  <c:v>0.106014432189397</c:v>
                </c:pt>
                <c:pt idx="177">
                  <c:v>0.106022546885271</c:v>
                </c:pt>
                <c:pt idx="178">
                  <c:v>0.10603065557531401</c:v>
                </c:pt>
                <c:pt idx="179">
                  <c:v>0.10603875882574</c:v>
                </c:pt>
                <c:pt idx="180">
                  <c:v>0.106046857203577</c:v>
                </c:pt>
                <c:pt idx="181">
                  <c:v>0.106054951276932</c:v>
                </c:pt>
                <c:pt idx="182">
                  <c:v>0.106063041615263</c:v>
                </c:pt>
                <c:pt idx="183">
                  <c:v>0.10607112878965499</c:v>
                </c:pt>
                <c:pt idx="184">
                  <c:v>0.106079213373101</c:v>
                </c:pt>
                <c:pt idx="185">
                  <c:v>0.106087295940776</c:v>
                </c:pt>
                <c:pt idx="186">
                  <c:v>0.10609537707033299</c:v>
                </c:pt>
                <c:pt idx="187">
                  <c:v>0.106103457342189</c:v>
                </c:pt>
                <c:pt idx="188">
                  <c:v>0.106111537339822</c:v>
                </c:pt>
                <c:pt idx="189">
                  <c:v>0.10611961765007601</c:v>
                </c:pt>
                <c:pt idx="190">
                  <c:v>0.106127698863465</c:v>
                </c:pt>
                <c:pt idx="191">
                  <c:v>0.10613578157449099</c:v>
                </c:pt>
                <c:pt idx="192">
                  <c:v>0.106143866381966</c:v>
                </c:pt>
                <c:pt idx="193">
                  <c:v>0.10615195388934</c:v>
                </c:pt>
                <c:pt idx="194">
                  <c:v>0.106160044705038</c:v>
                </c:pt>
                <c:pt idx="195">
                  <c:v>0.106168139442805</c:v>
                </c:pt>
                <c:pt idx="196">
                  <c:v>0.106176238722063</c:v>
                </c:pt>
                <c:pt idx="197">
                  <c:v>0.106184343168276</c:v>
                </c:pt>
                <c:pt idx="198">
                  <c:v>0.10619245341332301</c:v>
                </c:pt>
                <c:pt idx="199">
                  <c:v>0.106200570095885</c:v>
                </c:pt>
                <c:pt idx="200">
                  <c:v>0.10620869386184199</c:v>
                </c:pt>
                <c:pt idx="201">
                  <c:v>0.10621682536468401</c:v>
                </c:pt>
                <c:pt idx="202">
                  <c:v>0.106224965265935</c:v>
                </c:pt>
                <c:pt idx="203">
                  <c:v>0.106233114235588</c:v>
                </c:pt>
                <c:pt idx="204">
                  <c:v>0.10624127295256</c:v>
                </c:pt>
                <c:pt idx="205">
                  <c:v>0.10624944210515699</c:v>
                </c:pt>
                <c:pt idx="206">
                  <c:v>0.106257622391562</c:v>
                </c:pt>
                <c:pt idx="207">
                  <c:v>0.106265814520335</c:v>
                </c:pt>
                <c:pt idx="208">
                  <c:v>0.106274019210935</c:v>
                </c:pt>
                <c:pt idx="209">
                  <c:v>0.10628223719426</c:v>
                </c:pt>
                <c:pt idx="210">
                  <c:v>0.106290469213214</c:v>
                </c:pt>
                <c:pt idx="211">
                  <c:v>0.106298716023284</c:v>
                </c:pt>
                <c:pt idx="212">
                  <c:v>0.106306978393155</c:v>
                </c:pt>
                <c:pt idx="213">
                  <c:v>0.106315257105341</c:v>
                </c:pt>
                <c:pt idx="214">
                  <c:v>0.10632355295684801</c:v>
                </c:pt>
                <c:pt idx="215">
                  <c:v>0.10633186675985799</c:v>
                </c:pt>
                <c:pt idx="216">
                  <c:v>0.10634019934245301</c:v>
                </c:pt>
                <c:pt idx="217">
                  <c:v>0.106348551549366</c:v>
                </c:pt>
                <c:pt idx="218">
                  <c:v>0.106356924242761</c:v>
                </c:pt>
                <c:pt idx="219">
                  <c:v>0.10636531830306099</c:v>
                </c:pt>
                <c:pt idx="220">
                  <c:v>0.106373734629807</c:v>
                </c:pt>
                <c:pt idx="221">
                  <c:v>0.10638217414255299</c:v>
                </c:pt>
                <c:pt idx="222">
                  <c:v>0.106390637781818</c:v>
                </c:pt>
                <c:pt idx="223">
                  <c:v>0.10639912651007299</c:v>
                </c:pt>
                <c:pt idx="224">
                  <c:v>0.10640764131277999</c:v>
                </c:pt>
                <c:pt idx="225">
                  <c:v>0.10641618319948901</c:v>
                </c:pt>
                <c:pt idx="226">
                  <c:v>0.106424753204983</c:v>
                </c:pt>
                <c:pt idx="227">
                  <c:v>0.10643335239049</c:v>
                </c:pt>
                <c:pt idx="228">
                  <c:v>0.106441981844954</c:v>
                </c:pt>
                <c:pt idx="229">
                  <c:v>0.106450642686375</c:v>
                </c:pt>
                <c:pt idx="230">
                  <c:v>0.10645933606322799</c:v>
                </c:pt>
                <c:pt idx="231">
                  <c:v>0.10646806315594901</c:v>
                </c:pt>
                <c:pt idx="232">
                  <c:v>0.106476825178516</c:v>
                </c:pt>
                <c:pt idx="233">
                  <c:v>0.10648562338011</c:v>
                </c:pt>
                <c:pt idx="234">
                  <c:v>0.106494459046881</c:v>
                </c:pt>
                <c:pt idx="235">
                  <c:v>0.106503333503809</c:v>
                </c:pt>
                <c:pt idx="236">
                  <c:v>0.10651224811667701</c:v>
                </c:pt>
                <c:pt idx="237">
                  <c:v>0.106521204294171</c:v>
                </c:pt>
                <c:pt idx="238">
                  <c:v>0.106530203490093</c:v>
                </c:pt>
                <c:pt idx="239">
                  <c:v>0.10653924720572699</c:v>
                </c:pt>
                <c:pt idx="240">
                  <c:v>0.106548336992338</c:v>
                </c:pt>
                <c:pt idx="241">
                  <c:v>0.106557474453844</c:v>
                </c:pt>
                <c:pt idx="242">
                  <c:v>0.106566661249652</c:v>
                </c:pt>
                <c:pt idx="243">
                  <c:v>0.10657589909767901</c:v>
                </c:pt>
                <c:pt idx="244">
                  <c:v>0.10658518977758299</c:v>
                </c:pt>
                <c:pt idx="245">
                  <c:v>0.106594535134197</c:v>
                </c:pt>
                <c:pt idx="246">
                  <c:v>0.106603937081217</c:v>
                </c:pt>
                <c:pt idx="247">
                  <c:v>0.106613397605125</c:v>
                </c:pt>
                <c:pt idx="248">
                  <c:v>0.10662291876941001</c:v>
                </c:pt>
                <c:pt idx="249">
                  <c:v>0.106632502719071</c:v>
                </c:pt>
                <c:pt idx="250">
                  <c:v>0.10664215168546599</c:v>
                </c:pt>
                <c:pt idx="251">
                  <c:v>0.106651867991505</c:v>
                </c:pt>
                <c:pt idx="252">
                  <c:v>0.106661654057239</c:v>
                </c:pt>
                <c:pt idx="253">
                  <c:v>0.106671512405876</c:v>
                </c:pt>
                <c:pt idx="254">
                  <c:v>0.106681445670259</c:v>
                </c:pt>
                <c:pt idx="255">
                  <c:v>0.106691456599855</c:v>
                </c:pt>
                <c:pt idx="256">
                  <c:v>0.10670154806830701</c:v>
                </c:pt>
                <c:pt idx="257">
                  <c:v>0.106711723081597</c:v>
                </c:pt>
                <c:pt idx="258">
                  <c:v>0.106721984786882</c:v>
                </c:pt>
                <c:pt idx="259">
                  <c:v>0.106732336482082</c:v>
                </c:pt>
                <c:pt idx="260">
                  <c:v>0.10674278162628199</c:v>
                </c:pt>
                <c:pt idx="261">
                  <c:v>0.106753323851043</c:v>
                </c:pt>
                <c:pt idx="262">
                  <c:v>0.106763966972719</c:v>
                </c:pt>
                <c:pt idx="263">
                  <c:v>0.10677471500588499</c:v>
                </c:pt>
                <c:pt idx="264">
                  <c:v>0.10678557217800599</c:v>
                </c:pt>
                <c:pt idx="265">
                  <c:v>0.106796542945475</c:v>
                </c:pt>
                <c:pt idx="266">
                  <c:v>0.10680763201119001</c:v>
                </c:pt>
                <c:pt idx="267">
                  <c:v>0.106818844343851</c:v>
                </c:pt>
                <c:pt idx="268">
                  <c:v>0.106830185199162</c:v>
                </c:pt>
                <c:pt idx="269">
                  <c:v>0.1068416601432</c:v>
                </c:pt>
                <c:pt idx="270">
                  <c:v>0.106853275078199</c:v>
                </c:pt>
                <c:pt idx="271">
                  <c:v>0.10686503627105901</c:v>
                </c:pt>
                <c:pt idx="272">
                  <c:v>0.106876950384948</c:v>
                </c:pt>
                <c:pt idx="273">
                  <c:v>0.10688902451438199</c:v>
                </c:pt>
                <c:pt idx="274">
                  <c:v>0.106901266224276</c:v>
                </c:pt>
                <c:pt idx="275">
                  <c:v>0.106913683593506</c:v>
                </c:pt>
                <c:pt idx="276">
                  <c:v>0.106926285263621</c:v>
                </c:pt>
                <c:pt idx="277">
                  <c:v>0.106939080493455</c:v>
                </c:pt>
                <c:pt idx="278">
                  <c:v>0.10695207922051</c:v>
                </c:pt>
                <c:pt idx="279">
                  <c:v>0.10696529213014599</c:v>
                </c:pt>
                <c:pt idx="280">
                  <c:v>0.106978730733797</c:v>
                </c:pt>
                <c:pt idx="281">
                  <c:v>0.106992407457646</c:v>
                </c:pt>
                <c:pt idx="282">
                  <c:v>0.107006335743491</c:v>
                </c:pt>
                <c:pt idx="283">
                  <c:v>0.10702053016384699</c:v>
                </c:pt>
                <c:pt idx="284">
                  <c:v>0.107035006553762</c:v>
                </c:pt>
                <c:pt idx="285">
                  <c:v>0.107049782162317</c:v>
                </c:pt>
                <c:pt idx="286">
                  <c:v>0.10706487582742701</c:v>
                </c:pt>
                <c:pt idx="287">
                  <c:v>0.107080308178348</c:v>
                </c:pt>
                <c:pt idx="288">
                  <c:v>0.10709610187127599</c:v>
                </c:pt>
                <c:pt idx="289">
                  <c:v>0.10711228186470099</c:v>
                </c:pt>
                <c:pt idx="290">
                  <c:v>0.107128875742745</c:v>
                </c:pt>
                <c:pt idx="291">
                  <c:v>0.107145914096787</c:v>
                </c:pt>
                <c:pt idx="292">
                  <c:v>0.10716343097827</c:v>
                </c:pt>
                <c:pt idx="293">
                  <c:v>0.10718146443905199</c:v>
                </c:pt>
                <c:pt idx="294">
                  <c:v>0.107200057180087</c:v>
                </c:pt>
                <c:pt idx="295">
                  <c:v>0.10721925733519</c:v>
                </c:pt>
                <c:pt idx="296">
                  <c:v>0.107239119424452</c:v>
                </c:pt>
                <c:pt idx="297">
                  <c:v>0.10725970552248799</c:v>
                </c:pt>
                <c:pt idx="298">
                  <c:v>0.107281086701057</c:v>
                </c:pt>
                <c:pt idx="299">
                  <c:v>0.10730334482520799</c:v>
                </c:pt>
                <c:pt idx="300">
                  <c:v>0.107326574809414</c:v>
                </c:pt>
                <c:pt idx="301">
                  <c:v>0.10735088747820599</c:v>
                </c:pt>
                <c:pt idx="302">
                  <c:v>0.10737641322982</c:v>
                </c:pt>
                <c:pt idx="303">
                  <c:v>0.107403306778537</c:v>
                </c:pt>
                <c:pt idx="304">
                  <c:v>0.10743175336319</c:v>
                </c:pt>
                <c:pt idx="305">
                  <c:v>0.107461976972791</c:v>
                </c:pt>
                <c:pt idx="306">
                  <c:v>0.107494251381856</c:v>
                </c:pt>
                <c:pt idx="307">
                  <c:v>0.107528915147976</c:v>
                </c:pt>
                <c:pt idx="308">
                  <c:v>0.107566392263413</c:v>
                </c:pt>
                <c:pt idx="309">
                  <c:v>0.10760722096054399</c:v>
                </c:pt>
                <c:pt idx="310">
                  <c:v>0.107652094373539</c:v>
                </c:pt>
                <c:pt idx="311">
                  <c:v>0.107701918517204</c:v>
                </c:pt>
                <c:pt idx="312">
                  <c:v>0.107757895545197</c:v>
                </c:pt>
                <c:pt idx="313">
                  <c:v>0.107821643761701</c:v>
                </c:pt>
                <c:pt idx="314">
                  <c:v>0.107895371464266</c:v>
                </c:pt>
                <c:pt idx="315">
                  <c:v>0.107982136054144</c:v>
                </c:pt>
                <c:pt idx="316">
                  <c:v>0.108086279484475</c:v>
                </c:pt>
                <c:pt idx="317">
                  <c:v>0.10821441051713999</c:v>
                </c:pt>
                <c:pt idx="318">
                  <c:v>0.108378611684964</c:v>
                </c:pt>
                <c:pt idx="319">
                  <c:v>0.10851279142848901</c:v>
                </c:pt>
                <c:pt idx="320">
                  <c:v>0.108646878508965</c:v>
                </c:pt>
                <c:pt idx="321">
                  <c:v>0.108781836007877</c:v>
                </c:pt>
                <c:pt idx="322">
                  <c:v>0.108917703938839</c:v>
                </c:pt>
                <c:pt idx="323">
                  <c:v>0.109054545173906</c:v>
                </c:pt>
                <c:pt idx="324">
                  <c:v>0.109192417872054</c:v>
                </c:pt>
                <c:pt idx="325">
                  <c:v>0.109331376964383</c:v>
                </c:pt>
                <c:pt idx="326">
                  <c:v>0.10947147454287399</c:v>
                </c:pt>
                <c:pt idx="327">
                  <c:v>0.109612760241196</c:v>
                </c:pt>
                <c:pt idx="328">
                  <c:v>0.10975528157779101</c:v>
                </c:pt>
                <c:pt idx="329">
                  <c:v>0.109899084266184</c:v>
                </c:pt>
                <c:pt idx="330">
                  <c:v>0.110044212495958</c:v>
                </c:pt>
                <c:pt idx="331">
                  <c:v>0.11019070918751001</c:v>
                </c:pt>
                <c:pt idx="332">
                  <c:v>0.11033861622334599</c:v>
                </c:pt>
                <c:pt idx="333">
                  <c:v>0.110487974658393</c:v>
                </c:pt>
                <c:pt idx="334">
                  <c:v>0.110638824911563</c:v>
                </c:pt>
                <c:pt idx="335">
                  <c:v>0.110791206940568</c:v>
                </c:pt>
                <c:pt idx="336">
                  <c:v>0.11094516040180299</c:v>
                </c:pt>
                <c:pt idx="337">
                  <c:v>0.11110072479692901</c:v>
                </c:pt>
                <c:pt idx="338">
                  <c:v>0.111257939607629</c:v>
                </c:pt>
                <c:pt idx="339">
                  <c:v>0.111416844419904</c:v>
                </c:pt>
                <c:pt idx="340">
                  <c:v>0.111577479039088</c:v>
                </c:pt>
                <c:pt idx="341">
                  <c:v>0.111739883596728</c:v>
                </c:pt>
                <c:pt idx="342">
                  <c:v>0.111904098650297</c:v>
                </c:pt>
                <c:pt idx="343">
                  <c:v>0.11207016527668</c:v>
                </c:pt>
                <c:pt idx="344">
                  <c:v>0.112238125160255</c:v>
                </c:pt>
                <c:pt idx="345">
                  <c:v>0.11240802067632299</c:v>
                </c:pt>
                <c:pt idx="346">
                  <c:v>0.11257989497059701</c:v>
                </c:pt>
                <c:pt idx="347">
                  <c:v>0.112753792035371</c:v>
                </c:pt>
                <c:pt idx="348">
                  <c:v>0.112929756782956</c:v>
                </c:pt>
                <c:pt idx="349">
                  <c:v>0.113107835116922</c:v>
                </c:pt>
                <c:pt idx="350">
                  <c:v>0.113288074001635</c:v>
                </c:pt>
                <c:pt idx="351">
                  <c:v>0.113470521530551</c:v>
                </c:pt>
                <c:pt idx="352">
                  <c:v>0.113655226993682</c:v>
                </c:pt>
                <c:pt idx="353">
                  <c:v>0.113842240944644</c:v>
                </c:pt>
                <c:pt idx="354">
                  <c:v>0.114031615267637</c:v>
                </c:pt>
                <c:pt idx="355">
                  <c:v>0.11422340324472501</c:v>
                </c:pt>
                <c:pt idx="356">
                  <c:v>0.11441765962373</c:v>
                </c:pt>
                <c:pt idx="357">
                  <c:v>0.114614440687063</c:v>
                </c:pt>
                <c:pt idx="358">
                  <c:v>0.114813804321789</c:v>
                </c:pt>
                <c:pt idx="359">
                  <c:v>0.22425676384167301</c:v>
                </c:pt>
                <c:pt idx="360">
                  <c:v>0.30704288935609397</c:v>
                </c:pt>
                <c:pt idx="361">
                  <c:v>0.30834090817871301</c:v>
                </c:pt>
                <c:pt idx="362">
                  <c:v>0.30921577139060102</c:v>
                </c:pt>
                <c:pt idx="363">
                  <c:v>0.31017471350345399</c:v>
                </c:pt>
                <c:pt idx="364">
                  <c:v>0.31131883897321</c:v>
                </c:pt>
                <c:pt idx="365">
                  <c:v>0.31289797505880901</c:v>
                </c:pt>
                <c:pt idx="366">
                  <c:v>0.51289797505880896</c:v>
                </c:pt>
                <c:pt idx="367">
                  <c:v>0.51289797505880896</c:v>
                </c:pt>
              </c:numCache>
            </c:numRef>
          </c:xVal>
          <c:yVal>
            <c:numRef>
              <c:f>Implicit_Fracs!$AE$4:$AE$371</c:f>
              <c:numCache>
                <c:formatCode>General</c:formatCode>
                <c:ptCount val="368"/>
                <c:pt idx="0">
                  <c:v>0</c:v>
                </c:pt>
                <c:pt idx="1">
                  <c:v>0</c:v>
                </c:pt>
                <c:pt idx="2" formatCode="0.00E+00">
                  <c:v>8.3504005904346801E-5</c:v>
                </c:pt>
                <c:pt idx="3">
                  <c:v>1.7211894161682799E-4</c:v>
                </c:pt>
                <c:pt idx="4">
                  <c:v>2.6402483764162698E-4</c:v>
                </c:pt>
                <c:pt idx="5">
                  <c:v>3.5838663753470399E-4</c:v>
                </c:pt>
                <c:pt idx="6">
                  <c:v>4.5471521603068798E-4</c:v>
                </c:pt>
                <c:pt idx="7">
                  <c:v>5.5268702629681396E-4</c:v>
                </c:pt>
                <c:pt idx="8">
                  <c:v>6.5207155626643705E-4</c:v>
                </c:pt>
                <c:pt idx="9">
                  <c:v>7.5269599146766399E-4</c:v>
                </c:pt>
                <c:pt idx="10">
                  <c:v>8.5442580197500899E-4</c:v>
                </c:pt>
                <c:pt idx="11">
                  <c:v>9.57153161056967E-4</c:v>
                </c:pt>
                <c:pt idx="12">
                  <c:v>1.0607896054842299E-3</c:v>
                </c:pt>
                <c:pt idx="13">
                  <c:v>1.1652611611229599E-3</c:v>
                </c:pt>
                <c:pt idx="14">
                  <c:v>1.2705049811128899E-3</c:v>
                </c:pt>
                <c:pt idx="15">
                  <c:v>1.37646695320243E-3</c:v>
                </c:pt>
                <c:pt idx="16">
                  <c:v>1.4830999507450501E-3</c:v>
                </c:pt>
                <c:pt idx="17">
                  <c:v>1.59036252442809E-3</c:v>
                </c:pt>
                <c:pt idx="18">
                  <c:v>1.69821790386532E-3</c:v>
                </c:pt>
                <c:pt idx="19">
                  <c:v>1.8066332221552E-3</c:v>
                </c:pt>
                <c:pt idx="20">
                  <c:v>1.9155789041997099E-3</c:v>
                </c:pt>
                <c:pt idx="21">
                  <c:v>2.02502817751704E-3</c:v>
                </c:pt>
                <c:pt idx="22">
                  <c:v>2.1349566761866001E-3</c:v>
                </c:pt>
                <c:pt idx="23">
                  <c:v>2.2453421166492901E-3</c:v>
                </c:pt>
                <c:pt idx="24">
                  <c:v>2.3561640296826301E-3</c:v>
                </c:pt>
                <c:pt idx="25">
                  <c:v>2.4674035368210598E-3</c:v>
                </c:pt>
                <c:pt idx="26">
                  <c:v>2.5790431623233701E-3</c:v>
                </c:pt>
                <c:pt idx="27">
                  <c:v>2.6910666738534602E-3</c:v>
                </c:pt>
                <c:pt idx="28">
                  <c:v>2.8034589465651301E-3</c:v>
                </c:pt>
                <c:pt idx="29">
                  <c:v>2.9162058464219198E-3</c:v>
                </c:pt>
                <c:pt idx="30">
                  <c:v>3.0292941294474498E-3</c:v>
                </c:pt>
                <c:pt idx="31">
                  <c:v>3.1427113542619898E-3</c:v>
                </c:pt>
                <c:pt idx="32">
                  <c:v>3.25644580577442E-3</c:v>
                </c:pt>
                <c:pt idx="33">
                  <c:v>3.3704864282955598E-3</c:v>
                </c:pt>
                <c:pt idx="34">
                  <c:v>3.4848227666557301E-3</c:v>
                </c:pt>
                <c:pt idx="35">
                  <c:v>3.5994449141566998E-3</c:v>
                </c:pt>
                <c:pt idx="36">
                  <c:v>3.71434346639007E-3</c:v>
                </c:pt>
                <c:pt idx="37">
                  <c:v>3.8295094801135002E-3</c:v>
                </c:pt>
                <c:pt idx="38">
                  <c:v>3.9449351253358E-3</c:v>
                </c:pt>
                <c:pt idx="39">
                  <c:v>4.0606129796738099E-3</c:v>
                </c:pt>
                <c:pt idx="40">
                  <c:v>4.1765359714544797E-3</c:v>
                </c:pt>
                <c:pt idx="41">
                  <c:v>4.2926973540425503E-3</c:v>
                </c:pt>
                <c:pt idx="42">
                  <c:v>4.4090906826265803E-3</c:v>
                </c:pt>
                <c:pt idx="43">
                  <c:v>4.5257097931744403E-3</c:v>
                </c:pt>
                <c:pt idx="44">
                  <c:v>4.6425487833090901E-3</c:v>
                </c:pt>
                <c:pt idx="45">
                  <c:v>4.7596019948893597E-3</c:v>
                </c:pt>
                <c:pt idx="46">
                  <c:v>4.8768639981083698E-3</c:v>
                </c:pt>
                <c:pt idx="47">
                  <c:v>4.99432957694744E-3</c:v>
                </c:pt>
                <c:pt idx="48">
                  <c:v>5.1119937158422496E-3</c:v>
                </c:pt>
                <c:pt idx="49">
                  <c:v>5.22985158743762E-3</c:v>
                </c:pt>
                <c:pt idx="50">
                  <c:v>5.3478985413206101E-3</c:v>
                </c:pt>
                <c:pt idx="51">
                  <c:v>5.4661300936363396E-3</c:v>
                </c:pt>
                <c:pt idx="52">
                  <c:v>5.5845419175001697E-3</c:v>
                </c:pt>
                <c:pt idx="53">
                  <c:v>5.7031298341316504E-3</c:v>
                </c:pt>
                <c:pt idx="54">
                  <c:v>5.8218898046423504E-3</c:v>
                </c:pt>
                <c:pt idx="55">
                  <c:v>5.9408179224189001E-3</c:v>
                </c:pt>
                <c:pt idx="56">
                  <c:v>6.05991040604692E-3</c:v>
                </c:pt>
                <c:pt idx="57">
                  <c:v>6.1791635927284996E-3</c:v>
                </c:pt>
                <c:pt idx="58">
                  <c:v>6.2985739321516103E-3</c:v>
                </c:pt>
                <c:pt idx="59">
                  <c:v>6.4181379807710997E-3</c:v>
                </c:pt>
                <c:pt idx="60">
                  <c:v>6.5378523964693697E-3</c:v>
                </c:pt>
                <c:pt idx="61">
                  <c:v>6.6577139335627896E-3</c:v>
                </c:pt>
                <c:pt idx="62">
                  <c:v>6.7777194381288897E-3</c:v>
                </c:pt>
                <c:pt idx="63">
                  <c:v>6.8978658436264799E-3</c:v>
                </c:pt>
                <c:pt idx="64">
                  <c:v>7.0181501667867597E-3</c:v>
                </c:pt>
                <c:pt idx="65">
                  <c:v>7.1385695037551999E-3</c:v>
                </c:pt>
                <c:pt idx="66">
                  <c:v>7.2591210264637499E-3</c:v>
                </c:pt>
                <c:pt idx="67">
                  <c:v>7.3798019792177599E-3</c:v>
                </c:pt>
                <c:pt idx="68">
                  <c:v>7.5006096754804399E-3</c:v>
                </c:pt>
                <c:pt idx="69">
                  <c:v>7.6215414948414802E-3</c:v>
                </c:pt>
                <c:pt idx="70">
                  <c:v>7.7425948801569701E-3</c:v>
                </c:pt>
                <c:pt idx="71">
                  <c:v>7.8637673348469894E-3</c:v>
                </c:pt>
                <c:pt idx="72">
                  <c:v>7.9850564203419096E-3</c:v>
                </c:pt>
                <c:pt idx="73">
                  <c:v>8.1064597536656593E-3</c:v>
                </c:pt>
                <c:pt idx="74">
                  <c:v>8.2279750051482397E-3</c:v>
                </c:pt>
                <c:pt idx="75">
                  <c:v>8.3495998962568596E-3</c:v>
                </c:pt>
                <c:pt idx="76">
                  <c:v>8.4713321975402895E-3</c:v>
                </c:pt>
                <c:pt idx="77">
                  <c:v>8.5931697266770704E-3</c:v>
                </c:pt>
                <c:pt idx="78">
                  <c:v>8.7151103466224095E-3</c:v>
                </c:pt>
                <c:pt idx="79">
                  <c:v>8.8371519638463705E-3</c:v>
                </c:pt>
                <c:pt idx="80">
                  <c:v>8.9592925266583894E-3</c:v>
                </c:pt>
                <c:pt idx="81">
                  <c:v>9.0815300236126804E-3</c:v>
                </c:pt>
                <c:pt idx="82">
                  <c:v>9.2038624819897503E-3</c:v>
                </c:pt>
                <c:pt idx="83">
                  <c:v>9.3262879663489097E-3</c:v>
                </c:pt>
                <c:pt idx="84">
                  <c:v>9.4488045771477704E-3</c:v>
                </c:pt>
                <c:pt idx="85">
                  <c:v>9.5714104494260006E-3</c:v>
                </c:pt>
                <c:pt idx="86">
                  <c:v>9.6941037515467995E-3</c:v>
                </c:pt>
                <c:pt idx="87">
                  <c:v>9.8168826839964297E-3</c:v>
                </c:pt>
                <c:pt idx="88">
                  <c:v>9.9397454782351406E-3</c:v>
                </c:pt>
                <c:pt idx="89">
                  <c:v>1.0062690395599001E-2</c:v>
                </c:pt>
                <c:pt idx="90">
                  <c:v>1.01857157262487E-2</c:v>
                </c:pt>
                <c:pt idx="91">
                  <c:v>1.0308819788162501E-2</c:v>
                </c:pt>
                <c:pt idx="92">
                  <c:v>1.0432000926172001E-2</c:v>
                </c:pt>
                <c:pt idx="93">
                  <c:v>1.0555257511037801E-2</c:v>
                </c:pt>
                <c:pt idx="94">
                  <c:v>1.0678587938562601E-2</c:v>
                </c:pt>
                <c:pt idx="95">
                  <c:v>1.0801990628740101E-2</c:v>
                </c:pt>
                <c:pt idx="96">
                  <c:v>1.09254640249387E-2</c:v>
                </c:pt>
                <c:pt idx="97">
                  <c:v>1.10490065931161E-2</c:v>
                </c:pt>
                <c:pt idx="98">
                  <c:v>1.1172616821065399E-2</c:v>
                </c:pt>
                <c:pt idx="99">
                  <c:v>1.12962932176905E-2</c:v>
                </c:pt>
                <c:pt idx="100">
                  <c:v>1.14200343123077E-2</c:v>
                </c:pt>
                <c:pt idx="101">
                  <c:v>1.1543838653974899E-2</c:v>
                </c:pt>
                <c:pt idx="102">
                  <c:v>1.16677048108453E-2</c:v>
                </c:pt>
                <c:pt idx="103">
                  <c:v>1.17916313695446E-2</c:v>
                </c:pt>
                <c:pt idx="104">
                  <c:v>1.19156169345706E-2</c:v>
                </c:pt>
                <c:pt idx="105">
                  <c:v>1.20396601277149E-2</c:v>
                </c:pt>
                <c:pt idx="106">
                  <c:v>1.21637595875049E-2</c:v>
                </c:pt>
                <c:pt idx="107">
                  <c:v>1.2287913968664301E-2</c:v>
                </c:pt>
                <c:pt idx="108">
                  <c:v>1.2412121941594601E-2</c:v>
                </c:pt>
                <c:pt idx="109">
                  <c:v>1.25363821918709E-2</c:v>
                </c:pt>
                <c:pt idx="110">
                  <c:v>1.2660693419758701E-2</c:v>
                </c:pt>
                <c:pt idx="111">
                  <c:v>1.2785054339742599E-2</c:v>
                </c:pt>
                <c:pt idx="112">
                  <c:v>1.29094636800737E-2</c:v>
                </c:pt>
                <c:pt idx="113">
                  <c:v>1.30339201823309E-2</c:v>
                </c:pt>
                <c:pt idx="114">
                  <c:v>1.3158422600995E-2</c:v>
                </c:pt>
                <c:pt idx="115">
                  <c:v>1.3282969703038E-2</c:v>
                </c:pt>
                <c:pt idx="116">
                  <c:v>1.3407560267523801E-2</c:v>
                </c:pt>
                <c:pt idx="117">
                  <c:v>1.35321930852229E-2</c:v>
                </c:pt>
                <c:pt idx="118">
                  <c:v>1.36568669582373E-2</c:v>
                </c:pt>
                <c:pt idx="119">
                  <c:v>1.37815806996372E-2</c:v>
                </c:pt>
                <c:pt idx="120">
                  <c:v>1.39063331331091E-2</c:v>
                </c:pt>
                <c:pt idx="121">
                  <c:v>1.40311230926132E-2</c:v>
                </c:pt>
                <c:pt idx="122">
                  <c:v>1.4155949422052E-2</c:v>
                </c:pt>
                <c:pt idx="123">
                  <c:v>1.4280810974947E-2</c:v>
                </c:pt>
                <c:pt idx="124">
                  <c:v>1.44057066141256E-2</c:v>
                </c:pt>
                <c:pt idx="125">
                  <c:v>1.4530635211416201E-2</c:v>
                </c:pt>
                <c:pt idx="126">
                  <c:v>1.46555956473513E-2</c:v>
                </c:pt>
                <c:pt idx="127">
                  <c:v>1.47805868108802E-2</c:v>
                </c:pt>
                <c:pt idx="128">
                  <c:v>1.4905607599086899E-2</c:v>
                </c:pt>
                <c:pt idx="129">
                  <c:v>1.5030656916918199E-2</c:v>
                </c:pt>
                <c:pt idx="130">
                  <c:v>1.51557336769163E-2</c:v>
                </c:pt>
                <c:pt idx="131">
                  <c:v>1.528083679896E-2</c:v>
                </c:pt>
                <c:pt idx="132">
                  <c:v>1.54059652100114E-2</c:v>
                </c:pt>
                <c:pt idx="133">
                  <c:v>1.553111784387E-2</c:v>
                </c:pt>
                <c:pt idx="134">
                  <c:v>1.5656293640931601E-2</c:v>
                </c:pt>
                <c:pt idx="135">
                  <c:v>1.5781491547953001E-2</c:v>
                </c:pt>
                <c:pt idx="136">
                  <c:v>1.5906710517824201E-2</c:v>
                </c:pt>
                <c:pt idx="137">
                  <c:v>1.6031949509342901E-2</c:v>
                </c:pt>
                <c:pt idx="138">
                  <c:v>1.61572074869967E-2</c:v>
                </c:pt>
                <c:pt idx="139">
                  <c:v>1.6282483420748801E-2</c:v>
                </c:pt>
                <c:pt idx="140">
                  <c:v>1.64077762858293E-2</c:v>
                </c:pt>
                <c:pt idx="141">
                  <c:v>1.6533085062530501E-2</c:v>
                </c:pt>
                <c:pt idx="142">
                  <c:v>1.66584087360062E-2</c:v>
                </c:pt>
                <c:pt idx="143">
                  <c:v>1.6783746296076499E-2</c:v>
                </c:pt>
                <c:pt idx="144">
                  <c:v>1.6909096737035299E-2</c:v>
                </c:pt>
                <c:pt idx="145">
                  <c:v>1.70344590574627E-2</c:v>
                </c:pt>
                <c:pt idx="146">
                  <c:v>1.715983226004E-2</c:v>
                </c:pt>
                <c:pt idx="147">
                  <c:v>1.7285215351369499E-2</c:v>
                </c:pt>
                <c:pt idx="148">
                  <c:v>1.74106073417973E-2</c:v>
                </c:pt>
                <c:pt idx="149">
                  <c:v>1.7536007245238801E-2</c:v>
                </c:pt>
                <c:pt idx="150">
                  <c:v>1.7661414079008401E-2</c:v>
                </c:pt>
                <c:pt idx="151">
                  <c:v>1.7786826863651298E-2</c:v>
                </c:pt>
                <c:pt idx="152">
                  <c:v>1.79122446227786E-2</c:v>
                </c:pt>
                <c:pt idx="153">
                  <c:v>1.8037666382906201E-2</c:v>
                </c:pt>
                <c:pt idx="154">
                  <c:v>1.8163091173294201E-2</c:v>
                </c:pt>
                <c:pt idx="155">
                  <c:v>1.8288518025791199E-2</c:v>
                </c:pt>
                <c:pt idx="156">
                  <c:v>1.8413945974679501E-2</c:v>
                </c:pt>
                <c:pt idx="157">
                  <c:v>1.8539374056523499E-2</c:v>
                </c:pt>
                <c:pt idx="158">
                  <c:v>1.8664801310020001E-2</c:v>
                </c:pt>
                <c:pt idx="159">
                  <c:v>1.8790226775851199E-2</c:v>
                </c:pt>
                <c:pt idx="160">
                  <c:v>1.89156494965389E-2</c:v>
                </c:pt>
                <c:pt idx="161">
                  <c:v>1.9041068516301801E-2</c:v>
                </c:pt>
                <c:pt idx="162">
                  <c:v>1.91664828809135E-2</c:v>
                </c:pt>
                <c:pt idx="163">
                  <c:v>1.9291891637564298E-2</c:v>
                </c:pt>
                <c:pt idx="164">
                  <c:v>1.94172938347211E-2</c:v>
                </c:pt>
                <c:pt idx="165">
                  <c:v>1.9542688521994301E-2</c:v>
                </c:pt>
                <c:pt idx="166">
                  <c:v>1.9668074750001301E-2</c:v>
                </c:pt>
                <c:pt idx="167">
                  <c:v>1.9793451570234301E-2</c:v>
                </c:pt>
                <c:pt idx="168">
                  <c:v>1.99188180349287E-2</c:v>
                </c:pt>
                <c:pt idx="169">
                  <c:v>2.0044173196933201E-2</c:v>
                </c:pt>
                <c:pt idx="170">
                  <c:v>2.0169516109580701E-2</c:v>
                </c:pt>
                <c:pt idx="171">
                  <c:v>2.0294845826561402E-2</c:v>
                </c:pt>
                <c:pt idx="172">
                  <c:v>2.04201614017957E-2</c:v>
                </c:pt>
                <c:pt idx="173">
                  <c:v>2.0545461889309499E-2</c:v>
                </c:pt>
                <c:pt idx="174">
                  <c:v>2.0670746343109701E-2</c:v>
                </c:pt>
                <c:pt idx="175">
                  <c:v>2.0796013817061799E-2</c:v>
                </c:pt>
                <c:pt idx="176">
                  <c:v>2.0921263364766102E-2</c:v>
                </c:pt>
                <c:pt idx="177">
                  <c:v>2.10464940394379E-2</c:v>
                </c:pt>
                <c:pt idx="178">
                  <c:v>2.1171704893786301E-2</c:v>
                </c:pt>
                <c:pt idx="179">
                  <c:v>2.1296894979894E-2</c:v>
                </c:pt>
                <c:pt idx="180">
                  <c:v>2.1422063349098699E-2</c:v>
                </c:pt>
                <c:pt idx="181">
                  <c:v>2.1547209051874398E-2</c:v>
                </c:pt>
                <c:pt idx="182">
                  <c:v>2.1672331137713299E-2</c:v>
                </c:pt>
                <c:pt idx="183">
                  <c:v>2.17974286550092E-2</c:v>
                </c:pt>
                <c:pt idx="184">
                  <c:v>2.19225006509393E-2</c:v>
                </c:pt>
                <c:pt idx="185">
                  <c:v>2.20475461713486E-2</c:v>
                </c:pt>
                <c:pt idx="186">
                  <c:v>2.21725642606335E-2</c:v>
                </c:pt>
                <c:pt idx="187">
                  <c:v>2.2297553961626099E-2</c:v>
                </c:pt>
                <c:pt idx="188">
                  <c:v>2.2422514315478301E-2</c:v>
                </c:pt>
                <c:pt idx="189">
                  <c:v>2.2547444361546602E-2</c:v>
                </c:pt>
                <c:pt idx="190">
                  <c:v>2.26723431372771E-2</c:v>
                </c:pt>
                <c:pt idx="191">
                  <c:v>2.2797209678089399E-2</c:v>
                </c:pt>
                <c:pt idx="192">
                  <c:v>2.2922043017262798E-2</c:v>
                </c:pt>
                <c:pt idx="193">
                  <c:v>2.3046842185819899E-2</c:v>
                </c:pt>
                <c:pt idx="194">
                  <c:v>2.31716062124122E-2</c:v>
                </c:pt>
                <c:pt idx="195">
                  <c:v>2.3296334123204102E-2</c:v>
                </c:pt>
                <c:pt idx="196">
                  <c:v>2.3421024941757899E-2</c:v>
                </c:pt>
                <c:pt idx="197">
                  <c:v>2.35456776889175E-2</c:v>
                </c:pt>
                <c:pt idx="198">
                  <c:v>2.36702913826922E-2</c:v>
                </c:pt>
                <c:pt idx="199">
                  <c:v>2.37948650381405E-2</c:v>
                </c:pt>
                <c:pt idx="200">
                  <c:v>2.3919397667253199E-2</c:v>
                </c:pt>
                <c:pt idx="201">
                  <c:v>2.4043888278835E-2</c:v>
                </c:pt>
                <c:pt idx="202">
                  <c:v>2.4168335878387699E-2</c:v>
                </c:pt>
                <c:pt idx="203">
                  <c:v>2.4292739467989499E-2</c:v>
                </c:pt>
                <c:pt idx="204">
                  <c:v>2.44170980461779E-2</c:v>
                </c:pt>
                <c:pt idx="205">
                  <c:v>2.4541410607827701E-2</c:v>
                </c:pt>
                <c:pt idx="206">
                  <c:v>2.4665676144030299E-2</c:v>
                </c:pt>
                <c:pt idx="207">
                  <c:v>2.4789893641971501E-2</c:v>
                </c:pt>
                <c:pt idx="208">
                  <c:v>2.4914062084808699E-2</c:v>
                </c:pt>
                <c:pt idx="209">
                  <c:v>2.5038180451545301E-2</c:v>
                </c:pt>
                <c:pt idx="210">
                  <c:v>2.51622477169063E-2</c:v>
                </c:pt>
                <c:pt idx="211">
                  <c:v>2.5286262851210901E-2</c:v>
                </c:pt>
                <c:pt idx="212">
                  <c:v>2.5410224820243701E-2</c:v>
                </c:pt>
                <c:pt idx="213">
                  <c:v>2.55341325851247E-2</c:v>
                </c:pt>
                <c:pt idx="214">
                  <c:v>2.5657985102177899E-2</c:v>
                </c:pt>
                <c:pt idx="215">
                  <c:v>2.5781781322797001E-2</c:v>
                </c:pt>
                <c:pt idx="216">
                  <c:v>2.5905520193310601E-2</c:v>
                </c:pt>
                <c:pt idx="217">
                  <c:v>2.6029200654843401E-2</c:v>
                </c:pt>
                <c:pt idx="218">
                  <c:v>2.6152821643176598E-2</c:v>
                </c:pt>
                <c:pt idx="219">
                  <c:v>2.6276382088605901E-2</c:v>
                </c:pt>
                <c:pt idx="220">
                  <c:v>2.63998809157951E-2</c:v>
                </c:pt>
                <c:pt idx="221">
                  <c:v>2.6523317043628699E-2</c:v>
                </c:pt>
                <c:pt idx="222">
                  <c:v>2.6646689385060901E-2</c:v>
                </c:pt>
                <c:pt idx="223">
                  <c:v>2.67699968469601E-2</c:v>
                </c:pt>
                <c:pt idx="224">
                  <c:v>2.68932383299515E-2</c:v>
                </c:pt>
                <c:pt idx="225">
                  <c:v>2.7016412728255099E-2</c:v>
                </c:pt>
                <c:pt idx="226">
                  <c:v>2.7139518929519001E-2</c:v>
                </c:pt>
                <c:pt idx="227">
                  <c:v>2.7262555814649401E-2</c:v>
                </c:pt>
                <c:pt idx="228">
                  <c:v>2.7385522257634201E-2</c:v>
                </c:pt>
                <c:pt idx="229">
                  <c:v>2.7508417125363002E-2</c:v>
                </c:pt>
                <c:pt idx="230">
                  <c:v>2.7631239277440701E-2</c:v>
                </c:pt>
                <c:pt idx="231">
                  <c:v>2.7753987565993898E-2</c:v>
                </c:pt>
                <c:pt idx="232">
                  <c:v>2.7876660835472699E-2</c:v>
                </c:pt>
                <c:pt idx="233">
                  <c:v>2.7999257922444201E-2</c:v>
                </c:pt>
                <c:pt idx="234">
                  <c:v>2.8121777655377399E-2</c:v>
                </c:pt>
                <c:pt idx="235">
                  <c:v>2.8244218854421299E-2</c:v>
                </c:pt>
                <c:pt idx="236">
                  <c:v>2.83665803311729E-2</c:v>
                </c:pt>
                <c:pt idx="237">
                  <c:v>2.8488860888435101E-2</c:v>
                </c:pt>
                <c:pt idx="238">
                  <c:v>2.86110593199633E-2</c:v>
                </c:pt>
                <c:pt idx="239">
                  <c:v>2.8733174410201699E-2</c:v>
                </c:pt>
                <c:pt idx="240">
                  <c:v>2.8855204934004799E-2</c:v>
                </c:pt>
                <c:pt idx="241">
                  <c:v>2.8977149656345701E-2</c:v>
                </c:pt>
                <c:pt idx="242">
                  <c:v>2.9099007332008001E-2</c:v>
                </c:pt>
                <c:pt idx="243">
                  <c:v>2.9220776705262401E-2</c:v>
                </c:pt>
                <c:pt idx="244">
                  <c:v>2.93424565095225E-2</c:v>
                </c:pt>
                <c:pt idx="245">
                  <c:v>2.9464045466982201E-2</c:v>
                </c:pt>
                <c:pt idx="246">
                  <c:v>2.9585542288228999E-2</c:v>
                </c:pt>
                <c:pt idx="247">
                  <c:v>2.9706945671833199E-2</c:v>
                </c:pt>
                <c:pt idx="248">
                  <c:v>2.9828254303910499E-2</c:v>
                </c:pt>
                <c:pt idx="249">
                  <c:v>2.9949466857653401E-2</c:v>
                </c:pt>
                <c:pt idx="250">
                  <c:v>3.0070581992830199E-2</c:v>
                </c:pt>
                <c:pt idx="251">
                  <c:v>3.0191598355247599E-2</c:v>
                </c:pt>
                <c:pt idx="252">
                  <c:v>3.0312514576171699E-2</c:v>
                </c:pt>
                <c:pt idx="253">
                  <c:v>3.0433329271705001E-2</c:v>
                </c:pt>
                <c:pt idx="254">
                  <c:v>3.05540410421128E-2</c:v>
                </c:pt>
                <c:pt idx="255">
                  <c:v>3.0674648471094901E-2</c:v>
                </c:pt>
                <c:pt idx="256">
                  <c:v>3.07951501249948E-2</c:v>
                </c:pt>
                <c:pt idx="257">
                  <c:v>3.0915544551940601E-2</c:v>
                </c:pt>
                <c:pt idx="258">
                  <c:v>3.1035830280908599E-2</c:v>
                </c:pt>
                <c:pt idx="259">
                  <c:v>3.1156005820701101E-2</c:v>
                </c:pt>
                <c:pt idx="260">
                  <c:v>3.1276069658829099E-2</c:v>
                </c:pt>
                <c:pt idx="261">
                  <c:v>3.1396020260285797E-2</c:v>
                </c:pt>
                <c:pt idx="262">
                  <c:v>3.1515856066199797E-2</c:v>
                </c:pt>
                <c:pt idx="263">
                  <c:v>3.1635575492351999E-2</c:v>
                </c:pt>
                <c:pt idx="264">
                  <c:v>3.1755176927539902E-2</c:v>
                </c:pt>
                <c:pt idx="265">
                  <c:v>3.1874658731766897E-2</c:v>
                </c:pt>
                <c:pt idx="266">
                  <c:v>3.1994019234238599E-2</c:v>
                </c:pt>
                <c:pt idx="267">
                  <c:v>3.2113256731135E-2</c:v>
                </c:pt>
                <c:pt idx="268">
                  <c:v>3.2232369483132899E-2</c:v>
                </c:pt>
                <c:pt idx="269">
                  <c:v>3.2351355712641403E-2</c:v>
                </c:pt>
                <c:pt idx="270">
                  <c:v>3.2470213600712901E-2</c:v>
                </c:pt>
                <c:pt idx="271">
                  <c:v>3.2588941283580898E-2</c:v>
                </c:pt>
                <c:pt idx="272">
                  <c:v>3.2707536848774102E-2</c:v>
                </c:pt>
                <c:pt idx="273">
                  <c:v>3.2825998330742401E-2</c:v>
                </c:pt>
                <c:pt idx="274">
                  <c:v>3.2944323705922998E-2</c:v>
                </c:pt>
                <c:pt idx="275">
                  <c:v>3.3062510887162902E-2</c:v>
                </c:pt>
                <c:pt idx="276">
                  <c:v>3.3180557717395497E-2</c:v>
                </c:pt>
                <c:pt idx="277">
                  <c:v>3.3298461962458302E-2</c:v>
                </c:pt>
                <c:pt idx="278">
                  <c:v>3.3416221302910103E-2</c:v>
                </c:pt>
                <c:pt idx="279">
                  <c:v>3.3533833324687498E-2</c:v>
                </c:pt>
                <c:pt idx="280">
                  <c:v>3.3651295508406801E-2</c:v>
                </c:pt>
                <c:pt idx="281">
                  <c:v>3.3768605217079202E-2</c:v>
                </c:pt>
                <c:pt idx="282">
                  <c:v>3.3885759681969198E-2</c:v>
                </c:pt>
                <c:pt idx="283">
                  <c:v>3.4002755986264198E-2</c:v>
                </c:pt>
                <c:pt idx="284">
                  <c:v>3.4119591046161898E-2</c:v>
                </c:pt>
                <c:pt idx="285">
                  <c:v>3.4236261588900703E-2</c:v>
                </c:pt>
                <c:pt idx="286">
                  <c:v>3.4352764127156099E-2</c:v>
                </c:pt>
                <c:pt idx="287">
                  <c:v>3.4469094929106103E-2</c:v>
                </c:pt>
                <c:pt idx="288">
                  <c:v>3.4585249983313901E-2</c:v>
                </c:pt>
                <c:pt idx="289">
                  <c:v>3.4701224957386E-2</c:v>
                </c:pt>
                <c:pt idx="290">
                  <c:v>3.4817015149130701E-2</c:v>
                </c:pt>
                <c:pt idx="291">
                  <c:v>3.4932615428640901E-2</c:v>
                </c:pt>
                <c:pt idx="292">
                  <c:v>3.5048020169359803E-2</c:v>
                </c:pt>
                <c:pt idx="293">
                  <c:v>3.5163223165717503E-2</c:v>
                </c:pt>
                <c:pt idx="294">
                  <c:v>3.5278217534345603E-2</c:v>
                </c:pt>
                <c:pt idx="295">
                  <c:v>3.5392995595137901E-2</c:v>
                </c:pt>
                <c:pt idx="296">
                  <c:v>3.5507548727509601E-2</c:v>
                </c:pt>
                <c:pt idx="297">
                  <c:v>3.5621867196061301E-2</c:v>
                </c:pt>
                <c:pt idx="298">
                  <c:v>3.57359399384495E-2</c:v>
                </c:pt>
                <c:pt idx="299">
                  <c:v>3.5849754306575402E-2</c:v>
                </c:pt>
                <c:pt idx="300">
                  <c:v>3.5963295750252297E-2</c:v>
                </c:pt>
                <c:pt idx="301">
                  <c:v>3.6076547430412602E-2</c:v>
                </c:pt>
                <c:pt idx="302">
                  <c:v>3.6189489747041399E-2</c:v>
                </c:pt>
                <c:pt idx="303">
                  <c:v>3.6302099766192503E-2</c:v>
                </c:pt>
                <c:pt idx="304">
                  <c:v>3.6414350532541398E-2</c:v>
                </c:pt>
                <c:pt idx="305">
                  <c:v>3.6526210262912799E-2</c:v>
                </c:pt>
                <c:pt idx="306">
                  <c:v>3.6637641440454199E-2</c:v>
                </c:pt>
                <c:pt idx="307">
                  <c:v>3.6748599885999503E-2</c:v>
                </c:pt>
                <c:pt idx="308">
                  <c:v>3.6859034008917602E-2</c:v>
                </c:pt>
                <c:pt idx="309">
                  <c:v>3.6968884709705302E-2</c:v>
                </c:pt>
                <c:pt idx="310">
                  <c:v>3.7078086976712499E-2</c:v>
                </c:pt>
                <c:pt idx="311">
                  <c:v>3.7186575408108699E-2</c:v>
                </c:pt>
                <c:pt idx="312">
                  <c:v>3.7294298326627603E-2</c:v>
                </c:pt>
                <c:pt idx="313">
                  <c:v>3.7401249999629398E-2</c:v>
                </c:pt>
                <c:pt idx="314">
                  <c:v>3.7507539615915901E-2</c:v>
                </c:pt>
                <c:pt idx="315">
                  <c:v>3.7613531728890301E-2</c:v>
                </c:pt>
                <c:pt idx="316">
                  <c:v>3.7720121689135501E-2</c:v>
                </c:pt>
                <c:pt idx="317">
                  <c:v>3.7829291814099802E-2</c:v>
                </c:pt>
                <c:pt idx="318">
                  <c:v>3.79677489359872E-2</c:v>
                </c:pt>
                <c:pt idx="319">
                  <c:v>3.8081666692422203E-2</c:v>
                </c:pt>
                <c:pt idx="320">
                  <c:v>3.8195664620099802E-2</c:v>
                </c:pt>
                <c:pt idx="321">
                  <c:v>3.8310552040921403E-2</c:v>
                </c:pt>
                <c:pt idx="322">
                  <c:v>3.8426344321549497E-2</c:v>
                </c:pt>
                <c:pt idx="323">
                  <c:v>3.8543078462037098E-2</c:v>
                </c:pt>
                <c:pt idx="324">
                  <c:v>3.8660788949910103E-2</c:v>
                </c:pt>
                <c:pt idx="325">
                  <c:v>3.8779508856883201E-2</c:v>
                </c:pt>
                <c:pt idx="326">
                  <c:v>3.8899270006327299E-2</c:v>
                </c:pt>
                <c:pt idx="327">
                  <c:v>3.9020103152507001E-2</c:v>
                </c:pt>
                <c:pt idx="328">
                  <c:v>3.91420381434655E-2</c:v>
                </c:pt>
                <c:pt idx="329">
                  <c:v>3.9265104069828097E-2</c:v>
                </c:pt>
                <c:pt idx="330">
                  <c:v>3.9389329400795099E-2</c:v>
                </c:pt>
                <c:pt idx="331">
                  <c:v>3.95147421085148E-2</c:v>
                </c:pt>
                <c:pt idx="332">
                  <c:v>3.9641369781926103E-2</c:v>
                </c:pt>
                <c:pt idx="333">
                  <c:v>3.9769239731079598E-2</c:v>
                </c:pt>
                <c:pt idx="334">
                  <c:v>3.9898379082860501E-2</c:v>
                </c:pt>
                <c:pt idx="335">
                  <c:v>4.00288148689689E-2</c:v>
                </c:pt>
                <c:pt idx="336">
                  <c:v>4.0160574106939503E-2</c:v>
                </c:pt>
                <c:pt idx="337">
                  <c:v>4.0293683874925899E-2</c:v>
                </c:pt>
                <c:pt idx="338">
                  <c:v>4.0428171380911197E-2</c:v>
                </c:pt>
                <c:pt idx="339">
                  <c:v>4.0564064026956101E-2</c:v>
                </c:pt>
                <c:pt idx="340">
                  <c:v>4.07013894690436E-2</c:v>
                </c:pt>
                <c:pt idx="341">
                  <c:v>4.0840175673036203E-2</c:v>
                </c:pt>
                <c:pt idx="342">
                  <c:v>4.09804509672149E-2</c:v>
                </c:pt>
                <c:pt idx="343">
                  <c:v>4.1122244091834903E-2</c:v>
                </c:pt>
                <c:pt idx="344">
                  <c:v>4.12655842460945E-2</c:v>
                </c:pt>
                <c:pt idx="345">
                  <c:v>4.1410501132880501E-2</c:v>
                </c:pt>
                <c:pt idx="346">
                  <c:v>4.1557025001626703E-2</c:v>
                </c:pt>
                <c:pt idx="347">
                  <c:v>4.1705186689592298E-2</c:v>
                </c:pt>
                <c:pt idx="348">
                  <c:v>4.1855017661842603E-2</c:v>
                </c:pt>
                <c:pt idx="349">
                  <c:v>4.2006550050194803E-2</c:v>
                </c:pt>
                <c:pt idx="350">
                  <c:v>4.2159816691368902E-2</c:v>
                </c:pt>
                <c:pt idx="351">
                  <c:v>4.2314851164567402E-2</c:v>
                </c:pt>
                <c:pt idx="352">
                  <c:v>4.2471687828690798E-2</c:v>
                </c:pt>
                <c:pt idx="353">
                  <c:v>4.2630361859382897E-2</c:v>
                </c:pt>
                <c:pt idx="354">
                  <c:v>4.2790909286086698E-2</c:v>
                </c:pt>
                <c:pt idx="355">
                  <c:v>4.29533670292793E-2</c:v>
                </c:pt>
                <c:pt idx="356">
                  <c:v>4.3117772938048901E-2</c:v>
                </c:pt>
                <c:pt idx="357">
                  <c:v>4.3284165828163398E-2</c:v>
                </c:pt>
                <c:pt idx="358">
                  <c:v>4.3284165828163398E-2</c:v>
                </c:pt>
                <c:pt idx="359">
                  <c:v>4.3284165828163398E-2</c:v>
                </c:pt>
                <c:pt idx="360">
                  <c:v>4.3284165828163398E-2</c:v>
                </c:pt>
                <c:pt idx="361">
                  <c:v>4.3284165828163398E-2</c:v>
                </c:pt>
                <c:pt idx="362">
                  <c:v>4.3284165828163398E-2</c:v>
                </c:pt>
                <c:pt idx="363">
                  <c:v>4.3284165828163398E-2</c:v>
                </c:pt>
                <c:pt idx="364">
                  <c:v>4.3284165828163398E-2</c:v>
                </c:pt>
                <c:pt idx="365">
                  <c:v>4.3284165828163398E-2</c:v>
                </c:pt>
                <c:pt idx="366">
                  <c:v>4.3284165828163398E-2</c:v>
                </c:pt>
                <c:pt idx="367">
                  <c:v>4.3284165828163398E-2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0A-4C2D-A2F9-FC22B2A073D9}"/>
            </c:ext>
          </c:extLst>
        </c:ser>
        <c:ser>
          <c:idx val="2"/>
          <c:order val="2"/>
          <c:tx>
            <c:strRef>
              <c:f>Implicit_Fracs!$AF$2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Implicit_Fracs!$C$4:$C$371</c:f>
              <c:numCache>
                <c:formatCode>General</c:formatCode>
                <c:ptCount val="368"/>
                <c:pt idx="0">
                  <c:v>6.5458908507104702E-2</c:v>
                </c:pt>
                <c:pt idx="1">
                  <c:v>0.10158646265419501</c:v>
                </c:pt>
                <c:pt idx="2">
                  <c:v>0.102060105178604</c:v>
                </c:pt>
                <c:pt idx="3">
                  <c:v>0.102354758409441</c:v>
                </c:pt>
                <c:pt idx="4">
                  <c:v>0.10257003610151801</c:v>
                </c:pt>
                <c:pt idx="5">
                  <c:v>0.102740146597483</c:v>
                </c:pt>
                <c:pt idx="6">
                  <c:v>0.10288102093448701</c:v>
                </c:pt>
                <c:pt idx="7">
                  <c:v>0.10300139565401099</c:v>
                </c:pt>
                <c:pt idx="8">
                  <c:v>0.10310658737638601</c:v>
                </c:pt>
                <c:pt idx="9">
                  <c:v>0.103200075337502</c:v>
                </c:pt>
                <c:pt idx="10">
                  <c:v>0.103284262204</c:v>
                </c:pt>
                <c:pt idx="11">
                  <c:v>0.103360877526633</c:v>
                </c:pt>
                <c:pt idx="12">
                  <c:v>0.103431208153653</c:v>
                </c:pt>
                <c:pt idx="13">
                  <c:v>0.103496237708407</c:v>
                </c:pt>
                <c:pt idx="14">
                  <c:v>0.103556735084609</c:v>
                </c:pt>
                <c:pt idx="15">
                  <c:v>0.103613312816801</c:v>
                </c:pt>
                <c:pt idx="16">
                  <c:v>0.103666466857375</c:v>
                </c:pt>
                <c:pt idx="17">
                  <c:v>0.10371660444741999</c:v>
                </c:pt>
                <c:pt idx="18">
                  <c:v>0.10376406411969299</c:v>
                </c:pt>
                <c:pt idx="19">
                  <c:v>0.10380913035858701</c:v>
                </c:pt>
                <c:pt idx="20">
                  <c:v>0.103852044544123</c:v>
                </c:pt>
                <c:pt idx="21">
                  <c:v>0.103893013256558</c:v>
                </c:pt>
                <c:pt idx="22">
                  <c:v>0.103932214670875</c:v>
                </c:pt>
                <c:pt idx="23">
                  <c:v>0.10396980354554</c:v>
                </c:pt>
                <c:pt idx="24">
                  <c:v>0.104005915161023</c:v>
                </c:pt>
                <c:pt idx="25">
                  <c:v>0.10404066846285701</c:v>
                </c:pt>
                <c:pt idx="26">
                  <c:v>0.104074168594671</c:v>
                </c:pt>
                <c:pt idx="27">
                  <c:v>0.10410650895807599</c:v>
                </c:pt>
                <c:pt idx="28">
                  <c:v>0.10413777290170501</c:v>
                </c:pt>
                <c:pt idx="29">
                  <c:v>0.104168035116796</c:v>
                </c:pt>
                <c:pt idx="30">
                  <c:v>0.104197362798492</c:v>
                </c:pt>
                <c:pt idx="31">
                  <c:v>0.104225816618547</c:v>
                </c:pt>
                <c:pt idx="32">
                  <c:v>0.104253451545067</c:v>
                </c:pt>
                <c:pt idx="33">
                  <c:v>0.104280317537286</c:v>
                </c:pt>
                <c:pt idx="34">
                  <c:v>0.10430646013757899</c:v>
                </c:pt>
                <c:pt idx="35">
                  <c:v>0.10433192097843901</c:v>
                </c:pt>
                <c:pt idx="36">
                  <c:v>0.104356738218675</c:v>
                </c:pt>
                <c:pt idx="37">
                  <c:v>0.10438094692038</c:v>
                </c:pt>
                <c:pt idx="38">
                  <c:v>0.104404579376061</c:v>
                </c:pt>
                <c:pt idx="39">
                  <c:v>0.10442766539470601</c:v>
                </c:pt>
                <c:pt idx="40">
                  <c:v>0.104450232550895</c:v>
                </c:pt>
                <c:pt idx="41">
                  <c:v>0.104472306403378</c:v>
                </c:pt>
                <c:pt idx="42">
                  <c:v>0.104493910687546</c:v>
                </c:pt>
                <c:pt idx="43">
                  <c:v>0.104515067485448</c:v>
                </c:pt>
                <c:pt idx="44">
                  <c:v>0.104535797376425</c:v>
                </c:pt>
                <c:pt idx="45">
                  <c:v>0.104556119570968</c:v>
                </c:pt>
                <c:pt idx="46">
                  <c:v>0.10457605202998201</c:v>
                </c:pt>
                <c:pt idx="47">
                  <c:v>0.10459561157132601</c:v>
                </c:pt>
                <c:pt idx="48">
                  <c:v>0.10461481396524</c:v>
                </c:pt>
                <c:pt idx="49">
                  <c:v>0.104633674020002</c:v>
                </c:pt>
                <c:pt idx="50">
                  <c:v>0.104652205659008</c:v>
                </c:pt>
                <c:pt idx="51">
                  <c:v>0.10467042199028</c:v>
                </c:pt>
                <c:pt idx="52">
                  <c:v>0.10468833536927501</c:v>
                </c:pt>
                <c:pt idx="53">
                  <c:v>0.104705957455764</c:v>
                </c:pt>
                <c:pt idx="54">
                  <c:v>0.104723299265432</c:v>
                </c:pt>
                <c:pt idx="55">
                  <c:v>0.10474037121678501</c:v>
                </c:pt>
                <c:pt idx="56">
                  <c:v>0.104757183173858</c:v>
                </c:pt>
                <c:pt idx="57">
                  <c:v>0.10477374448518</c:v>
                </c:pt>
                <c:pt idx="58">
                  <c:v>0.104790064019366</c:v>
                </c:pt>
                <c:pt idx="59">
                  <c:v>0.10480615019770299</c:v>
                </c:pt>
                <c:pt idx="60">
                  <c:v>0.104822011024007</c:v>
                </c:pt>
                <c:pt idx="61">
                  <c:v>0.10483765411203801</c:v>
                </c:pt>
                <c:pt idx="62">
                  <c:v>0.104853086710699</c:v>
                </c:pt>
                <c:pt idx="63">
                  <c:v>0.10486831572724099</c:v>
                </c:pt>
                <c:pt idx="64">
                  <c:v>0.104883347748643</c:v>
                </c:pt>
                <c:pt idx="65">
                  <c:v>0.104898189061358</c:v>
                </c:pt>
                <c:pt idx="66">
                  <c:v>0.104912845669559</c:v>
                </c:pt>
                <c:pt idx="67">
                  <c:v>0.10492732331202199</c:v>
                </c:pt>
                <c:pt idx="68">
                  <c:v>0.10494162747777</c:v>
                </c:pt>
                <c:pt idx="69">
                  <c:v>0.10495576342058401</c:v>
                </c:pt>
                <c:pt idx="70">
                  <c:v>0.104969736172476</c:v>
                </c:pt>
                <c:pt idx="71">
                  <c:v>0.104983550556215</c:v>
                </c:pt>
                <c:pt idx="72">
                  <c:v>0.104997211196988</c:v>
                </c:pt>
                <c:pt idx="73">
                  <c:v>0.105010722533251</c:v>
                </c:pt>
                <c:pt idx="74">
                  <c:v>0.10502408882686499</c:v>
                </c:pt>
                <c:pt idx="75">
                  <c:v>0.105037314172539</c:v>
                </c:pt>
                <c:pt idx="76">
                  <c:v>0.10505040250667</c:v>
                </c:pt>
                <c:pt idx="77">
                  <c:v>0.105063357615594</c:v>
                </c:pt>
                <c:pt idx="78">
                  <c:v>0.105076183143323</c:v>
                </c:pt>
                <c:pt idx="79">
                  <c:v>0.10508888259878001</c:v>
                </c:pt>
                <c:pt idx="80">
                  <c:v>0.105101459362598</c:v>
                </c:pt>
                <c:pt idx="81">
                  <c:v>0.10511391669348399</c:v>
                </c:pt>
                <c:pt idx="82">
                  <c:v>0.10512625773421</c:v>
                </c:pt>
                <c:pt idx="83">
                  <c:v>0.10513848551723599</c:v>
                </c:pt>
                <c:pt idx="84">
                  <c:v>0.10515060297000201</c:v>
                </c:pt>
                <c:pt idx="85">
                  <c:v>0.105162612919908</c:v>
                </c:pt>
                <c:pt idx="86">
                  <c:v>0.105174518099013</c:v>
                </c:pt>
                <c:pt idx="87">
                  <c:v>0.105186321148453</c:v>
                </c:pt>
                <c:pt idx="88">
                  <c:v>0.105198024622616</c:v>
                </c:pt>
                <c:pt idx="89">
                  <c:v>0.105209630993088</c:v>
                </c:pt>
                <c:pt idx="90">
                  <c:v>0.10522114265237301</c:v>
                </c:pt>
                <c:pt idx="91">
                  <c:v>0.105232561917411</c:v>
                </c:pt>
                <c:pt idx="92">
                  <c:v>0.105243891032912</c:v>
                </c:pt>
                <c:pt idx="93">
                  <c:v>0.105255132174505</c:v>
                </c:pt>
                <c:pt idx="94">
                  <c:v>0.10526628745172401</c:v>
                </c:pt>
                <c:pt idx="95">
                  <c:v>0.105277358910841</c:v>
                </c:pt>
                <c:pt idx="96">
                  <c:v>0.105288348537545</c:v>
                </c:pt>
                <c:pt idx="97">
                  <c:v>0.10529925825949001</c:v>
                </c:pt>
                <c:pt idx="98">
                  <c:v>0.105310089948715</c:v>
                </c:pt>
                <c:pt idx="99">
                  <c:v>0.10532084542394</c:v>
                </c:pt>
                <c:pt idx="100">
                  <c:v>0.105331526452749</c:v>
                </c:pt>
                <c:pt idx="101">
                  <c:v>0.10534213475366599</c:v>
                </c:pt>
                <c:pt idx="102">
                  <c:v>0.105352671998135</c:v>
                </c:pt>
                <c:pt idx="103">
                  <c:v>0.105363139812398</c:v>
                </c:pt>
                <c:pt idx="104">
                  <c:v>0.10537353977929</c:v>
                </c:pt>
                <c:pt idx="105">
                  <c:v>0.105383873439947</c:v>
                </c:pt>
                <c:pt idx="106">
                  <c:v>0.105394142295438</c:v>
                </c:pt>
                <c:pt idx="107">
                  <c:v>0.10540434780831399</c:v>
                </c:pt>
                <c:pt idx="108">
                  <c:v>0.1054144914041</c:v>
                </c:pt>
                <c:pt idx="109">
                  <c:v>0.105424574472708</c:v>
                </c:pt>
                <c:pt idx="110">
                  <c:v>0.10543459836979301</c:v>
                </c:pt>
                <c:pt idx="111">
                  <c:v>0.105444564418049</c:v>
                </c:pt>
                <c:pt idx="112">
                  <c:v>0.105454473908448</c:v>
                </c:pt>
                <c:pt idx="113">
                  <c:v>0.105464328101426</c:v>
                </c:pt>
                <c:pt idx="114">
                  <c:v>0.10547412822802001</c:v>
                </c:pt>
                <c:pt idx="115">
                  <c:v>0.10548387549095201</c:v>
                </c:pt>
                <c:pt idx="116">
                  <c:v>0.105493571065675</c:v>
                </c:pt>
                <c:pt idx="117">
                  <c:v>0.105503216101374</c:v>
                </c:pt>
                <c:pt idx="118">
                  <c:v>0.10551281172191999</c:v>
                </c:pt>
                <c:pt idx="119">
                  <c:v>0.10552235902679701</c:v>
                </c:pt>
                <c:pt idx="120">
                  <c:v>0.105531859091982</c:v>
                </c:pt>
                <c:pt idx="121">
                  <c:v>0.105541312970793</c:v>
                </c:pt>
                <c:pt idx="122">
                  <c:v>0.105550721694713</c:v>
                </c:pt>
                <c:pt idx="123">
                  <c:v>0.10556008627416701</c:v>
                </c:pt>
                <c:pt idx="124">
                  <c:v>0.105569407699282</c:v>
                </c:pt>
                <c:pt idx="125">
                  <c:v>0.105578686940613</c:v>
                </c:pt>
                <c:pt idx="126">
                  <c:v>0.10558792494984499</c:v>
                </c:pt>
                <c:pt idx="127">
                  <c:v>0.105597122660464</c:v>
                </c:pt>
                <c:pt idx="128">
                  <c:v>0.105606280988415</c:v>
                </c:pt>
                <c:pt idx="129">
                  <c:v>0.105615400832723</c:v>
                </c:pt>
                <c:pt idx="130">
                  <c:v>0.10562448307610101</c:v>
                </c:pt>
                <c:pt idx="131">
                  <c:v>0.105633528585537</c:v>
                </c:pt>
                <c:pt idx="132">
                  <c:v>0.105642538212856</c:v>
                </c:pt>
                <c:pt idx="133">
                  <c:v>0.10565151279527001</c:v>
                </c:pt>
                <c:pt idx="134">
                  <c:v>0.105660453155901</c:v>
                </c:pt>
                <c:pt idx="135">
                  <c:v>0.1056693601043</c:v>
                </c:pt>
                <c:pt idx="136">
                  <c:v>0.105678234436935</c:v>
                </c:pt>
                <c:pt idx="137">
                  <c:v>0.105687076937673</c:v>
                </c:pt>
                <c:pt idx="138">
                  <c:v>0.10569588837824601</c:v>
                </c:pt>
                <c:pt idx="139">
                  <c:v>0.105704669518702</c:v>
                </c:pt>
                <c:pt idx="140">
                  <c:v>0.105713421107842</c:v>
                </c:pt>
                <c:pt idx="141">
                  <c:v>0.105722143883642</c:v>
                </c:pt>
                <c:pt idx="142">
                  <c:v>0.10573083857367301</c:v>
                </c:pt>
                <c:pt idx="143">
                  <c:v>0.10573950589549699</c:v>
                </c:pt>
                <c:pt idx="144">
                  <c:v>0.105748146557059</c:v>
                </c:pt>
                <c:pt idx="145">
                  <c:v>0.105756761257069</c:v>
                </c:pt>
                <c:pt idx="146">
                  <c:v>0.105765350685371</c:v>
                </c:pt>
                <c:pt idx="147">
                  <c:v>0.10577391552330601</c:v>
                </c:pt>
                <c:pt idx="148">
                  <c:v>0.105782456444064</c:v>
                </c:pt>
                <c:pt idx="149">
                  <c:v>0.105790974113029</c:v>
                </c:pt>
                <c:pt idx="150">
                  <c:v>0.105799469188117</c:v>
                </c:pt>
                <c:pt idx="151">
                  <c:v>0.105807942320102</c:v>
                </c:pt>
                <c:pt idx="152">
                  <c:v>0.105816394152941</c:v>
                </c:pt>
                <c:pt idx="153">
                  <c:v>0.10582482532409</c:v>
                </c:pt>
                <c:pt idx="154">
                  <c:v>0.10583323646481201</c:v>
                </c:pt>
                <c:pt idx="155">
                  <c:v>0.105841628200482</c:v>
                </c:pt>
                <c:pt idx="156">
                  <c:v>0.105850001150887</c:v>
                </c:pt>
                <c:pt idx="157">
                  <c:v>0.105858355930516</c:v>
                </c:pt>
                <c:pt idx="158">
                  <c:v>0.105866693148851</c:v>
                </c:pt>
                <c:pt idx="159">
                  <c:v>0.105875013410654</c:v>
                </c:pt>
                <c:pt idx="160">
                  <c:v>0.10588331731624</c:v>
                </c:pt>
                <c:pt idx="161">
                  <c:v>0.105891605461765</c:v>
                </c:pt>
                <c:pt idx="162">
                  <c:v>0.10589987843948701</c:v>
                </c:pt>
                <c:pt idx="163">
                  <c:v>0.10590813683804701</c:v>
                </c:pt>
                <c:pt idx="164">
                  <c:v>0.10591638124273201</c:v>
                </c:pt>
                <c:pt idx="165">
                  <c:v>0.105924612235738</c:v>
                </c:pt>
                <c:pt idx="166">
                  <c:v>0.10593283039644</c:v>
                </c:pt>
                <c:pt idx="167">
                  <c:v>0.105941036301648</c:v>
                </c:pt>
                <c:pt idx="168">
                  <c:v>0.10594923052586901</c:v>
                </c:pt>
                <c:pt idx="169">
                  <c:v>0.105957413641566</c:v>
                </c:pt>
                <c:pt idx="170">
                  <c:v>0.105965586219415</c:v>
                </c:pt>
                <c:pt idx="171">
                  <c:v>0.105973748828566</c:v>
                </c:pt>
                <c:pt idx="172">
                  <c:v>0.10598190203689301</c:v>
                </c:pt>
                <c:pt idx="173">
                  <c:v>0.105990046411258</c:v>
                </c:pt>
                <c:pt idx="174">
                  <c:v>0.10599818251776701</c:v>
                </c:pt>
                <c:pt idx="175">
                  <c:v>0.106006310922025</c:v>
                </c:pt>
                <c:pt idx="176">
                  <c:v>0.106014432189397</c:v>
                </c:pt>
                <c:pt idx="177">
                  <c:v>0.106022546885271</c:v>
                </c:pt>
                <c:pt idx="178">
                  <c:v>0.10603065557531401</c:v>
                </c:pt>
                <c:pt idx="179">
                  <c:v>0.10603875882574</c:v>
                </c:pt>
                <c:pt idx="180">
                  <c:v>0.106046857203577</c:v>
                </c:pt>
                <c:pt idx="181">
                  <c:v>0.106054951276932</c:v>
                </c:pt>
                <c:pt idx="182">
                  <c:v>0.106063041615263</c:v>
                </c:pt>
                <c:pt idx="183">
                  <c:v>0.10607112878965499</c:v>
                </c:pt>
                <c:pt idx="184">
                  <c:v>0.106079213373101</c:v>
                </c:pt>
                <c:pt idx="185">
                  <c:v>0.106087295940776</c:v>
                </c:pt>
                <c:pt idx="186">
                  <c:v>0.10609537707033299</c:v>
                </c:pt>
                <c:pt idx="187">
                  <c:v>0.106103457342189</c:v>
                </c:pt>
                <c:pt idx="188">
                  <c:v>0.106111537339822</c:v>
                </c:pt>
                <c:pt idx="189">
                  <c:v>0.10611961765007601</c:v>
                </c:pt>
                <c:pt idx="190">
                  <c:v>0.106127698863465</c:v>
                </c:pt>
                <c:pt idx="191">
                  <c:v>0.10613578157449099</c:v>
                </c:pt>
                <c:pt idx="192">
                  <c:v>0.106143866381966</c:v>
                </c:pt>
                <c:pt idx="193">
                  <c:v>0.10615195388934</c:v>
                </c:pt>
                <c:pt idx="194">
                  <c:v>0.106160044705038</c:v>
                </c:pt>
                <c:pt idx="195">
                  <c:v>0.106168139442805</c:v>
                </c:pt>
                <c:pt idx="196">
                  <c:v>0.106176238722063</c:v>
                </c:pt>
                <c:pt idx="197">
                  <c:v>0.106184343168276</c:v>
                </c:pt>
                <c:pt idx="198">
                  <c:v>0.10619245341332301</c:v>
                </c:pt>
                <c:pt idx="199">
                  <c:v>0.106200570095885</c:v>
                </c:pt>
                <c:pt idx="200">
                  <c:v>0.10620869386184199</c:v>
                </c:pt>
                <c:pt idx="201">
                  <c:v>0.10621682536468401</c:v>
                </c:pt>
                <c:pt idx="202">
                  <c:v>0.106224965265935</c:v>
                </c:pt>
                <c:pt idx="203">
                  <c:v>0.106233114235588</c:v>
                </c:pt>
                <c:pt idx="204">
                  <c:v>0.10624127295256</c:v>
                </c:pt>
                <c:pt idx="205">
                  <c:v>0.10624944210515699</c:v>
                </c:pt>
                <c:pt idx="206">
                  <c:v>0.106257622391562</c:v>
                </c:pt>
                <c:pt idx="207">
                  <c:v>0.106265814520335</c:v>
                </c:pt>
                <c:pt idx="208">
                  <c:v>0.106274019210935</c:v>
                </c:pt>
                <c:pt idx="209">
                  <c:v>0.10628223719426</c:v>
                </c:pt>
                <c:pt idx="210">
                  <c:v>0.106290469213214</c:v>
                </c:pt>
                <c:pt idx="211">
                  <c:v>0.106298716023284</c:v>
                </c:pt>
                <c:pt idx="212">
                  <c:v>0.106306978393155</c:v>
                </c:pt>
                <c:pt idx="213">
                  <c:v>0.106315257105341</c:v>
                </c:pt>
                <c:pt idx="214">
                  <c:v>0.10632355295684801</c:v>
                </c:pt>
                <c:pt idx="215">
                  <c:v>0.10633186675985799</c:v>
                </c:pt>
                <c:pt idx="216">
                  <c:v>0.10634019934245301</c:v>
                </c:pt>
                <c:pt idx="217">
                  <c:v>0.106348551549366</c:v>
                </c:pt>
                <c:pt idx="218">
                  <c:v>0.106356924242761</c:v>
                </c:pt>
                <c:pt idx="219">
                  <c:v>0.10636531830306099</c:v>
                </c:pt>
                <c:pt idx="220">
                  <c:v>0.106373734629807</c:v>
                </c:pt>
                <c:pt idx="221">
                  <c:v>0.10638217414255299</c:v>
                </c:pt>
                <c:pt idx="222">
                  <c:v>0.106390637781818</c:v>
                </c:pt>
                <c:pt idx="223">
                  <c:v>0.10639912651007299</c:v>
                </c:pt>
                <c:pt idx="224">
                  <c:v>0.10640764131277999</c:v>
                </c:pt>
                <c:pt idx="225">
                  <c:v>0.10641618319948901</c:v>
                </c:pt>
                <c:pt idx="226">
                  <c:v>0.106424753204983</c:v>
                </c:pt>
                <c:pt idx="227">
                  <c:v>0.10643335239049</c:v>
                </c:pt>
                <c:pt idx="228">
                  <c:v>0.106441981844954</c:v>
                </c:pt>
                <c:pt idx="229">
                  <c:v>0.106450642686375</c:v>
                </c:pt>
                <c:pt idx="230">
                  <c:v>0.10645933606322799</c:v>
                </c:pt>
                <c:pt idx="231">
                  <c:v>0.10646806315594901</c:v>
                </c:pt>
                <c:pt idx="232">
                  <c:v>0.106476825178516</c:v>
                </c:pt>
                <c:pt idx="233">
                  <c:v>0.10648562338011</c:v>
                </c:pt>
                <c:pt idx="234">
                  <c:v>0.106494459046881</c:v>
                </c:pt>
                <c:pt idx="235">
                  <c:v>0.106503333503809</c:v>
                </c:pt>
                <c:pt idx="236">
                  <c:v>0.10651224811667701</c:v>
                </c:pt>
                <c:pt idx="237">
                  <c:v>0.106521204294171</c:v>
                </c:pt>
                <c:pt idx="238">
                  <c:v>0.106530203490093</c:v>
                </c:pt>
                <c:pt idx="239">
                  <c:v>0.10653924720572699</c:v>
                </c:pt>
                <c:pt idx="240">
                  <c:v>0.106548336992338</c:v>
                </c:pt>
                <c:pt idx="241">
                  <c:v>0.106557474453844</c:v>
                </c:pt>
                <c:pt idx="242">
                  <c:v>0.106566661249652</c:v>
                </c:pt>
                <c:pt idx="243">
                  <c:v>0.10657589909767901</c:v>
                </c:pt>
                <c:pt idx="244">
                  <c:v>0.10658518977758299</c:v>
                </c:pt>
                <c:pt idx="245">
                  <c:v>0.106594535134197</c:v>
                </c:pt>
                <c:pt idx="246">
                  <c:v>0.106603937081217</c:v>
                </c:pt>
                <c:pt idx="247">
                  <c:v>0.106613397605125</c:v>
                </c:pt>
                <c:pt idx="248">
                  <c:v>0.10662291876941001</c:v>
                </c:pt>
                <c:pt idx="249">
                  <c:v>0.106632502719071</c:v>
                </c:pt>
                <c:pt idx="250">
                  <c:v>0.10664215168546599</c:v>
                </c:pt>
                <c:pt idx="251">
                  <c:v>0.106651867991505</c:v>
                </c:pt>
                <c:pt idx="252">
                  <c:v>0.106661654057239</c:v>
                </c:pt>
                <c:pt idx="253">
                  <c:v>0.106671512405876</c:v>
                </c:pt>
                <c:pt idx="254">
                  <c:v>0.106681445670259</c:v>
                </c:pt>
                <c:pt idx="255">
                  <c:v>0.106691456599855</c:v>
                </c:pt>
                <c:pt idx="256">
                  <c:v>0.10670154806830701</c:v>
                </c:pt>
                <c:pt idx="257">
                  <c:v>0.106711723081597</c:v>
                </c:pt>
                <c:pt idx="258">
                  <c:v>0.106721984786882</c:v>
                </c:pt>
                <c:pt idx="259">
                  <c:v>0.106732336482082</c:v>
                </c:pt>
                <c:pt idx="260">
                  <c:v>0.10674278162628199</c:v>
                </c:pt>
                <c:pt idx="261">
                  <c:v>0.106753323851043</c:v>
                </c:pt>
                <c:pt idx="262">
                  <c:v>0.106763966972719</c:v>
                </c:pt>
                <c:pt idx="263">
                  <c:v>0.10677471500588499</c:v>
                </c:pt>
                <c:pt idx="264">
                  <c:v>0.10678557217800599</c:v>
                </c:pt>
                <c:pt idx="265">
                  <c:v>0.106796542945475</c:v>
                </c:pt>
                <c:pt idx="266">
                  <c:v>0.10680763201119001</c:v>
                </c:pt>
                <c:pt idx="267">
                  <c:v>0.106818844343851</c:v>
                </c:pt>
                <c:pt idx="268">
                  <c:v>0.106830185199162</c:v>
                </c:pt>
                <c:pt idx="269">
                  <c:v>0.1068416601432</c:v>
                </c:pt>
                <c:pt idx="270">
                  <c:v>0.106853275078199</c:v>
                </c:pt>
                <c:pt idx="271">
                  <c:v>0.10686503627105901</c:v>
                </c:pt>
                <c:pt idx="272">
                  <c:v>0.106876950384948</c:v>
                </c:pt>
                <c:pt idx="273">
                  <c:v>0.10688902451438199</c:v>
                </c:pt>
                <c:pt idx="274">
                  <c:v>0.106901266224276</c:v>
                </c:pt>
                <c:pt idx="275">
                  <c:v>0.106913683593506</c:v>
                </c:pt>
                <c:pt idx="276">
                  <c:v>0.106926285263621</c:v>
                </c:pt>
                <c:pt idx="277">
                  <c:v>0.106939080493455</c:v>
                </c:pt>
                <c:pt idx="278">
                  <c:v>0.10695207922051</c:v>
                </c:pt>
                <c:pt idx="279">
                  <c:v>0.10696529213014599</c:v>
                </c:pt>
                <c:pt idx="280">
                  <c:v>0.106978730733797</c:v>
                </c:pt>
                <c:pt idx="281">
                  <c:v>0.106992407457646</c:v>
                </c:pt>
                <c:pt idx="282">
                  <c:v>0.107006335743491</c:v>
                </c:pt>
                <c:pt idx="283">
                  <c:v>0.10702053016384699</c:v>
                </c:pt>
                <c:pt idx="284">
                  <c:v>0.107035006553762</c:v>
                </c:pt>
                <c:pt idx="285">
                  <c:v>0.107049782162317</c:v>
                </c:pt>
                <c:pt idx="286">
                  <c:v>0.10706487582742701</c:v>
                </c:pt>
                <c:pt idx="287">
                  <c:v>0.107080308178348</c:v>
                </c:pt>
                <c:pt idx="288">
                  <c:v>0.10709610187127599</c:v>
                </c:pt>
                <c:pt idx="289">
                  <c:v>0.10711228186470099</c:v>
                </c:pt>
                <c:pt idx="290">
                  <c:v>0.107128875742745</c:v>
                </c:pt>
                <c:pt idx="291">
                  <c:v>0.107145914096787</c:v>
                </c:pt>
                <c:pt idx="292">
                  <c:v>0.10716343097827</c:v>
                </c:pt>
                <c:pt idx="293">
                  <c:v>0.10718146443905199</c:v>
                </c:pt>
                <c:pt idx="294">
                  <c:v>0.107200057180087</c:v>
                </c:pt>
                <c:pt idx="295">
                  <c:v>0.10721925733519</c:v>
                </c:pt>
                <c:pt idx="296">
                  <c:v>0.107239119424452</c:v>
                </c:pt>
                <c:pt idx="297">
                  <c:v>0.10725970552248799</c:v>
                </c:pt>
                <c:pt idx="298">
                  <c:v>0.107281086701057</c:v>
                </c:pt>
                <c:pt idx="299">
                  <c:v>0.10730334482520799</c:v>
                </c:pt>
                <c:pt idx="300">
                  <c:v>0.107326574809414</c:v>
                </c:pt>
                <c:pt idx="301">
                  <c:v>0.10735088747820599</c:v>
                </c:pt>
                <c:pt idx="302">
                  <c:v>0.10737641322982</c:v>
                </c:pt>
                <c:pt idx="303">
                  <c:v>0.107403306778537</c:v>
                </c:pt>
                <c:pt idx="304">
                  <c:v>0.10743175336319</c:v>
                </c:pt>
                <c:pt idx="305">
                  <c:v>0.107461976972791</c:v>
                </c:pt>
                <c:pt idx="306">
                  <c:v>0.107494251381856</c:v>
                </c:pt>
                <c:pt idx="307">
                  <c:v>0.107528915147976</c:v>
                </c:pt>
                <c:pt idx="308">
                  <c:v>0.107566392263413</c:v>
                </c:pt>
                <c:pt idx="309">
                  <c:v>0.10760722096054399</c:v>
                </c:pt>
                <c:pt idx="310">
                  <c:v>0.107652094373539</c:v>
                </c:pt>
                <c:pt idx="311">
                  <c:v>0.107701918517204</c:v>
                </c:pt>
                <c:pt idx="312">
                  <c:v>0.107757895545197</c:v>
                </c:pt>
                <c:pt idx="313">
                  <c:v>0.107821643761701</c:v>
                </c:pt>
                <c:pt idx="314">
                  <c:v>0.107895371464266</c:v>
                </c:pt>
                <c:pt idx="315">
                  <c:v>0.107982136054144</c:v>
                </c:pt>
                <c:pt idx="316">
                  <c:v>0.108086279484475</c:v>
                </c:pt>
                <c:pt idx="317">
                  <c:v>0.10821441051713999</c:v>
                </c:pt>
                <c:pt idx="318">
                  <c:v>0.108378611684964</c:v>
                </c:pt>
                <c:pt idx="319">
                  <c:v>0.10851279142848901</c:v>
                </c:pt>
                <c:pt idx="320">
                  <c:v>0.108646878508965</c:v>
                </c:pt>
                <c:pt idx="321">
                  <c:v>0.108781836007877</c:v>
                </c:pt>
                <c:pt idx="322">
                  <c:v>0.108917703938839</c:v>
                </c:pt>
                <c:pt idx="323">
                  <c:v>0.109054545173906</c:v>
                </c:pt>
                <c:pt idx="324">
                  <c:v>0.109192417872054</c:v>
                </c:pt>
                <c:pt idx="325">
                  <c:v>0.109331376964383</c:v>
                </c:pt>
                <c:pt idx="326">
                  <c:v>0.10947147454287399</c:v>
                </c:pt>
                <c:pt idx="327">
                  <c:v>0.109612760241196</c:v>
                </c:pt>
                <c:pt idx="328">
                  <c:v>0.10975528157779101</c:v>
                </c:pt>
                <c:pt idx="329">
                  <c:v>0.109899084266184</c:v>
                </c:pt>
                <c:pt idx="330">
                  <c:v>0.110044212495958</c:v>
                </c:pt>
                <c:pt idx="331">
                  <c:v>0.11019070918751001</c:v>
                </c:pt>
                <c:pt idx="332">
                  <c:v>0.11033861622334599</c:v>
                </c:pt>
                <c:pt idx="333">
                  <c:v>0.110487974658393</c:v>
                </c:pt>
                <c:pt idx="334">
                  <c:v>0.110638824911563</c:v>
                </c:pt>
                <c:pt idx="335">
                  <c:v>0.110791206940568</c:v>
                </c:pt>
                <c:pt idx="336">
                  <c:v>0.11094516040180299</c:v>
                </c:pt>
                <c:pt idx="337">
                  <c:v>0.11110072479692901</c:v>
                </c:pt>
                <c:pt idx="338">
                  <c:v>0.111257939607629</c:v>
                </c:pt>
                <c:pt idx="339">
                  <c:v>0.111416844419904</c:v>
                </c:pt>
                <c:pt idx="340">
                  <c:v>0.111577479039088</c:v>
                </c:pt>
                <c:pt idx="341">
                  <c:v>0.111739883596728</c:v>
                </c:pt>
                <c:pt idx="342">
                  <c:v>0.111904098650297</c:v>
                </c:pt>
                <c:pt idx="343">
                  <c:v>0.11207016527668</c:v>
                </c:pt>
                <c:pt idx="344">
                  <c:v>0.112238125160255</c:v>
                </c:pt>
                <c:pt idx="345">
                  <c:v>0.11240802067632299</c:v>
                </c:pt>
                <c:pt idx="346">
                  <c:v>0.11257989497059701</c:v>
                </c:pt>
                <c:pt idx="347">
                  <c:v>0.112753792035371</c:v>
                </c:pt>
                <c:pt idx="348">
                  <c:v>0.112929756782956</c:v>
                </c:pt>
                <c:pt idx="349">
                  <c:v>0.113107835116922</c:v>
                </c:pt>
                <c:pt idx="350">
                  <c:v>0.113288074001635</c:v>
                </c:pt>
                <c:pt idx="351">
                  <c:v>0.113470521530551</c:v>
                </c:pt>
                <c:pt idx="352">
                  <c:v>0.113655226993682</c:v>
                </c:pt>
                <c:pt idx="353">
                  <c:v>0.113842240944644</c:v>
                </c:pt>
                <c:pt idx="354">
                  <c:v>0.114031615267637</c:v>
                </c:pt>
                <c:pt idx="355">
                  <c:v>0.11422340324472501</c:v>
                </c:pt>
                <c:pt idx="356">
                  <c:v>0.11441765962373</c:v>
                </c:pt>
                <c:pt idx="357">
                  <c:v>0.114614440687063</c:v>
                </c:pt>
                <c:pt idx="358">
                  <c:v>0.114813804321789</c:v>
                </c:pt>
                <c:pt idx="359">
                  <c:v>0.22425676384167301</c:v>
                </c:pt>
                <c:pt idx="360">
                  <c:v>0.30704288935609397</c:v>
                </c:pt>
                <c:pt idx="361">
                  <c:v>0.30834090817871301</c:v>
                </c:pt>
                <c:pt idx="362">
                  <c:v>0.30921577139060102</c:v>
                </c:pt>
                <c:pt idx="363">
                  <c:v>0.31017471350345399</c:v>
                </c:pt>
                <c:pt idx="364">
                  <c:v>0.31131883897321</c:v>
                </c:pt>
                <c:pt idx="365">
                  <c:v>0.31289797505880901</c:v>
                </c:pt>
                <c:pt idx="366">
                  <c:v>0.51289797505880896</c:v>
                </c:pt>
                <c:pt idx="367">
                  <c:v>0.51289797505880896</c:v>
                </c:pt>
              </c:numCache>
            </c:numRef>
          </c:xVal>
          <c:yVal>
            <c:numRef>
              <c:f>Implicit_Fracs!$AF$4:$AF$371</c:f>
              <c:numCache>
                <c:formatCode>General</c:formatCode>
                <c:ptCount val="3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0A-4C2D-A2F9-FC22B2A07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4192"/>
        <c:axId val="412570664"/>
      </c:scatterChart>
      <c:valAx>
        <c:axId val="412571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2232"/>
        <c:crosses val="autoZero"/>
        <c:crossBetween val="midCat"/>
      </c:valAx>
      <c:valAx>
        <c:axId val="412572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1840"/>
        <c:crosses val="autoZero"/>
        <c:crossBetween val="midCat"/>
      </c:valAx>
      <c:valAx>
        <c:axId val="412570664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4192"/>
        <c:crosses val="max"/>
        <c:crossBetween val="midCat"/>
      </c:valAx>
      <c:valAx>
        <c:axId val="4125741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570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Implicit_Fracs!$S$2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Implicit_Fracs!$C$4:$C$371</c:f>
              <c:numCache>
                <c:formatCode>General</c:formatCode>
                <c:ptCount val="368"/>
                <c:pt idx="0">
                  <c:v>6.5458908507104702E-2</c:v>
                </c:pt>
                <c:pt idx="1">
                  <c:v>0.10158646265419501</c:v>
                </c:pt>
                <c:pt idx="2">
                  <c:v>0.102060105178604</c:v>
                </c:pt>
                <c:pt idx="3">
                  <c:v>0.102354758409441</c:v>
                </c:pt>
                <c:pt idx="4">
                  <c:v>0.10257003610151801</c:v>
                </c:pt>
                <c:pt idx="5">
                  <c:v>0.102740146597483</c:v>
                </c:pt>
                <c:pt idx="6">
                  <c:v>0.10288102093448701</c:v>
                </c:pt>
                <c:pt idx="7">
                  <c:v>0.10300139565401099</c:v>
                </c:pt>
                <c:pt idx="8">
                  <c:v>0.10310658737638601</c:v>
                </c:pt>
                <c:pt idx="9">
                  <c:v>0.103200075337502</c:v>
                </c:pt>
                <c:pt idx="10">
                  <c:v>0.103284262204</c:v>
                </c:pt>
                <c:pt idx="11">
                  <c:v>0.103360877526633</c:v>
                </c:pt>
                <c:pt idx="12">
                  <c:v>0.103431208153653</c:v>
                </c:pt>
                <c:pt idx="13">
                  <c:v>0.103496237708407</c:v>
                </c:pt>
                <c:pt idx="14">
                  <c:v>0.103556735084609</c:v>
                </c:pt>
                <c:pt idx="15">
                  <c:v>0.103613312816801</c:v>
                </c:pt>
                <c:pt idx="16">
                  <c:v>0.103666466857375</c:v>
                </c:pt>
                <c:pt idx="17">
                  <c:v>0.10371660444741999</c:v>
                </c:pt>
                <c:pt idx="18">
                  <c:v>0.10376406411969299</c:v>
                </c:pt>
                <c:pt idx="19">
                  <c:v>0.10380913035858701</c:v>
                </c:pt>
                <c:pt idx="20">
                  <c:v>0.103852044544123</c:v>
                </c:pt>
                <c:pt idx="21">
                  <c:v>0.103893013256558</c:v>
                </c:pt>
                <c:pt idx="22">
                  <c:v>0.103932214670875</c:v>
                </c:pt>
                <c:pt idx="23">
                  <c:v>0.10396980354554</c:v>
                </c:pt>
                <c:pt idx="24">
                  <c:v>0.104005915161023</c:v>
                </c:pt>
                <c:pt idx="25">
                  <c:v>0.10404066846285701</c:v>
                </c:pt>
                <c:pt idx="26">
                  <c:v>0.104074168594671</c:v>
                </c:pt>
                <c:pt idx="27">
                  <c:v>0.10410650895807599</c:v>
                </c:pt>
                <c:pt idx="28">
                  <c:v>0.10413777290170501</c:v>
                </c:pt>
                <c:pt idx="29">
                  <c:v>0.104168035116796</c:v>
                </c:pt>
                <c:pt idx="30">
                  <c:v>0.104197362798492</c:v>
                </c:pt>
                <c:pt idx="31">
                  <c:v>0.104225816618547</c:v>
                </c:pt>
                <c:pt idx="32">
                  <c:v>0.104253451545067</c:v>
                </c:pt>
                <c:pt idx="33">
                  <c:v>0.104280317537286</c:v>
                </c:pt>
                <c:pt idx="34">
                  <c:v>0.10430646013757899</c:v>
                </c:pt>
                <c:pt idx="35">
                  <c:v>0.10433192097843901</c:v>
                </c:pt>
                <c:pt idx="36">
                  <c:v>0.104356738218675</c:v>
                </c:pt>
                <c:pt idx="37">
                  <c:v>0.10438094692038</c:v>
                </c:pt>
                <c:pt idx="38">
                  <c:v>0.104404579376061</c:v>
                </c:pt>
                <c:pt idx="39">
                  <c:v>0.10442766539470601</c:v>
                </c:pt>
                <c:pt idx="40">
                  <c:v>0.104450232550895</c:v>
                </c:pt>
                <c:pt idx="41">
                  <c:v>0.104472306403378</c:v>
                </c:pt>
                <c:pt idx="42">
                  <c:v>0.104493910687546</c:v>
                </c:pt>
                <c:pt idx="43">
                  <c:v>0.104515067485448</c:v>
                </c:pt>
                <c:pt idx="44">
                  <c:v>0.104535797376425</c:v>
                </c:pt>
                <c:pt idx="45">
                  <c:v>0.104556119570968</c:v>
                </c:pt>
                <c:pt idx="46">
                  <c:v>0.10457605202998201</c:v>
                </c:pt>
                <c:pt idx="47">
                  <c:v>0.10459561157132601</c:v>
                </c:pt>
                <c:pt idx="48">
                  <c:v>0.10461481396524</c:v>
                </c:pt>
                <c:pt idx="49">
                  <c:v>0.104633674020002</c:v>
                </c:pt>
                <c:pt idx="50">
                  <c:v>0.104652205659008</c:v>
                </c:pt>
                <c:pt idx="51">
                  <c:v>0.10467042199028</c:v>
                </c:pt>
                <c:pt idx="52">
                  <c:v>0.10468833536927501</c:v>
                </c:pt>
                <c:pt idx="53">
                  <c:v>0.104705957455764</c:v>
                </c:pt>
                <c:pt idx="54">
                  <c:v>0.104723299265432</c:v>
                </c:pt>
                <c:pt idx="55">
                  <c:v>0.10474037121678501</c:v>
                </c:pt>
                <c:pt idx="56">
                  <c:v>0.104757183173858</c:v>
                </c:pt>
                <c:pt idx="57">
                  <c:v>0.10477374448518</c:v>
                </c:pt>
                <c:pt idx="58">
                  <c:v>0.104790064019366</c:v>
                </c:pt>
                <c:pt idx="59">
                  <c:v>0.10480615019770299</c:v>
                </c:pt>
                <c:pt idx="60">
                  <c:v>0.104822011024007</c:v>
                </c:pt>
                <c:pt idx="61">
                  <c:v>0.10483765411203801</c:v>
                </c:pt>
                <c:pt idx="62">
                  <c:v>0.104853086710699</c:v>
                </c:pt>
                <c:pt idx="63">
                  <c:v>0.10486831572724099</c:v>
                </c:pt>
                <c:pt idx="64">
                  <c:v>0.104883347748643</c:v>
                </c:pt>
                <c:pt idx="65">
                  <c:v>0.104898189061358</c:v>
                </c:pt>
                <c:pt idx="66">
                  <c:v>0.104912845669559</c:v>
                </c:pt>
                <c:pt idx="67">
                  <c:v>0.10492732331202199</c:v>
                </c:pt>
                <c:pt idx="68">
                  <c:v>0.10494162747777</c:v>
                </c:pt>
                <c:pt idx="69">
                  <c:v>0.10495576342058401</c:v>
                </c:pt>
                <c:pt idx="70">
                  <c:v>0.104969736172476</c:v>
                </c:pt>
                <c:pt idx="71">
                  <c:v>0.104983550556215</c:v>
                </c:pt>
                <c:pt idx="72">
                  <c:v>0.104997211196988</c:v>
                </c:pt>
                <c:pt idx="73">
                  <c:v>0.105010722533251</c:v>
                </c:pt>
                <c:pt idx="74">
                  <c:v>0.10502408882686499</c:v>
                </c:pt>
                <c:pt idx="75">
                  <c:v>0.105037314172539</c:v>
                </c:pt>
                <c:pt idx="76">
                  <c:v>0.10505040250667</c:v>
                </c:pt>
                <c:pt idx="77">
                  <c:v>0.105063357615594</c:v>
                </c:pt>
                <c:pt idx="78">
                  <c:v>0.105076183143323</c:v>
                </c:pt>
                <c:pt idx="79">
                  <c:v>0.10508888259878001</c:v>
                </c:pt>
                <c:pt idx="80">
                  <c:v>0.105101459362598</c:v>
                </c:pt>
                <c:pt idx="81">
                  <c:v>0.10511391669348399</c:v>
                </c:pt>
                <c:pt idx="82">
                  <c:v>0.10512625773421</c:v>
                </c:pt>
                <c:pt idx="83">
                  <c:v>0.10513848551723599</c:v>
                </c:pt>
                <c:pt idx="84">
                  <c:v>0.10515060297000201</c:v>
                </c:pt>
                <c:pt idx="85">
                  <c:v>0.105162612919908</c:v>
                </c:pt>
                <c:pt idx="86">
                  <c:v>0.105174518099013</c:v>
                </c:pt>
                <c:pt idx="87">
                  <c:v>0.105186321148453</c:v>
                </c:pt>
                <c:pt idx="88">
                  <c:v>0.105198024622616</c:v>
                </c:pt>
                <c:pt idx="89">
                  <c:v>0.105209630993088</c:v>
                </c:pt>
                <c:pt idx="90">
                  <c:v>0.10522114265237301</c:v>
                </c:pt>
                <c:pt idx="91">
                  <c:v>0.105232561917411</c:v>
                </c:pt>
                <c:pt idx="92">
                  <c:v>0.105243891032912</c:v>
                </c:pt>
                <c:pt idx="93">
                  <c:v>0.105255132174505</c:v>
                </c:pt>
                <c:pt idx="94">
                  <c:v>0.10526628745172401</c:v>
                </c:pt>
                <c:pt idx="95">
                  <c:v>0.105277358910841</c:v>
                </c:pt>
                <c:pt idx="96">
                  <c:v>0.105288348537545</c:v>
                </c:pt>
                <c:pt idx="97">
                  <c:v>0.10529925825949001</c:v>
                </c:pt>
                <c:pt idx="98">
                  <c:v>0.105310089948715</c:v>
                </c:pt>
                <c:pt idx="99">
                  <c:v>0.10532084542394</c:v>
                </c:pt>
                <c:pt idx="100">
                  <c:v>0.105331526452749</c:v>
                </c:pt>
                <c:pt idx="101">
                  <c:v>0.10534213475366599</c:v>
                </c:pt>
                <c:pt idx="102">
                  <c:v>0.105352671998135</c:v>
                </c:pt>
                <c:pt idx="103">
                  <c:v>0.105363139812398</c:v>
                </c:pt>
                <c:pt idx="104">
                  <c:v>0.10537353977929</c:v>
                </c:pt>
                <c:pt idx="105">
                  <c:v>0.105383873439947</c:v>
                </c:pt>
                <c:pt idx="106">
                  <c:v>0.105394142295438</c:v>
                </c:pt>
                <c:pt idx="107">
                  <c:v>0.10540434780831399</c:v>
                </c:pt>
                <c:pt idx="108">
                  <c:v>0.1054144914041</c:v>
                </c:pt>
                <c:pt idx="109">
                  <c:v>0.105424574472708</c:v>
                </c:pt>
                <c:pt idx="110">
                  <c:v>0.10543459836979301</c:v>
                </c:pt>
                <c:pt idx="111">
                  <c:v>0.105444564418049</c:v>
                </c:pt>
                <c:pt idx="112">
                  <c:v>0.105454473908448</c:v>
                </c:pt>
                <c:pt idx="113">
                  <c:v>0.105464328101426</c:v>
                </c:pt>
                <c:pt idx="114">
                  <c:v>0.10547412822802001</c:v>
                </c:pt>
                <c:pt idx="115">
                  <c:v>0.10548387549095201</c:v>
                </c:pt>
                <c:pt idx="116">
                  <c:v>0.105493571065675</c:v>
                </c:pt>
                <c:pt idx="117">
                  <c:v>0.105503216101374</c:v>
                </c:pt>
                <c:pt idx="118">
                  <c:v>0.10551281172191999</c:v>
                </c:pt>
                <c:pt idx="119">
                  <c:v>0.10552235902679701</c:v>
                </c:pt>
                <c:pt idx="120">
                  <c:v>0.105531859091982</c:v>
                </c:pt>
                <c:pt idx="121">
                  <c:v>0.105541312970793</c:v>
                </c:pt>
                <c:pt idx="122">
                  <c:v>0.105550721694713</c:v>
                </c:pt>
                <c:pt idx="123">
                  <c:v>0.10556008627416701</c:v>
                </c:pt>
                <c:pt idx="124">
                  <c:v>0.105569407699282</c:v>
                </c:pt>
                <c:pt idx="125">
                  <c:v>0.105578686940613</c:v>
                </c:pt>
                <c:pt idx="126">
                  <c:v>0.10558792494984499</c:v>
                </c:pt>
                <c:pt idx="127">
                  <c:v>0.105597122660464</c:v>
                </c:pt>
                <c:pt idx="128">
                  <c:v>0.105606280988415</c:v>
                </c:pt>
                <c:pt idx="129">
                  <c:v>0.105615400832723</c:v>
                </c:pt>
                <c:pt idx="130">
                  <c:v>0.10562448307610101</c:v>
                </c:pt>
                <c:pt idx="131">
                  <c:v>0.105633528585537</c:v>
                </c:pt>
                <c:pt idx="132">
                  <c:v>0.105642538212856</c:v>
                </c:pt>
                <c:pt idx="133">
                  <c:v>0.10565151279527001</c:v>
                </c:pt>
                <c:pt idx="134">
                  <c:v>0.105660453155901</c:v>
                </c:pt>
                <c:pt idx="135">
                  <c:v>0.1056693601043</c:v>
                </c:pt>
                <c:pt idx="136">
                  <c:v>0.105678234436935</c:v>
                </c:pt>
                <c:pt idx="137">
                  <c:v>0.105687076937673</c:v>
                </c:pt>
                <c:pt idx="138">
                  <c:v>0.10569588837824601</c:v>
                </c:pt>
                <c:pt idx="139">
                  <c:v>0.105704669518702</c:v>
                </c:pt>
                <c:pt idx="140">
                  <c:v>0.105713421107842</c:v>
                </c:pt>
                <c:pt idx="141">
                  <c:v>0.105722143883642</c:v>
                </c:pt>
                <c:pt idx="142">
                  <c:v>0.10573083857367301</c:v>
                </c:pt>
                <c:pt idx="143">
                  <c:v>0.10573950589549699</c:v>
                </c:pt>
                <c:pt idx="144">
                  <c:v>0.105748146557059</c:v>
                </c:pt>
                <c:pt idx="145">
                  <c:v>0.105756761257069</c:v>
                </c:pt>
                <c:pt idx="146">
                  <c:v>0.105765350685371</c:v>
                </c:pt>
                <c:pt idx="147">
                  <c:v>0.10577391552330601</c:v>
                </c:pt>
                <c:pt idx="148">
                  <c:v>0.105782456444064</c:v>
                </c:pt>
                <c:pt idx="149">
                  <c:v>0.105790974113029</c:v>
                </c:pt>
                <c:pt idx="150">
                  <c:v>0.105799469188117</c:v>
                </c:pt>
                <c:pt idx="151">
                  <c:v>0.105807942320102</c:v>
                </c:pt>
                <c:pt idx="152">
                  <c:v>0.105816394152941</c:v>
                </c:pt>
                <c:pt idx="153">
                  <c:v>0.10582482532409</c:v>
                </c:pt>
                <c:pt idx="154">
                  <c:v>0.10583323646481201</c:v>
                </c:pt>
                <c:pt idx="155">
                  <c:v>0.105841628200482</c:v>
                </c:pt>
                <c:pt idx="156">
                  <c:v>0.105850001150887</c:v>
                </c:pt>
                <c:pt idx="157">
                  <c:v>0.105858355930516</c:v>
                </c:pt>
                <c:pt idx="158">
                  <c:v>0.105866693148851</c:v>
                </c:pt>
                <c:pt idx="159">
                  <c:v>0.105875013410654</c:v>
                </c:pt>
                <c:pt idx="160">
                  <c:v>0.10588331731624</c:v>
                </c:pt>
                <c:pt idx="161">
                  <c:v>0.105891605461765</c:v>
                </c:pt>
                <c:pt idx="162">
                  <c:v>0.10589987843948701</c:v>
                </c:pt>
                <c:pt idx="163">
                  <c:v>0.10590813683804701</c:v>
                </c:pt>
                <c:pt idx="164">
                  <c:v>0.10591638124273201</c:v>
                </c:pt>
                <c:pt idx="165">
                  <c:v>0.105924612235738</c:v>
                </c:pt>
                <c:pt idx="166">
                  <c:v>0.10593283039644</c:v>
                </c:pt>
                <c:pt idx="167">
                  <c:v>0.105941036301648</c:v>
                </c:pt>
                <c:pt idx="168">
                  <c:v>0.10594923052586901</c:v>
                </c:pt>
                <c:pt idx="169">
                  <c:v>0.105957413641566</c:v>
                </c:pt>
                <c:pt idx="170">
                  <c:v>0.105965586219415</c:v>
                </c:pt>
                <c:pt idx="171">
                  <c:v>0.105973748828566</c:v>
                </c:pt>
                <c:pt idx="172">
                  <c:v>0.10598190203689301</c:v>
                </c:pt>
                <c:pt idx="173">
                  <c:v>0.105990046411258</c:v>
                </c:pt>
                <c:pt idx="174">
                  <c:v>0.10599818251776701</c:v>
                </c:pt>
                <c:pt idx="175">
                  <c:v>0.106006310922025</c:v>
                </c:pt>
                <c:pt idx="176">
                  <c:v>0.106014432189397</c:v>
                </c:pt>
                <c:pt idx="177">
                  <c:v>0.106022546885271</c:v>
                </c:pt>
                <c:pt idx="178">
                  <c:v>0.10603065557531401</c:v>
                </c:pt>
                <c:pt idx="179">
                  <c:v>0.10603875882574</c:v>
                </c:pt>
                <c:pt idx="180">
                  <c:v>0.106046857203577</c:v>
                </c:pt>
                <c:pt idx="181">
                  <c:v>0.106054951276932</c:v>
                </c:pt>
                <c:pt idx="182">
                  <c:v>0.106063041615263</c:v>
                </c:pt>
                <c:pt idx="183">
                  <c:v>0.10607112878965499</c:v>
                </c:pt>
                <c:pt idx="184">
                  <c:v>0.106079213373101</c:v>
                </c:pt>
                <c:pt idx="185">
                  <c:v>0.106087295940776</c:v>
                </c:pt>
                <c:pt idx="186">
                  <c:v>0.10609537707033299</c:v>
                </c:pt>
                <c:pt idx="187">
                  <c:v>0.106103457342189</c:v>
                </c:pt>
                <c:pt idx="188">
                  <c:v>0.106111537339822</c:v>
                </c:pt>
                <c:pt idx="189">
                  <c:v>0.10611961765007601</c:v>
                </c:pt>
                <c:pt idx="190">
                  <c:v>0.106127698863465</c:v>
                </c:pt>
                <c:pt idx="191">
                  <c:v>0.10613578157449099</c:v>
                </c:pt>
                <c:pt idx="192">
                  <c:v>0.106143866381966</c:v>
                </c:pt>
                <c:pt idx="193">
                  <c:v>0.10615195388934</c:v>
                </c:pt>
                <c:pt idx="194">
                  <c:v>0.106160044705038</c:v>
                </c:pt>
                <c:pt idx="195">
                  <c:v>0.106168139442805</c:v>
                </c:pt>
                <c:pt idx="196">
                  <c:v>0.106176238722063</c:v>
                </c:pt>
                <c:pt idx="197">
                  <c:v>0.106184343168276</c:v>
                </c:pt>
                <c:pt idx="198">
                  <c:v>0.10619245341332301</c:v>
                </c:pt>
                <c:pt idx="199">
                  <c:v>0.106200570095885</c:v>
                </c:pt>
                <c:pt idx="200">
                  <c:v>0.10620869386184199</c:v>
                </c:pt>
                <c:pt idx="201">
                  <c:v>0.10621682536468401</c:v>
                </c:pt>
                <c:pt idx="202">
                  <c:v>0.106224965265935</c:v>
                </c:pt>
                <c:pt idx="203">
                  <c:v>0.106233114235588</c:v>
                </c:pt>
                <c:pt idx="204">
                  <c:v>0.10624127295256</c:v>
                </c:pt>
                <c:pt idx="205">
                  <c:v>0.10624944210515699</c:v>
                </c:pt>
                <c:pt idx="206">
                  <c:v>0.106257622391562</c:v>
                </c:pt>
                <c:pt idx="207">
                  <c:v>0.106265814520335</c:v>
                </c:pt>
                <c:pt idx="208">
                  <c:v>0.106274019210935</c:v>
                </c:pt>
                <c:pt idx="209">
                  <c:v>0.10628223719426</c:v>
                </c:pt>
                <c:pt idx="210">
                  <c:v>0.106290469213214</c:v>
                </c:pt>
                <c:pt idx="211">
                  <c:v>0.106298716023284</c:v>
                </c:pt>
                <c:pt idx="212">
                  <c:v>0.106306978393155</c:v>
                </c:pt>
                <c:pt idx="213">
                  <c:v>0.106315257105341</c:v>
                </c:pt>
                <c:pt idx="214">
                  <c:v>0.10632355295684801</c:v>
                </c:pt>
                <c:pt idx="215">
                  <c:v>0.10633186675985799</c:v>
                </c:pt>
                <c:pt idx="216">
                  <c:v>0.10634019934245301</c:v>
                </c:pt>
                <c:pt idx="217">
                  <c:v>0.106348551549366</c:v>
                </c:pt>
                <c:pt idx="218">
                  <c:v>0.106356924242761</c:v>
                </c:pt>
                <c:pt idx="219">
                  <c:v>0.10636531830306099</c:v>
                </c:pt>
                <c:pt idx="220">
                  <c:v>0.106373734629807</c:v>
                </c:pt>
                <c:pt idx="221">
                  <c:v>0.10638217414255299</c:v>
                </c:pt>
                <c:pt idx="222">
                  <c:v>0.106390637781818</c:v>
                </c:pt>
                <c:pt idx="223">
                  <c:v>0.10639912651007299</c:v>
                </c:pt>
                <c:pt idx="224">
                  <c:v>0.10640764131277999</c:v>
                </c:pt>
                <c:pt idx="225">
                  <c:v>0.10641618319948901</c:v>
                </c:pt>
                <c:pt idx="226">
                  <c:v>0.106424753204983</c:v>
                </c:pt>
                <c:pt idx="227">
                  <c:v>0.10643335239049</c:v>
                </c:pt>
                <c:pt idx="228">
                  <c:v>0.106441981844954</c:v>
                </c:pt>
                <c:pt idx="229">
                  <c:v>0.106450642686375</c:v>
                </c:pt>
                <c:pt idx="230">
                  <c:v>0.10645933606322799</c:v>
                </c:pt>
                <c:pt idx="231">
                  <c:v>0.10646806315594901</c:v>
                </c:pt>
                <c:pt idx="232">
                  <c:v>0.106476825178516</c:v>
                </c:pt>
                <c:pt idx="233">
                  <c:v>0.10648562338011</c:v>
                </c:pt>
                <c:pt idx="234">
                  <c:v>0.106494459046881</c:v>
                </c:pt>
                <c:pt idx="235">
                  <c:v>0.106503333503809</c:v>
                </c:pt>
                <c:pt idx="236">
                  <c:v>0.10651224811667701</c:v>
                </c:pt>
                <c:pt idx="237">
                  <c:v>0.106521204294171</c:v>
                </c:pt>
                <c:pt idx="238">
                  <c:v>0.106530203490093</c:v>
                </c:pt>
                <c:pt idx="239">
                  <c:v>0.10653924720572699</c:v>
                </c:pt>
                <c:pt idx="240">
                  <c:v>0.106548336992338</c:v>
                </c:pt>
                <c:pt idx="241">
                  <c:v>0.106557474453844</c:v>
                </c:pt>
                <c:pt idx="242">
                  <c:v>0.106566661249652</c:v>
                </c:pt>
                <c:pt idx="243">
                  <c:v>0.10657589909767901</c:v>
                </c:pt>
                <c:pt idx="244">
                  <c:v>0.10658518977758299</c:v>
                </c:pt>
                <c:pt idx="245">
                  <c:v>0.106594535134197</c:v>
                </c:pt>
                <c:pt idx="246">
                  <c:v>0.106603937081217</c:v>
                </c:pt>
                <c:pt idx="247">
                  <c:v>0.106613397605125</c:v>
                </c:pt>
                <c:pt idx="248">
                  <c:v>0.10662291876941001</c:v>
                </c:pt>
                <c:pt idx="249">
                  <c:v>0.106632502719071</c:v>
                </c:pt>
                <c:pt idx="250">
                  <c:v>0.10664215168546599</c:v>
                </c:pt>
                <c:pt idx="251">
                  <c:v>0.106651867991505</c:v>
                </c:pt>
                <c:pt idx="252">
                  <c:v>0.106661654057239</c:v>
                </c:pt>
                <c:pt idx="253">
                  <c:v>0.106671512405876</c:v>
                </c:pt>
                <c:pt idx="254">
                  <c:v>0.106681445670259</c:v>
                </c:pt>
                <c:pt idx="255">
                  <c:v>0.106691456599855</c:v>
                </c:pt>
                <c:pt idx="256">
                  <c:v>0.10670154806830701</c:v>
                </c:pt>
                <c:pt idx="257">
                  <c:v>0.106711723081597</c:v>
                </c:pt>
                <c:pt idx="258">
                  <c:v>0.106721984786882</c:v>
                </c:pt>
                <c:pt idx="259">
                  <c:v>0.106732336482082</c:v>
                </c:pt>
                <c:pt idx="260">
                  <c:v>0.10674278162628199</c:v>
                </c:pt>
                <c:pt idx="261">
                  <c:v>0.106753323851043</c:v>
                </c:pt>
                <c:pt idx="262">
                  <c:v>0.106763966972719</c:v>
                </c:pt>
                <c:pt idx="263">
                  <c:v>0.10677471500588499</c:v>
                </c:pt>
                <c:pt idx="264">
                  <c:v>0.10678557217800599</c:v>
                </c:pt>
                <c:pt idx="265">
                  <c:v>0.106796542945475</c:v>
                </c:pt>
                <c:pt idx="266">
                  <c:v>0.10680763201119001</c:v>
                </c:pt>
                <c:pt idx="267">
                  <c:v>0.106818844343851</c:v>
                </c:pt>
                <c:pt idx="268">
                  <c:v>0.106830185199162</c:v>
                </c:pt>
                <c:pt idx="269">
                  <c:v>0.1068416601432</c:v>
                </c:pt>
                <c:pt idx="270">
                  <c:v>0.106853275078199</c:v>
                </c:pt>
                <c:pt idx="271">
                  <c:v>0.10686503627105901</c:v>
                </c:pt>
                <c:pt idx="272">
                  <c:v>0.106876950384948</c:v>
                </c:pt>
                <c:pt idx="273">
                  <c:v>0.10688902451438199</c:v>
                </c:pt>
                <c:pt idx="274">
                  <c:v>0.106901266224276</c:v>
                </c:pt>
                <c:pt idx="275">
                  <c:v>0.106913683593506</c:v>
                </c:pt>
                <c:pt idx="276">
                  <c:v>0.106926285263621</c:v>
                </c:pt>
                <c:pt idx="277">
                  <c:v>0.106939080493455</c:v>
                </c:pt>
                <c:pt idx="278">
                  <c:v>0.10695207922051</c:v>
                </c:pt>
                <c:pt idx="279">
                  <c:v>0.10696529213014599</c:v>
                </c:pt>
                <c:pt idx="280">
                  <c:v>0.106978730733797</c:v>
                </c:pt>
                <c:pt idx="281">
                  <c:v>0.106992407457646</c:v>
                </c:pt>
                <c:pt idx="282">
                  <c:v>0.107006335743491</c:v>
                </c:pt>
                <c:pt idx="283">
                  <c:v>0.10702053016384699</c:v>
                </c:pt>
                <c:pt idx="284">
                  <c:v>0.107035006553762</c:v>
                </c:pt>
                <c:pt idx="285">
                  <c:v>0.107049782162317</c:v>
                </c:pt>
                <c:pt idx="286">
                  <c:v>0.10706487582742701</c:v>
                </c:pt>
                <c:pt idx="287">
                  <c:v>0.107080308178348</c:v>
                </c:pt>
                <c:pt idx="288">
                  <c:v>0.10709610187127599</c:v>
                </c:pt>
                <c:pt idx="289">
                  <c:v>0.10711228186470099</c:v>
                </c:pt>
                <c:pt idx="290">
                  <c:v>0.107128875742745</c:v>
                </c:pt>
                <c:pt idx="291">
                  <c:v>0.107145914096787</c:v>
                </c:pt>
                <c:pt idx="292">
                  <c:v>0.10716343097827</c:v>
                </c:pt>
                <c:pt idx="293">
                  <c:v>0.10718146443905199</c:v>
                </c:pt>
                <c:pt idx="294">
                  <c:v>0.107200057180087</c:v>
                </c:pt>
                <c:pt idx="295">
                  <c:v>0.10721925733519</c:v>
                </c:pt>
                <c:pt idx="296">
                  <c:v>0.107239119424452</c:v>
                </c:pt>
                <c:pt idx="297">
                  <c:v>0.10725970552248799</c:v>
                </c:pt>
                <c:pt idx="298">
                  <c:v>0.107281086701057</c:v>
                </c:pt>
                <c:pt idx="299">
                  <c:v>0.10730334482520799</c:v>
                </c:pt>
                <c:pt idx="300">
                  <c:v>0.107326574809414</c:v>
                </c:pt>
                <c:pt idx="301">
                  <c:v>0.10735088747820599</c:v>
                </c:pt>
                <c:pt idx="302">
                  <c:v>0.10737641322982</c:v>
                </c:pt>
                <c:pt idx="303">
                  <c:v>0.107403306778537</c:v>
                </c:pt>
                <c:pt idx="304">
                  <c:v>0.10743175336319</c:v>
                </c:pt>
                <c:pt idx="305">
                  <c:v>0.107461976972791</c:v>
                </c:pt>
                <c:pt idx="306">
                  <c:v>0.107494251381856</c:v>
                </c:pt>
                <c:pt idx="307">
                  <c:v>0.107528915147976</c:v>
                </c:pt>
                <c:pt idx="308">
                  <c:v>0.107566392263413</c:v>
                </c:pt>
                <c:pt idx="309">
                  <c:v>0.10760722096054399</c:v>
                </c:pt>
                <c:pt idx="310">
                  <c:v>0.107652094373539</c:v>
                </c:pt>
                <c:pt idx="311">
                  <c:v>0.107701918517204</c:v>
                </c:pt>
                <c:pt idx="312">
                  <c:v>0.107757895545197</c:v>
                </c:pt>
                <c:pt idx="313">
                  <c:v>0.107821643761701</c:v>
                </c:pt>
                <c:pt idx="314">
                  <c:v>0.107895371464266</c:v>
                </c:pt>
                <c:pt idx="315">
                  <c:v>0.107982136054144</c:v>
                </c:pt>
                <c:pt idx="316">
                  <c:v>0.108086279484475</c:v>
                </c:pt>
                <c:pt idx="317">
                  <c:v>0.10821441051713999</c:v>
                </c:pt>
                <c:pt idx="318">
                  <c:v>0.108378611684964</c:v>
                </c:pt>
                <c:pt idx="319">
                  <c:v>0.10851279142848901</c:v>
                </c:pt>
                <c:pt idx="320">
                  <c:v>0.108646878508965</c:v>
                </c:pt>
                <c:pt idx="321">
                  <c:v>0.108781836007877</c:v>
                </c:pt>
                <c:pt idx="322">
                  <c:v>0.108917703938839</c:v>
                </c:pt>
                <c:pt idx="323">
                  <c:v>0.109054545173906</c:v>
                </c:pt>
                <c:pt idx="324">
                  <c:v>0.109192417872054</c:v>
                </c:pt>
                <c:pt idx="325">
                  <c:v>0.109331376964383</c:v>
                </c:pt>
                <c:pt idx="326">
                  <c:v>0.10947147454287399</c:v>
                </c:pt>
                <c:pt idx="327">
                  <c:v>0.109612760241196</c:v>
                </c:pt>
                <c:pt idx="328">
                  <c:v>0.10975528157779101</c:v>
                </c:pt>
                <c:pt idx="329">
                  <c:v>0.109899084266184</c:v>
                </c:pt>
                <c:pt idx="330">
                  <c:v>0.110044212495958</c:v>
                </c:pt>
                <c:pt idx="331">
                  <c:v>0.11019070918751001</c:v>
                </c:pt>
                <c:pt idx="332">
                  <c:v>0.11033861622334599</c:v>
                </c:pt>
                <c:pt idx="333">
                  <c:v>0.110487974658393</c:v>
                </c:pt>
                <c:pt idx="334">
                  <c:v>0.110638824911563</c:v>
                </c:pt>
                <c:pt idx="335">
                  <c:v>0.110791206940568</c:v>
                </c:pt>
                <c:pt idx="336">
                  <c:v>0.11094516040180299</c:v>
                </c:pt>
                <c:pt idx="337">
                  <c:v>0.11110072479692901</c:v>
                </c:pt>
                <c:pt idx="338">
                  <c:v>0.111257939607629</c:v>
                </c:pt>
                <c:pt idx="339">
                  <c:v>0.111416844419904</c:v>
                </c:pt>
                <c:pt idx="340">
                  <c:v>0.111577479039088</c:v>
                </c:pt>
                <c:pt idx="341">
                  <c:v>0.111739883596728</c:v>
                </c:pt>
                <c:pt idx="342">
                  <c:v>0.111904098650297</c:v>
                </c:pt>
                <c:pt idx="343">
                  <c:v>0.11207016527668</c:v>
                </c:pt>
                <c:pt idx="344">
                  <c:v>0.112238125160255</c:v>
                </c:pt>
                <c:pt idx="345">
                  <c:v>0.11240802067632299</c:v>
                </c:pt>
                <c:pt idx="346">
                  <c:v>0.11257989497059701</c:v>
                </c:pt>
                <c:pt idx="347">
                  <c:v>0.112753792035371</c:v>
                </c:pt>
                <c:pt idx="348">
                  <c:v>0.112929756782956</c:v>
                </c:pt>
                <c:pt idx="349">
                  <c:v>0.113107835116922</c:v>
                </c:pt>
                <c:pt idx="350">
                  <c:v>0.113288074001635</c:v>
                </c:pt>
                <c:pt idx="351">
                  <c:v>0.113470521530551</c:v>
                </c:pt>
                <c:pt idx="352">
                  <c:v>0.113655226993682</c:v>
                </c:pt>
                <c:pt idx="353">
                  <c:v>0.113842240944644</c:v>
                </c:pt>
                <c:pt idx="354">
                  <c:v>0.114031615267637</c:v>
                </c:pt>
                <c:pt idx="355">
                  <c:v>0.11422340324472501</c:v>
                </c:pt>
                <c:pt idx="356">
                  <c:v>0.11441765962373</c:v>
                </c:pt>
                <c:pt idx="357">
                  <c:v>0.114614440687063</c:v>
                </c:pt>
                <c:pt idx="358">
                  <c:v>0.114813804321789</c:v>
                </c:pt>
                <c:pt idx="359">
                  <c:v>0.22425676384167301</c:v>
                </c:pt>
                <c:pt idx="360">
                  <c:v>0.30704288935609397</c:v>
                </c:pt>
                <c:pt idx="361">
                  <c:v>0.30834090817871301</c:v>
                </c:pt>
                <c:pt idx="362">
                  <c:v>0.30921577139060102</c:v>
                </c:pt>
                <c:pt idx="363">
                  <c:v>0.31017471350345399</c:v>
                </c:pt>
                <c:pt idx="364">
                  <c:v>0.31131883897321</c:v>
                </c:pt>
                <c:pt idx="365">
                  <c:v>0.31289797505880901</c:v>
                </c:pt>
                <c:pt idx="366">
                  <c:v>0.51289797505880896</c:v>
                </c:pt>
                <c:pt idx="367">
                  <c:v>0.51289797505880896</c:v>
                </c:pt>
              </c:numCache>
            </c:numRef>
          </c:xVal>
          <c:yVal>
            <c:numRef>
              <c:f>Implicit_Fracs!$S$4:$S$371</c:f>
              <c:numCache>
                <c:formatCode>General</c:formatCode>
                <c:ptCount val="3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2.3129673701080301E-3</c:v>
                </c:pt>
                <c:pt idx="361">
                  <c:v>4.8012504754751401E-3</c:v>
                </c:pt>
                <c:pt idx="362">
                  <c:v>4.8336568034789903E-3</c:v>
                </c:pt>
                <c:pt idx="363">
                  <c:v>4.2572001601636099E-3</c:v>
                </c:pt>
                <c:pt idx="364">
                  <c:v>3.03383937434479E-3</c:v>
                </c:pt>
                <c:pt idx="365">
                  <c:v>1.23713845998663E-3</c:v>
                </c:pt>
                <c:pt idx="366">
                  <c:v>0</c:v>
                </c:pt>
                <c:pt idx="3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D0-4311-8122-AB04DD3F6CF0}"/>
            </c:ext>
          </c:extLst>
        </c:ser>
        <c:ser>
          <c:idx val="4"/>
          <c:order val="4"/>
          <c:tx>
            <c:strRef>
              <c:f>Implicit_Fracs!$T$2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Implicit_Fracs!$C$4:$C$371</c:f>
              <c:numCache>
                <c:formatCode>General</c:formatCode>
                <c:ptCount val="368"/>
                <c:pt idx="0">
                  <c:v>6.5458908507104702E-2</c:v>
                </c:pt>
                <c:pt idx="1">
                  <c:v>0.10158646265419501</c:v>
                </c:pt>
                <c:pt idx="2">
                  <c:v>0.102060105178604</c:v>
                </c:pt>
                <c:pt idx="3">
                  <c:v>0.102354758409441</c:v>
                </c:pt>
                <c:pt idx="4">
                  <c:v>0.10257003610151801</c:v>
                </c:pt>
                <c:pt idx="5">
                  <c:v>0.102740146597483</c:v>
                </c:pt>
                <c:pt idx="6">
                  <c:v>0.10288102093448701</c:v>
                </c:pt>
                <c:pt idx="7">
                  <c:v>0.10300139565401099</c:v>
                </c:pt>
                <c:pt idx="8">
                  <c:v>0.10310658737638601</c:v>
                </c:pt>
                <c:pt idx="9">
                  <c:v>0.103200075337502</c:v>
                </c:pt>
                <c:pt idx="10">
                  <c:v>0.103284262204</c:v>
                </c:pt>
                <c:pt idx="11">
                  <c:v>0.103360877526633</c:v>
                </c:pt>
                <c:pt idx="12">
                  <c:v>0.103431208153653</c:v>
                </c:pt>
                <c:pt idx="13">
                  <c:v>0.103496237708407</c:v>
                </c:pt>
                <c:pt idx="14">
                  <c:v>0.103556735084609</c:v>
                </c:pt>
                <c:pt idx="15">
                  <c:v>0.103613312816801</c:v>
                </c:pt>
                <c:pt idx="16">
                  <c:v>0.103666466857375</c:v>
                </c:pt>
                <c:pt idx="17">
                  <c:v>0.10371660444741999</c:v>
                </c:pt>
                <c:pt idx="18">
                  <c:v>0.10376406411969299</c:v>
                </c:pt>
                <c:pt idx="19">
                  <c:v>0.10380913035858701</c:v>
                </c:pt>
                <c:pt idx="20">
                  <c:v>0.103852044544123</c:v>
                </c:pt>
                <c:pt idx="21">
                  <c:v>0.103893013256558</c:v>
                </c:pt>
                <c:pt idx="22">
                  <c:v>0.103932214670875</c:v>
                </c:pt>
                <c:pt idx="23">
                  <c:v>0.10396980354554</c:v>
                </c:pt>
                <c:pt idx="24">
                  <c:v>0.104005915161023</c:v>
                </c:pt>
                <c:pt idx="25">
                  <c:v>0.10404066846285701</c:v>
                </c:pt>
                <c:pt idx="26">
                  <c:v>0.104074168594671</c:v>
                </c:pt>
                <c:pt idx="27">
                  <c:v>0.10410650895807599</c:v>
                </c:pt>
                <c:pt idx="28">
                  <c:v>0.10413777290170501</c:v>
                </c:pt>
                <c:pt idx="29">
                  <c:v>0.104168035116796</c:v>
                </c:pt>
                <c:pt idx="30">
                  <c:v>0.104197362798492</c:v>
                </c:pt>
                <c:pt idx="31">
                  <c:v>0.104225816618547</c:v>
                </c:pt>
                <c:pt idx="32">
                  <c:v>0.104253451545067</c:v>
                </c:pt>
                <c:pt idx="33">
                  <c:v>0.104280317537286</c:v>
                </c:pt>
                <c:pt idx="34">
                  <c:v>0.10430646013757899</c:v>
                </c:pt>
                <c:pt idx="35">
                  <c:v>0.10433192097843901</c:v>
                </c:pt>
                <c:pt idx="36">
                  <c:v>0.104356738218675</c:v>
                </c:pt>
                <c:pt idx="37">
                  <c:v>0.10438094692038</c:v>
                </c:pt>
                <c:pt idx="38">
                  <c:v>0.104404579376061</c:v>
                </c:pt>
                <c:pt idx="39">
                  <c:v>0.10442766539470601</c:v>
                </c:pt>
                <c:pt idx="40">
                  <c:v>0.104450232550895</c:v>
                </c:pt>
                <c:pt idx="41">
                  <c:v>0.104472306403378</c:v>
                </c:pt>
                <c:pt idx="42">
                  <c:v>0.104493910687546</c:v>
                </c:pt>
                <c:pt idx="43">
                  <c:v>0.104515067485448</c:v>
                </c:pt>
                <c:pt idx="44">
                  <c:v>0.104535797376425</c:v>
                </c:pt>
                <c:pt idx="45">
                  <c:v>0.104556119570968</c:v>
                </c:pt>
                <c:pt idx="46">
                  <c:v>0.10457605202998201</c:v>
                </c:pt>
                <c:pt idx="47">
                  <c:v>0.10459561157132601</c:v>
                </c:pt>
                <c:pt idx="48">
                  <c:v>0.10461481396524</c:v>
                </c:pt>
                <c:pt idx="49">
                  <c:v>0.104633674020002</c:v>
                </c:pt>
                <c:pt idx="50">
                  <c:v>0.104652205659008</c:v>
                </c:pt>
                <c:pt idx="51">
                  <c:v>0.10467042199028</c:v>
                </c:pt>
                <c:pt idx="52">
                  <c:v>0.10468833536927501</c:v>
                </c:pt>
                <c:pt idx="53">
                  <c:v>0.104705957455764</c:v>
                </c:pt>
                <c:pt idx="54">
                  <c:v>0.104723299265432</c:v>
                </c:pt>
                <c:pt idx="55">
                  <c:v>0.10474037121678501</c:v>
                </c:pt>
                <c:pt idx="56">
                  <c:v>0.104757183173858</c:v>
                </c:pt>
                <c:pt idx="57">
                  <c:v>0.10477374448518</c:v>
                </c:pt>
                <c:pt idx="58">
                  <c:v>0.104790064019366</c:v>
                </c:pt>
                <c:pt idx="59">
                  <c:v>0.10480615019770299</c:v>
                </c:pt>
                <c:pt idx="60">
                  <c:v>0.104822011024007</c:v>
                </c:pt>
                <c:pt idx="61">
                  <c:v>0.10483765411203801</c:v>
                </c:pt>
                <c:pt idx="62">
                  <c:v>0.104853086710699</c:v>
                </c:pt>
                <c:pt idx="63">
                  <c:v>0.10486831572724099</c:v>
                </c:pt>
                <c:pt idx="64">
                  <c:v>0.104883347748643</c:v>
                </c:pt>
                <c:pt idx="65">
                  <c:v>0.104898189061358</c:v>
                </c:pt>
                <c:pt idx="66">
                  <c:v>0.104912845669559</c:v>
                </c:pt>
                <c:pt idx="67">
                  <c:v>0.10492732331202199</c:v>
                </c:pt>
                <c:pt idx="68">
                  <c:v>0.10494162747777</c:v>
                </c:pt>
                <c:pt idx="69">
                  <c:v>0.10495576342058401</c:v>
                </c:pt>
                <c:pt idx="70">
                  <c:v>0.104969736172476</c:v>
                </c:pt>
                <c:pt idx="71">
                  <c:v>0.104983550556215</c:v>
                </c:pt>
                <c:pt idx="72">
                  <c:v>0.104997211196988</c:v>
                </c:pt>
                <c:pt idx="73">
                  <c:v>0.105010722533251</c:v>
                </c:pt>
                <c:pt idx="74">
                  <c:v>0.10502408882686499</c:v>
                </c:pt>
                <c:pt idx="75">
                  <c:v>0.105037314172539</c:v>
                </c:pt>
                <c:pt idx="76">
                  <c:v>0.10505040250667</c:v>
                </c:pt>
                <c:pt idx="77">
                  <c:v>0.105063357615594</c:v>
                </c:pt>
                <c:pt idx="78">
                  <c:v>0.105076183143323</c:v>
                </c:pt>
                <c:pt idx="79">
                  <c:v>0.10508888259878001</c:v>
                </c:pt>
                <c:pt idx="80">
                  <c:v>0.105101459362598</c:v>
                </c:pt>
                <c:pt idx="81">
                  <c:v>0.10511391669348399</c:v>
                </c:pt>
                <c:pt idx="82">
                  <c:v>0.10512625773421</c:v>
                </c:pt>
                <c:pt idx="83">
                  <c:v>0.10513848551723599</c:v>
                </c:pt>
                <c:pt idx="84">
                  <c:v>0.10515060297000201</c:v>
                </c:pt>
                <c:pt idx="85">
                  <c:v>0.105162612919908</c:v>
                </c:pt>
                <c:pt idx="86">
                  <c:v>0.105174518099013</c:v>
                </c:pt>
                <c:pt idx="87">
                  <c:v>0.105186321148453</c:v>
                </c:pt>
                <c:pt idx="88">
                  <c:v>0.105198024622616</c:v>
                </c:pt>
                <c:pt idx="89">
                  <c:v>0.105209630993088</c:v>
                </c:pt>
                <c:pt idx="90">
                  <c:v>0.10522114265237301</c:v>
                </c:pt>
                <c:pt idx="91">
                  <c:v>0.105232561917411</c:v>
                </c:pt>
                <c:pt idx="92">
                  <c:v>0.105243891032912</c:v>
                </c:pt>
                <c:pt idx="93">
                  <c:v>0.105255132174505</c:v>
                </c:pt>
                <c:pt idx="94">
                  <c:v>0.10526628745172401</c:v>
                </c:pt>
                <c:pt idx="95">
                  <c:v>0.105277358910841</c:v>
                </c:pt>
                <c:pt idx="96">
                  <c:v>0.105288348537545</c:v>
                </c:pt>
                <c:pt idx="97">
                  <c:v>0.10529925825949001</c:v>
                </c:pt>
                <c:pt idx="98">
                  <c:v>0.105310089948715</c:v>
                </c:pt>
                <c:pt idx="99">
                  <c:v>0.10532084542394</c:v>
                </c:pt>
                <c:pt idx="100">
                  <c:v>0.105331526452749</c:v>
                </c:pt>
                <c:pt idx="101">
                  <c:v>0.10534213475366599</c:v>
                </c:pt>
                <c:pt idx="102">
                  <c:v>0.105352671998135</c:v>
                </c:pt>
                <c:pt idx="103">
                  <c:v>0.105363139812398</c:v>
                </c:pt>
                <c:pt idx="104">
                  <c:v>0.10537353977929</c:v>
                </c:pt>
                <c:pt idx="105">
                  <c:v>0.105383873439947</c:v>
                </c:pt>
                <c:pt idx="106">
                  <c:v>0.105394142295438</c:v>
                </c:pt>
                <c:pt idx="107">
                  <c:v>0.10540434780831399</c:v>
                </c:pt>
                <c:pt idx="108">
                  <c:v>0.1054144914041</c:v>
                </c:pt>
                <c:pt idx="109">
                  <c:v>0.105424574472708</c:v>
                </c:pt>
                <c:pt idx="110">
                  <c:v>0.10543459836979301</c:v>
                </c:pt>
                <c:pt idx="111">
                  <c:v>0.105444564418049</c:v>
                </c:pt>
                <c:pt idx="112">
                  <c:v>0.105454473908448</c:v>
                </c:pt>
                <c:pt idx="113">
                  <c:v>0.105464328101426</c:v>
                </c:pt>
                <c:pt idx="114">
                  <c:v>0.10547412822802001</c:v>
                </c:pt>
                <c:pt idx="115">
                  <c:v>0.10548387549095201</c:v>
                </c:pt>
                <c:pt idx="116">
                  <c:v>0.105493571065675</c:v>
                </c:pt>
                <c:pt idx="117">
                  <c:v>0.105503216101374</c:v>
                </c:pt>
                <c:pt idx="118">
                  <c:v>0.10551281172191999</c:v>
                </c:pt>
                <c:pt idx="119">
                  <c:v>0.10552235902679701</c:v>
                </c:pt>
                <c:pt idx="120">
                  <c:v>0.105531859091982</c:v>
                </c:pt>
                <c:pt idx="121">
                  <c:v>0.105541312970793</c:v>
                </c:pt>
                <c:pt idx="122">
                  <c:v>0.105550721694713</c:v>
                </c:pt>
                <c:pt idx="123">
                  <c:v>0.10556008627416701</c:v>
                </c:pt>
                <c:pt idx="124">
                  <c:v>0.105569407699282</c:v>
                </c:pt>
                <c:pt idx="125">
                  <c:v>0.105578686940613</c:v>
                </c:pt>
                <c:pt idx="126">
                  <c:v>0.10558792494984499</c:v>
                </c:pt>
                <c:pt idx="127">
                  <c:v>0.105597122660464</c:v>
                </c:pt>
                <c:pt idx="128">
                  <c:v>0.105606280988415</c:v>
                </c:pt>
                <c:pt idx="129">
                  <c:v>0.105615400832723</c:v>
                </c:pt>
                <c:pt idx="130">
                  <c:v>0.10562448307610101</c:v>
                </c:pt>
                <c:pt idx="131">
                  <c:v>0.105633528585537</c:v>
                </c:pt>
                <c:pt idx="132">
                  <c:v>0.105642538212856</c:v>
                </c:pt>
                <c:pt idx="133">
                  <c:v>0.10565151279527001</c:v>
                </c:pt>
                <c:pt idx="134">
                  <c:v>0.105660453155901</c:v>
                </c:pt>
                <c:pt idx="135">
                  <c:v>0.1056693601043</c:v>
                </c:pt>
                <c:pt idx="136">
                  <c:v>0.105678234436935</c:v>
                </c:pt>
                <c:pt idx="137">
                  <c:v>0.105687076937673</c:v>
                </c:pt>
                <c:pt idx="138">
                  <c:v>0.10569588837824601</c:v>
                </c:pt>
                <c:pt idx="139">
                  <c:v>0.105704669518702</c:v>
                </c:pt>
                <c:pt idx="140">
                  <c:v>0.105713421107842</c:v>
                </c:pt>
                <c:pt idx="141">
                  <c:v>0.105722143883642</c:v>
                </c:pt>
                <c:pt idx="142">
                  <c:v>0.10573083857367301</c:v>
                </c:pt>
                <c:pt idx="143">
                  <c:v>0.10573950589549699</c:v>
                </c:pt>
                <c:pt idx="144">
                  <c:v>0.105748146557059</c:v>
                </c:pt>
                <c:pt idx="145">
                  <c:v>0.105756761257069</c:v>
                </c:pt>
                <c:pt idx="146">
                  <c:v>0.105765350685371</c:v>
                </c:pt>
                <c:pt idx="147">
                  <c:v>0.10577391552330601</c:v>
                </c:pt>
                <c:pt idx="148">
                  <c:v>0.105782456444064</c:v>
                </c:pt>
                <c:pt idx="149">
                  <c:v>0.105790974113029</c:v>
                </c:pt>
                <c:pt idx="150">
                  <c:v>0.105799469188117</c:v>
                </c:pt>
                <c:pt idx="151">
                  <c:v>0.105807942320102</c:v>
                </c:pt>
                <c:pt idx="152">
                  <c:v>0.105816394152941</c:v>
                </c:pt>
                <c:pt idx="153">
                  <c:v>0.10582482532409</c:v>
                </c:pt>
                <c:pt idx="154">
                  <c:v>0.10583323646481201</c:v>
                </c:pt>
                <c:pt idx="155">
                  <c:v>0.105841628200482</c:v>
                </c:pt>
                <c:pt idx="156">
                  <c:v>0.105850001150887</c:v>
                </c:pt>
                <c:pt idx="157">
                  <c:v>0.105858355930516</c:v>
                </c:pt>
                <c:pt idx="158">
                  <c:v>0.105866693148851</c:v>
                </c:pt>
                <c:pt idx="159">
                  <c:v>0.105875013410654</c:v>
                </c:pt>
                <c:pt idx="160">
                  <c:v>0.10588331731624</c:v>
                </c:pt>
                <c:pt idx="161">
                  <c:v>0.105891605461765</c:v>
                </c:pt>
                <c:pt idx="162">
                  <c:v>0.10589987843948701</c:v>
                </c:pt>
                <c:pt idx="163">
                  <c:v>0.10590813683804701</c:v>
                </c:pt>
                <c:pt idx="164">
                  <c:v>0.10591638124273201</c:v>
                </c:pt>
                <c:pt idx="165">
                  <c:v>0.105924612235738</c:v>
                </c:pt>
                <c:pt idx="166">
                  <c:v>0.10593283039644</c:v>
                </c:pt>
                <c:pt idx="167">
                  <c:v>0.105941036301648</c:v>
                </c:pt>
                <c:pt idx="168">
                  <c:v>0.10594923052586901</c:v>
                </c:pt>
                <c:pt idx="169">
                  <c:v>0.105957413641566</c:v>
                </c:pt>
                <c:pt idx="170">
                  <c:v>0.105965586219415</c:v>
                </c:pt>
                <c:pt idx="171">
                  <c:v>0.105973748828566</c:v>
                </c:pt>
                <c:pt idx="172">
                  <c:v>0.10598190203689301</c:v>
                </c:pt>
                <c:pt idx="173">
                  <c:v>0.105990046411258</c:v>
                </c:pt>
                <c:pt idx="174">
                  <c:v>0.10599818251776701</c:v>
                </c:pt>
                <c:pt idx="175">
                  <c:v>0.106006310922025</c:v>
                </c:pt>
                <c:pt idx="176">
                  <c:v>0.106014432189397</c:v>
                </c:pt>
                <c:pt idx="177">
                  <c:v>0.106022546885271</c:v>
                </c:pt>
                <c:pt idx="178">
                  <c:v>0.10603065557531401</c:v>
                </c:pt>
                <c:pt idx="179">
                  <c:v>0.10603875882574</c:v>
                </c:pt>
                <c:pt idx="180">
                  <c:v>0.106046857203577</c:v>
                </c:pt>
                <c:pt idx="181">
                  <c:v>0.106054951276932</c:v>
                </c:pt>
                <c:pt idx="182">
                  <c:v>0.106063041615263</c:v>
                </c:pt>
                <c:pt idx="183">
                  <c:v>0.10607112878965499</c:v>
                </c:pt>
                <c:pt idx="184">
                  <c:v>0.106079213373101</c:v>
                </c:pt>
                <c:pt idx="185">
                  <c:v>0.106087295940776</c:v>
                </c:pt>
                <c:pt idx="186">
                  <c:v>0.10609537707033299</c:v>
                </c:pt>
                <c:pt idx="187">
                  <c:v>0.106103457342189</c:v>
                </c:pt>
                <c:pt idx="188">
                  <c:v>0.106111537339822</c:v>
                </c:pt>
                <c:pt idx="189">
                  <c:v>0.10611961765007601</c:v>
                </c:pt>
                <c:pt idx="190">
                  <c:v>0.106127698863465</c:v>
                </c:pt>
                <c:pt idx="191">
                  <c:v>0.10613578157449099</c:v>
                </c:pt>
                <c:pt idx="192">
                  <c:v>0.106143866381966</c:v>
                </c:pt>
                <c:pt idx="193">
                  <c:v>0.10615195388934</c:v>
                </c:pt>
                <c:pt idx="194">
                  <c:v>0.106160044705038</c:v>
                </c:pt>
                <c:pt idx="195">
                  <c:v>0.106168139442805</c:v>
                </c:pt>
                <c:pt idx="196">
                  <c:v>0.106176238722063</c:v>
                </c:pt>
                <c:pt idx="197">
                  <c:v>0.106184343168276</c:v>
                </c:pt>
                <c:pt idx="198">
                  <c:v>0.10619245341332301</c:v>
                </c:pt>
                <c:pt idx="199">
                  <c:v>0.106200570095885</c:v>
                </c:pt>
                <c:pt idx="200">
                  <c:v>0.10620869386184199</c:v>
                </c:pt>
                <c:pt idx="201">
                  <c:v>0.10621682536468401</c:v>
                </c:pt>
                <c:pt idx="202">
                  <c:v>0.106224965265935</c:v>
                </c:pt>
                <c:pt idx="203">
                  <c:v>0.106233114235588</c:v>
                </c:pt>
                <c:pt idx="204">
                  <c:v>0.10624127295256</c:v>
                </c:pt>
                <c:pt idx="205">
                  <c:v>0.10624944210515699</c:v>
                </c:pt>
                <c:pt idx="206">
                  <c:v>0.106257622391562</c:v>
                </c:pt>
                <c:pt idx="207">
                  <c:v>0.106265814520335</c:v>
                </c:pt>
                <c:pt idx="208">
                  <c:v>0.106274019210935</c:v>
                </c:pt>
                <c:pt idx="209">
                  <c:v>0.10628223719426</c:v>
                </c:pt>
                <c:pt idx="210">
                  <c:v>0.106290469213214</c:v>
                </c:pt>
                <c:pt idx="211">
                  <c:v>0.106298716023284</c:v>
                </c:pt>
                <c:pt idx="212">
                  <c:v>0.106306978393155</c:v>
                </c:pt>
                <c:pt idx="213">
                  <c:v>0.106315257105341</c:v>
                </c:pt>
                <c:pt idx="214">
                  <c:v>0.10632355295684801</c:v>
                </c:pt>
                <c:pt idx="215">
                  <c:v>0.10633186675985799</c:v>
                </c:pt>
                <c:pt idx="216">
                  <c:v>0.10634019934245301</c:v>
                </c:pt>
                <c:pt idx="217">
                  <c:v>0.106348551549366</c:v>
                </c:pt>
                <c:pt idx="218">
                  <c:v>0.106356924242761</c:v>
                </c:pt>
                <c:pt idx="219">
                  <c:v>0.10636531830306099</c:v>
                </c:pt>
                <c:pt idx="220">
                  <c:v>0.106373734629807</c:v>
                </c:pt>
                <c:pt idx="221">
                  <c:v>0.10638217414255299</c:v>
                </c:pt>
                <c:pt idx="222">
                  <c:v>0.106390637781818</c:v>
                </c:pt>
                <c:pt idx="223">
                  <c:v>0.10639912651007299</c:v>
                </c:pt>
                <c:pt idx="224">
                  <c:v>0.10640764131277999</c:v>
                </c:pt>
                <c:pt idx="225">
                  <c:v>0.10641618319948901</c:v>
                </c:pt>
                <c:pt idx="226">
                  <c:v>0.106424753204983</c:v>
                </c:pt>
                <c:pt idx="227">
                  <c:v>0.10643335239049</c:v>
                </c:pt>
                <c:pt idx="228">
                  <c:v>0.106441981844954</c:v>
                </c:pt>
                <c:pt idx="229">
                  <c:v>0.106450642686375</c:v>
                </c:pt>
                <c:pt idx="230">
                  <c:v>0.10645933606322799</c:v>
                </c:pt>
                <c:pt idx="231">
                  <c:v>0.10646806315594901</c:v>
                </c:pt>
                <c:pt idx="232">
                  <c:v>0.106476825178516</c:v>
                </c:pt>
                <c:pt idx="233">
                  <c:v>0.10648562338011</c:v>
                </c:pt>
                <c:pt idx="234">
                  <c:v>0.106494459046881</c:v>
                </c:pt>
                <c:pt idx="235">
                  <c:v>0.106503333503809</c:v>
                </c:pt>
                <c:pt idx="236">
                  <c:v>0.10651224811667701</c:v>
                </c:pt>
                <c:pt idx="237">
                  <c:v>0.106521204294171</c:v>
                </c:pt>
                <c:pt idx="238">
                  <c:v>0.106530203490093</c:v>
                </c:pt>
                <c:pt idx="239">
                  <c:v>0.10653924720572699</c:v>
                </c:pt>
                <c:pt idx="240">
                  <c:v>0.106548336992338</c:v>
                </c:pt>
                <c:pt idx="241">
                  <c:v>0.106557474453844</c:v>
                </c:pt>
                <c:pt idx="242">
                  <c:v>0.106566661249652</c:v>
                </c:pt>
                <c:pt idx="243">
                  <c:v>0.10657589909767901</c:v>
                </c:pt>
                <c:pt idx="244">
                  <c:v>0.10658518977758299</c:v>
                </c:pt>
                <c:pt idx="245">
                  <c:v>0.106594535134197</c:v>
                </c:pt>
                <c:pt idx="246">
                  <c:v>0.106603937081217</c:v>
                </c:pt>
                <c:pt idx="247">
                  <c:v>0.106613397605125</c:v>
                </c:pt>
                <c:pt idx="248">
                  <c:v>0.10662291876941001</c:v>
                </c:pt>
                <c:pt idx="249">
                  <c:v>0.106632502719071</c:v>
                </c:pt>
                <c:pt idx="250">
                  <c:v>0.10664215168546599</c:v>
                </c:pt>
                <c:pt idx="251">
                  <c:v>0.106651867991505</c:v>
                </c:pt>
                <c:pt idx="252">
                  <c:v>0.106661654057239</c:v>
                </c:pt>
                <c:pt idx="253">
                  <c:v>0.106671512405876</c:v>
                </c:pt>
                <c:pt idx="254">
                  <c:v>0.106681445670259</c:v>
                </c:pt>
                <c:pt idx="255">
                  <c:v>0.106691456599855</c:v>
                </c:pt>
                <c:pt idx="256">
                  <c:v>0.10670154806830701</c:v>
                </c:pt>
                <c:pt idx="257">
                  <c:v>0.106711723081597</c:v>
                </c:pt>
                <c:pt idx="258">
                  <c:v>0.106721984786882</c:v>
                </c:pt>
                <c:pt idx="259">
                  <c:v>0.106732336482082</c:v>
                </c:pt>
                <c:pt idx="260">
                  <c:v>0.10674278162628199</c:v>
                </c:pt>
                <c:pt idx="261">
                  <c:v>0.106753323851043</c:v>
                </c:pt>
                <c:pt idx="262">
                  <c:v>0.106763966972719</c:v>
                </c:pt>
                <c:pt idx="263">
                  <c:v>0.10677471500588499</c:v>
                </c:pt>
                <c:pt idx="264">
                  <c:v>0.10678557217800599</c:v>
                </c:pt>
                <c:pt idx="265">
                  <c:v>0.106796542945475</c:v>
                </c:pt>
                <c:pt idx="266">
                  <c:v>0.10680763201119001</c:v>
                </c:pt>
                <c:pt idx="267">
                  <c:v>0.106818844343851</c:v>
                </c:pt>
                <c:pt idx="268">
                  <c:v>0.106830185199162</c:v>
                </c:pt>
                <c:pt idx="269">
                  <c:v>0.1068416601432</c:v>
                </c:pt>
                <c:pt idx="270">
                  <c:v>0.106853275078199</c:v>
                </c:pt>
                <c:pt idx="271">
                  <c:v>0.10686503627105901</c:v>
                </c:pt>
                <c:pt idx="272">
                  <c:v>0.106876950384948</c:v>
                </c:pt>
                <c:pt idx="273">
                  <c:v>0.10688902451438199</c:v>
                </c:pt>
                <c:pt idx="274">
                  <c:v>0.106901266224276</c:v>
                </c:pt>
                <c:pt idx="275">
                  <c:v>0.106913683593506</c:v>
                </c:pt>
                <c:pt idx="276">
                  <c:v>0.106926285263621</c:v>
                </c:pt>
                <c:pt idx="277">
                  <c:v>0.106939080493455</c:v>
                </c:pt>
                <c:pt idx="278">
                  <c:v>0.10695207922051</c:v>
                </c:pt>
                <c:pt idx="279">
                  <c:v>0.10696529213014599</c:v>
                </c:pt>
                <c:pt idx="280">
                  <c:v>0.106978730733797</c:v>
                </c:pt>
                <c:pt idx="281">
                  <c:v>0.106992407457646</c:v>
                </c:pt>
                <c:pt idx="282">
                  <c:v>0.107006335743491</c:v>
                </c:pt>
                <c:pt idx="283">
                  <c:v>0.10702053016384699</c:v>
                </c:pt>
                <c:pt idx="284">
                  <c:v>0.107035006553762</c:v>
                </c:pt>
                <c:pt idx="285">
                  <c:v>0.107049782162317</c:v>
                </c:pt>
                <c:pt idx="286">
                  <c:v>0.10706487582742701</c:v>
                </c:pt>
                <c:pt idx="287">
                  <c:v>0.107080308178348</c:v>
                </c:pt>
                <c:pt idx="288">
                  <c:v>0.10709610187127599</c:v>
                </c:pt>
                <c:pt idx="289">
                  <c:v>0.10711228186470099</c:v>
                </c:pt>
                <c:pt idx="290">
                  <c:v>0.107128875742745</c:v>
                </c:pt>
                <c:pt idx="291">
                  <c:v>0.107145914096787</c:v>
                </c:pt>
                <c:pt idx="292">
                  <c:v>0.10716343097827</c:v>
                </c:pt>
                <c:pt idx="293">
                  <c:v>0.10718146443905199</c:v>
                </c:pt>
                <c:pt idx="294">
                  <c:v>0.107200057180087</c:v>
                </c:pt>
                <c:pt idx="295">
                  <c:v>0.10721925733519</c:v>
                </c:pt>
                <c:pt idx="296">
                  <c:v>0.107239119424452</c:v>
                </c:pt>
                <c:pt idx="297">
                  <c:v>0.10725970552248799</c:v>
                </c:pt>
                <c:pt idx="298">
                  <c:v>0.107281086701057</c:v>
                </c:pt>
                <c:pt idx="299">
                  <c:v>0.10730334482520799</c:v>
                </c:pt>
                <c:pt idx="300">
                  <c:v>0.107326574809414</c:v>
                </c:pt>
                <c:pt idx="301">
                  <c:v>0.10735088747820599</c:v>
                </c:pt>
                <c:pt idx="302">
                  <c:v>0.10737641322982</c:v>
                </c:pt>
                <c:pt idx="303">
                  <c:v>0.107403306778537</c:v>
                </c:pt>
                <c:pt idx="304">
                  <c:v>0.10743175336319</c:v>
                </c:pt>
                <c:pt idx="305">
                  <c:v>0.107461976972791</c:v>
                </c:pt>
                <c:pt idx="306">
                  <c:v>0.107494251381856</c:v>
                </c:pt>
                <c:pt idx="307">
                  <c:v>0.107528915147976</c:v>
                </c:pt>
                <c:pt idx="308">
                  <c:v>0.107566392263413</c:v>
                </c:pt>
                <c:pt idx="309">
                  <c:v>0.10760722096054399</c:v>
                </c:pt>
                <c:pt idx="310">
                  <c:v>0.107652094373539</c:v>
                </c:pt>
                <c:pt idx="311">
                  <c:v>0.107701918517204</c:v>
                </c:pt>
                <c:pt idx="312">
                  <c:v>0.107757895545197</c:v>
                </c:pt>
                <c:pt idx="313">
                  <c:v>0.107821643761701</c:v>
                </c:pt>
                <c:pt idx="314">
                  <c:v>0.107895371464266</c:v>
                </c:pt>
                <c:pt idx="315">
                  <c:v>0.107982136054144</c:v>
                </c:pt>
                <c:pt idx="316">
                  <c:v>0.108086279484475</c:v>
                </c:pt>
                <c:pt idx="317">
                  <c:v>0.10821441051713999</c:v>
                </c:pt>
                <c:pt idx="318">
                  <c:v>0.108378611684964</c:v>
                </c:pt>
                <c:pt idx="319">
                  <c:v>0.10851279142848901</c:v>
                </c:pt>
                <c:pt idx="320">
                  <c:v>0.108646878508965</c:v>
                </c:pt>
                <c:pt idx="321">
                  <c:v>0.108781836007877</c:v>
                </c:pt>
                <c:pt idx="322">
                  <c:v>0.108917703938839</c:v>
                </c:pt>
                <c:pt idx="323">
                  <c:v>0.109054545173906</c:v>
                </c:pt>
                <c:pt idx="324">
                  <c:v>0.109192417872054</c:v>
                </c:pt>
                <c:pt idx="325">
                  <c:v>0.109331376964383</c:v>
                </c:pt>
                <c:pt idx="326">
                  <c:v>0.10947147454287399</c:v>
                </c:pt>
                <c:pt idx="327">
                  <c:v>0.109612760241196</c:v>
                </c:pt>
                <c:pt idx="328">
                  <c:v>0.10975528157779101</c:v>
                </c:pt>
                <c:pt idx="329">
                  <c:v>0.109899084266184</c:v>
                </c:pt>
                <c:pt idx="330">
                  <c:v>0.110044212495958</c:v>
                </c:pt>
                <c:pt idx="331">
                  <c:v>0.11019070918751001</c:v>
                </c:pt>
                <c:pt idx="332">
                  <c:v>0.11033861622334599</c:v>
                </c:pt>
                <c:pt idx="333">
                  <c:v>0.110487974658393</c:v>
                </c:pt>
                <c:pt idx="334">
                  <c:v>0.110638824911563</c:v>
                </c:pt>
                <c:pt idx="335">
                  <c:v>0.110791206940568</c:v>
                </c:pt>
                <c:pt idx="336">
                  <c:v>0.11094516040180299</c:v>
                </c:pt>
                <c:pt idx="337">
                  <c:v>0.11110072479692901</c:v>
                </c:pt>
                <c:pt idx="338">
                  <c:v>0.111257939607629</c:v>
                </c:pt>
                <c:pt idx="339">
                  <c:v>0.111416844419904</c:v>
                </c:pt>
                <c:pt idx="340">
                  <c:v>0.111577479039088</c:v>
                </c:pt>
                <c:pt idx="341">
                  <c:v>0.111739883596728</c:v>
                </c:pt>
                <c:pt idx="342">
                  <c:v>0.111904098650297</c:v>
                </c:pt>
                <c:pt idx="343">
                  <c:v>0.11207016527668</c:v>
                </c:pt>
                <c:pt idx="344">
                  <c:v>0.112238125160255</c:v>
                </c:pt>
                <c:pt idx="345">
                  <c:v>0.11240802067632299</c:v>
                </c:pt>
                <c:pt idx="346">
                  <c:v>0.11257989497059701</c:v>
                </c:pt>
                <c:pt idx="347">
                  <c:v>0.112753792035371</c:v>
                </c:pt>
                <c:pt idx="348">
                  <c:v>0.112929756782956</c:v>
                </c:pt>
                <c:pt idx="349">
                  <c:v>0.113107835116922</c:v>
                </c:pt>
                <c:pt idx="350">
                  <c:v>0.113288074001635</c:v>
                </c:pt>
                <c:pt idx="351">
                  <c:v>0.113470521530551</c:v>
                </c:pt>
                <c:pt idx="352">
                  <c:v>0.113655226993682</c:v>
                </c:pt>
                <c:pt idx="353">
                  <c:v>0.113842240944644</c:v>
                </c:pt>
                <c:pt idx="354">
                  <c:v>0.114031615267637</c:v>
                </c:pt>
                <c:pt idx="355">
                  <c:v>0.11422340324472501</c:v>
                </c:pt>
                <c:pt idx="356">
                  <c:v>0.11441765962373</c:v>
                </c:pt>
                <c:pt idx="357">
                  <c:v>0.114614440687063</c:v>
                </c:pt>
                <c:pt idx="358">
                  <c:v>0.114813804321789</c:v>
                </c:pt>
                <c:pt idx="359">
                  <c:v>0.22425676384167301</c:v>
                </c:pt>
                <c:pt idx="360">
                  <c:v>0.30704288935609397</c:v>
                </c:pt>
                <c:pt idx="361">
                  <c:v>0.30834090817871301</c:v>
                </c:pt>
                <c:pt idx="362">
                  <c:v>0.30921577139060102</c:v>
                </c:pt>
                <c:pt idx="363">
                  <c:v>0.31017471350345399</c:v>
                </c:pt>
                <c:pt idx="364">
                  <c:v>0.31131883897321</c:v>
                </c:pt>
                <c:pt idx="365">
                  <c:v>0.31289797505880901</c:v>
                </c:pt>
                <c:pt idx="366">
                  <c:v>0.51289797505880896</c:v>
                </c:pt>
                <c:pt idx="367">
                  <c:v>0.51289797505880896</c:v>
                </c:pt>
              </c:numCache>
            </c:numRef>
          </c:xVal>
          <c:yVal>
            <c:numRef>
              <c:f>Implicit_Fracs!$T$4:$T$371</c:f>
              <c:numCache>
                <c:formatCode>General</c:formatCode>
                <c:ptCount val="3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2.0332477416695098E-3</c:v>
                </c:pt>
                <c:pt idx="363">
                  <c:v>4.5726930076019799E-3</c:v>
                </c:pt>
                <c:pt idx="364">
                  <c:v>7.5898692418402301E-3</c:v>
                </c:pt>
                <c:pt idx="365">
                  <c:v>1.0887017023731699E-2</c:v>
                </c:pt>
                <c:pt idx="366">
                  <c:v>1.2124155483718301E-2</c:v>
                </c:pt>
                <c:pt idx="367">
                  <c:v>1.2124155483718301E-2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D0-4311-8122-AB04DD3F6CF0}"/>
            </c:ext>
          </c:extLst>
        </c:ser>
        <c:ser>
          <c:idx val="5"/>
          <c:order val="5"/>
          <c:tx>
            <c:strRef>
              <c:f>Implicit_Fracs!$U$2</c:f>
              <c:strCache>
                <c:ptCount val="1"/>
                <c:pt idx="0">
                  <c:v>Clear zone volume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Implicit_Fracs!$C$4:$C$371</c:f>
              <c:numCache>
                <c:formatCode>General</c:formatCode>
                <c:ptCount val="368"/>
                <c:pt idx="0">
                  <c:v>6.5458908507104702E-2</c:v>
                </c:pt>
                <c:pt idx="1">
                  <c:v>0.10158646265419501</c:v>
                </c:pt>
                <c:pt idx="2">
                  <c:v>0.102060105178604</c:v>
                </c:pt>
                <c:pt idx="3">
                  <c:v>0.102354758409441</c:v>
                </c:pt>
                <c:pt idx="4">
                  <c:v>0.10257003610151801</c:v>
                </c:pt>
                <c:pt idx="5">
                  <c:v>0.102740146597483</c:v>
                </c:pt>
                <c:pt idx="6">
                  <c:v>0.10288102093448701</c:v>
                </c:pt>
                <c:pt idx="7">
                  <c:v>0.10300139565401099</c:v>
                </c:pt>
                <c:pt idx="8">
                  <c:v>0.10310658737638601</c:v>
                </c:pt>
                <c:pt idx="9">
                  <c:v>0.103200075337502</c:v>
                </c:pt>
                <c:pt idx="10">
                  <c:v>0.103284262204</c:v>
                </c:pt>
                <c:pt idx="11">
                  <c:v>0.103360877526633</c:v>
                </c:pt>
                <c:pt idx="12">
                  <c:v>0.103431208153653</c:v>
                </c:pt>
                <c:pt idx="13">
                  <c:v>0.103496237708407</c:v>
                </c:pt>
                <c:pt idx="14">
                  <c:v>0.103556735084609</c:v>
                </c:pt>
                <c:pt idx="15">
                  <c:v>0.103613312816801</c:v>
                </c:pt>
                <c:pt idx="16">
                  <c:v>0.103666466857375</c:v>
                </c:pt>
                <c:pt idx="17">
                  <c:v>0.10371660444741999</c:v>
                </c:pt>
                <c:pt idx="18">
                  <c:v>0.10376406411969299</c:v>
                </c:pt>
                <c:pt idx="19">
                  <c:v>0.10380913035858701</c:v>
                </c:pt>
                <c:pt idx="20">
                  <c:v>0.103852044544123</c:v>
                </c:pt>
                <c:pt idx="21">
                  <c:v>0.103893013256558</c:v>
                </c:pt>
                <c:pt idx="22">
                  <c:v>0.103932214670875</c:v>
                </c:pt>
                <c:pt idx="23">
                  <c:v>0.10396980354554</c:v>
                </c:pt>
                <c:pt idx="24">
                  <c:v>0.104005915161023</c:v>
                </c:pt>
                <c:pt idx="25">
                  <c:v>0.10404066846285701</c:v>
                </c:pt>
                <c:pt idx="26">
                  <c:v>0.104074168594671</c:v>
                </c:pt>
                <c:pt idx="27">
                  <c:v>0.10410650895807599</c:v>
                </c:pt>
                <c:pt idx="28">
                  <c:v>0.10413777290170501</c:v>
                </c:pt>
                <c:pt idx="29">
                  <c:v>0.104168035116796</c:v>
                </c:pt>
                <c:pt idx="30">
                  <c:v>0.104197362798492</c:v>
                </c:pt>
                <c:pt idx="31">
                  <c:v>0.104225816618547</c:v>
                </c:pt>
                <c:pt idx="32">
                  <c:v>0.104253451545067</c:v>
                </c:pt>
                <c:pt idx="33">
                  <c:v>0.104280317537286</c:v>
                </c:pt>
                <c:pt idx="34">
                  <c:v>0.10430646013757899</c:v>
                </c:pt>
                <c:pt idx="35">
                  <c:v>0.10433192097843901</c:v>
                </c:pt>
                <c:pt idx="36">
                  <c:v>0.104356738218675</c:v>
                </c:pt>
                <c:pt idx="37">
                  <c:v>0.10438094692038</c:v>
                </c:pt>
                <c:pt idx="38">
                  <c:v>0.104404579376061</c:v>
                </c:pt>
                <c:pt idx="39">
                  <c:v>0.10442766539470601</c:v>
                </c:pt>
                <c:pt idx="40">
                  <c:v>0.104450232550895</c:v>
                </c:pt>
                <c:pt idx="41">
                  <c:v>0.104472306403378</c:v>
                </c:pt>
                <c:pt idx="42">
                  <c:v>0.104493910687546</c:v>
                </c:pt>
                <c:pt idx="43">
                  <c:v>0.104515067485448</c:v>
                </c:pt>
                <c:pt idx="44">
                  <c:v>0.104535797376425</c:v>
                </c:pt>
                <c:pt idx="45">
                  <c:v>0.104556119570968</c:v>
                </c:pt>
                <c:pt idx="46">
                  <c:v>0.10457605202998201</c:v>
                </c:pt>
                <c:pt idx="47">
                  <c:v>0.10459561157132601</c:v>
                </c:pt>
                <c:pt idx="48">
                  <c:v>0.10461481396524</c:v>
                </c:pt>
                <c:pt idx="49">
                  <c:v>0.104633674020002</c:v>
                </c:pt>
                <c:pt idx="50">
                  <c:v>0.104652205659008</c:v>
                </c:pt>
                <c:pt idx="51">
                  <c:v>0.10467042199028</c:v>
                </c:pt>
                <c:pt idx="52">
                  <c:v>0.10468833536927501</c:v>
                </c:pt>
                <c:pt idx="53">
                  <c:v>0.104705957455764</c:v>
                </c:pt>
                <c:pt idx="54">
                  <c:v>0.104723299265432</c:v>
                </c:pt>
                <c:pt idx="55">
                  <c:v>0.10474037121678501</c:v>
                </c:pt>
                <c:pt idx="56">
                  <c:v>0.104757183173858</c:v>
                </c:pt>
                <c:pt idx="57">
                  <c:v>0.10477374448518</c:v>
                </c:pt>
                <c:pt idx="58">
                  <c:v>0.104790064019366</c:v>
                </c:pt>
                <c:pt idx="59">
                  <c:v>0.10480615019770299</c:v>
                </c:pt>
                <c:pt idx="60">
                  <c:v>0.104822011024007</c:v>
                </c:pt>
                <c:pt idx="61">
                  <c:v>0.10483765411203801</c:v>
                </c:pt>
                <c:pt idx="62">
                  <c:v>0.104853086710699</c:v>
                </c:pt>
                <c:pt idx="63">
                  <c:v>0.10486831572724099</c:v>
                </c:pt>
                <c:pt idx="64">
                  <c:v>0.104883347748643</c:v>
                </c:pt>
                <c:pt idx="65">
                  <c:v>0.104898189061358</c:v>
                </c:pt>
                <c:pt idx="66">
                  <c:v>0.104912845669559</c:v>
                </c:pt>
                <c:pt idx="67">
                  <c:v>0.10492732331202199</c:v>
                </c:pt>
                <c:pt idx="68">
                  <c:v>0.10494162747777</c:v>
                </c:pt>
                <c:pt idx="69">
                  <c:v>0.10495576342058401</c:v>
                </c:pt>
                <c:pt idx="70">
                  <c:v>0.104969736172476</c:v>
                </c:pt>
                <c:pt idx="71">
                  <c:v>0.104983550556215</c:v>
                </c:pt>
                <c:pt idx="72">
                  <c:v>0.104997211196988</c:v>
                </c:pt>
                <c:pt idx="73">
                  <c:v>0.105010722533251</c:v>
                </c:pt>
                <c:pt idx="74">
                  <c:v>0.10502408882686499</c:v>
                </c:pt>
                <c:pt idx="75">
                  <c:v>0.105037314172539</c:v>
                </c:pt>
                <c:pt idx="76">
                  <c:v>0.10505040250667</c:v>
                </c:pt>
                <c:pt idx="77">
                  <c:v>0.105063357615594</c:v>
                </c:pt>
                <c:pt idx="78">
                  <c:v>0.105076183143323</c:v>
                </c:pt>
                <c:pt idx="79">
                  <c:v>0.10508888259878001</c:v>
                </c:pt>
                <c:pt idx="80">
                  <c:v>0.105101459362598</c:v>
                </c:pt>
                <c:pt idx="81">
                  <c:v>0.10511391669348399</c:v>
                </c:pt>
                <c:pt idx="82">
                  <c:v>0.10512625773421</c:v>
                </c:pt>
                <c:pt idx="83">
                  <c:v>0.10513848551723599</c:v>
                </c:pt>
                <c:pt idx="84">
                  <c:v>0.10515060297000201</c:v>
                </c:pt>
                <c:pt idx="85">
                  <c:v>0.105162612919908</c:v>
                </c:pt>
                <c:pt idx="86">
                  <c:v>0.105174518099013</c:v>
                </c:pt>
                <c:pt idx="87">
                  <c:v>0.105186321148453</c:v>
                </c:pt>
                <c:pt idx="88">
                  <c:v>0.105198024622616</c:v>
                </c:pt>
                <c:pt idx="89">
                  <c:v>0.105209630993088</c:v>
                </c:pt>
                <c:pt idx="90">
                  <c:v>0.10522114265237301</c:v>
                </c:pt>
                <c:pt idx="91">
                  <c:v>0.105232561917411</c:v>
                </c:pt>
                <c:pt idx="92">
                  <c:v>0.105243891032912</c:v>
                </c:pt>
                <c:pt idx="93">
                  <c:v>0.105255132174505</c:v>
                </c:pt>
                <c:pt idx="94">
                  <c:v>0.10526628745172401</c:v>
                </c:pt>
                <c:pt idx="95">
                  <c:v>0.105277358910841</c:v>
                </c:pt>
                <c:pt idx="96">
                  <c:v>0.105288348537545</c:v>
                </c:pt>
                <c:pt idx="97">
                  <c:v>0.10529925825949001</c:v>
                </c:pt>
                <c:pt idx="98">
                  <c:v>0.105310089948715</c:v>
                </c:pt>
                <c:pt idx="99">
                  <c:v>0.10532084542394</c:v>
                </c:pt>
                <c:pt idx="100">
                  <c:v>0.105331526452749</c:v>
                </c:pt>
                <c:pt idx="101">
                  <c:v>0.10534213475366599</c:v>
                </c:pt>
                <c:pt idx="102">
                  <c:v>0.105352671998135</c:v>
                </c:pt>
                <c:pt idx="103">
                  <c:v>0.105363139812398</c:v>
                </c:pt>
                <c:pt idx="104">
                  <c:v>0.10537353977929</c:v>
                </c:pt>
                <c:pt idx="105">
                  <c:v>0.105383873439947</c:v>
                </c:pt>
                <c:pt idx="106">
                  <c:v>0.105394142295438</c:v>
                </c:pt>
                <c:pt idx="107">
                  <c:v>0.10540434780831399</c:v>
                </c:pt>
                <c:pt idx="108">
                  <c:v>0.1054144914041</c:v>
                </c:pt>
                <c:pt idx="109">
                  <c:v>0.105424574472708</c:v>
                </c:pt>
                <c:pt idx="110">
                  <c:v>0.10543459836979301</c:v>
                </c:pt>
                <c:pt idx="111">
                  <c:v>0.105444564418049</c:v>
                </c:pt>
                <c:pt idx="112">
                  <c:v>0.105454473908448</c:v>
                </c:pt>
                <c:pt idx="113">
                  <c:v>0.105464328101426</c:v>
                </c:pt>
                <c:pt idx="114">
                  <c:v>0.10547412822802001</c:v>
                </c:pt>
                <c:pt idx="115">
                  <c:v>0.10548387549095201</c:v>
                </c:pt>
                <c:pt idx="116">
                  <c:v>0.105493571065675</c:v>
                </c:pt>
                <c:pt idx="117">
                  <c:v>0.105503216101374</c:v>
                </c:pt>
                <c:pt idx="118">
                  <c:v>0.10551281172191999</c:v>
                </c:pt>
                <c:pt idx="119">
                  <c:v>0.10552235902679701</c:v>
                </c:pt>
                <c:pt idx="120">
                  <c:v>0.105531859091982</c:v>
                </c:pt>
                <c:pt idx="121">
                  <c:v>0.105541312970793</c:v>
                </c:pt>
                <c:pt idx="122">
                  <c:v>0.105550721694713</c:v>
                </c:pt>
                <c:pt idx="123">
                  <c:v>0.10556008627416701</c:v>
                </c:pt>
                <c:pt idx="124">
                  <c:v>0.105569407699282</c:v>
                </c:pt>
                <c:pt idx="125">
                  <c:v>0.105578686940613</c:v>
                </c:pt>
                <c:pt idx="126">
                  <c:v>0.10558792494984499</c:v>
                </c:pt>
                <c:pt idx="127">
                  <c:v>0.105597122660464</c:v>
                </c:pt>
                <c:pt idx="128">
                  <c:v>0.105606280988415</c:v>
                </c:pt>
                <c:pt idx="129">
                  <c:v>0.105615400832723</c:v>
                </c:pt>
                <c:pt idx="130">
                  <c:v>0.10562448307610101</c:v>
                </c:pt>
                <c:pt idx="131">
                  <c:v>0.105633528585537</c:v>
                </c:pt>
                <c:pt idx="132">
                  <c:v>0.105642538212856</c:v>
                </c:pt>
                <c:pt idx="133">
                  <c:v>0.10565151279527001</c:v>
                </c:pt>
                <c:pt idx="134">
                  <c:v>0.105660453155901</c:v>
                </c:pt>
                <c:pt idx="135">
                  <c:v>0.1056693601043</c:v>
                </c:pt>
                <c:pt idx="136">
                  <c:v>0.105678234436935</c:v>
                </c:pt>
                <c:pt idx="137">
                  <c:v>0.105687076937673</c:v>
                </c:pt>
                <c:pt idx="138">
                  <c:v>0.10569588837824601</c:v>
                </c:pt>
                <c:pt idx="139">
                  <c:v>0.105704669518702</c:v>
                </c:pt>
                <c:pt idx="140">
                  <c:v>0.105713421107842</c:v>
                </c:pt>
                <c:pt idx="141">
                  <c:v>0.105722143883642</c:v>
                </c:pt>
                <c:pt idx="142">
                  <c:v>0.10573083857367301</c:v>
                </c:pt>
                <c:pt idx="143">
                  <c:v>0.10573950589549699</c:v>
                </c:pt>
                <c:pt idx="144">
                  <c:v>0.105748146557059</c:v>
                </c:pt>
                <c:pt idx="145">
                  <c:v>0.105756761257069</c:v>
                </c:pt>
                <c:pt idx="146">
                  <c:v>0.105765350685371</c:v>
                </c:pt>
                <c:pt idx="147">
                  <c:v>0.10577391552330601</c:v>
                </c:pt>
                <c:pt idx="148">
                  <c:v>0.105782456444064</c:v>
                </c:pt>
                <c:pt idx="149">
                  <c:v>0.105790974113029</c:v>
                </c:pt>
                <c:pt idx="150">
                  <c:v>0.105799469188117</c:v>
                </c:pt>
                <c:pt idx="151">
                  <c:v>0.105807942320102</c:v>
                </c:pt>
                <c:pt idx="152">
                  <c:v>0.105816394152941</c:v>
                </c:pt>
                <c:pt idx="153">
                  <c:v>0.10582482532409</c:v>
                </c:pt>
                <c:pt idx="154">
                  <c:v>0.10583323646481201</c:v>
                </c:pt>
                <c:pt idx="155">
                  <c:v>0.105841628200482</c:v>
                </c:pt>
                <c:pt idx="156">
                  <c:v>0.105850001150887</c:v>
                </c:pt>
                <c:pt idx="157">
                  <c:v>0.105858355930516</c:v>
                </c:pt>
                <c:pt idx="158">
                  <c:v>0.105866693148851</c:v>
                </c:pt>
                <c:pt idx="159">
                  <c:v>0.105875013410654</c:v>
                </c:pt>
                <c:pt idx="160">
                  <c:v>0.10588331731624</c:v>
                </c:pt>
                <c:pt idx="161">
                  <c:v>0.105891605461765</c:v>
                </c:pt>
                <c:pt idx="162">
                  <c:v>0.10589987843948701</c:v>
                </c:pt>
                <c:pt idx="163">
                  <c:v>0.10590813683804701</c:v>
                </c:pt>
                <c:pt idx="164">
                  <c:v>0.10591638124273201</c:v>
                </c:pt>
                <c:pt idx="165">
                  <c:v>0.105924612235738</c:v>
                </c:pt>
                <c:pt idx="166">
                  <c:v>0.10593283039644</c:v>
                </c:pt>
                <c:pt idx="167">
                  <c:v>0.105941036301648</c:v>
                </c:pt>
                <c:pt idx="168">
                  <c:v>0.10594923052586901</c:v>
                </c:pt>
                <c:pt idx="169">
                  <c:v>0.105957413641566</c:v>
                </c:pt>
                <c:pt idx="170">
                  <c:v>0.105965586219415</c:v>
                </c:pt>
                <c:pt idx="171">
                  <c:v>0.105973748828566</c:v>
                </c:pt>
                <c:pt idx="172">
                  <c:v>0.10598190203689301</c:v>
                </c:pt>
                <c:pt idx="173">
                  <c:v>0.105990046411258</c:v>
                </c:pt>
                <c:pt idx="174">
                  <c:v>0.10599818251776701</c:v>
                </c:pt>
                <c:pt idx="175">
                  <c:v>0.106006310922025</c:v>
                </c:pt>
                <c:pt idx="176">
                  <c:v>0.106014432189397</c:v>
                </c:pt>
                <c:pt idx="177">
                  <c:v>0.106022546885271</c:v>
                </c:pt>
                <c:pt idx="178">
                  <c:v>0.10603065557531401</c:v>
                </c:pt>
                <c:pt idx="179">
                  <c:v>0.10603875882574</c:v>
                </c:pt>
                <c:pt idx="180">
                  <c:v>0.106046857203577</c:v>
                </c:pt>
                <c:pt idx="181">
                  <c:v>0.106054951276932</c:v>
                </c:pt>
                <c:pt idx="182">
                  <c:v>0.106063041615263</c:v>
                </c:pt>
                <c:pt idx="183">
                  <c:v>0.10607112878965499</c:v>
                </c:pt>
                <c:pt idx="184">
                  <c:v>0.106079213373101</c:v>
                </c:pt>
                <c:pt idx="185">
                  <c:v>0.106087295940776</c:v>
                </c:pt>
                <c:pt idx="186">
                  <c:v>0.10609537707033299</c:v>
                </c:pt>
                <c:pt idx="187">
                  <c:v>0.106103457342189</c:v>
                </c:pt>
                <c:pt idx="188">
                  <c:v>0.106111537339822</c:v>
                </c:pt>
                <c:pt idx="189">
                  <c:v>0.10611961765007601</c:v>
                </c:pt>
                <c:pt idx="190">
                  <c:v>0.106127698863465</c:v>
                </c:pt>
                <c:pt idx="191">
                  <c:v>0.10613578157449099</c:v>
                </c:pt>
                <c:pt idx="192">
                  <c:v>0.106143866381966</c:v>
                </c:pt>
                <c:pt idx="193">
                  <c:v>0.10615195388934</c:v>
                </c:pt>
                <c:pt idx="194">
                  <c:v>0.106160044705038</c:v>
                </c:pt>
                <c:pt idx="195">
                  <c:v>0.106168139442805</c:v>
                </c:pt>
                <c:pt idx="196">
                  <c:v>0.106176238722063</c:v>
                </c:pt>
                <c:pt idx="197">
                  <c:v>0.106184343168276</c:v>
                </c:pt>
                <c:pt idx="198">
                  <c:v>0.10619245341332301</c:v>
                </c:pt>
                <c:pt idx="199">
                  <c:v>0.106200570095885</c:v>
                </c:pt>
                <c:pt idx="200">
                  <c:v>0.10620869386184199</c:v>
                </c:pt>
                <c:pt idx="201">
                  <c:v>0.10621682536468401</c:v>
                </c:pt>
                <c:pt idx="202">
                  <c:v>0.106224965265935</c:v>
                </c:pt>
                <c:pt idx="203">
                  <c:v>0.106233114235588</c:v>
                </c:pt>
                <c:pt idx="204">
                  <c:v>0.10624127295256</c:v>
                </c:pt>
                <c:pt idx="205">
                  <c:v>0.10624944210515699</c:v>
                </c:pt>
                <c:pt idx="206">
                  <c:v>0.106257622391562</c:v>
                </c:pt>
                <c:pt idx="207">
                  <c:v>0.106265814520335</c:v>
                </c:pt>
                <c:pt idx="208">
                  <c:v>0.106274019210935</c:v>
                </c:pt>
                <c:pt idx="209">
                  <c:v>0.10628223719426</c:v>
                </c:pt>
                <c:pt idx="210">
                  <c:v>0.106290469213214</c:v>
                </c:pt>
                <c:pt idx="211">
                  <c:v>0.106298716023284</c:v>
                </c:pt>
                <c:pt idx="212">
                  <c:v>0.106306978393155</c:v>
                </c:pt>
                <c:pt idx="213">
                  <c:v>0.106315257105341</c:v>
                </c:pt>
                <c:pt idx="214">
                  <c:v>0.10632355295684801</c:v>
                </c:pt>
                <c:pt idx="215">
                  <c:v>0.10633186675985799</c:v>
                </c:pt>
                <c:pt idx="216">
                  <c:v>0.10634019934245301</c:v>
                </c:pt>
                <c:pt idx="217">
                  <c:v>0.106348551549366</c:v>
                </c:pt>
                <c:pt idx="218">
                  <c:v>0.106356924242761</c:v>
                </c:pt>
                <c:pt idx="219">
                  <c:v>0.10636531830306099</c:v>
                </c:pt>
                <c:pt idx="220">
                  <c:v>0.106373734629807</c:v>
                </c:pt>
                <c:pt idx="221">
                  <c:v>0.10638217414255299</c:v>
                </c:pt>
                <c:pt idx="222">
                  <c:v>0.106390637781818</c:v>
                </c:pt>
                <c:pt idx="223">
                  <c:v>0.10639912651007299</c:v>
                </c:pt>
                <c:pt idx="224">
                  <c:v>0.10640764131277999</c:v>
                </c:pt>
                <c:pt idx="225">
                  <c:v>0.10641618319948901</c:v>
                </c:pt>
                <c:pt idx="226">
                  <c:v>0.106424753204983</c:v>
                </c:pt>
                <c:pt idx="227">
                  <c:v>0.10643335239049</c:v>
                </c:pt>
                <c:pt idx="228">
                  <c:v>0.106441981844954</c:v>
                </c:pt>
                <c:pt idx="229">
                  <c:v>0.106450642686375</c:v>
                </c:pt>
                <c:pt idx="230">
                  <c:v>0.10645933606322799</c:v>
                </c:pt>
                <c:pt idx="231">
                  <c:v>0.10646806315594901</c:v>
                </c:pt>
                <c:pt idx="232">
                  <c:v>0.106476825178516</c:v>
                </c:pt>
                <c:pt idx="233">
                  <c:v>0.10648562338011</c:v>
                </c:pt>
                <c:pt idx="234">
                  <c:v>0.106494459046881</c:v>
                </c:pt>
                <c:pt idx="235">
                  <c:v>0.106503333503809</c:v>
                </c:pt>
                <c:pt idx="236">
                  <c:v>0.10651224811667701</c:v>
                </c:pt>
                <c:pt idx="237">
                  <c:v>0.106521204294171</c:v>
                </c:pt>
                <c:pt idx="238">
                  <c:v>0.106530203490093</c:v>
                </c:pt>
                <c:pt idx="239">
                  <c:v>0.10653924720572699</c:v>
                </c:pt>
                <c:pt idx="240">
                  <c:v>0.106548336992338</c:v>
                </c:pt>
                <c:pt idx="241">
                  <c:v>0.106557474453844</c:v>
                </c:pt>
                <c:pt idx="242">
                  <c:v>0.106566661249652</c:v>
                </c:pt>
                <c:pt idx="243">
                  <c:v>0.10657589909767901</c:v>
                </c:pt>
                <c:pt idx="244">
                  <c:v>0.10658518977758299</c:v>
                </c:pt>
                <c:pt idx="245">
                  <c:v>0.106594535134197</c:v>
                </c:pt>
                <c:pt idx="246">
                  <c:v>0.106603937081217</c:v>
                </c:pt>
                <c:pt idx="247">
                  <c:v>0.106613397605125</c:v>
                </c:pt>
                <c:pt idx="248">
                  <c:v>0.10662291876941001</c:v>
                </c:pt>
                <c:pt idx="249">
                  <c:v>0.106632502719071</c:v>
                </c:pt>
                <c:pt idx="250">
                  <c:v>0.10664215168546599</c:v>
                </c:pt>
                <c:pt idx="251">
                  <c:v>0.106651867991505</c:v>
                </c:pt>
                <c:pt idx="252">
                  <c:v>0.106661654057239</c:v>
                </c:pt>
                <c:pt idx="253">
                  <c:v>0.106671512405876</c:v>
                </c:pt>
                <c:pt idx="254">
                  <c:v>0.106681445670259</c:v>
                </c:pt>
                <c:pt idx="255">
                  <c:v>0.106691456599855</c:v>
                </c:pt>
                <c:pt idx="256">
                  <c:v>0.10670154806830701</c:v>
                </c:pt>
                <c:pt idx="257">
                  <c:v>0.106711723081597</c:v>
                </c:pt>
                <c:pt idx="258">
                  <c:v>0.106721984786882</c:v>
                </c:pt>
                <c:pt idx="259">
                  <c:v>0.106732336482082</c:v>
                </c:pt>
                <c:pt idx="260">
                  <c:v>0.10674278162628199</c:v>
                </c:pt>
                <c:pt idx="261">
                  <c:v>0.106753323851043</c:v>
                </c:pt>
                <c:pt idx="262">
                  <c:v>0.106763966972719</c:v>
                </c:pt>
                <c:pt idx="263">
                  <c:v>0.10677471500588499</c:v>
                </c:pt>
                <c:pt idx="264">
                  <c:v>0.10678557217800599</c:v>
                </c:pt>
                <c:pt idx="265">
                  <c:v>0.106796542945475</c:v>
                </c:pt>
                <c:pt idx="266">
                  <c:v>0.10680763201119001</c:v>
                </c:pt>
                <c:pt idx="267">
                  <c:v>0.106818844343851</c:v>
                </c:pt>
                <c:pt idx="268">
                  <c:v>0.106830185199162</c:v>
                </c:pt>
                <c:pt idx="269">
                  <c:v>0.1068416601432</c:v>
                </c:pt>
                <c:pt idx="270">
                  <c:v>0.106853275078199</c:v>
                </c:pt>
                <c:pt idx="271">
                  <c:v>0.10686503627105901</c:v>
                </c:pt>
                <c:pt idx="272">
                  <c:v>0.106876950384948</c:v>
                </c:pt>
                <c:pt idx="273">
                  <c:v>0.10688902451438199</c:v>
                </c:pt>
                <c:pt idx="274">
                  <c:v>0.106901266224276</c:v>
                </c:pt>
                <c:pt idx="275">
                  <c:v>0.106913683593506</c:v>
                </c:pt>
                <c:pt idx="276">
                  <c:v>0.106926285263621</c:v>
                </c:pt>
                <c:pt idx="277">
                  <c:v>0.106939080493455</c:v>
                </c:pt>
                <c:pt idx="278">
                  <c:v>0.10695207922051</c:v>
                </c:pt>
                <c:pt idx="279">
                  <c:v>0.10696529213014599</c:v>
                </c:pt>
                <c:pt idx="280">
                  <c:v>0.106978730733797</c:v>
                </c:pt>
                <c:pt idx="281">
                  <c:v>0.106992407457646</c:v>
                </c:pt>
                <c:pt idx="282">
                  <c:v>0.107006335743491</c:v>
                </c:pt>
                <c:pt idx="283">
                  <c:v>0.10702053016384699</c:v>
                </c:pt>
                <c:pt idx="284">
                  <c:v>0.107035006553762</c:v>
                </c:pt>
                <c:pt idx="285">
                  <c:v>0.107049782162317</c:v>
                </c:pt>
                <c:pt idx="286">
                  <c:v>0.10706487582742701</c:v>
                </c:pt>
                <c:pt idx="287">
                  <c:v>0.107080308178348</c:v>
                </c:pt>
                <c:pt idx="288">
                  <c:v>0.10709610187127599</c:v>
                </c:pt>
                <c:pt idx="289">
                  <c:v>0.10711228186470099</c:v>
                </c:pt>
                <c:pt idx="290">
                  <c:v>0.107128875742745</c:v>
                </c:pt>
                <c:pt idx="291">
                  <c:v>0.107145914096787</c:v>
                </c:pt>
                <c:pt idx="292">
                  <c:v>0.10716343097827</c:v>
                </c:pt>
                <c:pt idx="293">
                  <c:v>0.10718146443905199</c:v>
                </c:pt>
                <c:pt idx="294">
                  <c:v>0.107200057180087</c:v>
                </c:pt>
                <c:pt idx="295">
                  <c:v>0.10721925733519</c:v>
                </c:pt>
                <c:pt idx="296">
                  <c:v>0.107239119424452</c:v>
                </c:pt>
                <c:pt idx="297">
                  <c:v>0.10725970552248799</c:v>
                </c:pt>
                <c:pt idx="298">
                  <c:v>0.107281086701057</c:v>
                </c:pt>
                <c:pt idx="299">
                  <c:v>0.10730334482520799</c:v>
                </c:pt>
                <c:pt idx="300">
                  <c:v>0.107326574809414</c:v>
                </c:pt>
                <c:pt idx="301">
                  <c:v>0.10735088747820599</c:v>
                </c:pt>
                <c:pt idx="302">
                  <c:v>0.10737641322982</c:v>
                </c:pt>
                <c:pt idx="303">
                  <c:v>0.107403306778537</c:v>
                </c:pt>
                <c:pt idx="304">
                  <c:v>0.10743175336319</c:v>
                </c:pt>
                <c:pt idx="305">
                  <c:v>0.107461976972791</c:v>
                </c:pt>
                <c:pt idx="306">
                  <c:v>0.107494251381856</c:v>
                </c:pt>
                <c:pt idx="307">
                  <c:v>0.107528915147976</c:v>
                </c:pt>
                <c:pt idx="308">
                  <c:v>0.107566392263413</c:v>
                </c:pt>
                <c:pt idx="309">
                  <c:v>0.10760722096054399</c:v>
                </c:pt>
                <c:pt idx="310">
                  <c:v>0.107652094373539</c:v>
                </c:pt>
                <c:pt idx="311">
                  <c:v>0.107701918517204</c:v>
                </c:pt>
                <c:pt idx="312">
                  <c:v>0.107757895545197</c:v>
                </c:pt>
                <c:pt idx="313">
                  <c:v>0.107821643761701</c:v>
                </c:pt>
                <c:pt idx="314">
                  <c:v>0.107895371464266</c:v>
                </c:pt>
                <c:pt idx="315">
                  <c:v>0.107982136054144</c:v>
                </c:pt>
                <c:pt idx="316">
                  <c:v>0.108086279484475</c:v>
                </c:pt>
                <c:pt idx="317">
                  <c:v>0.10821441051713999</c:v>
                </c:pt>
                <c:pt idx="318">
                  <c:v>0.108378611684964</c:v>
                </c:pt>
                <c:pt idx="319">
                  <c:v>0.10851279142848901</c:v>
                </c:pt>
                <c:pt idx="320">
                  <c:v>0.108646878508965</c:v>
                </c:pt>
                <c:pt idx="321">
                  <c:v>0.108781836007877</c:v>
                </c:pt>
                <c:pt idx="322">
                  <c:v>0.108917703938839</c:v>
                </c:pt>
                <c:pt idx="323">
                  <c:v>0.109054545173906</c:v>
                </c:pt>
                <c:pt idx="324">
                  <c:v>0.109192417872054</c:v>
                </c:pt>
                <c:pt idx="325">
                  <c:v>0.109331376964383</c:v>
                </c:pt>
                <c:pt idx="326">
                  <c:v>0.10947147454287399</c:v>
                </c:pt>
                <c:pt idx="327">
                  <c:v>0.109612760241196</c:v>
                </c:pt>
                <c:pt idx="328">
                  <c:v>0.10975528157779101</c:v>
                </c:pt>
                <c:pt idx="329">
                  <c:v>0.109899084266184</c:v>
                </c:pt>
                <c:pt idx="330">
                  <c:v>0.110044212495958</c:v>
                </c:pt>
                <c:pt idx="331">
                  <c:v>0.11019070918751001</c:v>
                </c:pt>
                <c:pt idx="332">
                  <c:v>0.11033861622334599</c:v>
                </c:pt>
                <c:pt idx="333">
                  <c:v>0.110487974658393</c:v>
                </c:pt>
                <c:pt idx="334">
                  <c:v>0.110638824911563</c:v>
                </c:pt>
                <c:pt idx="335">
                  <c:v>0.110791206940568</c:v>
                </c:pt>
                <c:pt idx="336">
                  <c:v>0.11094516040180299</c:v>
                </c:pt>
                <c:pt idx="337">
                  <c:v>0.11110072479692901</c:v>
                </c:pt>
                <c:pt idx="338">
                  <c:v>0.111257939607629</c:v>
                </c:pt>
                <c:pt idx="339">
                  <c:v>0.111416844419904</c:v>
                </c:pt>
                <c:pt idx="340">
                  <c:v>0.111577479039088</c:v>
                </c:pt>
                <c:pt idx="341">
                  <c:v>0.111739883596728</c:v>
                </c:pt>
                <c:pt idx="342">
                  <c:v>0.111904098650297</c:v>
                </c:pt>
                <c:pt idx="343">
                  <c:v>0.11207016527668</c:v>
                </c:pt>
                <c:pt idx="344">
                  <c:v>0.112238125160255</c:v>
                </c:pt>
                <c:pt idx="345">
                  <c:v>0.11240802067632299</c:v>
                </c:pt>
                <c:pt idx="346">
                  <c:v>0.11257989497059701</c:v>
                </c:pt>
                <c:pt idx="347">
                  <c:v>0.112753792035371</c:v>
                </c:pt>
                <c:pt idx="348">
                  <c:v>0.112929756782956</c:v>
                </c:pt>
                <c:pt idx="349">
                  <c:v>0.113107835116922</c:v>
                </c:pt>
                <c:pt idx="350">
                  <c:v>0.113288074001635</c:v>
                </c:pt>
                <c:pt idx="351">
                  <c:v>0.113470521530551</c:v>
                </c:pt>
                <c:pt idx="352">
                  <c:v>0.113655226993682</c:v>
                </c:pt>
                <c:pt idx="353">
                  <c:v>0.113842240944644</c:v>
                </c:pt>
                <c:pt idx="354">
                  <c:v>0.114031615267637</c:v>
                </c:pt>
                <c:pt idx="355">
                  <c:v>0.11422340324472501</c:v>
                </c:pt>
                <c:pt idx="356">
                  <c:v>0.11441765962373</c:v>
                </c:pt>
                <c:pt idx="357">
                  <c:v>0.114614440687063</c:v>
                </c:pt>
                <c:pt idx="358">
                  <c:v>0.114813804321789</c:v>
                </c:pt>
                <c:pt idx="359">
                  <c:v>0.22425676384167301</c:v>
                </c:pt>
                <c:pt idx="360">
                  <c:v>0.30704288935609397</c:v>
                </c:pt>
                <c:pt idx="361">
                  <c:v>0.30834090817871301</c:v>
                </c:pt>
                <c:pt idx="362">
                  <c:v>0.30921577139060102</c:v>
                </c:pt>
                <c:pt idx="363">
                  <c:v>0.31017471350345399</c:v>
                </c:pt>
                <c:pt idx="364">
                  <c:v>0.31131883897321</c:v>
                </c:pt>
                <c:pt idx="365">
                  <c:v>0.31289797505880901</c:v>
                </c:pt>
                <c:pt idx="366">
                  <c:v>0.51289797505880896</c:v>
                </c:pt>
                <c:pt idx="367">
                  <c:v>0.51289797505880896</c:v>
                </c:pt>
              </c:numCache>
            </c:numRef>
          </c:xVal>
          <c:yVal>
            <c:numRef>
              <c:f>Implicit_Fracs!$U$4:$U$371</c:f>
              <c:numCache>
                <c:formatCode>General</c:formatCode>
                <c:ptCount val="368"/>
                <c:pt idx="0">
                  <c:v>1</c:v>
                </c:pt>
                <c:pt idx="1">
                  <c:v>1</c:v>
                </c:pt>
                <c:pt idx="2">
                  <c:v>0.99829884389042201</c:v>
                </c:pt>
                <c:pt idx="3">
                  <c:v>0.99631695187957503</c:v>
                </c:pt>
                <c:pt idx="4">
                  <c:v>0.99433519899243705</c:v>
                </c:pt>
                <c:pt idx="5">
                  <c:v>0.99240955557044996</c:v>
                </c:pt>
                <c:pt idx="6">
                  <c:v>0.99053997553884898</c:v>
                </c:pt>
                <c:pt idx="7">
                  <c:v>0.98871445540425595</c:v>
                </c:pt>
                <c:pt idx="8">
                  <c:v>0.98692100436494001</c:v>
                </c:pt>
                <c:pt idx="9">
                  <c:v>0.98515029411002497</c:v>
                </c:pt>
                <c:pt idx="10">
                  <c:v>0.98339565560863695</c:v>
                </c:pt>
                <c:pt idx="11">
                  <c:v>0.98165247519482701</c:v>
                </c:pt>
                <c:pt idx="12">
                  <c:v>0.979917591419465</c:v>
                </c:pt>
                <c:pt idx="13">
                  <c:v>0.97818883097712805</c:v>
                </c:pt>
                <c:pt idx="14">
                  <c:v>0.97646468353322602</c:v>
                </c:pt>
                <c:pt idx="15">
                  <c:v>0.97474408307097105</c:v>
                </c:pt>
                <c:pt idx="16">
                  <c:v>0.97302626341586096</c:v>
                </c:pt>
                <c:pt idx="17">
                  <c:v>0.971310663197132</c:v>
                </c:pt>
                <c:pt idx="18">
                  <c:v>0.96959686309957205</c:v>
                </c:pt>
                <c:pt idx="19">
                  <c:v>0.96788454405671498</c:v>
                </c:pt>
                <c:pt idx="20">
                  <c:v>0.96617345903938401</c:v>
                </c:pt>
                <c:pt idx="21">
                  <c:v>0.96446341372839595</c:v>
                </c:pt>
                <c:pt idx="22">
                  <c:v>0.96275425305338302</c:v>
                </c:pt>
                <c:pt idx="23">
                  <c:v>0.96104585165586898</c:v>
                </c:pt>
                <c:pt idx="24">
                  <c:v>0.95933810701667899</c:v>
                </c:pt>
                <c:pt idx="25">
                  <c:v>0.95763093442105895</c:v>
                </c:pt>
                <c:pt idx="26">
                  <c:v>0.95592426321199797</c:v>
                </c:pt>
                <c:pt idx="27">
                  <c:v>0.95421803396115201</c:v>
                </c:pt>
                <c:pt idx="28">
                  <c:v>0.95251219630362105</c:v>
                </c:pt>
                <c:pt idx="29">
                  <c:v>0.95080670726012795</c:v>
                </c:pt>
                <c:pt idx="30">
                  <c:v>0.94910152992208696</c:v>
                </c:pt>
                <c:pt idx="31">
                  <c:v>0.947396632410335</c:v>
                </c:pt>
                <c:pt idx="32">
                  <c:v>0.94569198704271495</c:v>
                </c:pt>
                <c:pt idx="33">
                  <c:v>0.94398756966284103</c:v>
                </c:pt>
                <c:pt idx="34">
                  <c:v>0.94228335909447802</c:v>
                </c:pt>
                <c:pt idx="35">
                  <c:v>0.940579336694774</c:v>
                </c:pt>
                <c:pt idx="36">
                  <c:v>0.93887548598591597</c:v>
                </c:pt>
                <c:pt idx="37">
                  <c:v>0.93716635023833605</c:v>
                </c:pt>
                <c:pt idx="38">
                  <c:v>0.93545183486665295</c:v>
                </c:pt>
                <c:pt idx="39">
                  <c:v>0.93373206040090895</c:v>
                </c:pt>
                <c:pt idx="40">
                  <c:v>0.93200713811110003</c:v>
                </c:pt>
                <c:pt idx="41">
                  <c:v>0.930277170910357</c:v>
                </c:pt>
                <c:pt idx="42">
                  <c:v>0.92854225415062996</c:v>
                </c:pt>
                <c:pt idx="43">
                  <c:v>0.92680247632589896</c:v>
                </c:pt>
                <c:pt idx="44">
                  <c:v>0.92505791969548901</c:v>
                </c:pt>
                <c:pt idx="45">
                  <c:v>0.92330866083816598</c:v>
                </c:pt>
                <c:pt idx="46">
                  <c:v>0.92155477114603401</c:v>
                </c:pt>
                <c:pt idx="47">
                  <c:v>0.91979631726590405</c:v>
                </c:pt>
                <c:pt idx="48">
                  <c:v>0.91803336149472303</c:v>
                </c:pt>
                <c:pt idx="49">
                  <c:v>0.91626596213467304</c:v>
                </c:pt>
                <c:pt idx="50">
                  <c:v>0.91449417381278597</c:v>
                </c:pt>
                <c:pt idx="51">
                  <c:v>0.91297008130760005</c:v>
                </c:pt>
                <c:pt idx="52">
                  <c:v>0.91093763211794399</c:v>
                </c:pt>
                <c:pt idx="53">
                  <c:v>0.90915297208261003</c:v>
                </c:pt>
                <c:pt idx="54">
                  <c:v>0.90736411021091501</c:v>
                </c:pt>
                <c:pt idx="55">
                  <c:v>0.90557108656926899</c:v>
                </c:pt>
                <c:pt idx="56">
                  <c:v>0.90377393892018498</c:v>
                </c:pt>
                <c:pt idx="57">
                  <c:v>0.90197270288412201</c:v>
                </c:pt>
                <c:pt idx="58">
                  <c:v>0.90016741208738604</c:v>
                </c:pt>
                <c:pt idx="59">
                  <c:v>0.898358098297523</c:v>
                </c:pt>
                <c:pt idx="60">
                  <c:v>0.89654479154743405</c:v>
                </c:pt>
                <c:pt idx="61">
                  <c:v>0.89472752024935798</c:v>
                </c:pt>
                <c:pt idx="62">
                  <c:v>0.89290631129965203</c:v>
                </c:pt>
                <c:pt idx="63">
                  <c:v>0.89108119017529697</c:v>
                </c:pt>
                <c:pt idx="64">
                  <c:v>0.88925218102286696</c:v>
                </c:pt>
                <c:pt idx="65">
                  <c:v>0.88741930674067904</c:v>
                </c:pt>
                <c:pt idx="66">
                  <c:v>0.88558258905473597</c:v>
                </c:pt>
                <c:pt idx="67">
                  <c:v>0.88374204858900995</c:v>
                </c:pt>
                <c:pt idx="68">
                  <c:v>0.88189770493059405</c:v>
                </c:pt>
                <c:pt idx="69">
                  <c:v>0.88004957669013695</c:v>
                </c:pt>
                <c:pt idx="70">
                  <c:v>0.87819768155797095</c:v>
                </c:pt>
                <c:pt idx="71">
                  <c:v>0.87634203635632302</c:v>
                </c:pt>
                <c:pt idx="72">
                  <c:v>0.87448265708790396</c:v>
                </c:pt>
                <c:pt idx="73">
                  <c:v>0.87261955898119603</c:v>
                </c:pt>
                <c:pt idx="74">
                  <c:v>0.87075275653268402</c:v>
                </c:pt>
                <c:pt idx="75">
                  <c:v>0.86888226354630405</c:v>
                </c:pt>
                <c:pt idx="76">
                  <c:v>0.86700809317030603</c:v>
                </c:pt>
                <c:pt idx="77">
                  <c:v>0.86513025793173903</c:v>
                </c:pt>
                <c:pt idx="78">
                  <c:v>0.86324876976874798</c:v>
                </c:pt>
                <c:pt idx="79">
                  <c:v>0.86136364006083999</c:v>
                </c:pt>
                <c:pt idx="80">
                  <c:v>0.86351537493371999</c:v>
                </c:pt>
                <c:pt idx="81">
                  <c:v>0.86093647240842996</c:v>
                </c:pt>
                <c:pt idx="82">
                  <c:v>0.86062666746013206</c:v>
                </c:pt>
                <c:pt idx="83">
                  <c:v>0.85821036611495405</c:v>
                </c:pt>
                <c:pt idx="84">
                  <c:v>0.85729535171551097</c:v>
                </c:pt>
                <c:pt idx="85">
                  <c:v>0.85538087797573403</c:v>
                </c:pt>
                <c:pt idx="86">
                  <c:v>0.85388183952552899</c:v>
                </c:pt>
                <c:pt idx="87">
                  <c:v>0.85217054083202703</c:v>
                </c:pt>
                <c:pt idx="88">
                  <c:v>0.85051841542854001</c:v>
                </c:pt>
                <c:pt idx="89">
                  <c:v>0.84883935326834603</c:v>
                </c:pt>
                <c:pt idx="90">
                  <c:v>0.84716041459246005</c:v>
                </c:pt>
                <c:pt idx="91">
                  <c:v>0.84547671643626499</c:v>
                </c:pt>
                <c:pt idx="92">
                  <c:v>0.84379029853563703</c:v>
                </c:pt>
                <c:pt idx="93">
                  <c:v>0.84210161870683697</c:v>
                </c:pt>
                <c:pt idx="94">
                  <c:v>0.84041120640302003</c:v>
                </c:pt>
                <c:pt idx="95">
                  <c:v>0.83871944724193603</c:v>
                </c:pt>
                <c:pt idx="96">
                  <c:v>0.83702664267563098</c:v>
                </c:pt>
                <c:pt idx="97">
                  <c:v>0.83533302641044205</c:v>
                </c:pt>
                <c:pt idx="98">
                  <c:v>0.83363878006462</c:v>
                </c:pt>
                <c:pt idx="99">
                  <c:v>0.83194404491719598</c:v>
                </c:pt>
                <c:pt idx="100">
                  <c:v>0.83024893099516905</c:v>
                </c:pt>
                <c:pt idx="101">
                  <c:v>0.82855352409689498</c:v>
                </c:pt>
                <c:pt idx="102">
                  <c:v>0.82685789122591702</c:v>
                </c:pt>
                <c:pt idx="103">
                  <c:v>0.82516208479600395</c:v>
                </c:pt>
                <c:pt idx="104">
                  <c:v>0.82346614588563405</c:v>
                </c:pt>
                <c:pt idx="105">
                  <c:v>0.82177010675717699</c:v>
                </c:pt>
                <c:pt idx="106">
                  <c:v>0.820073992807554</c:v>
                </c:pt>
                <c:pt idx="107">
                  <c:v>0.81837782407960602</c:v>
                </c:pt>
                <c:pt idx="108">
                  <c:v>0.81668161643400405</c:v>
                </c:pt>
                <c:pt idx="109">
                  <c:v>0.81498538245900198</c:v>
                </c:pt>
                <c:pt idx="110">
                  <c:v>0.81328913217753196</c:v>
                </c:pt>
                <c:pt idx="111">
                  <c:v>0.81159287359769094</c:v>
                </c:pt>
                <c:pt idx="112">
                  <c:v>0.80989661314194605</c:v>
                </c:pt>
                <c:pt idx="113">
                  <c:v>0.808200355982441</c:v>
                </c:pt>
                <c:pt idx="114">
                  <c:v>0.80650410630344305</c:v>
                </c:pt>
                <c:pt idx="115">
                  <c:v>0.80480786750716204</c:v>
                </c:pt>
                <c:pt idx="116">
                  <c:v>0.80311164237551302</c:v>
                </c:pt>
                <c:pt idx="117">
                  <c:v>0.80141543319751496</c:v>
                </c:pt>
                <c:pt idx="118">
                  <c:v>0.79971924186985499</c:v>
                </c:pt>
                <c:pt idx="119">
                  <c:v>0.79802306997644401</c:v>
                </c:pt>
                <c:pt idx="120">
                  <c:v>0.79632691885148399</c:v>
                </c:pt>
                <c:pt idx="121">
                  <c:v>0.794630789629585</c:v>
                </c:pt>
                <c:pt idx="122">
                  <c:v>0.79293468328566896</c:v>
                </c:pt>
                <c:pt idx="123">
                  <c:v>0.79123860066683604</c:v>
                </c:pt>
                <c:pt idx="124">
                  <c:v>0.78954254251783895</c:v>
                </c:pt>
                <c:pt idx="125">
                  <c:v>0.78784650950152202</c:v>
                </c:pt>
                <c:pt idx="126">
                  <c:v>0.78615050221523897</c:v>
                </c:pt>
                <c:pt idx="127">
                  <c:v>0.784454521204072</c:v>
                </c:pt>
                <c:pt idx="128">
                  <c:v>0.78275856697151902</c:v>
                </c:pt>
                <c:pt idx="129">
                  <c:v>0.78106263998812397</c:v>
                </c:pt>
                <c:pt idx="130">
                  <c:v>0.77936674069849599</c:v>
                </c:pt>
                <c:pt idx="131">
                  <c:v>0.77767086952700804</c:v>
                </c:pt>
                <c:pt idx="132">
                  <c:v>0.77597502688245301</c:v>
                </c:pt>
                <c:pt idx="133">
                  <c:v>0.77427921316183301</c:v>
                </c:pt>
                <c:pt idx="134">
                  <c:v>0.77258342875349695</c:v>
                </c:pt>
                <c:pt idx="135">
                  <c:v>0.77088767403971004</c:v>
                </c:pt>
                <c:pt idx="136">
                  <c:v>0.76919194939876501</c:v>
                </c:pt>
                <c:pt idx="137">
                  <c:v>0.76749625520676101</c:v>
                </c:pt>
                <c:pt idx="138">
                  <c:v>0.76580059183906501</c:v>
                </c:pt>
                <c:pt idx="139">
                  <c:v>0.76410495967154701</c:v>
                </c:pt>
                <c:pt idx="140">
                  <c:v>0.762409359081618</c:v>
                </c:pt>
                <c:pt idx="141">
                  <c:v>0.76071379044911303</c:v>
                </c:pt>
                <c:pt idx="142">
                  <c:v>0.75901825415704904</c:v>
                </c:pt>
                <c:pt idx="143">
                  <c:v>0.75732275059227105</c:v>
                </c:pt>
                <c:pt idx="144">
                  <c:v>0.75562728014602398</c:v>
                </c:pt>
                <c:pt idx="145">
                  <c:v>0.75393184321444495</c:v>
                </c:pt>
                <c:pt idx="146">
                  <c:v>0.75223644019901503</c:v>
                </c:pt>
                <c:pt idx="147">
                  <c:v>0.75054107150695604</c:v>
                </c:pt>
                <c:pt idx="148">
                  <c:v>0.74884573755158401</c:v>
                </c:pt>
                <c:pt idx="149">
                  <c:v>0.74715043875265397</c:v>
                </c:pt>
                <c:pt idx="150">
                  <c:v>0.74545517553666996</c:v>
                </c:pt>
                <c:pt idx="151">
                  <c:v>0.74375994833717796</c:v>
                </c:pt>
                <c:pt idx="152">
                  <c:v>0.74206475759504698</c:v>
                </c:pt>
                <c:pt idx="153">
                  <c:v>0.74036960375874095</c:v>
                </c:pt>
                <c:pt idx="154">
                  <c:v>0.73867448728457896</c:v>
                </c:pt>
                <c:pt idx="155">
                  <c:v>0.73697940863699996</c:v>
                </c:pt>
                <c:pt idx="156">
                  <c:v>0.73528436828880905</c:v>
                </c:pt>
                <c:pt idx="157">
                  <c:v>0.73358936672144903</c:v>
                </c:pt>
                <c:pt idx="158">
                  <c:v>0.73189440442523901</c:v>
                </c:pt>
                <c:pt idx="159">
                  <c:v>0.73019948189964301</c:v>
                </c:pt>
                <c:pt idx="160">
                  <c:v>0.72850459965352798</c:v>
                </c:pt>
                <c:pt idx="161">
                  <c:v>0.72680975820542404</c:v>
                </c:pt>
                <c:pt idx="162">
                  <c:v>0.72511495808380499</c:v>
                </c:pt>
                <c:pt idx="163">
                  <c:v>0.72342019982735095</c:v>
                </c:pt>
                <c:pt idx="164">
                  <c:v>0.72172548398524805</c:v>
                </c:pt>
                <c:pt idx="165">
                  <c:v>0.72003081111745504</c:v>
                </c:pt>
                <c:pt idx="166">
                  <c:v>0.71833618179502001</c:v>
                </c:pt>
                <c:pt idx="167">
                  <c:v>0.71664159660037696</c:v>
                </c:pt>
                <c:pt idx="168">
                  <c:v>0.71494705612765697</c:v>
                </c:pt>
                <c:pt idx="169">
                  <c:v>0.71325256098302603</c:v>
                </c:pt>
                <c:pt idx="170">
                  <c:v>0.71155811178500805</c:v>
                </c:pt>
                <c:pt idx="171">
                  <c:v>0.70986370916482699</c:v>
                </c:pt>
                <c:pt idx="172">
                  <c:v>0.70816935376677803</c:v>
                </c:pt>
                <c:pt idx="173">
                  <c:v>0.70647504624858504</c:v>
                </c:pt>
                <c:pt idx="174">
                  <c:v>0.70478078728178795</c:v>
                </c:pt>
                <c:pt idx="175">
                  <c:v>0.703086577552124</c:v>
                </c:pt>
                <c:pt idx="176">
                  <c:v>0.70139241775995897</c:v>
                </c:pt>
                <c:pt idx="177">
                  <c:v>0.69969830862068905</c:v>
                </c:pt>
                <c:pt idx="178">
                  <c:v>0.69800425086518603</c:v>
                </c:pt>
                <c:pt idx="179">
                  <c:v>0.69631024524025298</c:v>
                </c:pt>
                <c:pt idx="180">
                  <c:v>0.69461629250909196</c:v>
                </c:pt>
                <c:pt idx="181">
                  <c:v>0.69292239345178697</c:v>
                </c:pt>
                <c:pt idx="182">
                  <c:v>0.69122854886581997</c:v>
                </c:pt>
                <c:pt idx="183">
                  <c:v>0.68953475956657995</c:v>
                </c:pt>
                <c:pt idx="184">
                  <c:v>0.68784102638792199</c:v>
                </c:pt>
                <c:pt idx="185">
                  <c:v>0.68614735018272399</c:v>
                </c:pt>
                <c:pt idx="186">
                  <c:v>0.68445373182346902</c:v>
                </c:pt>
                <c:pt idx="187">
                  <c:v>0.682760172202868</c:v>
                </c:pt>
                <c:pt idx="188">
                  <c:v>0.68106667223447404</c:v>
                </c:pt>
                <c:pt idx="189">
                  <c:v>0.67937323285335505</c:v>
                </c:pt>
                <c:pt idx="190">
                  <c:v>0.67767985501676897</c:v>
                </c:pt>
                <c:pt idx="191">
                  <c:v>0.67598653970488498</c:v>
                </c:pt>
                <c:pt idx="192">
                  <c:v>0.67429328792150001</c:v>
                </c:pt>
                <c:pt idx="193">
                  <c:v>0.672600100694842</c:v>
                </c:pt>
                <c:pt idx="194">
                  <c:v>0.67090697907833896</c:v>
                </c:pt>
                <c:pt idx="195">
                  <c:v>0.66921392415147496</c:v>
                </c:pt>
                <c:pt idx="196">
                  <c:v>0.66752093702064597</c:v>
                </c:pt>
                <c:pt idx="197">
                  <c:v>0.66582801882007103</c:v>
                </c:pt>
                <c:pt idx="198">
                  <c:v>0.66413517071273798</c:v>
                </c:pt>
                <c:pt idx="199">
                  <c:v>0.66244239389138204</c:v>
                </c:pt>
                <c:pt idx="200">
                  <c:v>0.66074968957950897</c:v>
                </c:pt>
                <c:pt idx="201">
                  <c:v>0.65905705903247702</c:v>
                </c:pt>
                <c:pt idx="202">
                  <c:v>0.65736450353860298</c:v>
                </c:pt>
                <c:pt idx="203">
                  <c:v>0.655672024420347</c:v>
                </c:pt>
                <c:pt idx="204">
                  <c:v>0.65397962303550605</c:v>
                </c:pt>
                <c:pt idx="205">
                  <c:v>0.65228730077850305</c:v>
                </c:pt>
                <c:pt idx="206">
                  <c:v>0.65059505908172099</c:v>
                </c:pt>
                <c:pt idx="207">
                  <c:v>0.64890289941688795</c:v>
                </c:pt>
                <c:pt idx="208">
                  <c:v>0.64721082329653201</c:v>
                </c:pt>
                <c:pt idx="209">
                  <c:v>0.64551883227551998</c:v>
                </c:pt>
                <c:pt idx="210">
                  <c:v>0.64382692795263796</c:v>
                </c:pt>
                <c:pt idx="211">
                  <c:v>0.64213511197227002</c:v>
                </c:pt>
                <c:pt idx="212">
                  <c:v>0.64044338602615203</c:v>
                </c:pt>
                <c:pt idx="213">
                  <c:v>0.63875175185520805</c:v>
                </c:pt>
                <c:pt idx="214">
                  <c:v>0.63706021125147305</c:v>
                </c:pt>
                <c:pt idx="215">
                  <c:v>0.63536876606012105</c:v>
                </c:pt>
                <c:pt idx="216">
                  <c:v>0.63367741818158296</c:v>
                </c:pt>
                <c:pt idx="217">
                  <c:v>0.63198616957378095</c:v>
                </c:pt>
                <c:pt idx="218">
                  <c:v>0.63029502225446798</c:v>
                </c:pt>
                <c:pt idx="219">
                  <c:v>0.62860397830368497</c:v>
                </c:pt>
                <c:pt idx="220">
                  <c:v>0.62691303986636004</c:v>
                </c:pt>
                <c:pt idx="221">
                  <c:v>0.62522220915503701</c:v>
                </c:pt>
                <c:pt idx="222">
                  <c:v>0.62353148845272799</c:v>
                </c:pt>
                <c:pt idx="223">
                  <c:v>0.62184088011595895</c:v>
                </c:pt>
                <c:pt idx="224">
                  <c:v>0.62015038657794397</c:v>
                </c:pt>
                <c:pt idx="225">
                  <c:v>0.61846001035194897</c:v>
                </c:pt>
                <c:pt idx="226">
                  <c:v>0.61676975403483902</c:v>
                </c:pt>
                <c:pt idx="227">
                  <c:v>0.61507962031081898</c:v>
                </c:pt>
                <c:pt idx="228">
                  <c:v>0.61338961195539898</c:v>
                </c:pt>
                <c:pt idx="229">
                  <c:v>0.61169973183956305</c:v>
                </c:pt>
                <c:pt idx="230">
                  <c:v>0.61000998293419695</c:v>
                </c:pt>
                <c:pt idx="231">
                  <c:v>0.60832036831477299</c:v>
                </c:pt>
                <c:pt idx="232">
                  <c:v>0.60663089116629798</c:v>
                </c:pt>
                <c:pt idx="233">
                  <c:v>0.60494155478856604</c:v>
                </c:pt>
                <c:pt idx="234">
                  <c:v>0.60325236260173798</c:v>
                </c:pt>
                <c:pt idx="235">
                  <c:v>0.60156331815224195</c:v>
                </c:pt>
                <c:pt idx="236">
                  <c:v>0.59987442511904199</c:v>
                </c:pt>
                <c:pt idx="237">
                  <c:v>0.59818568732031996</c:v>
                </c:pt>
                <c:pt idx="238">
                  <c:v>0.59649710872056005</c:v>
                </c:pt>
                <c:pt idx="239">
                  <c:v>0.59480869343808496</c:v>
                </c:pt>
                <c:pt idx="240">
                  <c:v>0.59312044575309797</c:v>
                </c:pt>
                <c:pt idx="241">
                  <c:v>0.59143237011624505</c:v>
                </c:pt>
                <c:pt idx="242">
                  <c:v>0.58974447115775397</c:v>
                </c:pt>
                <c:pt idx="243">
                  <c:v>0.58805675369716803</c:v>
                </c:pt>
                <c:pt idx="244">
                  <c:v>0.58636922275377901</c:v>
                </c:pt>
                <c:pt idx="245">
                  <c:v>0.58468188355775497</c:v>
                </c:pt>
                <c:pt idx="246">
                  <c:v>0.58299474156205899</c:v>
                </c:pt>
                <c:pt idx="247">
                  <c:v>0.58130780245523095</c:v>
                </c:pt>
                <c:pt idx="248">
                  <c:v>0.57962107217506198</c:v>
                </c:pt>
                <c:pt idx="249">
                  <c:v>0.57793455692329998</c:v>
                </c:pt>
                <c:pt idx="250">
                  <c:v>0.57624826318142397</c:v>
                </c:pt>
                <c:pt idx="251">
                  <c:v>0.57456219772761397</c:v>
                </c:pt>
                <c:pt idx="252">
                  <c:v>0.57287636765503203</c:v>
                </c:pt>
                <c:pt idx="253">
                  <c:v>0.57119078039149396</c:v>
                </c:pt>
                <c:pt idx="254">
                  <c:v>0.56950544372071399</c:v>
                </c:pt>
                <c:pt idx="255">
                  <c:v>0.56782036580522899</c:v>
                </c:pt>
                <c:pt idx="256">
                  <c:v>0.56613555521119696</c:v>
                </c:pt>
                <c:pt idx="257">
                  <c:v>0.56445102093522703</c:v>
                </c:pt>
                <c:pt idx="258">
                  <c:v>0.56276677243346795</c:v>
                </c:pt>
                <c:pt idx="259">
                  <c:v>0.56108281965316797</c:v>
                </c:pt>
                <c:pt idx="260">
                  <c:v>0.55939917306695897</c:v>
                </c:pt>
                <c:pt idx="261">
                  <c:v>0.55771584371015503</c:v>
                </c:pt>
                <c:pt idx="262">
                  <c:v>0.55603284322140101</c:v>
                </c:pt>
                <c:pt idx="263">
                  <c:v>0.55435018388699797</c:v>
                </c:pt>
                <c:pt idx="264">
                  <c:v>0.55266787868934297</c:v>
                </c:pt>
                <c:pt idx="265">
                  <c:v>0.55098594135993395</c:v>
                </c:pt>
                <c:pt idx="266">
                  <c:v>0.54930438643743595</c:v>
                </c:pt>
                <c:pt idx="267">
                  <c:v>0.54762322933144802</c:v>
                </c:pt>
                <c:pt idx="268">
                  <c:v>0.54594248639258003</c:v>
                </c:pt>
                <c:pt idx="269">
                  <c:v>0.54426217498965102</c:v>
                </c:pt>
                <c:pt idx="270">
                  <c:v>0.54258231359484599</c:v>
                </c:pt>
                <c:pt idx="271">
                  <c:v>0.54090292187785105</c:v>
                </c:pt>
                <c:pt idx="272">
                  <c:v>0.53922402081009202</c:v>
                </c:pt>
                <c:pt idx="273">
                  <c:v>0.53754563278038003</c:v>
                </c:pt>
                <c:pt idx="274">
                  <c:v>0.53586778172350802</c:v>
                </c:pt>
                <c:pt idx="275">
                  <c:v>0.53419049326350598</c:v>
                </c:pt>
                <c:pt idx="276">
                  <c:v>0.53251379487360595</c:v>
                </c:pt>
                <c:pt idx="277">
                  <c:v>0.53083771605524999</c:v>
                </c:pt>
                <c:pt idx="278">
                  <c:v>0.52916228853888703</c:v>
                </c:pt>
                <c:pt idx="279">
                  <c:v>0.52748754650975804</c:v>
                </c:pt>
                <c:pt idx="280">
                  <c:v>0.52581352686240401</c:v>
                </c:pt>
                <c:pt idx="281">
                  <c:v>0.52414026948833503</c:v>
                </c:pt>
                <c:pt idx="282">
                  <c:v>0.52246781760201799</c:v>
                </c:pt>
                <c:pt idx="283">
                  <c:v>0.52079621811135801</c:v>
                </c:pt>
                <c:pt idx="284">
                  <c:v>0.51912552203997298</c:v>
                </c:pt>
                <c:pt idx="285">
                  <c:v>0.51745578500993605</c:v>
                </c:pt>
                <c:pt idx="286">
                  <c:v>0.51578706779539996</c:v>
                </c:pt>
                <c:pt idx="287">
                  <c:v>0.51411943695955198</c:v>
                </c:pt>
                <c:pt idx="288">
                  <c:v>0.51245296558987496</c:v>
                </c:pt>
                <c:pt idx="289">
                  <c:v>0.51078773414988599</c:v>
                </c:pt>
                <c:pt idx="290">
                  <c:v>0.50912383146919404</c:v>
                </c:pt>
                <c:pt idx="291">
                  <c:v>0.50746135589862496</c:v>
                </c:pt>
                <c:pt idx="292">
                  <c:v>0.50580041666283204</c:v>
                </c:pt>
                <c:pt idx="293">
                  <c:v>0.50414113545012296</c:v>
                </c:pt>
                <c:pt idx="294">
                  <c:v>0.50248364828805003</c:v>
                </c:pt>
                <c:pt idx="295">
                  <c:v>0.50082810776427</c:v>
                </c:pt>
                <c:pt idx="296">
                  <c:v>0.49917468566551199</c:v>
                </c:pt>
                <c:pt idx="297">
                  <c:v>0.49752357612356002</c:v>
                </c:pt>
                <c:pt idx="298">
                  <c:v>0.49587499937621898</c:v>
                </c:pt>
                <c:pt idx="299">
                  <c:v>0.494229206272773</c:v>
                </c:pt>
                <c:pt idx="300">
                  <c:v>0.49258648367638302</c:v>
                </c:pt>
                <c:pt idx="301">
                  <c:v>0.49094716093637097</c:v>
                </c:pt>
                <c:pt idx="302">
                  <c:v>0.48931161761345598</c:v>
                </c:pt>
                <c:pt idx="303">
                  <c:v>0.48768029262340601</c:v>
                </c:pt>
                <c:pt idx="304">
                  <c:v>0.48605369488355799</c:v>
                </c:pt>
                <c:pt idx="305">
                  <c:v>0.48443241532979098</c:v>
                </c:pt>
                <c:pt idx="306">
                  <c:v>0.48281713967194301</c:v>
                </c:pt>
                <c:pt idx="307">
                  <c:v>0.48120866017561997</c:v>
                </c:pt>
                <c:pt idx="308">
                  <c:v>0.47960788249254599</c:v>
                </c:pt>
                <c:pt idx="309">
                  <c:v>0.47801581887342198</c:v>
                </c:pt>
                <c:pt idx="310">
                  <c:v>0.47643354945881</c:v>
                </c:pt>
                <c:pt idx="311">
                  <c:v>0.47486211361021602</c:v>
                </c:pt>
                <c:pt idx="312">
                  <c:v>0.47330225309187401</c:v>
                </c:pt>
                <c:pt idx="313">
                  <c:v>0.47175384806458998</c:v>
                </c:pt>
                <c:pt idx="314">
                  <c:v>0.47021472535210801</c:v>
                </c:pt>
                <c:pt idx="315">
                  <c:v>0.46867818352252899</c:v>
                </c:pt>
                <c:pt idx="316">
                  <c:v>0.46712772759273202</c:v>
                </c:pt>
                <c:pt idx="317">
                  <c:v>0.46552417228199999</c:v>
                </c:pt>
                <c:pt idx="318">
                  <c:v>0.46455012731234602</c:v>
                </c:pt>
                <c:pt idx="319">
                  <c:v>0.46309767653526102</c:v>
                </c:pt>
                <c:pt idx="320">
                  <c:v>0.46164575023531401</c:v>
                </c:pt>
                <c:pt idx="321">
                  <c:v>0.46017778814327298</c:v>
                </c:pt>
                <c:pt idx="322">
                  <c:v>0.45869637105799599</c:v>
                </c:pt>
                <c:pt idx="323">
                  <c:v>0.45720318119280301</c:v>
                </c:pt>
                <c:pt idx="324">
                  <c:v>0.45569973867876501</c:v>
                </c:pt>
                <c:pt idx="325">
                  <c:v>0.45418739563302502</c:v>
                </c:pt>
                <c:pt idx="326">
                  <c:v>0.45266735318241003</c:v>
                </c:pt>
                <c:pt idx="327">
                  <c:v>0.45114067658694601</c:v>
                </c:pt>
                <c:pt idx="328">
                  <c:v>0.44960830920392802</c:v>
                </c:pt>
                <c:pt idx="329">
                  <c:v>0.44807108529881101</c:v>
                </c:pt>
                <c:pt idx="330">
                  <c:v>0.44652974174474103</c:v>
                </c:pt>
                <c:pt idx="331">
                  <c:v>0.44498492866308198</c:v>
                </c:pt>
                <c:pt idx="332">
                  <c:v>0.44343721906478201</c:v>
                </c:pt>
                <c:pt idx="333">
                  <c:v>0.44188711755696403</c:v>
                </c:pt>
                <c:pt idx="334">
                  <c:v>0.44033506818135798</c:v>
                </c:pt>
                <c:pt idx="335">
                  <c:v>0.43878146145145602</c:v>
                </c:pt>
                <c:pt idx="336">
                  <c:v>0.43722664065424899</c:v>
                </c:pt>
                <c:pt idx="337">
                  <c:v>0.43567090748020298</c:v>
                </c:pt>
                <c:pt idx="338">
                  <c:v>0.434114527042261</c:v>
                </c:pt>
                <c:pt idx="339">
                  <c:v>0.43255773234127998</c:v>
                </c:pt>
                <c:pt idx="340">
                  <c:v>0.43100072823159002</c:v>
                </c:pt>
                <c:pt idx="341">
                  <c:v>0.42944369493656498</c:v>
                </c:pt>
                <c:pt idx="342">
                  <c:v>0.42788679116021799</c:v>
                </c:pt>
                <c:pt idx="343">
                  <c:v>0.42633015683704201</c:v>
                </c:pt>
                <c:pt idx="344">
                  <c:v>0.42477391555865601</c:v>
                </c:pt>
                <c:pt idx="345">
                  <c:v>0.42321817671232198</c:v>
                </c:pt>
                <c:pt idx="346">
                  <c:v>0.42166303736308802</c:v>
                </c:pt>
                <c:pt idx="347">
                  <c:v>0.42010858390824601</c:v>
                </c:pt>
                <c:pt idx="348">
                  <c:v>0.41855489352993602</c:v>
                </c:pt>
                <c:pt idx="349">
                  <c:v>0.41700203546907799</c:v>
                </c:pt>
                <c:pt idx="350">
                  <c:v>0.415450072141413</c:v>
                </c:pt>
                <c:pt idx="351">
                  <c:v>0.41389906011423799</c:v>
                </c:pt>
                <c:pt idx="352">
                  <c:v>0.41234905096038399</c:v>
                </c:pt>
                <c:pt idx="353">
                  <c:v>0.41080009200421802</c:v>
                </c:pt>
                <c:pt idx="354">
                  <c:v>0.40925222697276598</c:v>
                </c:pt>
                <c:pt idx="355">
                  <c:v>0.40770549656361599</c:v>
                </c:pt>
                <c:pt idx="356">
                  <c:v>0.40615993893990798</c:v>
                </c:pt>
                <c:pt idx="357">
                  <c:v>0.40461559016155801</c:v>
                </c:pt>
                <c:pt idx="358">
                  <c:v>0.40461559016455101</c:v>
                </c:pt>
                <c:pt idx="359">
                  <c:v>0.40461559016455101</c:v>
                </c:pt>
                <c:pt idx="360">
                  <c:v>0.40461559016454701</c:v>
                </c:pt>
                <c:pt idx="361">
                  <c:v>4.0290309712795597E-3</c:v>
                </c:pt>
                <c:pt idx="362">
                  <c:v>2.9679900010556701E-3</c:v>
                </c:pt>
                <c:pt idx="363">
                  <c:v>2.1042907211337399E-3</c:v>
                </c:pt>
                <c:pt idx="364">
                  <c:v>1.4389274033871199E-3</c:v>
                </c:pt>
                <c:pt idx="365">
                  <c:v>9.7235281003194799E-4</c:v>
                </c:pt>
                <c:pt idx="366">
                  <c:v>9.7235281003194799E-4</c:v>
                </c:pt>
                <c:pt idx="367">
                  <c:v>9.7235281003194799E-4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D0-4311-8122-AB04DD3F6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0272"/>
        <c:axId val="412571056"/>
      </c:scatterChart>
      <c:scatterChart>
        <c:scatterStyle val="lineMarker"/>
        <c:varyColors val="0"/>
        <c:ser>
          <c:idx val="0"/>
          <c:order val="0"/>
          <c:tx>
            <c:strRef>
              <c:f>Implicit_Fracs!$P$2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Implicit_Fracs!$C$4:$C$371</c:f>
              <c:numCache>
                <c:formatCode>General</c:formatCode>
                <c:ptCount val="368"/>
                <c:pt idx="0">
                  <c:v>6.5458908507104702E-2</c:v>
                </c:pt>
                <c:pt idx="1">
                  <c:v>0.10158646265419501</c:v>
                </c:pt>
                <c:pt idx="2">
                  <c:v>0.102060105178604</c:v>
                </c:pt>
                <c:pt idx="3">
                  <c:v>0.102354758409441</c:v>
                </c:pt>
                <c:pt idx="4">
                  <c:v>0.10257003610151801</c:v>
                </c:pt>
                <c:pt idx="5">
                  <c:v>0.102740146597483</c:v>
                </c:pt>
                <c:pt idx="6">
                  <c:v>0.10288102093448701</c:v>
                </c:pt>
                <c:pt idx="7">
                  <c:v>0.10300139565401099</c:v>
                </c:pt>
                <c:pt idx="8">
                  <c:v>0.10310658737638601</c:v>
                </c:pt>
                <c:pt idx="9">
                  <c:v>0.103200075337502</c:v>
                </c:pt>
                <c:pt idx="10">
                  <c:v>0.103284262204</c:v>
                </c:pt>
                <c:pt idx="11">
                  <c:v>0.103360877526633</c:v>
                </c:pt>
                <c:pt idx="12">
                  <c:v>0.103431208153653</c:v>
                </c:pt>
                <c:pt idx="13">
                  <c:v>0.103496237708407</c:v>
                </c:pt>
                <c:pt idx="14">
                  <c:v>0.103556735084609</c:v>
                </c:pt>
                <c:pt idx="15">
                  <c:v>0.103613312816801</c:v>
                </c:pt>
                <c:pt idx="16">
                  <c:v>0.103666466857375</c:v>
                </c:pt>
                <c:pt idx="17">
                  <c:v>0.10371660444741999</c:v>
                </c:pt>
                <c:pt idx="18">
                  <c:v>0.10376406411969299</c:v>
                </c:pt>
                <c:pt idx="19">
                  <c:v>0.10380913035858701</c:v>
                </c:pt>
                <c:pt idx="20">
                  <c:v>0.103852044544123</c:v>
                </c:pt>
                <c:pt idx="21">
                  <c:v>0.103893013256558</c:v>
                </c:pt>
                <c:pt idx="22">
                  <c:v>0.103932214670875</c:v>
                </c:pt>
                <c:pt idx="23">
                  <c:v>0.10396980354554</c:v>
                </c:pt>
                <c:pt idx="24">
                  <c:v>0.104005915161023</c:v>
                </c:pt>
                <c:pt idx="25">
                  <c:v>0.10404066846285701</c:v>
                </c:pt>
                <c:pt idx="26">
                  <c:v>0.104074168594671</c:v>
                </c:pt>
                <c:pt idx="27">
                  <c:v>0.10410650895807599</c:v>
                </c:pt>
                <c:pt idx="28">
                  <c:v>0.10413777290170501</c:v>
                </c:pt>
                <c:pt idx="29">
                  <c:v>0.104168035116796</c:v>
                </c:pt>
                <c:pt idx="30">
                  <c:v>0.104197362798492</c:v>
                </c:pt>
                <c:pt idx="31">
                  <c:v>0.104225816618547</c:v>
                </c:pt>
                <c:pt idx="32">
                  <c:v>0.104253451545067</c:v>
                </c:pt>
                <c:pt idx="33">
                  <c:v>0.104280317537286</c:v>
                </c:pt>
                <c:pt idx="34">
                  <c:v>0.10430646013757899</c:v>
                </c:pt>
                <c:pt idx="35">
                  <c:v>0.10433192097843901</c:v>
                </c:pt>
                <c:pt idx="36">
                  <c:v>0.104356738218675</c:v>
                </c:pt>
                <c:pt idx="37">
                  <c:v>0.10438094692038</c:v>
                </c:pt>
                <c:pt idx="38">
                  <c:v>0.104404579376061</c:v>
                </c:pt>
                <c:pt idx="39">
                  <c:v>0.10442766539470601</c:v>
                </c:pt>
                <c:pt idx="40">
                  <c:v>0.104450232550895</c:v>
                </c:pt>
                <c:pt idx="41">
                  <c:v>0.104472306403378</c:v>
                </c:pt>
                <c:pt idx="42">
                  <c:v>0.104493910687546</c:v>
                </c:pt>
                <c:pt idx="43">
                  <c:v>0.104515067485448</c:v>
                </c:pt>
                <c:pt idx="44">
                  <c:v>0.104535797376425</c:v>
                </c:pt>
                <c:pt idx="45">
                  <c:v>0.104556119570968</c:v>
                </c:pt>
                <c:pt idx="46">
                  <c:v>0.10457605202998201</c:v>
                </c:pt>
                <c:pt idx="47">
                  <c:v>0.10459561157132601</c:v>
                </c:pt>
                <c:pt idx="48">
                  <c:v>0.10461481396524</c:v>
                </c:pt>
                <c:pt idx="49">
                  <c:v>0.104633674020002</c:v>
                </c:pt>
                <c:pt idx="50">
                  <c:v>0.104652205659008</c:v>
                </c:pt>
                <c:pt idx="51">
                  <c:v>0.10467042199028</c:v>
                </c:pt>
                <c:pt idx="52">
                  <c:v>0.10468833536927501</c:v>
                </c:pt>
                <c:pt idx="53">
                  <c:v>0.104705957455764</c:v>
                </c:pt>
                <c:pt idx="54">
                  <c:v>0.104723299265432</c:v>
                </c:pt>
                <c:pt idx="55">
                  <c:v>0.10474037121678501</c:v>
                </c:pt>
                <c:pt idx="56">
                  <c:v>0.104757183173858</c:v>
                </c:pt>
                <c:pt idx="57">
                  <c:v>0.10477374448518</c:v>
                </c:pt>
                <c:pt idx="58">
                  <c:v>0.104790064019366</c:v>
                </c:pt>
                <c:pt idx="59">
                  <c:v>0.10480615019770299</c:v>
                </c:pt>
                <c:pt idx="60">
                  <c:v>0.104822011024007</c:v>
                </c:pt>
                <c:pt idx="61">
                  <c:v>0.10483765411203801</c:v>
                </c:pt>
                <c:pt idx="62">
                  <c:v>0.104853086710699</c:v>
                </c:pt>
                <c:pt idx="63">
                  <c:v>0.10486831572724099</c:v>
                </c:pt>
                <c:pt idx="64">
                  <c:v>0.104883347748643</c:v>
                </c:pt>
                <c:pt idx="65">
                  <c:v>0.104898189061358</c:v>
                </c:pt>
                <c:pt idx="66">
                  <c:v>0.104912845669559</c:v>
                </c:pt>
                <c:pt idx="67">
                  <c:v>0.10492732331202199</c:v>
                </c:pt>
                <c:pt idx="68">
                  <c:v>0.10494162747777</c:v>
                </c:pt>
                <c:pt idx="69">
                  <c:v>0.10495576342058401</c:v>
                </c:pt>
                <c:pt idx="70">
                  <c:v>0.104969736172476</c:v>
                </c:pt>
                <c:pt idx="71">
                  <c:v>0.104983550556215</c:v>
                </c:pt>
                <c:pt idx="72">
                  <c:v>0.104997211196988</c:v>
                </c:pt>
                <c:pt idx="73">
                  <c:v>0.105010722533251</c:v>
                </c:pt>
                <c:pt idx="74">
                  <c:v>0.10502408882686499</c:v>
                </c:pt>
                <c:pt idx="75">
                  <c:v>0.105037314172539</c:v>
                </c:pt>
                <c:pt idx="76">
                  <c:v>0.10505040250667</c:v>
                </c:pt>
                <c:pt idx="77">
                  <c:v>0.105063357615594</c:v>
                </c:pt>
                <c:pt idx="78">
                  <c:v>0.105076183143323</c:v>
                </c:pt>
                <c:pt idx="79">
                  <c:v>0.10508888259878001</c:v>
                </c:pt>
                <c:pt idx="80">
                  <c:v>0.105101459362598</c:v>
                </c:pt>
                <c:pt idx="81">
                  <c:v>0.10511391669348399</c:v>
                </c:pt>
                <c:pt idx="82">
                  <c:v>0.10512625773421</c:v>
                </c:pt>
                <c:pt idx="83">
                  <c:v>0.10513848551723599</c:v>
                </c:pt>
                <c:pt idx="84">
                  <c:v>0.10515060297000201</c:v>
                </c:pt>
                <c:pt idx="85">
                  <c:v>0.105162612919908</c:v>
                </c:pt>
                <c:pt idx="86">
                  <c:v>0.105174518099013</c:v>
                </c:pt>
                <c:pt idx="87">
                  <c:v>0.105186321148453</c:v>
                </c:pt>
                <c:pt idx="88">
                  <c:v>0.105198024622616</c:v>
                </c:pt>
                <c:pt idx="89">
                  <c:v>0.105209630993088</c:v>
                </c:pt>
                <c:pt idx="90">
                  <c:v>0.10522114265237301</c:v>
                </c:pt>
                <c:pt idx="91">
                  <c:v>0.105232561917411</c:v>
                </c:pt>
                <c:pt idx="92">
                  <c:v>0.105243891032912</c:v>
                </c:pt>
                <c:pt idx="93">
                  <c:v>0.105255132174505</c:v>
                </c:pt>
                <c:pt idx="94">
                  <c:v>0.10526628745172401</c:v>
                </c:pt>
                <c:pt idx="95">
                  <c:v>0.105277358910841</c:v>
                </c:pt>
                <c:pt idx="96">
                  <c:v>0.105288348537545</c:v>
                </c:pt>
                <c:pt idx="97">
                  <c:v>0.10529925825949001</c:v>
                </c:pt>
                <c:pt idx="98">
                  <c:v>0.105310089948715</c:v>
                </c:pt>
                <c:pt idx="99">
                  <c:v>0.10532084542394</c:v>
                </c:pt>
                <c:pt idx="100">
                  <c:v>0.105331526452749</c:v>
                </c:pt>
                <c:pt idx="101">
                  <c:v>0.10534213475366599</c:v>
                </c:pt>
                <c:pt idx="102">
                  <c:v>0.105352671998135</c:v>
                </c:pt>
                <c:pt idx="103">
                  <c:v>0.105363139812398</c:v>
                </c:pt>
                <c:pt idx="104">
                  <c:v>0.10537353977929</c:v>
                </c:pt>
                <c:pt idx="105">
                  <c:v>0.105383873439947</c:v>
                </c:pt>
                <c:pt idx="106">
                  <c:v>0.105394142295438</c:v>
                </c:pt>
                <c:pt idx="107">
                  <c:v>0.10540434780831399</c:v>
                </c:pt>
                <c:pt idx="108">
                  <c:v>0.1054144914041</c:v>
                </c:pt>
                <c:pt idx="109">
                  <c:v>0.105424574472708</c:v>
                </c:pt>
                <c:pt idx="110">
                  <c:v>0.10543459836979301</c:v>
                </c:pt>
                <c:pt idx="111">
                  <c:v>0.105444564418049</c:v>
                </c:pt>
                <c:pt idx="112">
                  <c:v>0.105454473908448</c:v>
                </c:pt>
                <c:pt idx="113">
                  <c:v>0.105464328101426</c:v>
                </c:pt>
                <c:pt idx="114">
                  <c:v>0.10547412822802001</c:v>
                </c:pt>
                <c:pt idx="115">
                  <c:v>0.10548387549095201</c:v>
                </c:pt>
                <c:pt idx="116">
                  <c:v>0.105493571065675</c:v>
                </c:pt>
                <c:pt idx="117">
                  <c:v>0.105503216101374</c:v>
                </c:pt>
                <c:pt idx="118">
                  <c:v>0.10551281172191999</c:v>
                </c:pt>
                <c:pt idx="119">
                  <c:v>0.10552235902679701</c:v>
                </c:pt>
                <c:pt idx="120">
                  <c:v>0.105531859091982</c:v>
                </c:pt>
                <c:pt idx="121">
                  <c:v>0.105541312970793</c:v>
                </c:pt>
                <c:pt idx="122">
                  <c:v>0.105550721694713</c:v>
                </c:pt>
                <c:pt idx="123">
                  <c:v>0.10556008627416701</c:v>
                </c:pt>
                <c:pt idx="124">
                  <c:v>0.105569407699282</c:v>
                </c:pt>
                <c:pt idx="125">
                  <c:v>0.105578686940613</c:v>
                </c:pt>
                <c:pt idx="126">
                  <c:v>0.10558792494984499</c:v>
                </c:pt>
                <c:pt idx="127">
                  <c:v>0.105597122660464</c:v>
                </c:pt>
                <c:pt idx="128">
                  <c:v>0.105606280988415</c:v>
                </c:pt>
                <c:pt idx="129">
                  <c:v>0.105615400832723</c:v>
                </c:pt>
                <c:pt idx="130">
                  <c:v>0.10562448307610101</c:v>
                </c:pt>
                <c:pt idx="131">
                  <c:v>0.105633528585537</c:v>
                </c:pt>
                <c:pt idx="132">
                  <c:v>0.105642538212856</c:v>
                </c:pt>
                <c:pt idx="133">
                  <c:v>0.10565151279527001</c:v>
                </c:pt>
                <c:pt idx="134">
                  <c:v>0.105660453155901</c:v>
                </c:pt>
                <c:pt idx="135">
                  <c:v>0.1056693601043</c:v>
                </c:pt>
                <c:pt idx="136">
                  <c:v>0.105678234436935</c:v>
                </c:pt>
                <c:pt idx="137">
                  <c:v>0.105687076937673</c:v>
                </c:pt>
                <c:pt idx="138">
                  <c:v>0.10569588837824601</c:v>
                </c:pt>
                <c:pt idx="139">
                  <c:v>0.105704669518702</c:v>
                </c:pt>
                <c:pt idx="140">
                  <c:v>0.105713421107842</c:v>
                </c:pt>
                <c:pt idx="141">
                  <c:v>0.105722143883642</c:v>
                </c:pt>
                <c:pt idx="142">
                  <c:v>0.10573083857367301</c:v>
                </c:pt>
                <c:pt idx="143">
                  <c:v>0.10573950589549699</c:v>
                </c:pt>
                <c:pt idx="144">
                  <c:v>0.105748146557059</c:v>
                </c:pt>
                <c:pt idx="145">
                  <c:v>0.105756761257069</c:v>
                </c:pt>
                <c:pt idx="146">
                  <c:v>0.105765350685371</c:v>
                </c:pt>
                <c:pt idx="147">
                  <c:v>0.10577391552330601</c:v>
                </c:pt>
                <c:pt idx="148">
                  <c:v>0.105782456444064</c:v>
                </c:pt>
                <c:pt idx="149">
                  <c:v>0.105790974113029</c:v>
                </c:pt>
                <c:pt idx="150">
                  <c:v>0.105799469188117</c:v>
                </c:pt>
                <c:pt idx="151">
                  <c:v>0.105807942320102</c:v>
                </c:pt>
                <c:pt idx="152">
                  <c:v>0.105816394152941</c:v>
                </c:pt>
                <c:pt idx="153">
                  <c:v>0.10582482532409</c:v>
                </c:pt>
                <c:pt idx="154">
                  <c:v>0.10583323646481201</c:v>
                </c:pt>
                <c:pt idx="155">
                  <c:v>0.105841628200482</c:v>
                </c:pt>
                <c:pt idx="156">
                  <c:v>0.105850001150887</c:v>
                </c:pt>
                <c:pt idx="157">
                  <c:v>0.105858355930516</c:v>
                </c:pt>
                <c:pt idx="158">
                  <c:v>0.105866693148851</c:v>
                </c:pt>
                <c:pt idx="159">
                  <c:v>0.105875013410654</c:v>
                </c:pt>
                <c:pt idx="160">
                  <c:v>0.10588331731624</c:v>
                </c:pt>
                <c:pt idx="161">
                  <c:v>0.105891605461765</c:v>
                </c:pt>
                <c:pt idx="162">
                  <c:v>0.10589987843948701</c:v>
                </c:pt>
                <c:pt idx="163">
                  <c:v>0.10590813683804701</c:v>
                </c:pt>
                <c:pt idx="164">
                  <c:v>0.10591638124273201</c:v>
                </c:pt>
                <c:pt idx="165">
                  <c:v>0.105924612235738</c:v>
                </c:pt>
                <c:pt idx="166">
                  <c:v>0.10593283039644</c:v>
                </c:pt>
                <c:pt idx="167">
                  <c:v>0.105941036301648</c:v>
                </c:pt>
                <c:pt idx="168">
                  <c:v>0.10594923052586901</c:v>
                </c:pt>
                <c:pt idx="169">
                  <c:v>0.105957413641566</c:v>
                </c:pt>
                <c:pt idx="170">
                  <c:v>0.105965586219415</c:v>
                </c:pt>
                <c:pt idx="171">
                  <c:v>0.105973748828566</c:v>
                </c:pt>
                <c:pt idx="172">
                  <c:v>0.10598190203689301</c:v>
                </c:pt>
                <c:pt idx="173">
                  <c:v>0.105990046411258</c:v>
                </c:pt>
                <c:pt idx="174">
                  <c:v>0.10599818251776701</c:v>
                </c:pt>
                <c:pt idx="175">
                  <c:v>0.106006310922025</c:v>
                </c:pt>
                <c:pt idx="176">
                  <c:v>0.106014432189397</c:v>
                </c:pt>
                <c:pt idx="177">
                  <c:v>0.106022546885271</c:v>
                </c:pt>
                <c:pt idx="178">
                  <c:v>0.10603065557531401</c:v>
                </c:pt>
                <c:pt idx="179">
                  <c:v>0.10603875882574</c:v>
                </c:pt>
                <c:pt idx="180">
                  <c:v>0.106046857203577</c:v>
                </c:pt>
                <c:pt idx="181">
                  <c:v>0.106054951276932</c:v>
                </c:pt>
                <c:pt idx="182">
                  <c:v>0.106063041615263</c:v>
                </c:pt>
                <c:pt idx="183">
                  <c:v>0.10607112878965499</c:v>
                </c:pt>
                <c:pt idx="184">
                  <c:v>0.106079213373101</c:v>
                </c:pt>
                <c:pt idx="185">
                  <c:v>0.106087295940776</c:v>
                </c:pt>
                <c:pt idx="186">
                  <c:v>0.10609537707033299</c:v>
                </c:pt>
                <c:pt idx="187">
                  <c:v>0.106103457342189</c:v>
                </c:pt>
                <c:pt idx="188">
                  <c:v>0.106111537339822</c:v>
                </c:pt>
                <c:pt idx="189">
                  <c:v>0.10611961765007601</c:v>
                </c:pt>
                <c:pt idx="190">
                  <c:v>0.106127698863465</c:v>
                </c:pt>
                <c:pt idx="191">
                  <c:v>0.10613578157449099</c:v>
                </c:pt>
                <c:pt idx="192">
                  <c:v>0.106143866381966</c:v>
                </c:pt>
                <c:pt idx="193">
                  <c:v>0.10615195388934</c:v>
                </c:pt>
                <c:pt idx="194">
                  <c:v>0.106160044705038</c:v>
                </c:pt>
                <c:pt idx="195">
                  <c:v>0.106168139442805</c:v>
                </c:pt>
                <c:pt idx="196">
                  <c:v>0.106176238722063</c:v>
                </c:pt>
                <c:pt idx="197">
                  <c:v>0.106184343168276</c:v>
                </c:pt>
                <c:pt idx="198">
                  <c:v>0.10619245341332301</c:v>
                </c:pt>
                <c:pt idx="199">
                  <c:v>0.106200570095885</c:v>
                </c:pt>
                <c:pt idx="200">
                  <c:v>0.10620869386184199</c:v>
                </c:pt>
                <c:pt idx="201">
                  <c:v>0.10621682536468401</c:v>
                </c:pt>
                <c:pt idx="202">
                  <c:v>0.106224965265935</c:v>
                </c:pt>
                <c:pt idx="203">
                  <c:v>0.106233114235588</c:v>
                </c:pt>
                <c:pt idx="204">
                  <c:v>0.10624127295256</c:v>
                </c:pt>
                <c:pt idx="205">
                  <c:v>0.10624944210515699</c:v>
                </c:pt>
                <c:pt idx="206">
                  <c:v>0.106257622391562</c:v>
                </c:pt>
                <c:pt idx="207">
                  <c:v>0.106265814520335</c:v>
                </c:pt>
                <c:pt idx="208">
                  <c:v>0.106274019210935</c:v>
                </c:pt>
                <c:pt idx="209">
                  <c:v>0.10628223719426</c:v>
                </c:pt>
                <c:pt idx="210">
                  <c:v>0.106290469213214</c:v>
                </c:pt>
                <c:pt idx="211">
                  <c:v>0.106298716023284</c:v>
                </c:pt>
                <c:pt idx="212">
                  <c:v>0.106306978393155</c:v>
                </c:pt>
                <c:pt idx="213">
                  <c:v>0.106315257105341</c:v>
                </c:pt>
                <c:pt idx="214">
                  <c:v>0.10632355295684801</c:v>
                </c:pt>
                <c:pt idx="215">
                  <c:v>0.10633186675985799</c:v>
                </c:pt>
                <c:pt idx="216">
                  <c:v>0.10634019934245301</c:v>
                </c:pt>
                <c:pt idx="217">
                  <c:v>0.106348551549366</c:v>
                </c:pt>
                <c:pt idx="218">
                  <c:v>0.106356924242761</c:v>
                </c:pt>
                <c:pt idx="219">
                  <c:v>0.10636531830306099</c:v>
                </c:pt>
                <c:pt idx="220">
                  <c:v>0.106373734629807</c:v>
                </c:pt>
                <c:pt idx="221">
                  <c:v>0.10638217414255299</c:v>
                </c:pt>
                <c:pt idx="222">
                  <c:v>0.106390637781818</c:v>
                </c:pt>
                <c:pt idx="223">
                  <c:v>0.10639912651007299</c:v>
                </c:pt>
                <c:pt idx="224">
                  <c:v>0.10640764131277999</c:v>
                </c:pt>
                <c:pt idx="225">
                  <c:v>0.10641618319948901</c:v>
                </c:pt>
                <c:pt idx="226">
                  <c:v>0.106424753204983</c:v>
                </c:pt>
                <c:pt idx="227">
                  <c:v>0.10643335239049</c:v>
                </c:pt>
                <c:pt idx="228">
                  <c:v>0.106441981844954</c:v>
                </c:pt>
                <c:pt idx="229">
                  <c:v>0.106450642686375</c:v>
                </c:pt>
                <c:pt idx="230">
                  <c:v>0.10645933606322799</c:v>
                </c:pt>
                <c:pt idx="231">
                  <c:v>0.10646806315594901</c:v>
                </c:pt>
                <c:pt idx="232">
                  <c:v>0.106476825178516</c:v>
                </c:pt>
                <c:pt idx="233">
                  <c:v>0.10648562338011</c:v>
                </c:pt>
                <c:pt idx="234">
                  <c:v>0.106494459046881</c:v>
                </c:pt>
                <c:pt idx="235">
                  <c:v>0.106503333503809</c:v>
                </c:pt>
                <c:pt idx="236">
                  <c:v>0.10651224811667701</c:v>
                </c:pt>
                <c:pt idx="237">
                  <c:v>0.106521204294171</c:v>
                </c:pt>
                <c:pt idx="238">
                  <c:v>0.106530203490093</c:v>
                </c:pt>
                <c:pt idx="239">
                  <c:v>0.10653924720572699</c:v>
                </c:pt>
                <c:pt idx="240">
                  <c:v>0.106548336992338</c:v>
                </c:pt>
                <c:pt idx="241">
                  <c:v>0.106557474453844</c:v>
                </c:pt>
                <c:pt idx="242">
                  <c:v>0.106566661249652</c:v>
                </c:pt>
                <c:pt idx="243">
                  <c:v>0.10657589909767901</c:v>
                </c:pt>
                <c:pt idx="244">
                  <c:v>0.10658518977758299</c:v>
                </c:pt>
                <c:pt idx="245">
                  <c:v>0.106594535134197</c:v>
                </c:pt>
                <c:pt idx="246">
                  <c:v>0.106603937081217</c:v>
                </c:pt>
                <c:pt idx="247">
                  <c:v>0.106613397605125</c:v>
                </c:pt>
                <c:pt idx="248">
                  <c:v>0.10662291876941001</c:v>
                </c:pt>
                <c:pt idx="249">
                  <c:v>0.106632502719071</c:v>
                </c:pt>
                <c:pt idx="250">
                  <c:v>0.10664215168546599</c:v>
                </c:pt>
                <c:pt idx="251">
                  <c:v>0.106651867991505</c:v>
                </c:pt>
                <c:pt idx="252">
                  <c:v>0.106661654057239</c:v>
                </c:pt>
                <c:pt idx="253">
                  <c:v>0.106671512405876</c:v>
                </c:pt>
                <c:pt idx="254">
                  <c:v>0.106681445670259</c:v>
                </c:pt>
                <c:pt idx="255">
                  <c:v>0.106691456599855</c:v>
                </c:pt>
                <c:pt idx="256">
                  <c:v>0.10670154806830701</c:v>
                </c:pt>
                <c:pt idx="257">
                  <c:v>0.106711723081597</c:v>
                </c:pt>
                <c:pt idx="258">
                  <c:v>0.106721984786882</c:v>
                </c:pt>
                <c:pt idx="259">
                  <c:v>0.106732336482082</c:v>
                </c:pt>
                <c:pt idx="260">
                  <c:v>0.10674278162628199</c:v>
                </c:pt>
                <c:pt idx="261">
                  <c:v>0.106753323851043</c:v>
                </c:pt>
                <c:pt idx="262">
                  <c:v>0.106763966972719</c:v>
                </c:pt>
                <c:pt idx="263">
                  <c:v>0.10677471500588499</c:v>
                </c:pt>
                <c:pt idx="264">
                  <c:v>0.10678557217800599</c:v>
                </c:pt>
                <c:pt idx="265">
                  <c:v>0.106796542945475</c:v>
                </c:pt>
                <c:pt idx="266">
                  <c:v>0.10680763201119001</c:v>
                </c:pt>
                <c:pt idx="267">
                  <c:v>0.106818844343851</c:v>
                </c:pt>
                <c:pt idx="268">
                  <c:v>0.106830185199162</c:v>
                </c:pt>
                <c:pt idx="269">
                  <c:v>0.1068416601432</c:v>
                </c:pt>
                <c:pt idx="270">
                  <c:v>0.106853275078199</c:v>
                </c:pt>
                <c:pt idx="271">
                  <c:v>0.10686503627105901</c:v>
                </c:pt>
                <c:pt idx="272">
                  <c:v>0.106876950384948</c:v>
                </c:pt>
                <c:pt idx="273">
                  <c:v>0.10688902451438199</c:v>
                </c:pt>
                <c:pt idx="274">
                  <c:v>0.106901266224276</c:v>
                </c:pt>
                <c:pt idx="275">
                  <c:v>0.106913683593506</c:v>
                </c:pt>
                <c:pt idx="276">
                  <c:v>0.106926285263621</c:v>
                </c:pt>
                <c:pt idx="277">
                  <c:v>0.106939080493455</c:v>
                </c:pt>
                <c:pt idx="278">
                  <c:v>0.10695207922051</c:v>
                </c:pt>
                <c:pt idx="279">
                  <c:v>0.10696529213014599</c:v>
                </c:pt>
                <c:pt idx="280">
                  <c:v>0.106978730733797</c:v>
                </c:pt>
                <c:pt idx="281">
                  <c:v>0.106992407457646</c:v>
                </c:pt>
                <c:pt idx="282">
                  <c:v>0.107006335743491</c:v>
                </c:pt>
                <c:pt idx="283">
                  <c:v>0.10702053016384699</c:v>
                </c:pt>
                <c:pt idx="284">
                  <c:v>0.107035006553762</c:v>
                </c:pt>
                <c:pt idx="285">
                  <c:v>0.107049782162317</c:v>
                </c:pt>
                <c:pt idx="286">
                  <c:v>0.10706487582742701</c:v>
                </c:pt>
                <c:pt idx="287">
                  <c:v>0.107080308178348</c:v>
                </c:pt>
                <c:pt idx="288">
                  <c:v>0.10709610187127599</c:v>
                </c:pt>
                <c:pt idx="289">
                  <c:v>0.10711228186470099</c:v>
                </c:pt>
                <c:pt idx="290">
                  <c:v>0.107128875742745</c:v>
                </c:pt>
                <c:pt idx="291">
                  <c:v>0.107145914096787</c:v>
                </c:pt>
                <c:pt idx="292">
                  <c:v>0.10716343097827</c:v>
                </c:pt>
                <c:pt idx="293">
                  <c:v>0.10718146443905199</c:v>
                </c:pt>
                <c:pt idx="294">
                  <c:v>0.107200057180087</c:v>
                </c:pt>
                <c:pt idx="295">
                  <c:v>0.10721925733519</c:v>
                </c:pt>
                <c:pt idx="296">
                  <c:v>0.107239119424452</c:v>
                </c:pt>
                <c:pt idx="297">
                  <c:v>0.10725970552248799</c:v>
                </c:pt>
                <c:pt idx="298">
                  <c:v>0.107281086701057</c:v>
                </c:pt>
                <c:pt idx="299">
                  <c:v>0.10730334482520799</c:v>
                </c:pt>
                <c:pt idx="300">
                  <c:v>0.107326574809414</c:v>
                </c:pt>
                <c:pt idx="301">
                  <c:v>0.10735088747820599</c:v>
                </c:pt>
                <c:pt idx="302">
                  <c:v>0.10737641322982</c:v>
                </c:pt>
                <c:pt idx="303">
                  <c:v>0.107403306778537</c:v>
                </c:pt>
                <c:pt idx="304">
                  <c:v>0.10743175336319</c:v>
                </c:pt>
                <c:pt idx="305">
                  <c:v>0.107461976972791</c:v>
                </c:pt>
                <c:pt idx="306">
                  <c:v>0.107494251381856</c:v>
                </c:pt>
                <c:pt idx="307">
                  <c:v>0.107528915147976</c:v>
                </c:pt>
                <c:pt idx="308">
                  <c:v>0.107566392263413</c:v>
                </c:pt>
                <c:pt idx="309">
                  <c:v>0.10760722096054399</c:v>
                </c:pt>
                <c:pt idx="310">
                  <c:v>0.107652094373539</c:v>
                </c:pt>
                <c:pt idx="311">
                  <c:v>0.107701918517204</c:v>
                </c:pt>
                <c:pt idx="312">
                  <c:v>0.107757895545197</c:v>
                </c:pt>
                <c:pt idx="313">
                  <c:v>0.107821643761701</c:v>
                </c:pt>
                <c:pt idx="314">
                  <c:v>0.107895371464266</c:v>
                </c:pt>
                <c:pt idx="315">
                  <c:v>0.107982136054144</c:v>
                </c:pt>
                <c:pt idx="316">
                  <c:v>0.108086279484475</c:v>
                </c:pt>
                <c:pt idx="317">
                  <c:v>0.10821441051713999</c:v>
                </c:pt>
                <c:pt idx="318">
                  <c:v>0.108378611684964</c:v>
                </c:pt>
                <c:pt idx="319">
                  <c:v>0.10851279142848901</c:v>
                </c:pt>
                <c:pt idx="320">
                  <c:v>0.108646878508965</c:v>
                </c:pt>
                <c:pt idx="321">
                  <c:v>0.108781836007877</c:v>
                </c:pt>
                <c:pt idx="322">
                  <c:v>0.108917703938839</c:v>
                </c:pt>
                <c:pt idx="323">
                  <c:v>0.109054545173906</c:v>
                </c:pt>
                <c:pt idx="324">
                  <c:v>0.109192417872054</c:v>
                </c:pt>
                <c:pt idx="325">
                  <c:v>0.109331376964383</c:v>
                </c:pt>
                <c:pt idx="326">
                  <c:v>0.10947147454287399</c:v>
                </c:pt>
                <c:pt idx="327">
                  <c:v>0.109612760241196</c:v>
                </c:pt>
                <c:pt idx="328">
                  <c:v>0.10975528157779101</c:v>
                </c:pt>
                <c:pt idx="329">
                  <c:v>0.109899084266184</c:v>
                </c:pt>
                <c:pt idx="330">
                  <c:v>0.110044212495958</c:v>
                </c:pt>
                <c:pt idx="331">
                  <c:v>0.11019070918751001</c:v>
                </c:pt>
                <c:pt idx="332">
                  <c:v>0.11033861622334599</c:v>
                </c:pt>
                <c:pt idx="333">
                  <c:v>0.110487974658393</c:v>
                </c:pt>
                <c:pt idx="334">
                  <c:v>0.110638824911563</c:v>
                </c:pt>
                <c:pt idx="335">
                  <c:v>0.110791206940568</c:v>
                </c:pt>
                <c:pt idx="336">
                  <c:v>0.11094516040180299</c:v>
                </c:pt>
                <c:pt idx="337">
                  <c:v>0.11110072479692901</c:v>
                </c:pt>
                <c:pt idx="338">
                  <c:v>0.111257939607629</c:v>
                </c:pt>
                <c:pt idx="339">
                  <c:v>0.111416844419904</c:v>
                </c:pt>
                <c:pt idx="340">
                  <c:v>0.111577479039088</c:v>
                </c:pt>
                <c:pt idx="341">
                  <c:v>0.111739883596728</c:v>
                </c:pt>
                <c:pt idx="342">
                  <c:v>0.111904098650297</c:v>
                </c:pt>
                <c:pt idx="343">
                  <c:v>0.11207016527668</c:v>
                </c:pt>
                <c:pt idx="344">
                  <c:v>0.112238125160255</c:v>
                </c:pt>
                <c:pt idx="345">
                  <c:v>0.11240802067632299</c:v>
                </c:pt>
                <c:pt idx="346">
                  <c:v>0.11257989497059701</c:v>
                </c:pt>
                <c:pt idx="347">
                  <c:v>0.112753792035371</c:v>
                </c:pt>
                <c:pt idx="348">
                  <c:v>0.112929756782956</c:v>
                </c:pt>
                <c:pt idx="349">
                  <c:v>0.113107835116922</c:v>
                </c:pt>
                <c:pt idx="350">
                  <c:v>0.113288074001635</c:v>
                </c:pt>
                <c:pt idx="351">
                  <c:v>0.113470521530551</c:v>
                </c:pt>
                <c:pt idx="352">
                  <c:v>0.113655226993682</c:v>
                </c:pt>
                <c:pt idx="353">
                  <c:v>0.113842240944644</c:v>
                </c:pt>
                <c:pt idx="354">
                  <c:v>0.114031615267637</c:v>
                </c:pt>
                <c:pt idx="355">
                  <c:v>0.11422340324472501</c:v>
                </c:pt>
                <c:pt idx="356">
                  <c:v>0.11441765962373</c:v>
                </c:pt>
                <c:pt idx="357">
                  <c:v>0.114614440687063</c:v>
                </c:pt>
                <c:pt idx="358">
                  <c:v>0.114813804321789</c:v>
                </c:pt>
                <c:pt idx="359">
                  <c:v>0.22425676384167301</c:v>
                </c:pt>
                <c:pt idx="360">
                  <c:v>0.30704288935609397</c:v>
                </c:pt>
                <c:pt idx="361">
                  <c:v>0.30834090817871301</c:v>
                </c:pt>
                <c:pt idx="362">
                  <c:v>0.30921577139060102</c:v>
                </c:pt>
                <c:pt idx="363">
                  <c:v>0.31017471350345399</c:v>
                </c:pt>
                <c:pt idx="364">
                  <c:v>0.31131883897321</c:v>
                </c:pt>
                <c:pt idx="365">
                  <c:v>0.31289797505880901</c:v>
                </c:pt>
                <c:pt idx="366">
                  <c:v>0.51289797505880896</c:v>
                </c:pt>
                <c:pt idx="367">
                  <c:v>0.51289797505880896</c:v>
                </c:pt>
              </c:numCache>
            </c:numRef>
          </c:xVal>
          <c:yVal>
            <c:numRef>
              <c:f>Implicit_Fracs!$P$4:$P$371</c:f>
              <c:numCache>
                <c:formatCode>General</c:formatCode>
                <c:ptCount val="368"/>
                <c:pt idx="0">
                  <c:v>1.6E-2</c:v>
                </c:pt>
                <c:pt idx="1">
                  <c:v>1.6E-2</c:v>
                </c:pt>
                <c:pt idx="2">
                  <c:v>1.6E-2</c:v>
                </c:pt>
                <c:pt idx="3">
                  <c:v>1.6E-2</c:v>
                </c:pt>
                <c:pt idx="4">
                  <c:v>1.6E-2</c:v>
                </c:pt>
                <c:pt idx="5">
                  <c:v>1.6E-2</c:v>
                </c:pt>
                <c:pt idx="6">
                  <c:v>1.6E-2</c:v>
                </c:pt>
                <c:pt idx="7">
                  <c:v>1.6E-2</c:v>
                </c:pt>
                <c:pt idx="8">
                  <c:v>1.6E-2</c:v>
                </c:pt>
                <c:pt idx="9">
                  <c:v>1.6E-2</c:v>
                </c:pt>
                <c:pt idx="10">
                  <c:v>1.6E-2</c:v>
                </c:pt>
                <c:pt idx="11">
                  <c:v>1.6E-2</c:v>
                </c:pt>
                <c:pt idx="12">
                  <c:v>1.6E-2</c:v>
                </c:pt>
                <c:pt idx="13">
                  <c:v>1.6E-2</c:v>
                </c:pt>
                <c:pt idx="14">
                  <c:v>1.6E-2</c:v>
                </c:pt>
                <c:pt idx="15">
                  <c:v>1.6E-2</c:v>
                </c:pt>
                <c:pt idx="16">
                  <c:v>1.6E-2</c:v>
                </c:pt>
                <c:pt idx="17">
                  <c:v>1.6E-2</c:v>
                </c:pt>
                <c:pt idx="18">
                  <c:v>1.6E-2</c:v>
                </c:pt>
                <c:pt idx="19">
                  <c:v>1.6E-2</c:v>
                </c:pt>
                <c:pt idx="20">
                  <c:v>1.6E-2</c:v>
                </c:pt>
                <c:pt idx="21">
                  <c:v>1.6E-2</c:v>
                </c:pt>
                <c:pt idx="22">
                  <c:v>1.6E-2</c:v>
                </c:pt>
                <c:pt idx="23">
                  <c:v>1.6E-2</c:v>
                </c:pt>
                <c:pt idx="24">
                  <c:v>1.6E-2</c:v>
                </c:pt>
                <c:pt idx="25">
                  <c:v>1.6E-2</c:v>
                </c:pt>
                <c:pt idx="26">
                  <c:v>1.6E-2</c:v>
                </c:pt>
                <c:pt idx="27">
                  <c:v>1.6E-2</c:v>
                </c:pt>
                <c:pt idx="28">
                  <c:v>1.6E-2</c:v>
                </c:pt>
                <c:pt idx="29">
                  <c:v>1.6E-2</c:v>
                </c:pt>
                <c:pt idx="30">
                  <c:v>1.6E-2</c:v>
                </c:pt>
                <c:pt idx="31">
                  <c:v>1.6E-2</c:v>
                </c:pt>
                <c:pt idx="32">
                  <c:v>1.6E-2</c:v>
                </c:pt>
                <c:pt idx="33">
                  <c:v>1.6E-2</c:v>
                </c:pt>
                <c:pt idx="34">
                  <c:v>1.6E-2</c:v>
                </c:pt>
                <c:pt idx="35">
                  <c:v>1.6E-2</c:v>
                </c:pt>
                <c:pt idx="36">
                  <c:v>1.6E-2</c:v>
                </c:pt>
                <c:pt idx="37">
                  <c:v>1.6E-2</c:v>
                </c:pt>
                <c:pt idx="38">
                  <c:v>1.6E-2</c:v>
                </c:pt>
                <c:pt idx="39">
                  <c:v>1.6E-2</c:v>
                </c:pt>
                <c:pt idx="40">
                  <c:v>1.6E-2</c:v>
                </c:pt>
                <c:pt idx="41">
                  <c:v>1.6E-2</c:v>
                </c:pt>
                <c:pt idx="42">
                  <c:v>1.6E-2</c:v>
                </c:pt>
                <c:pt idx="43">
                  <c:v>1.6E-2</c:v>
                </c:pt>
                <c:pt idx="44">
                  <c:v>1.6E-2</c:v>
                </c:pt>
                <c:pt idx="45">
                  <c:v>1.6E-2</c:v>
                </c:pt>
                <c:pt idx="46">
                  <c:v>1.6E-2</c:v>
                </c:pt>
                <c:pt idx="47">
                  <c:v>1.6E-2</c:v>
                </c:pt>
                <c:pt idx="48">
                  <c:v>1.6E-2</c:v>
                </c:pt>
                <c:pt idx="49">
                  <c:v>1.6E-2</c:v>
                </c:pt>
                <c:pt idx="50">
                  <c:v>1.6E-2</c:v>
                </c:pt>
                <c:pt idx="51">
                  <c:v>1.6E-2</c:v>
                </c:pt>
                <c:pt idx="52">
                  <c:v>1.6E-2</c:v>
                </c:pt>
                <c:pt idx="53">
                  <c:v>1.6E-2</c:v>
                </c:pt>
                <c:pt idx="54">
                  <c:v>1.6E-2</c:v>
                </c:pt>
                <c:pt idx="55">
                  <c:v>1.6E-2</c:v>
                </c:pt>
                <c:pt idx="56">
                  <c:v>1.6E-2</c:v>
                </c:pt>
                <c:pt idx="57">
                  <c:v>1.6E-2</c:v>
                </c:pt>
                <c:pt idx="58">
                  <c:v>1.6E-2</c:v>
                </c:pt>
                <c:pt idx="59">
                  <c:v>1.6E-2</c:v>
                </c:pt>
                <c:pt idx="60">
                  <c:v>1.6E-2</c:v>
                </c:pt>
                <c:pt idx="61">
                  <c:v>1.6E-2</c:v>
                </c:pt>
                <c:pt idx="62">
                  <c:v>1.6E-2</c:v>
                </c:pt>
                <c:pt idx="63">
                  <c:v>1.6E-2</c:v>
                </c:pt>
                <c:pt idx="64">
                  <c:v>1.6E-2</c:v>
                </c:pt>
                <c:pt idx="65">
                  <c:v>1.6E-2</c:v>
                </c:pt>
                <c:pt idx="66">
                  <c:v>1.6E-2</c:v>
                </c:pt>
                <c:pt idx="67">
                  <c:v>1.6E-2</c:v>
                </c:pt>
                <c:pt idx="68">
                  <c:v>1.6E-2</c:v>
                </c:pt>
                <c:pt idx="69">
                  <c:v>1.6E-2</c:v>
                </c:pt>
                <c:pt idx="70">
                  <c:v>1.6E-2</c:v>
                </c:pt>
                <c:pt idx="71">
                  <c:v>1.6E-2</c:v>
                </c:pt>
                <c:pt idx="72">
                  <c:v>1.6E-2</c:v>
                </c:pt>
                <c:pt idx="73">
                  <c:v>1.6E-2</c:v>
                </c:pt>
                <c:pt idx="74">
                  <c:v>1.6E-2</c:v>
                </c:pt>
                <c:pt idx="75">
                  <c:v>1.6E-2</c:v>
                </c:pt>
                <c:pt idx="76">
                  <c:v>1.6E-2</c:v>
                </c:pt>
                <c:pt idx="77">
                  <c:v>1.6E-2</c:v>
                </c:pt>
                <c:pt idx="78">
                  <c:v>1.6E-2</c:v>
                </c:pt>
                <c:pt idx="79">
                  <c:v>1.6E-2</c:v>
                </c:pt>
                <c:pt idx="80">
                  <c:v>1.6E-2</c:v>
                </c:pt>
                <c:pt idx="81">
                  <c:v>1.6E-2</c:v>
                </c:pt>
                <c:pt idx="82">
                  <c:v>1.6E-2</c:v>
                </c:pt>
                <c:pt idx="83">
                  <c:v>1.6E-2</c:v>
                </c:pt>
                <c:pt idx="84">
                  <c:v>1.6E-2</c:v>
                </c:pt>
                <c:pt idx="85">
                  <c:v>1.6E-2</c:v>
                </c:pt>
                <c:pt idx="86">
                  <c:v>1.6E-2</c:v>
                </c:pt>
                <c:pt idx="87">
                  <c:v>1.6E-2</c:v>
                </c:pt>
                <c:pt idx="88">
                  <c:v>1.6E-2</c:v>
                </c:pt>
                <c:pt idx="89">
                  <c:v>1.6E-2</c:v>
                </c:pt>
                <c:pt idx="90">
                  <c:v>1.6E-2</c:v>
                </c:pt>
                <c:pt idx="91">
                  <c:v>1.6E-2</c:v>
                </c:pt>
                <c:pt idx="92">
                  <c:v>1.6E-2</c:v>
                </c:pt>
                <c:pt idx="93">
                  <c:v>1.6E-2</c:v>
                </c:pt>
                <c:pt idx="94">
                  <c:v>1.6E-2</c:v>
                </c:pt>
                <c:pt idx="95">
                  <c:v>1.6E-2</c:v>
                </c:pt>
                <c:pt idx="96">
                  <c:v>1.6E-2</c:v>
                </c:pt>
                <c:pt idx="97">
                  <c:v>1.6E-2</c:v>
                </c:pt>
                <c:pt idx="98">
                  <c:v>1.6E-2</c:v>
                </c:pt>
                <c:pt idx="99">
                  <c:v>1.6E-2</c:v>
                </c:pt>
                <c:pt idx="100">
                  <c:v>1.6E-2</c:v>
                </c:pt>
                <c:pt idx="101">
                  <c:v>1.6E-2</c:v>
                </c:pt>
                <c:pt idx="102">
                  <c:v>1.6E-2</c:v>
                </c:pt>
                <c:pt idx="103">
                  <c:v>1.6E-2</c:v>
                </c:pt>
                <c:pt idx="104">
                  <c:v>1.6E-2</c:v>
                </c:pt>
                <c:pt idx="105">
                  <c:v>1.6E-2</c:v>
                </c:pt>
                <c:pt idx="106">
                  <c:v>1.6E-2</c:v>
                </c:pt>
                <c:pt idx="107">
                  <c:v>1.6E-2</c:v>
                </c:pt>
                <c:pt idx="108">
                  <c:v>1.6E-2</c:v>
                </c:pt>
                <c:pt idx="109">
                  <c:v>1.6E-2</c:v>
                </c:pt>
                <c:pt idx="110">
                  <c:v>1.6E-2</c:v>
                </c:pt>
                <c:pt idx="111">
                  <c:v>1.6E-2</c:v>
                </c:pt>
                <c:pt idx="112">
                  <c:v>1.6E-2</c:v>
                </c:pt>
                <c:pt idx="113">
                  <c:v>1.6E-2</c:v>
                </c:pt>
                <c:pt idx="114">
                  <c:v>1.6E-2</c:v>
                </c:pt>
                <c:pt idx="115">
                  <c:v>1.6E-2</c:v>
                </c:pt>
                <c:pt idx="116">
                  <c:v>1.6E-2</c:v>
                </c:pt>
                <c:pt idx="117">
                  <c:v>1.6E-2</c:v>
                </c:pt>
                <c:pt idx="118">
                  <c:v>1.6E-2</c:v>
                </c:pt>
                <c:pt idx="119">
                  <c:v>1.6E-2</c:v>
                </c:pt>
                <c:pt idx="120">
                  <c:v>1.6E-2</c:v>
                </c:pt>
                <c:pt idx="121">
                  <c:v>1.6E-2</c:v>
                </c:pt>
                <c:pt idx="122">
                  <c:v>1.6E-2</c:v>
                </c:pt>
                <c:pt idx="123">
                  <c:v>1.6E-2</c:v>
                </c:pt>
                <c:pt idx="124">
                  <c:v>1.6E-2</c:v>
                </c:pt>
                <c:pt idx="125">
                  <c:v>1.6E-2</c:v>
                </c:pt>
                <c:pt idx="126">
                  <c:v>1.6E-2</c:v>
                </c:pt>
                <c:pt idx="127">
                  <c:v>1.6E-2</c:v>
                </c:pt>
                <c:pt idx="128">
                  <c:v>1.6E-2</c:v>
                </c:pt>
                <c:pt idx="129">
                  <c:v>1.6E-2</c:v>
                </c:pt>
                <c:pt idx="130">
                  <c:v>1.6E-2</c:v>
                </c:pt>
                <c:pt idx="131">
                  <c:v>1.6E-2</c:v>
                </c:pt>
                <c:pt idx="132">
                  <c:v>1.6E-2</c:v>
                </c:pt>
                <c:pt idx="133">
                  <c:v>1.6E-2</c:v>
                </c:pt>
                <c:pt idx="134">
                  <c:v>1.6E-2</c:v>
                </c:pt>
                <c:pt idx="135">
                  <c:v>1.6E-2</c:v>
                </c:pt>
                <c:pt idx="136">
                  <c:v>1.6E-2</c:v>
                </c:pt>
                <c:pt idx="137">
                  <c:v>1.6E-2</c:v>
                </c:pt>
                <c:pt idx="138">
                  <c:v>1.6E-2</c:v>
                </c:pt>
                <c:pt idx="139">
                  <c:v>1.6E-2</c:v>
                </c:pt>
                <c:pt idx="140">
                  <c:v>1.6E-2</c:v>
                </c:pt>
                <c:pt idx="141">
                  <c:v>1.6E-2</c:v>
                </c:pt>
                <c:pt idx="142">
                  <c:v>1.6E-2</c:v>
                </c:pt>
                <c:pt idx="143">
                  <c:v>1.6E-2</c:v>
                </c:pt>
                <c:pt idx="144">
                  <c:v>1.6E-2</c:v>
                </c:pt>
                <c:pt idx="145">
                  <c:v>1.6E-2</c:v>
                </c:pt>
                <c:pt idx="146">
                  <c:v>1.6E-2</c:v>
                </c:pt>
                <c:pt idx="147">
                  <c:v>1.6E-2</c:v>
                </c:pt>
                <c:pt idx="148">
                  <c:v>1.6E-2</c:v>
                </c:pt>
                <c:pt idx="149">
                  <c:v>1.6E-2</c:v>
                </c:pt>
                <c:pt idx="150">
                  <c:v>1.6E-2</c:v>
                </c:pt>
                <c:pt idx="151">
                  <c:v>1.6E-2</c:v>
                </c:pt>
                <c:pt idx="152">
                  <c:v>1.6E-2</c:v>
                </c:pt>
                <c:pt idx="153">
                  <c:v>1.6E-2</c:v>
                </c:pt>
                <c:pt idx="154">
                  <c:v>1.6E-2</c:v>
                </c:pt>
                <c:pt idx="155">
                  <c:v>1.6E-2</c:v>
                </c:pt>
                <c:pt idx="156">
                  <c:v>1.6E-2</c:v>
                </c:pt>
                <c:pt idx="157">
                  <c:v>1.6E-2</c:v>
                </c:pt>
                <c:pt idx="158">
                  <c:v>1.6E-2</c:v>
                </c:pt>
                <c:pt idx="159">
                  <c:v>1.6E-2</c:v>
                </c:pt>
                <c:pt idx="160">
                  <c:v>1.6E-2</c:v>
                </c:pt>
                <c:pt idx="161">
                  <c:v>1.6E-2</c:v>
                </c:pt>
                <c:pt idx="162">
                  <c:v>1.6E-2</c:v>
                </c:pt>
                <c:pt idx="163">
                  <c:v>1.6E-2</c:v>
                </c:pt>
                <c:pt idx="164">
                  <c:v>1.6E-2</c:v>
                </c:pt>
                <c:pt idx="165">
                  <c:v>1.6E-2</c:v>
                </c:pt>
                <c:pt idx="166">
                  <c:v>1.6E-2</c:v>
                </c:pt>
                <c:pt idx="167">
                  <c:v>1.6E-2</c:v>
                </c:pt>
                <c:pt idx="168">
                  <c:v>1.6E-2</c:v>
                </c:pt>
                <c:pt idx="169">
                  <c:v>1.6E-2</c:v>
                </c:pt>
                <c:pt idx="170">
                  <c:v>1.6E-2</c:v>
                </c:pt>
                <c:pt idx="171">
                  <c:v>1.6E-2</c:v>
                </c:pt>
                <c:pt idx="172">
                  <c:v>1.6E-2</c:v>
                </c:pt>
                <c:pt idx="173">
                  <c:v>1.6E-2</c:v>
                </c:pt>
                <c:pt idx="174">
                  <c:v>1.6E-2</c:v>
                </c:pt>
                <c:pt idx="175">
                  <c:v>1.6E-2</c:v>
                </c:pt>
                <c:pt idx="176">
                  <c:v>1.6E-2</c:v>
                </c:pt>
                <c:pt idx="177">
                  <c:v>1.6E-2</c:v>
                </c:pt>
                <c:pt idx="178">
                  <c:v>1.6E-2</c:v>
                </c:pt>
                <c:pt idx="179">
                  <c:v>1.6E-2</c:v>
                </c:pt>
                <c:pt idx="180">
                  <c:v>1.6E-2</c:v>
                </c:pt>
                <c:pt idx="181">
                  <c:v>1.6E-2</c:v>
                </c:pt>
                <c:pt idx="182">
                  <c:v>1.6E-2</c:v>
                </c:pt>
                <c:pt idx="183">
                  <c:v>1.6E-2</c:v>
                </c:pt>
                <c:pt idx="184">
                  <c:v>1.6E-2</c:v>
                </c:pt>
                <c:pt idx="185">
                  <c:v>1.6E-2</c:v>
                </c:pt>
                <c:pt idx="186">
                  <c:v>1.6E-2</c:v>
                </c:pt>
                <c:pt idx="187">
                  <c:v>1.6E-2</c:v>
                </c:pt>
                <c:pt idx="188">
                  <c:v>1.6E-2</c:v>
                </c:pt>
                <c:pt idx="189">
                  <c:v>1.6E-2</c:v>
                </c:pt>
                <c:pt idx="190">
                  <c:v>1.6E-2</c:v>
                </c:pt>
                <c:pt idx="191">
                  <c:v>1.6E-2</c:v>
                </c:pt>
                <c:pt idx="192">
                  <c:v>1.6E-2</c:v>
                </c:pt>
                <c:pt idx="193">
                  <c:v>1.6E-2</c:v>
                </c:pt>
                <c:pt idx="194">
                  <c:v>1.6E-2</c:v>
                </c:pt>
                <c:pt idx="195">
                  <c:v>1.6E-2</c:v>
                </c:pt>
                <c:pt idx="196">
                  <c:v>1.6E-2</c:v>
                </c:pt>
                <c:pt idx="197">
                  <c:v>1.6E-2</c:v>
                </c:pt>
                <c:pt idx="198">
                  <c:v>1.6E-2</c:v>
                </c:pt>
                <c:pt idx="199">
                  <c:v>1.6E-2</c:v>
                </c:pt>
                <c:pt idx="200">
                  <c:v>1.6E-2</c:v>
                </c:pt>
                <c:pt idx="201">
                  <c:v>1.6E-2</c:v>
                </c:pt>
                <c:pt idx="202">
                  <c:v>1.6E-2</c:v>
                </c:pt>
                <c:pt idx="203">
                  <c:v>1.6E-2</c:v>
                </c:pt>
                <c:pt idx="204">
                  <c:v>1.6E-2</c:v>
                </c:pt>
                <c:pt idx="205">
                  <c:v>1.6E-2</c:v>
                </c:pt>
                <c:pt idx="206">
                  <c:v>1.6E-2</c:v>
                </c:pt>
                <c:pt idx="207">
                  <c:v>1.6E-2</c:v>
                </c:pt>
                <c:pt idx="208">
                  <c:v>1.6E-2</c:v>
                </c:pt>
                <c:pt idx="209">
                  <c:v>1.6E-2</c:v>
                </c:pt>
                <c:pt idx="210">
                  <c:v>1.6E-2</c:v>
                </c:pt>
                <c:pt idx="211">
                  <c:v>1.6E-2</c:v>
                </c:pt>
                <c:pt idx="212">
                  <c:v>1.6E-2</c:v>
                </c:pt>
                <c:pt idx="213">
                  <c:v>1.6E-2</c:v>
                </c:pt>
                <c:pt idx="214">
                  <c:v>1.6E-2</c:v>
                </c:pt>
                <c:pt idx="215">
                  <c:v>1.6E-2</c:v>
                </c:pt>
                <c:pt idx="216">
                  <c:v>1.6E-2</c:v>
                </c:pt>
                <c:pt idx="217">
                  <c:v>1.6E-2</c:v>
                </c:pt>
                <c:pt idx="218">
                  <c:v>1.6E-2</c:v>
                </c:pt>
                <c:pt idx="219">
                  <c:v>1.6E-2</c:v>
                </c:pt>
                <c:pt idx="220">
                  <c:v>1.6E-2</c:v>
                </c:pt>
                <c:pt idx="221">
                  <c:v>1.6E-2</c:v>
                </c:pt>
                <c:pt idx="222">
                  <c:v>1.6E-2</c:v>
                </c:pt>
                <c:pt idx="223">
                  <c:v>1.6E-2</c:v>
                </c:pt>
                <c:pt idx="224">
                  <c:v>1.6E-2</c:v>
                </c:pt>
                <c:pt idx="225">
                  <c:v>1.6E-2</c:v>
                </c:pt>
                <c:pt idx="226">
                  <c:v>1.6E-2</c:v>
                </c:pt>
                <c:pt idx="227">
                  <c:v>1.6E-2</c:v>
                </c:pt>
                <c:pt idx="228">
                  <c:v>1.6E-2</c:v>
                </c:pt>
                <c:pt idx="229">
                  <c:v>1.6E-2</c:v>
                </c:pt>
                <c:pt idx="230">
                  <c:v>1.6E-2</c:v>
                </c:pt>
                <c:pt idx="231">
                  <c:v>1.6E-2</c:v>
                </c:pt>
                <c:pt idx="232">
                  <c:v>1.6E-2</c:v>
                </c:pt>
                <c:pt idx="233">
                  <c:v>1.6E-2</c:v>
                </c:pt>
                <c:pt idx="234">
                  <c:v>1.6E-2</c:v>
                </c:pt>
                <c:pt idx="235">
                  <c:v>1.6E-2</c:v>
                </c:pt>
                <c:pt idx="236">
                  <c:v>1.6E-2</c:v>
                </c:pt>
                <c:pt idx="237">
                  <c:v>1.6E-2</c:v>
                </c:pt>
                <c:pt idx="238">
                  <c:v>1.6E-2</c:v>
                </c:pt>
                <c:pt idx="239">
                  <c:v>1.6E-2</c:v>
                </c:pt>
                <c:pt idx="240">
                  <c:v>1.6E-2</c:v>
                </c:pt>
                <c:pt idx="241">
                  <c:v>1.6E-2</c:v>
                </c:pt>
                <c:pt idx="242">
                  <c:v>1.6E-2</c:v>
                </c:pt>
                <c:pt idx="243">
                  <c:v>1.6E-2</c:v>
                </c:pt>
                <c:pt idx="244">
                  <c:v>1.6E-2</c:v>
                </c:pt>
                <c:pt idx="245">
                  <c:v>1.6E-2</c:v>
                </c:pt>
                <c:pt idx="246">
                  <c:v>1.6E-2</c:v>
                </c:pt>
                <c:pt idx="247">
                  <c:v>1.6E-2</c:v>
                </c:pt>
                <c:pt idx="248">
                  <c:v>1.6E-2</c:v>
                </c:pt>
                <c:pt idx="249">
                  <c:v>1.6E-2</c:v>
                </c:pt>
                <c:pt idx="250">
                  <c:v>1.6E-2</c:v>
                </c:pt>
                <c:pt idx="251">
                  <c:v>1.6E-2</c:v>
                </c:pt>
                <c:pt idx="252">
                  <c:v>1.6E-2</c:v>
                </c:pt>
                <c:pt idx="253">
                  <c:v>1.6E-2</c:v>
                </c:pt>
                <c:pt idx="254">
                  <c:v>1.6E-2</c:v>
                </c:pt>
                <c:pt idx="255">
                  <c:v>1.6E-2</c:v>
                </c:pt>
                <c:pt idx="256">
                  <c:v>1.6E-2</c:v>
                </c:pt>
                <c:pt idx="257">
                  <c:v>1.6E-2</c:v>
                </c:pt>
                <c:pt idx="258">
                  <c:v>1.6E-2</c:v>
                </c:pt>
                <c:pt idx="259">
                  <c:v>1.6E-2</c:v>
                </c:pt>
                <c:pt idx="260">
                  <c:v>1.6E-2</c:v>
                </c:pt>
                <c:pt idx="261">
                  <c:v>1.6E-2</c:v>
                </c:pt>
                <c:pt idx="262">
                  <c:v>1.6E-2</c:v>
                </c:pt>
                <c:pt idx="263">
                  <c:v>1.6E-2</c:v>
                </c:pt>
                <c:pt idx="264">
                  <c:v>1.6E-2</c:v>
                </c:pt>
                <c:pt idx="265">
                  <c:v>1.6E-2</c:v>
                </c:pt>
                <c:pt idx="266">
                  <c:v>1.6E-2</c:v>
                </c:pt>
                <c:pt idx="267">
                  <c:v>1.6E-2</c:v>
                </c:pt>
                <c:pt idx="268">
                  <c:v>1.6E-2</c:v>
                </c:pt>
                <c:pt idx="269">
                  <c:v>1.6E-2</c:v>
                </c:pt>
                <c:pt idx="270">
                  <c:v>1.6E-2</c:v>
                </c:pt>
                <c:pt idx="271">
                  <c:v>1.6E-2</c:v>
                </c:pt>
                <c:pt idx="272">
                  <c:v>1.6E-2</c:v>
                </c:pt>
                <c:pt idx="273">
                  <c:v>1.6E-2</c:v>
                </c:pt>
                <c:pt idx="274">
                  <c:v>1.6E-2</c:v>
                </c:pt>
                <c:pt idx="275">
                  <c:v>1.6E-2</c:v>
                </c:pt>
                <c:pt idx="276">
                  <c:v>1.6E-2</c:v>
                </c:pt>
                <c:pt idx="277">
                  <c:v>1.6E-2</c:v>
                </c:pt>
                <c:pt idx="278">
                  <c:v>1.6E-2</c:v>
                </c:pt>
                <c:pt idx="279">
                  <c:v>1.6E-2</c:v>
                </c:pt>
                <c:pt idx="280">
                  <c:v>1.6E-2</c:v>
                </c:pt>
                <c:pt idx="281">
                  <c:v>1.6E-2</c:v>
                </c:pt>
                <c:pt idx="282">
                  <c:v>1.6E-2</c:v>
                </c:pt>
                <c:pt idx="283">
                  <c:v>1.6E-2</c:v>
                </c:pt>
                <c:pt idx="284">
                  <c:v>1.6E-2</c:v>
                </c:pt>
                <c:pt idx="285">
                  <c:v>1.6E-2</c:v>
                </c:pt>
                <c:pt idx="286">
                  <c:v>1.6E-2</c:v>
                </c:pt>
                <c:pt idx="287">
                  <c:v>1.6E-2</c:v>
                </c:pt>
                <c:pt idx="288">
                  <c:v>1.6E-2</c:v>
                </c:pt>
                <c:pt idx="289">
                  <c:v>1.6E-2</c:v>
                </c:pt>
                <c:pt idx="290">
                  <c:v>1.6E-2</c:v>
                </c:pt>
                <c:pt idx="291">
                  <c:v>1.6E-2</c:v>
                </c:pt>
                <c:pt idx="292">
                  <c:v>1.6E-2</c:v>
                </c:pt>
                <c:pt idx="293">
                  <c:v>1.6E-2</c:v>
                </c:pt>
                <c:pt idx="294">
                  <c:v>1.6E-2</c:v>
                </c:pt>
                <c:pt idx="295">
                  <c:v>1.6E-2</c:v>
                </c:pt>
                <c:pt idx="296">
                  <c:v>1.6E-2</c:v>
                </c:pt>
                <c:pt idx="297">
                  <c:v>1.6E-2</c:v>
                </c:pt>
                <c:pt idx="298">
                  <c:v>1.6E-2</c:v>
                </c:pt>
                <c:pt idx="299">
                  <c:v>1.6E-2</c:v>
                </c:pt>
                <c:pt idx="300">
                  <c:v>1.6E-2</c:v>
                </c:pt>
                <c:pt idx="301">
                  <c:v>1.6E-2</c:v>
                </c:pt>
                <c:pt idx="302">
                  <c:v>1.6E-2</c:v>
                </c:pt>
                <c:pt idx="303">
                  <c:v>1.6E-2</c:v>
                </c:pt>
                <c:pt idx="304">
                  <c:v>1.6E-2</c:v>
                </c:pt>
                <c:pt idx="305">
                  <c:v>1.6E-2</c:v>
                </c:pt>
                <c:pt idx="306">
                  <c:v>1.6E-2</c:v>
                </c:pt>
                <c:pt idx="307">
                  <c:v>1.6E-2</c:v>
                </c:pt>
                <c:pt idx="308">
                  <c:v>1.6E-2</c:v>
                </c:pt>
                <c:pt idx="309">
                  <c:v>1.6E-2</c:v>
                </c:pt>
                <c:pt idx="310">
                  <c:v>1.6E-2</c:v>
                </c:pt>
                <c:pt idx="311">
                  <c:v>1.6E-2</c:v>
                </c:pt>
                <c:pt idx="312">
                  <c:v>1.6E-2</c:v>
                </c:pt>
                <c:pt idx="313">
                  <c:v>1.6E-2</c:v>
                </c:pt>
                <c:pt idx="314">
                  <c:v>1.6E-2</c:v>
                </c:pt>
                <c:pt idx="315">
                  <c:v>1.6E-2</c:v>
                </c:pt>
                <c:pt idx="316">
                  <c:v>1.6E-2</c:v>
                </c:pt>
                <c:pt idx="317">
                  <c:v>1.6E-2</c:v>
                </c:pt>
                <c:pt idx="318">
                  <c:v>1.6E-2</c:v>
                </c:pt>
                <c:pt idx="319">
                  <c:v>1.6E-2</c:v>
                </c:pt>
                <c:pt idx="320">
                  <c:v>1.6E-2</c:v>
                </c:pt>
                <c:pt idx="321">
                  <c:v>1.6E-2</c:v>
                </c:pt>
                <c:pt idx="322">
                  <c:v>1.6E-2</c:v>
                </c:pt>
                <c:pt idx="323">
                  <c:v>1.6E-2</c:v>
                </c:pt>
                <c:pt idx="324">
                  <c:v>1.6E-2</c:v>
                </c:pt>
                <c:pt idx="325">
                  <c:v>1.6E-2</c:v>
                </c:pt>
                <c:pt idx="326">
                  <c:v>1.6E-2</c:v>
                </c:pt>
                <c:pt idx="327">
                  <c:v>1.6E-2</c:v>
                </c:pt>
                <c:pt idx="328">
                  <c:v>1.6E-2</c:v>
                </c:pt>
                <c:pt idx="329">
                  <c:v>1.6E-2</c:v>
                </c:pt>
                <c:pt idx="330">
                  <c:v>1.6E-2</c:v>
                </c:pt>
                <c:pt idx="331">
                  <c:v>1.6E-2</c:v>
                </c:pt>
                <c:pt idx="332">
                  <c:v>1.6E-2</c:v>
                </c:pt>
                <c:pt idx="333">
                  <c:v>1.6E-2</c:v>
                </c:pt>
                <c:pt idx="334">
                  <c:v>1.6E-2</c:v>
                </c:pt>
                <c:pt idx="335">
                  <c:v>1.6E-2</c:v>
                </c:pt>
                <c:pt idx="336">
                  <c:v>1.6E-2</c:v>
                </c:pt>
                <c:pt idx="337">
                  <c:v>1.6E-2</c:v>
                </c:pt>
                <c:pt idx="338">
                  <c:v>1.6E-2</c:v>
                </c:pt>
                <c:pt idx="339">
                  <c:v>1.6E-2</c:v>
                </c:pt>
                <c:pt idx="340">
                  <c:v>1.6E-2</c:v>
                </c:pt>
                <c:pt idx="341">
                  <c:v>1.6E-2</c:v>
                </c:pt>
                <c:pt idx="342">
                  <c:v>1.6E-2</c:v>
                </c:pt>
                <c:pt idx="343">
                  <c:v>1.6E-2</c:v>
                </c:pt>
                <c:pt idx="344">
                  <c:v>1.6E-2</c:v>
                </c:pt>
                <c:pt idx="345">
                  <c:v>1.6E-2</c:v>
                </c:pt>
                <c:pt idx="346">
                  <c:v>1.6E-2</c:v>
                </c:pt>
                <c:pt idx="347">
                  <c:v>1.6E-2</c:v>
                </c:pt>
                <c:pt idx="348">
                  <c:v>1.6E-2</c:v>
                </c:pt>
                <c:pt idx="349">
                  <c:v>1.6E-2</c:v>
                </c:pt>
                <c:pt idx="350">
                  <c:v>1.6E-2</c:v>
                </c:pt>
                <c:pt idx="351">
                  <c:v>1.6E-2</c:v>
                </c:pt>
                <c:pt idx="352">
                  <c:v>1.6E-2</c:v>
                </c:pt>
                <c:pt idx="353">
                  <c:v>1.6E-2</c:v>
                </c:pt>
                <c:pt idx="354">
                  <c:v>1.6E-2</c:v>
                </c:pt>
                <c:pt idx="355">
                  <c:v>1.6E-2</c:v>
                </c:pt>
                <c:pt idx="356">
                  <c:v>1.6E-2</c:v>
                </c:pt>
                <c:pt idx="357">
                  <c:v>1.6E-2</c:v>
                </c:pt>
                <c:pt idx="358">
                  <c:v>1.6E-2</c:v>
                </c:pt>
                <c:pt idx="359">
                  <c:v>1.6E-2</c:v>
                </c:pt>
                <c:pt idx="360">
                  <c:v>1.78490667200123E-2</c:v>
                </c:pt>
                <c:pt idx="361">
                  <c:v>1.85314238732864E-2</c:v>
                </c:pt>
                <c:pt idx="362">
                  <c:v>1.22990928471315E-2</c:v>
                </c:pt>
                <c:pt idx="363">
                  <c:v>7.1594417221594797E-3</c:v>
                </c:pt>
                <c:pt idx="364">
                  <c:v>3.2286623554555502E-3</c:v>
                </c:pt>
                <c:pt idx="365">
                  <c:v>7.2918717969880495E-4</c:v>
                </c:pt>
                <c:pt idx="366">
                  <c:v>0</c:v>
                </c:pt>
                <c:pt idx="3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BD0-4311-8122-AB04DD3F6CF0}"/>
            </c:ext>
          </c:extLst>
        </c:ser>
        <c:ser>
          <c:idx val="1"/>
          <c:order val="1"/>
          <c:tx>
            <c:strRef>
              <c:f>Implicit_Fracs!$Q$2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Implicit_Fracs!$C$4:$C$371</c:f>
              <c:numCache>
                <c:formatCode>General</c:formatCode>
                <c:ptCount val="368"/>
                <c:pt idx="0">
                  <c:v>6.5458908507104702E-2</c:v>
                </c:pt>
                <c:pt idx="1">
                  <c:v>0.10158646265419501</c:v>
                </c:pt>
                <c:pt idx="2">
                  <c:v>0.102060105178604</c:v>
                </c:pt>
                <c:pt idx="3">
                  <c:v>0.102354758409441</c:v>
                </c:pt>
                <c:pt idx="4">
                  <c:v>0.10257003610151801</c:v>
                </c:pt>
                <c:pt idx="5">
                  <c:v>0.102740146597483</c:v>
                </c:pt>
                <c:pt idx="6">
                  <c:v>0.10288102093448701</c:v>
                </c:pt>
                <c:pt idx="7">
                  <c:v>0.10300139565401099</c:v>
                </c:pt>
                <c:pt idx="8">
                  <c:v>0.10310658737638601</c:v>
                </c:pt>
                <c:pt idx="9">
                  <c:v>0.103200075337502</c:v>
                </c:pt>
                <c:pt idx="10">
                  <c:v>0.103284262204</c:v>
                </c:pt>
                <c:pt idx="11">
                  <c:v>0.103360877526633</c:v>
                </c:pt>
                <c:pt idx="12">
                  <c:v>0.103431208153653</c:v>
                </c:pt>
                <c:pt idx="13">
                  <c:v>0.103496237708407</c:v>
                </c:pt>
                <c:pt idx="14">
                  <c:v>0.103556735084609</c:v>
                </c:pt>
                <c:pt idx="15">
                  <c:v>0.103613312816801</c:v>
                </c:pt>
                <c:pt idx="16">
                  <c:v>0.103666466857375</c:v>
                </c:pt>
                <c:pt idx="17">
                  <c:v>0.10371660444741999</c:v>
                </c:pt>
                <c:pt idx="18">
                  <c:v>0.10376406411969299</c:v>
                </c:pt>
                <c:pt idx="19">
                  <c:v>0.10380913035858701</c:v>
                </c:pt>
                <c:pt idx="20">
                  <c:v>0.103852044544123</c:v>
                </c:pt>
                <c:pt idx="21">
                  <c:v>0.103893013256558</c:v>
                </c:pt>
                <c:pt idx="22">
                  <c:v>0.103932214670875</c:v>
                </c:pt>
                <c:pt idx="23">
                  <c:v>0.10396980354554</c:v>
                </c:pt>
                <c:pt idx="24">
                  <c:v>0.104005915161023</c:v>
                </c:pt>
                <c:pt idx="25">
                  <c:v>0.10404066846285701</c:v>
                </c:pt>
                <c:pt idx="26">
                  <c:v>0.104074168594671</c:v>
                </c:pt>
                <c:pt idx="27">
                  <c:v>0.10410650895807599</c:v>
                </c:pt>
                <c:pt idx="28">
                  <c:v>0.10413777290170501</c:v>
                </c:pt>
                <c:pt idx="29">
                  <c:v>0.104168035116796</c:v>
                </c:pt>
                <c:pt idx="30">
                  <c:v>0.104197362798492</c:v>
                </c:pt>
                <c:pt idx="31">
                  <c:v>0.104225816618547</c:v>
                </c:pt>
                <c:pt idx="32">
                  <c:v>0.104253451545067</c:v>
                </c:pt>
                <c:pt idx="33">
                  <c:v>0.104280317537286</c:v>
                </c:pt>
                <c:pt idx="34">
                  <c:v>0.10430646013757899</c:v>
                </c:pt>
                <c:pt idx="35">
                  <c:v>0.10433192097843901</c:v>
                </c:pt>
                <c:pt idx="36">
                  <c:v>0.104356738218675</c:v>
                </c:pt>
                <c:pt idx="37">
                  <c:v>0.10438094692038</c:v>
                </c:pt>
                <c:pt idx="38">
                  <c:v>0.104404579376061</c:v>
                </c:pt>
                <c:pt idx="39">
                  <c:v>0.10442766539470601</c:v>
                </c:pt>
                <c:pt idx="40">
                  <c:v>0.104450232550895</c:v>
                </c:pt>
                <c:pt idx="41">
                  <c:v>0.104472306403378</c:v>
                </c:pt>
                <c:pt idx="42">
                  <c:v>0.104493910687546</c:v>
                </c:pt>
                <c:pt idx="43">
                  <c:v>0.104515067485448</c:v>
                </c:pt>
                <c:pt idx="44">
                  <c:v>0.104535797376425</c:v>
                </c:pt>
                <c:pt idx="45">
                  <c:v>0.104556119570968</c:v>
                </c:pt>
                <c:pt idx="46">
                  <c:v>0.10457605202998201</c:v>
                </c:pt>
                <c:pt idx="47">
                  <c:v>0.10459561157132601</c:v>
                </c:pt>
                <c:pt idx="48">
                  <c:v>0.10461481396524</c:v>
                </c:pt>
                <c:pt idx="49">
                  <c:v>0.104633674020002</c:v>
                </c:pt>
                <c:pt idx="50">
                  <c:v>0.104652205659008</c:v>
                </c:pt>
                <c:pt idx="51">
                  <c:v>0.10467042199028</c:v>
                </c:pt>
                <c:pt idx="52">
                  <c:v>0.10468833536927501</c:v>
                </c:pt>
                <c:pt idx="53">
                  <c:v>0.104705957455764</c:v>
                </c:pt>
                <c:pt idx="54">
                  <c:v>0.104723299265432</c:v>
                </c:pt>
                <c:pt idx="55">
                  <c:v>0.10474037121678501</c:v>
                </c:pt>
                <c:pt idx="56">
                  <c:v>0.104757183173858</c:v>
                </c:pt>
                <c:pt idx="57">
                  <c:v>0.10477374448518</c:v>
                </c:pt>
                <c:pt idx="58">
                  <c:v>0.104790064019366</c:v>
                </c:pt>
                <c:pt idx="59">
                  <c:v>0.10480615019770299</c:v>
                </c:pt>
                <c:pt idx="60">
                  <c:v>0.104822011024007</c:v>
                </c:pt>
                <c:pt idx="61">
                  <c:v>0.10483765411203801</c:v>
                </c:pt>
                <c:pt idx="62">
                  <c:v>0.104853086710699</c:v>
                </c:pt>
                <c:pt idx="63">
                  <c:v>0.10486831572724099</c:v>
                </c:pt>
                <c:pt idx="64">
                  <c:v>0.104883347748643</c:v>
                </c:pt>
                <c:pt idx="65">
                  <c:v>0.104898189061358</c:v>
                </c:pt>
                <c:pt idx="66">
                  <c:v>0.104912845669559</c:v>
                </c:pt>
                <c:pt idx="67">
                  <c:v>0.10492732331202199</c:v>
                </c:pt>
                <c:pt idx="68">
                  <c:v>0.10494162747777</c:v>
                </c:pt>
                <c:pt idx="69">
                  <c:v>0.10495576342058401</c:v>
                </c:pt>
                <c:pt idx="70">
                  <c:v>0.104969736172476</c:v>
                </c:pt>
                <c:pt idx="71">
                  <c:v>0.104983550556215</c:v>
                </c:pt>
                <c:pt idx="72">
                  <c:v>0.104997211196988</c:v>
                </c:pt>
                <c:pt idx="73">
                  <c:v>0.105010722533251</c:v>
                </c:pt>
                <c:pt idx="74">
                  <c:v>0.10502408882686499</c:v>
                </c:pt>
                <c:pt idx="75">
                  <c:v>0.105037314172539</c:v>
                </c:pt>
                <c:pt idx="76">
                  <c:v>0.10505040250667</c:v>
                </c:pt>
                <c:pt idx="77">
                  <c:v>0.105063357615594</c:v>
                </c:pt>
                <c:pt idx="78">
                  <c:v>0.105076183143323</c:v>
                </c:pt>
                <c:pt idx="79">
                  <c:v>0.10508888259878001</c:v>
                </c:pt>
                <c:pt idx="80">
                  <c:v>0.105101459362598</c:v>
                </c:pt>
                <c:pt idx="81">
                  <c:v>0.10511391669348399</c:v>
                </c:pt>
                <c:pt idx="82">
                  <c:v>0.10512625773421</c:v>
                </c:pt>
                <c:pt idx="83">
                  <c:v>0.10513848551723599</c:v>
                </c:pt>
                <c:pt idx="84">
                  <c:v>0.10515060297000201</c:v>
                </c:pt>
                <c:pt idx="85">
                  <c:v>0.105162612919908</c:v>
                </c:pt>
                <c:pt idx="86">
                  <c:v>0.105174518099013</c:v>
                </c:pt>
                <c:pt idx="87">
                  <c:v>0.105186321148453</c:v>
                </c:pt>
                <c:pt idx="88">
                  <c:v>0.105198024622616</c:v>
                </c:pt>
                <c:pt idx="89">
                  <c:v>0.105209630993088</c:v>
                </c:pt>
                <c:pt idx="90">
                  <c:v>0.10522114265237301</c:v>
                </c:pt>
                <c:pt idx="91">
                  <c:v>0.105232561917411</c:v>
                </c:pt>
                <c:pt idx="92">
                  <c:v>0.105243891032912</c:v>
                </c:pt>
                <c:pt idx="93">
                  <c:v>0.105255132174505</c:v>
                </c:pt>
                <c:pt idx="94">
                  <c:v>0.10526628745172401</c:v>
                </c:pt>
                <c:pt idx="95">
                  <c:v>0.105277358910841</c:v>
                </c:pt>
                <c:pt idx="96">
                  <c:v>0.105288348537545</c:v>
                </c:pt>
                <c:pt idx="97">
                  <c:v>0.10529925825949001</c:v>
                </c:pt>
                <c:pt idx="98">
                  <c:v>0.105310089948715</c:v>
                </c:pt>
                <c:pt idx="99">
                  <c:v>0.10532084542394</c:v>
                </c:pt>
                <c:pt idx="100">
                  <c:v>0.105331526452749</c:v>
                </c:pt>
                <c:pt idx="101">
                  <c:v>0.10534213475366599</c:v>
                </c:pt>
                <c:pt idx="102">
                  <c:v>0.105352671998135</c:v>
                </c:pt>
                <c:pt idx="103">
                  <c:v>0.105363139812398</c:v>
                </c:pt>
                <c:pt idx="104">
                  <c:v>0.10537353977929</c:v>
                </c:pt>
                <c:pt idx="105">
                  <c:v>0.105383873439947</c:v>
                </c:pt>
                <c:pt idx="106">
                  <c:v>0.105394142295438</c:v>
                </c:pt>
                <c:pt idx="107">
                  <c:v>0.10540434780831399</c:v>
                </c:pt>
                <c:pt idx="108">
                  <c:v>0.1054144914041</c:v>
                </c:pt>
                <c:pt idx="109">
                  <c:v>0.105424574472708</c:v>
                </c:pt>
                <c:pt idx="110">
                  <c:v>0.10543459836979301</c:v>
                </c:pt>
                <c:pt idx="111">
                  <c:v>0.105444564418049</c:v>
                </c:pt>
                <c:pt idx="112">
                  <c:v>0.105454473908448</c:v>
                </c:pt>
                <c:pt idx="113">
                  <c:v>0.105464328101426</c:v>
                </c:pt>
                <c:pt idx="114">
                  <c:v>0.10547412822802001</c:v>
                </c:pt>
                <c:pt idx="115">
                  <c:v>0.10548387549095201</c:v>
                </c:pt>
                <c:pt idx="116">
                  <c:v>0.105493571065675</c:v>
                </c:pt>
                <c:pt idx="117">
                  <c:v>0.105503216101374</c:v>
                </c:pt>
                <c:pt idx="118">
                  <c:v>0.10551281172191999</c:v>
                </c:pt>
                <c:pt idx="119">
                  <c:v>0.10552235902679701</c:v>
                </c:pt>
                <c:pt idx="120">
                  <c:v>0.105531859091982</c:v>
                </c:pt>
                <c:pt idx="121">
                  <c:v>0.105541312970793</c:v>
                </c:pt>
                <c:pt idx="122">
                  <c:v>0.105550721694713</c:v>
                </c:pt>
                <c:pt idx="123">
                  <c:v>0.10556008627416701</c:v>
                </c:pt>
                <c:pt idx="124">
                  <c:v>0.105569407699282</c:v>
                </c:pt>
                <c:pt idx="125">
                  <c:v>0.105578686940613</c:v>
                </c:pt>
                <c:pt idx="126">
                  <c:v>0.10558792494984499</c:v>
                </c:pt>
                <c:pt idx="127">
                  <c:v>0.105597122660464</c:v>
                </c:pt>
                <c:pt idx="128">
                  <c:v>0.105606280988415</c:v>
                </c:pt>
                <c:pt idx="129">
                  <c:v>0.105615400832723</c:v>
                </c:pt>
                <c:pt idx="130">
                  <c:v>0.10562448307610101</c:v>
                </c:pt>
                <c:pt idx="131">
                  <c:v>0.105633528585537</c:v>
                </c:pt>
                <c:pt idx="132">
                  <c:v>0.105642538212856</c:v>
                </c:pt>
                <c:pt idx="133">
                  <c:v>0.10565151279527001</c:v>
                </c:pt>
                <c:pt idx="134">
                  <c:v>0.105660453155901</c:v>
                </c:pt>
                <c:pt idx="135">
                  <c:v>0.1056693601043</c:v>
                </c:pt>
                <c:pt idx="136">
                  <c:v>0.105678234436935</c:v>
                </c:pt>
                <c:pt idx="137">
                  <c:v>0.105687076937673</c:v>
                </c:pt>
                <c:pt idx="138">
                  <c:v>0.10569588837824601</c:v>
                </c:pt>
                <c:pt idx="139">
                  <c:v>0.105704669518702</c:v>
                </c:pt>
                <c:pt idx="140">
                  <c:v>0.105713421107842</c:v>
                </c:pt>
                <c:pt idx="141">
                  <c:v>0.105722143883642</c:v>
                </c:pt>
                <c:pt idx="142">
                  <c:v>0.10573083857367301</c:v>
                </c:pt>
                <c:pt idx="143">
                  <c:v>0.10573950589549699</c:v>
                </c:pt>
                <c:pt idx="144">
                  <c:v>0.105748146557059</c:v>
                </c:pt>
                <c:pt idx="145">
                  <c:v>0.105756761257069</c:v>
                </c:pt>
                <c:pt idx="146">
                  <c:v>0.105765350685371</c:v>
                </c:pt>
                <c:pt idx="147">
                  <c:v>0.10577391552330601</c:v>
                </c:pt>
                <c:pt idx="148">
                  <c:v>0.105782456444064</c:v>
                </c:pt>
                <c:pt idx="149">
                  <c:v>0.105790974113029</c:v>
                </c:pt>
                <c:pt idx="150">
                  <c:v>0.105799469188117</c:v>
                </c:pt>
                <c:pt idx="151">
                  <c:v>0.105807942320102</c:v>
                </c:pt>
                <c:pt idx="152">
                  <c:v>0.105816394152941</c:v>
                </c:pt>
                <c:pt idx="153">
                  <c:v>0.10582482532409</c:v>
                </c:pt>
                <c:pt idx="154">
                  <c:v>0.10583323646481201</c:v>
                </c:pt>
                <c:pt idx="155">
                  <c:v>0.105841628200482</c:v>
                </c:pt>
                <c:pt idx="156">
                  <c:v>0.105850001150887</c:v>
                </c:pt>
                <c:pt idx="157">
                  <c:v>0.105858355930516</c:v>
                </c:pt>
                <c:pt idx="158">
                  <c:v>0.105866693148851</c:v>
                </c:pt>
                <c:pt idx="159">
                  <c:v>0.105875013410654</c:v>
                </c:pt>
                <c:pt idx="160">
                  <c:v>0.10588331731624</c:v>
                </c:pt>
                <c:pt idx="161">
                  <c:v>0.105891605461765</c:v>
                </c:pt>
                <c:pt idx="162">
                  <c:v>0.10589987843948701</c:v>
                </c:pt>
                <c:pt idx="163">
                  <c:v>0.10590813683804701</c:v>
                </c:pt>
                <c:pt idx="164">
                  <c:v>0.10591638124273201</c:v>
                </c:pt>
                <c:pt idx="165">
                  <c:v>0.105924612235738</c:v>
                </c:pt>
                <c:pt idx="166">
                  <c:v>0.10593283039644</c:v>
                </c:pt>
                <c:pt idx="167">
                  <c:v>0.105941036301648</c:v>
                </c:pt>
                <c:pt idx="168">
                  <c:v>0.10594923052586901</c:v>
                </c:pt>
                <c:pt idx="169">
                  <c:v>0.105957413641566</c:v>
                </c:pt>
                <c:pt idx="170">
                  <c:v>0.105965586219415</c:v>
                </c:pt>
                <c:pt idx="171">
                  <c:v>0.105973748828566</c:v>
                </c:pt>
                <c:pt idx="172">
                  <c:v>0.10598190203689301</c:v>
                </c:pt>
                <c:pt idx="173">
                  <c:v>0.105990046411258</c:v>
                </c:pt>
                <c:pt idx="174">
                  <c:v>0.10599818251776701</c:v>
                </c:pt>
                <c:pt idx="175">
                  <c:v>0.106006310922025</c:v>
                </c:pt>
                <c:pt idx="176">
                  <c:v>0.106014432189397</c:v>
                </c:pt>
                <c:pt idx="177">
                  <c:v>0.106022546885271</c:v>
                </c:pt>
                <c:pt idx="178">
                  <c:v>0.10603065557531401</c:v>
                </c:pt>
                <c:pt idx="179">
                  <c:v>0.10603875882574</c:v>
                </c:pt>
                <c:pt idx="180">
                  <c:v>0.106046857203577</c:v>
                </c:pt>
                <c:pt idx="181">
                  <c:v>0.106054951276932</c:v>
                </c:pt>
                <c:pt idx="182">
                  <c:v>0.106063041615263</c:v>
                </c:pt>
                <c:pt idx="183">
                  <c:v>0.10607112878965499</c:v>
                </c:pt>
                <c:pt idx="184">
                  <c:v>0.106079213373101</c:v>
                </c:pt>
                <c:pt idx="185">
                  <c:v>0.106087295940776</c:v>
                </c:pt>
                <c:pt idx="186">
                  <c:v>0.10609537707033299</c:v>
                </c:pt>
                <c:pt idx="187">
                  <c:v>0.106103457342189</c:v>
                </c:pt>
                <c:pt idx="188">
                  <c:v>0.106111537339822</c:v>
                </c:pt>
                <c:pt idx="189">
                  <c:v>0.10611961765007601</c:v>
                </c:pt>
                <c:pt idx="190">
                  <c:v>0.106127698863465</c:v>
                </c:pt>
                <c:pt idx="191">
                  <c:v>0.10613578157449099</c:v>
                </c:pt>
                <c:pt idx="192">
                  <c:v>0.106143866381966</c:v>
                </c:pt>
                <c:pt idx="193">
                  <c:v>0.10615195388934</c:v>
                </c:pt>
                <c:pt idx="194">
                  <c:v>0.106160044705038</c:v>
                </c:pt>
                <c:pt idx="195">
                  <c:v>0.106168139442805</c:v>
                </c:pt>
                <c:pt idx="196">
                  <c:v>0.106176238722063</c:v>
                </c:pt>
                <c:pt idx="197">
                  <c:v>0.106184343168276</c:v>
                </c:pt>
                <c:pt idx="198">
                  <c:v>0.10619245341332301</c:v>
                </c:pt>
                <c:pt idx="199">
                  <c:v>0.106200570095885</c:v>
                </c:pt>
                <c:pt idx="200">
                  <c:v>0.10620869386184199</c:v>
                </c:pt>
                <c:pt idx="201">
                  <c:v>0.10621682536468401</c:v>
                </c:pt>
                <c:pt idx="202">
                  <c:v>0.106224965265935</c:v>
                </c:pt>
                <c:pt idx="203">
                  <c:v>0.106233114235588</c:v>
                </c:pt>
                <c:pt idx="204">
                  <c:v>0.10624127295256</c:v>
                </c:pt>
                <c:pt idx="205">
                  <c:v>0.10624944210515699</c:v>
                </c:pt>
                <c:pt idx="206">
                  <c:v>0.106257622391562</c:v>
                </c:pt>
                <c:pt idx="207">
                  <c:v>0.106265814520335</c:v>
                </c:pt>
                <c:pt idx="208">
                  <c:v>0.106274019210935</c:v>
                </c:pt>
                <c:pt idx="209">
                  <c:v>0.10628223719426</c:v>
                </c:pt>
                <c:pt idx="210">
                  <c:v>0.106290469213214</c:v>
                </c:pt>
                <c:pt idx="211">
                  <c:v>0.106298716023284</c:v>
                </c:pt>
                <c:pt idx="212">
                  <c:v>0.106306978393155</c:v>
                </c:pt>
                <c:pt idx="213">
                  <c:v>0.106315257105341</c:v>
                </c:pt>
                <c:pt idx="214">
                  <c:v>0.10632355295684801</c:v>
                </c:pt>
                <c:pt idx="215">
                  <c:v>0.10633186675985799</c:v>
                </c:pt>
                <c:pt idx="216">
                  <c:v>0.10634019934245301</c:v>
                </c:pt>
                <c:pt idx="217">
                  <c:v>0.106348551549366</c:v>
                </c:pt>
                <c:pt idx="218">
                  <c:v>0.106356924242761</c:v>
                </c:pt>
                <c:pt idx="219">
                  <c:v>0.10636531830306099</c:v>
                </c:pt>
                <c:pt idx="220">
                  <c:v>0.106373734629807</c:v>
                </c:pt>
                <c:pt idx="221">
                  <c:v>0.10638217414255299</c:v>
                </c:pt>
                <c:pt idx="222">
                  <c:v>0.106390637781818</c:v>
                </c:pt>
                <c:pt idx="223">
                  <c:v>0.10639912651007299</c:v>
                </c:pt>
                <c:pt idx="224">
                  <c:v>0.10640764131277999</c:v>
                </c:pt>
                <c:pt idx="225">
                  <c:v>0.10641618319948901</c:v>
                </c:pt>
                <c:pt idx="226">
                  <c:v>0.106424753204983</c:v>
                </c:pt>
                <c:pt idx="227">
                  <c:v>0.10643335239049</c:v>
                </c:pt>
                <c:pt idx="228">
                  <c:v>0.106441981844954</c:v>
                </c:pt>
                <c:pt idx="229">
                  <c:v>0.106450642686375</c:v>
                </c:pt>
                <c:pt idx="230">
                  <c:v>0.10645933606322799</c:v>
                </c:pt>
                <c:pt idx="231">
                  <c:v>0.10646806315594901</c:v>
                </c:pt>
                <c:pt idx="232">
                  <c:v>0.106476825178516</c:v>
                </c:pt>
                <c:pt idx="233">
                  <c:v>0.10648562338011</c:v>
                </c:pt>
                <c:pt idx="234">
                  <c:v>0.106494459046881</c:v>
                </c:pt>
                <c:pt idx="235">
                  <c:v>0.106503333503809</c:v>
                </c:pt>
                <c:pt idx="236">
                  <c:v>0.10651224811667701</c:v>
                </c:pt>
                <c:pt idx="237">
                  <c:v>0.106521204294171</c:v>
                </c:pt>
                <c:pt idx="238">
                  <c:v>0.106530203490093</c:v>
                </c:pt>
                <c:pt idx="239">
                  <c:v>0.10653924720572699</c:v>
                </c:pt>
                <c:pt idx="240">
                  <c:v>0.106548336992338</c:v>
                </c:pt>
                <c:pt idx="241">
                  <c:v>0.106557474453844</c:v>
                </c:pt>
                <c:pt idx="242">
                  <c:v>0.106566661249652</c:v>
                </c:pt>
                <c:pt idx="243">
                  <c:v>0.10657589909767901</c:v>
                </c:pt>
                <c:pt idx="244">
                  <c:v>0.10658518977758299</c:v>
                </c:pt>
                <c:pt idx="245">
                  <c:v>0.106594535134197</c:v>
                </c:pt>
                <c:pt idx="246">
                  <c:v>0.106603937081217</c:v>
                </c:pt>
                <c:pt idx="247">
                  <c:v>0.106613397605125</c:v>
                </c:pt>
                <c:pt idx="248">
                  <c:v>0.10662291876941001</c:v>
                </c:pt>
                <c:pt idx="249">
                  <c:v>0.106632502719071</c:v>
                </c:pt>
                <c:pt idx="250">
                  <c:v>0.10664215168546599</c:v>
                </c:pt>
                <c:pt idx="251">
                  <c:v>0.106651867991505</c:v>
                </c:pt>
                <c:pt idx="252">
                  <c:v>0.106661654057239</c:v>
                </c:pt>
                <c:pt idx="253">
                  <c:v>0.106671512405876</c:v>
                </c:pt>
                <c:pt idx="254">
                  <c:v>0.106681445670259</c:v>
                </c:pt>
                <c:pt idx="255">
                  <c:v>0.106691456599855</c:v>
                </c:pt>
                <c:pt idx="256">
                  <c:v>0.10670154806830701</c:v>
                </c:pt>
                <c:pt idx="257">
                  <c:v>0.106711723081597</c:v>
                </c:pt>
                <c:pt idx="258">
                  <c:v>0.106721984786882</c:v>
                </c:pt>
                <c:pt idx="259">
                  <c:v>0.106732336482082</c:v>
                </c:pt>
                <c:pt idx="260">
                  <c:v>0.10674278162628199</c:v>
                </c:pt>
                <c:pt idx="261">
                  <c:v>0.106753323851043</c:v>
                </c:pt>
                <c:pt idx="262">
                  <c:v>0.106763966972719</c:v>
                </c:pt>
                <c:pt idx="263">
                  <c:v>0.10677471500588499</c:v>
                </c:pt>
                <c:pt idx="264">
                  <c:v>0.10678557217800599</c:v>
                </c:pt>
                <c:pt idx="265">
                  <c:v>0.106796542945475</c:v>
                </c:pt>
                <c:pt idx="266">
                  <c:v>0.10680763201119001</c:v>
                </c:pt>
                <c:pt idx="267">
                  <c:v>0.106818844343851</c:v>
                </c:pt>
                <c:pt idx="268">
                  <c:v>0.106830185199162</c:v>
                </c:pt>
                <c:pt idx="269">
                  <c:v>0.1068416601432</c:v>
                </c:pt>
                <c:pt idx="270">
                  <c:v>0.106853275078199</c:v>
                </c:pt>
                <c:pt idx="271">
                  <c:v>0.10686503627105901</c:v>
                </c:pt>
                <c:pt idx="272">
                  <c:v>0.106876950384948</c:v>
                </c:pt>
                <c:pt idx="273">
                  <c:v>0.10688902451438199</c:v>
                </c:pt>
                <c:pt idx="274">
                  <c:v>0.106901266224276</c:v>
                </c:pt>
                <c:pt idx="275">
                  <c:v>0.106913683593506</c:v>
                </c:pt>
                <c:pt idx="276">
                  <c:v>0.106926285263621</c:v>
                </c:pt>
                <c:pt idx="277">
                  <c:v>0.106939080493455</c:v>
                </c:pt>
                <c:pt idx="278">
                  <c:v>0.10695207922051</c:v>
                </c:pt>
                <c:pt idx="279">
                  <c:v>0.10696529213014599</c:v>
                </c:pt>
                <c:pt idx="280">
                  <c:v>0.106978730733797</c:v>
                </c:pt>
                <c:pt idx="281">
                  <c:v>0.106992407457646</c:v>
                </c:pt>
                <c:pt idx="282">
                  <c:v>0.107006335743491</c:v>
                </c:pt>
                <c:pt idx="283">
                  <c:v>0.10702053016384699</c:v>
                </c:pt>
                <c:pt idx="284">
                  <c:v>0.107035006553762</c:v>
                </c:pt>
                <c:pt idx="285">
                  <c:v>0.107049782162317</c:v>
                </c:pt>
                <c:pt idx="286">
                  <c:v>0.10706487582742701</c:v>
                </c:pt>
                <c:pt idx="287">
                  <c:v>0.107080308178348</c:v>
                </c:pt>
                <c:pt idx="288">
                  <c:v>0.10709610187127599</c:v>
                </c:pt>
                <c:pt idx="289">
                  <c:v>0.10711228186470099</c:v>
                </c:pt>
                <c:pt idx="290">
                  <c:v>0.107128875742745</c:v>
                </c:pt>
                <c:pt idx="291">
                  <c:v>0.107145914096787</c:v>
                </c:pt>
                <c:pt idx="292">
                  <c:v>0.10716343097827</c:v>
                </c:pt>
                <c:pt idx="293">
                  <c:v>0.10718146443905199</c:v>
                </c:pt>
                <c:pt idx="294">
                  <c:v>0.107200057180087</c:v>
                </c:pt>
                <c:pt idx="295">
                  <c:v>0.10721925733519</c:v>
                </c:pt>
                <c:pt idx="296">
                  <c:v>0.107239119424452</c:v>
                </c:pt>
                <c:pt idx="297">
                  <c:v>0.10725970552248799</c:v>
                </c:pt>
                <c:pt idx="298">
                  <c:v>0.107281086701057</c:v>
                </c:pt>
                <c:pt idx="299">
                  <c:v>0.10730334482520799</c:v>
                </c:pt>
                <c:pt idx="300">
                  <c:v>0.107326574809414</c:v>
                </c:pt>
                <c:pt idx="301">
                  <c:v>0.10735088747820599</c:v>
                </c:pt>
                <c:pt idx="302">
                  <c:v>0.10737641322982</c:v>
                </c:pt>
                <c:pt idx="303">
                  <c:v>0.107403306778537</c:v>
                </c:pt>
                <c:pt idx="304">
                  <c:v>0.10743175336319</c:v>
                </c:pt>
                <c:pt idx="305">
                  <c:v>0.107461976972791</c:v>
                </c:pt>
                <c:pt idx="306">
                  <c:v>0.107494251381856</c:v>
                </c:pt>
                <c:pt idx="307">
                  <c:v>0.107528915147976</c:v>
                </c:pt>
                <c:pt idx="308">
                  <c:v>0.107566392263413</c:v>
                </c:pt>
                <c:pt idx="309">
                  <c:v>0.10760722096054399</c:v>
                </c:pt>
                <c:pt idx="310">
                  <c:v>0.107652094373539</c:v>
                </c:pt>
                <c:pt idx="311">
                  <c:v>0.107701918517204</c:v>
                </c:pt>
                <c:pt idx="312">
                  <c:v>0.107757895545197</c:v>
                </c:pt>
                <c:pt idx="313">
                  <c:v>0.107821643761701</c:v>
                </c:pt>
                <c:pt idx="314">
                  <c:v>0.107895371464266</c:v>
                </c:pt>
                <c:pt idx="315">
                  <c:v>0.107982136054144</c:v>
                </c:pt>
                <c:pt idx="316">
                  <c:v>0.108086279484475</c:v>
                </c:pt>
                <c:pt idx="317">
                  <c:v>0.10821441051713999</c:v>
                </c:pt>
                <c:pt idx="318">
                  <c:v>0.108378611684964</c:v>
                </c:pt>
                <c:pt idx="319">
                  <c:v>0.10851279142848901</c:v>
                </c:pt>
                <c:pt idx="320">
                  <c:v>0.108646878508965</c:v>
                </c:pt>
                <c:pt idx="321">
                  <c:v>0.108781836007877</c:v>
                </c:pt>
                <c:pt idx="322">
                  <c:v>0.108917703938839</c:v>
                </c:pt>
                <c:pt idx="323">
                  <c:v>0.109054545173906</c:v>
                </c:pt>
                <c:pt idx="324">
                  <c:v>0.109192417872054</c:v>
                </c:pt>
                <c:pt idx="325">
                  <c:v>0.109331376964383</c:v>
                </c:pt>
                <c:pt idx="326">
                  <c:v>0.10947147454287399</c:v>
                </c:pt>
                <c:pt idx="327">
                  <c:v>0.109612760241196</c:v>
                </c:pt>
                <c:pt idx="328">
                  <c:v>0.10975528157779101</c:v>
                </c:pt>
                <c:pt idx="329">
                  <c:v>0.109899084266184</c:v>
                </c:pt>
                <c:pt idx="330">
                  <c:v>0.110044212495958</c:v>
                </c:pt>
                <c:pt idx="331">
                  <c:v>0.11019070918751001</c:v>
                </c:pt>
                <c:pt idx="332">
                  <c:v>0.11033861622334599</c:v>
                </c:pt>
                <c:pt idx="333">
                  <c:v>0.110487974658393</c:v>
                </c:pt>
                <c:pt idx="334">
                  <c:v>0.110638824911563</c:v>
                </c:pt>
                <c:pt idx="335">
                  <c:v>0.110791206940568</c:v>
                </c:pt>
                <c:pt idx="336">
                  <c:v>0.11094516040180299</c:v>
                </c:pt>
                <c:pt idx="337">
                  <c:v>0.11110072479692901</c:v>
                </c:pt>
                <c:pt idx="338">
                  <c:v>0.111257939607629</c:v>
                </c:pt>
                <c:pt idx="339">
                  <c:v>0.111416844419904</c:v>
                </c:pt>
                <c:pt idx="340">
                  <c:v>0.111577479039088</c:v>
                </c:pt>
                <c:pt idx="341">
                  <c:v>0.111739883596728</c:v>
                </c:pt>
                <c:pt idx="342">
                  <c:v>0.111904098650297</c:v>
                </c:pt>
                <c:pt idx="343">
                  <c:v>0.11207016527668</c:v>
                </c:pt>
                <c:pt idx="344">
                  <c:v>0.112238125160255</c:v>
                </c:pt>
                <c:pt idx="345">
                  <c:v>0.11240802067632299</c:v>
                </c:pt>
                <c:pt idx="346">
                  <c:v>0.11257989497059701</c:v>
                </c:pt>
                <c:pt idx="347">
                  <c:v>0.112753792035371</c:v>
                </c:pt>
                <c:pt idx="348">
                  <c:v>0.112929756782956</c:v>
                </c:pt>
                <c:pt idx="349">
                  <c:v>0.113107835116922</c:v>
                </c:pt>
                <c:pt idx="350">
                  <c:v>0.113288074001635</c:v>
                </c:pt>
                <c:pt idx="351">
                  <c:v>0.113470521530551</c:v>
                </c:pt>
                <c:pt idx="352">
                  <c:v>0.113655226993682</c:v>
                </c:pt>
                <c:pt idx="353">
                  <c:v>0.113842240944644</c:v>
                </c:pt>
                <c:pt idx="354">
                  <c:v>0.114031615267637</c:v>
                </c:pt>
                <c:pt idx="355">
                  <c:v>0.11422340324472501</c:v>
                </c:pt>
                <c:pt idx="356">
                  <c:v>0.11441765962373</c:v>
                </c:pt>
                <c:pt idx="357">
                  <c:v>0.114614440687063</c:v>
                </c:pt>
                <c:pt idx="358">
                  <c:v>0.114813804321789</c:v>
                </c:pt>
                <c:pt idx="359">
                  <c:v>0.22425676384167301</c:v>
                </c:pt>
                <c:pt idx="360">
                  <c:v>0.30704288935609397</c:v>
                </c:pt>
                <c:pt idx="361">
                  <c:v>0.30834090817871301</c:v>
                </c:pt>
                <c:pt idx="362">
                  <c:v>0.30921577139060102</c:v>
                </c:pt>
                <c:pt idx="363">
                  <c:v>0.31017471350345399</c:v>
                </c:pt>
                <c:pt idx="364">
                  <c:v>0.31131883897321</c:v>
                </c:pt>
                <c:pt idx="365">
                  <c:v>0.31289797505880901</c:v>
                </c:pt>
                <c:pt idx="366">
                  <c:v>0.51289797505880896</c:v>
                </c:pt>
                <c:pt idx="367">
                  <c:v>0.51289797505880896</c:v>
                </c:pt>
              </c:numCache>
            </c:numRef>
          </c:xVal>
          <c:yVal>
            <c:numRef>
              <c:f>Implicit_Fracs!$Q$4:$Q$371</c:f>
              <c:numCache>
                <c:formatCode>General</c:formatCode>
                <c:ptCount val="3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6.2359763717074303E-3</c:v>
                </c:pt>
                <c:pt idx="363">
                  <c:v>1.13783878250434E-2</c:v>
                </c:pt>
                <c:pt idx="364">
                  <c:v>1.53113233218111E-2</c:v>
                </c:pt>
                <c:pt idx="365">
                  <c:v>1.78125915945016E-2</c:v>
                </c:pt>
                <c:pt idx="366">
                  <c:v>1.78125915945016E-2</c:v>
                </c:pt>
                <c:pt idx="367">
                  <c:v>1.78125915945016E-2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BD0-4311-8122-AB04DD3F6CF0}"/>
            </c:ext>
          </c:extLst>
        </c:ser>
        <c:ser>
          <c:idx val="2"/>
          <c:order val="2"/>
          <c:tx>
            <c:strRef>
              <c:f>Implicit_Fracs!$R$2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Implicit_Fracs!$C$4:$C$371</c:f>
              <c:numCache>
                <c:formatCode>General</c:formatCode>
                <c:ptCount val="368"/>
                <c:pt idx="0">
                  <c:v>6.5458908507104702E-2</c:v>
                </c:pt>
                <c:pt idx="1">
                  <c:v>0.10158646265419501</c:v>
                </c:pt>
                <c:pt idx="2">
                  <c:v>0.102060105178604</c:v>
                </c:pt>
                <c:pt idx="3">
                  <c:v>0.102354758409441</c:v>
                </c:pt>
                <c:pt idx="4">
                  <c:v>0.10257003610151801</c:v>
                </c:pt>
                <c:pt idx="5">
                  <c:v>0.102740146597483</c:v>
                </c:pt>
                <c:pt idx="6">
                  <c:v>0.10288102093448701</c:v>
                </c:pt>
                <c:pt idx="7">
                  <c:v>0.10300139565401099</c:v>
                </c:pt>
                <c:pt idx="8">
                  <c:v>0.10310658737638601</c:v>
                </c:pt>
                <c:pt idx="9">
                  <c:v>0.103200075337502</c:v>
                </c:pt>
                <c:pt idx="10">
                  <c:v>0.103284262204</c:v>
                </c:pt>
                <c:pt idx="11">
                  <c:v>0.103360877526633</c:v>
                </c:pt>
                <c:pt idx="12">
                  <c:v>0.103431208153653</c:v>
                </c:pt>
                <c:pt idx="13">
                  <c:v>0.103496237708407</c:v>
                </c:pt>
                <c:pt idx="14">
                  <c:v>0.103556735084609</c:v>
                </c:pt>
                <c:pt idx="15">
                  <c:v>0.103613312816801</c:v>
                </c:pt>
                <c:pt idx="16">
                  <c:v>0.103666466857375</c:v>
                </c:pt>
                <c:pt idx="17">
                  <c:v>0.10371660444741999</c:v>
                </c:pt>
                <c:pt idx="18">
                  <c:v>0.10376406411969299</c:v>
                </c:pt>
                <c:pt idx="19">
                  <c:v>0.10380913035858701</c:v>
                </c:pt>
                <c:pt idx="20">
                  <c:v>0.103852044544123</c:v>
                </c:pt>
                <c:pt idx="21">
                  <c:v>0.103893013256558</c:v>
                </c:pt>
                <c:pt idx="22">
                  <c:v>0.103932214670875</c:v>
                </c:pt>
                <c:pt idx="23">
                  <c:v>0.10396980354554</c:v>
                </c:pt>
                <c:pt idx="24">
                  <c:v>0.104005915161023</c:v>
                </c:pt>
                <c:pt idx="25">
                  <c:v>0.10404066846285701</c:v>
                </c:pt>
                <c:pt idx="26">
                  <c:v>0.104074168594671</c:v>
                </c:pt>
                <c:pt idx="27">
                  <c:v>0.10410650895807599</c:v>
                </c:pt>
                <c:pt idx="28">
                  <c:v>0.10413777290170501</c:v>
                </c:pt>
                <c:pt idx="29">
                  <c:v>0.104168035116796</c:v>
                </c:pt>
                <c:pt idx="30">
                  <c:v>0.104197362798492</c:v>
                </c:pt>
                <c:pt idx="31">
                  <c:v>0.104225816618547</c:v>
                </c:pt>
                <c:pt idx="32">
                  <c:v>0.104253451545067</c:v>
                </c:pt>
                <c:pt idx="33">
                  <c:v>0.104280317537286</c:v>
                </c:pt>
                <c:pt idx="34">
                  <c:v>0.10430646013757899</c:v>
                </c:pt>
                <c:pt idx="35">
                  <c:v>0.10433192097843901</c:v>
                </c:pt>
                <c:pt idx="36">
                  <c:v>0.104356738218675</c:v>
                </c:pt>
                <c:pt idx="37">
                  <c:v>0.10438094692038</c:v>
                </c:pt>
                <c:pt idx="38">
                  <c:v>0.104404579376061</c:v>
                </c:pt>
                <c:pt idx="39">
                  <c:v>0.10442766539470601</c:v>
                </c:pt>
                <c:pt idx="40">
                  <c:v>0.104450232550895</c:v>
                </c:pt>
                <c:pt idx="41">
                  <c:v>0.104472306403378</c:v>
                </c:pt>
                <c:pt idx="42">
                  <c:v>0.104493910687546</c:v>
                </c:pt>
                <c:pt idx="43">
                  <c:v>0.104515067485448</c:v>
                </c:pt>
                <c:pt idx="44">
                  <c:v>0.104535797376425</c:v>
                </c:pt>
                <c:pt idx="45">
                  <c:v>0.104556119570968</c:v>
                </c:pt>
                <c:pt idx="46">
                  <c:v>0.10457605202998201</c:v>
                </c:pt>
                <c:pt idx="47">
                  <c:v>0.10459561157132601</c:v>
                </c:pt>
                <c:pt idx="48">
                  <c:v>0.10461481396524</c:v>
                </c:pt>
                <c:pt idx="49">
                  <c:v>0.104633674020002</c:v>
                </c:pt>
                <c:pt idx="50">
                  <c:v>0.104652205659008</c:v>
                </c:pt>
                <c:pt idx="51">
                  <c:v>0.10467042199028</c:v>
                </c:pt>
                <c:pt idx="52">
                  <c:v>0.10468833536927501</c:v>
                </c:pt>
                <c:pt idx="53">
                  <c:v>0.104705957455764</c:v>
                </c:pt>
                <c:pt idx="54">
                  <c:v>0.104723299265432</c:v>
                </c:pt>
                <c:pt idx="55">
                  <c:v>0.10474037121678501</c:v>
                </c:pt>
                <c:pt idx="56">
                  <c:v>0.104757183173858</c:v>
                </c:pt>
                <c:pt idx="57">
                  <c:v>0.10477374448518</c:v>
                </c:pt>
                <c:pt idx="58">
                  <c:v>0.104790064019366</c:v>
                </c:pt>
                <c:pt idx="59">
                  <c:v>0.10480615019770299</c:v>
                </c:pt>
                <c:pt idx="60">
                  <c:v>0.104822011024007</c:v>
                </c:pt>
                <c:pt idx="61">
                  <c:v>0.10483765411203801</c:v>
                </c:pt>
                <c:pt idx="62">
                  <c:v>0.104853086710699</c:v>
                </c:pt>
                <c:pt idx="63">
                  <c:v>0.10486831572724099</c:v>
                </c:pt>
                <c:pt idx="64">
                  <c:v>0.104883347748643</c:v>
                </c:pt>
                <c:pt idx="65">
                  <c:v>0.104898189061358</c:v>
                </c:pt>
                <c:pt idx="66">
                  <c:v>0.104912845669559</c:v>
                </c:pt>
                <c:pt idx="67">
                  <c:v>0.10492732331202199</c:v>
                </c:pt>
                <c:pt idx="68">
                  <c:v>0.10494162747777</c:v>
                </c:pt>
                <c:pt idx="69">
                  <c:v>0.10495576342058401</c:v>
                </c:pt>
                <c:pt idx="70">
                  <c:v>0.104969736172476</c:v>
                </c:pt>
                <c:pt idx="71">
                  <c:v>0.104983550556215</c:v>
                </c:pt>
                <c:pt idx="72">
                  <c:v>0.104997211196988</c:v>
                </c:pt>
                <c:pt idx="73">
                  <c:v>0.105010722533251</c:v>
                </c:pt>
                <c:pt idx="74">
                  <c:v>0.10502408882686499</c:v>
                </c:pt>
                <c:pt idx="75">
                  <c:v>0.105037314172539</c:v>
                </c:pt>
                <c:pt idx="76">
                  <c:v>0.10505040250667</c:v>
                </c:pt>
                <c:pt idx="77">
                  <c:v>0.105063357615594</c:v>
                </c:pt>
                <c:pt idx="78">
                  <c:v>0.105076183143323</c:v>
                </c:pt>
                <c:pt idx="79">
                  <c:v>0.10508888259878001</c:v>
                </c:pt>
                <c:pt idx="80">
                  <c:v>0.105101459362598</c:v>
                </c:pt>
                <c:pt idx="81">
                  <c:v>0.10511391669348399</c:v>
                </c:pt>
                <c:pt idx="82">
                  <c:v>0.10512625773421</c:v>
                </c:pt>
                <c:pt idx="83">
                  <c:v>0.10513848551723599</c:v>
                </c:pt>
                <c:pt idx="84">
                  <c:v>0.10515060297000201</c:v>
                </c:pt>
                <c:pt idx="85">
                  <c:v>0.105162612919908</c:v>
                </c:pt>
                <c:pt idx="86">
                  <c:v>0.105174518099013</c:v>
                </c:pt>
                <c:pt idx="87">
                  <c:v>0.105186321148453</c:v>
                </c:pt>
                <c:pt idx="88">
                  <c:v>0.105198024622616</c:v>
                </c:pt>
                <c:pt idx="89">
                  <c:v>0.105209630993088</c:v>
                </c:pt>
                <c:pt idx="90">
                  <c:v>0.10522114265237301</c:v>
                </c:pt>
                <c:pt idx="91">
                  <c:v>0.105232561917411</c:v>
                </c:pt>
                <c:pt idx="92">
                  <c:v>0.105243891032912</c:v>
                </c:pt>
                <c:pt idx="93">
                  <c:v>0.105255132174505</c:v>
                </c:pt>
                <c:pt idx="94">
                  <c:v>0.10526628745172401</c:v>
                </c:pt>
                <c:pt idx="95">
                  <c:v>0.105277358910841</c:v>
                </c:pt>
                <c:pt idx="96">
                  <c:v>0.105288348537545</c:v>
                </c:pt>
                <c:pt idx="97">
                  <c:v>0.10529925825949001</c:v>
                </c:pt>
                <c:pt idx="98">
                  <c:v>0.105310089948715</c:v>
                </c:pt>
                <c:pt idx="99">
                  <c:v>0.10532084542394</c:v>
                </c:pt>
                <c:pt idx="100">
                  <c:v>0.105331526452749</c:v>
                </c:pt>
                <c:pt idx="101">
                  <c:v>0.10534213475366599</c:v>
                </c:pt>
                <c:pt idx="102">
                  <c:v>0.105352671998135</c:v>
                </c:pt>
                <c:pt idx="103">
                  <c:v>0.105363139812398</c:v>
                </c:pt>
                <c:pt idx="104">
                  <c:v>0.10537353977929</c:v>
                </c:pt>
                <c:pt idx="105">
                  <c:v>0.105383873439947</c:v>
                </c:pt>
                <c:pt idx="106">
                  <c:v>0.105394142295438</c:v>
                </c:pt>
                <c:pt idx="107">
                  <c:v>0.10540434780831399</c:v>
                </c:pt>
                <c:pt idx="108">
                  <c:v>0.1054144914041</c:v>
                </c:pt>
                <c:pt idx="109">
                  <c:v>0.105424574472708</c:v>
                </c:pt>
                <c:pt idx="110">
                  <c:v>0.10543459836979301</c:v>
                </c:pt>
                <c:pt idx="111">
                  <c:v>0.105444564418049</c:v>
                </c:pt>
                <c:pt idx="112">
                  <c:v>0.105454473908448</c:v>
                </c:pt>
                <c:pt idx="113">
                  <c:v>0.105464328101426</c:v>
                </c:pt>
                <c:pt idx="114">
                  <c:v>0.10547412822802001</c:v>
                </c:pt>
                <c:pt idx="115">
                  <c:v>0.10548387549095201</c:v>
                </c:pt>
                <c:pt idx="116">
                  <c:v>0.105493571065675</c:v>
                </c:pt>
                <c:pt idx="117">
                  <c:v>0.105503216101374</c:v>
                </c:pt>
                <c:pt idx="118">
                  <c:v>0.10551281172191999</c:v>
                </c:pt>
                <c:pt idx="119">
                  <c:v>0.10552235902679701</c:v>
                </c:pt>
                <c:pt idx="120">
                  <c:v>0.105531859091982</c:v>
                </c:pt>
                <c:pt idx="121">
                  <c:v>0.105541312970793</c:v>
                </c:pt>
                <c:pt idx="122">
                  <c:v>0.105550721694713</c:v>
                </c:pt>
                <c:pt idx="123">
                  <c:v>0.10556008627416701</c:v>
                </c:pt>
                <c:pt idx="124">
                  <c:v>0.105569407699282</c:v>
                </c:pt>
                <c:pt idx="125">
                  <c:v>0.105578686940613</c:v>
                </c:pt>
                <c:pt idx="126">
                  <c:v>0.10558792494984499</c:v>
                </c:pt>
                <c:pt idx="127">
                  <c:v>0.105597122660464</c:v>
                </c:pt>
                <c:pt idx="128">
                  <c:v>0.105606280988415</c:v>
                </c:pt>
                <c:pt idx="129">
                  <c:v>0.105615400832723</c:v>
                </c:pt>
                <c:pt idx="130">
                  <c:v>0.10562448307610101</c:v>
                </c:pt>
                <c:pt idx="131">
                  <c:v>0.105633528585537</c:v>
                </c:pt>
                <c:pt idx="132">
                  <c:v>0.105642538212856</c:v>
                </c:pt>
                <c:pt idx="133">
                  <c:v>0.10565151279527001</c:v>
                </c:pt>
                <c:pt idx="134">
                  <c:v>0.105660453155901</c:v>
                </c:pt>
                <c:pt idx="135">
                  <c:v>0.1056693601043</c:v>
                </c:pt>
                <c:pt idx="136">
                  <c:v>0.105678234436935</c:v>
                </c:pt>
                <c:pt idx="137">
                  <c:v>0.105687076937673</c:v>
                </c:pt>
                <c:pt idx="138">
                  <c:v>0.10569588837824601</c:v>
                </c:pt>
                <c:pt idx="139">
                  <c:v>0.105704669518702</c:v>
                </c:pt>
                <c:pt idx="140">
                  <c:v>0.105713421107842</c:v>
                </c:pt>
                <c:pt idx="141">
                  <c:v>0.105722143883642</c:v>
                </c:pt>
                <c:pt idx="142">
                  <c:v>0.10573083857367301</c:v>
                </c:pt>
                <c:pt idx="143">
                  <c:v>0.10573950589549699</c:v>
                </c:pt>
                <c:pt idx="144">
                  <c:v>0.105748146557059</c:v>
                </c:pt>
                <c:pt idx="145">
                  <c:v>0.105756761257069</c:v>
                </c:pt>
                <c:pt idx="146">
                  <c:v>0.105765350685371</c:v>
                </c:pt>
                <c:pt idx="147">
                  <c:v>0.10577391552330601</c:v>
                </c:pt>
                <c:pt idx="148">
                  <c:v>0.105782456444064</c:v>
                </c:pt>
                <c:pt idx="149">
                  <c:v>0.105790974113029</c:v>
                </c:pt>
                <c:pt idx="150">
                  <c:v>0.105799469188117</c:v>
                </c:pt>
                <c:pt idx="151">
                  <c:v>0.105807942320102</c:v>
                </c:pt>
                <c:pt idx="152">
                  <c:v>0.105816394152941</c:v>
                </c:pt>
                <c:pt idx="153">
                  <c:v>0.10582482532409</c:v>
                </c:pt>
                <c:pt idx="154">
                  <c:v>0.10583323646481201</c:v>
                </c:pt>
                <c:pt idx="155">
                  <c:v>0.105841628200482</c:v>
                </c:pt>
                <c:pt idx="156">
                  <c:v>0.105850001150887</c:v>
                </c:pt>
                <c:pt idx="157">
                  <c:v>0.105858355930516</c:v>
                </c:pt>
                <c:pt idx="158">
                  <c:v>0.105866693148851</c:v>
                </c:pt>
                <c:pt idx="159">
                  <c:v>0.105875013410654</c:v>
                </c:pt>
                <c:pt idx="160">
                  <c:v>0.10588331731624</c:v>
                </c:pt>
                <c:pt idx="161">
                  <c:v>0.105891605461765</c:v>
                </c:pt>
                <c:pt idx="162">
                  <c:v>0.10589987843948701</c:v>
                </c:pt>
                <c:pt idx="163">
                  <c:v>0.10590813683804701</c:v>
                </c:pt>
                <c:pt idx="164">
                  <c:v>0.10591638124273201</c:v>
                </c:pt>
                <c:pt idx="165">
                  <c:v>0.105924612235738</c:v>
                </c:pt>
                <c:pt idx="166">
                  <c:v>0.10593283039644</c:v>
                </c:pt>
                <c:pt idx="167">
                  <c:v>0.105941036301648</c:v>
                </c:pt>
                <c:pt idx="168">
                  <c:v>0.10594923052586901</c:v>
                </c:pt>
                <c:pt idx="169">
                  <c:v>0.105957413641566</c:v>
                </c:pt>
                <c:pt idx="170">
                  <c:v>0.105965586219415</c:v>
                </c:pt>
                <c:pt idx="171">
                  <c:v>0.105973748828566</c:v>
                </c:pt>
                <c:pt idx="172">
                  <c:v>0.10598190203689301</c:v>
                </c:pt>
                <c:pt idx="173">
                  <c:v>0.105990046411258</c:v>
                </c:pt>
                <c:pt idx="174">
                  <c:v>0.10599818251776701</c:v>
                </c:pt>
                <c:pt idx="175">
                  <c:v>0.106006310922025</c:v>
                </c:pt>
                <c:pt idx="176">
                  <c:v>0.106014432189397</c:v>
                </c:pt>
                <c:pt idx="177">
                  <c:v>0.106022546885271</c:v>
                </c:pt>
                <c:pt idx="178">
                  <c:v>0.10603065557531401</c:v>
                </c:pt>
                <c:pt idx="179">
                  <c:v>0.10603875882574</c:v>
                </c:pt>
                <c:pt idx="180">
                  <c:v>0.106046857203577</c:v>
                </c:pt>
                <c:pt idx="181">
                  <c:v>0.106054951276932</c:v>
                </c:pt>
                <c:pt idx="182">
                  <c:v>0.106063041615263</c:v>
                </c:pt>
                <c:pt idx="183">
                  <c:v>0.10607112878965499</c:v>
                </c:pt>
                <c:pt idx="184">
                  <c:v>0.106079213373101</c:v>
                </c:pt>
                <c:pt idx="185">
                  <c:v>0.106087295940776</c:v>
                </c:pt>
                <c:pt idx="186">
                  <c:v>0.10609537707033299</c:v>
                </c:pt>
                <c:pt idx="187">
                  <c:v>0.106103457342189</c:v>
                </c:pt>
                <c:pt idx="188">
                  <c:v>0.106111537339822</c:v>
                </c:pt>
                <c:pt idx="189">
                  <c:v>0.10611961765007601</c:v>
                </c:pt>
                <c:pt idx="190">
                  <c:v>0.106127698863465</c:v>
                </c:pt>
                <c:pt idx="191">
                  <c:v>0.10613578157449099</c:v>
                </c:pt>
                <c:pt idx="192">
                  <c:v>0.106143866381966</c:v>
                </c:pt>
                <c:pt idx="193">
                  <c:v>0.10615195388934</c:v>
                </c:pt>
                <c:pt idx="194">
                  <c:v>0.106160044705038</c:v>
                </c:pt>
                <c:pt idx="195">
                  <c:v>0.106168139442805</c:v>
                </c:pt>
                <c:pt idx="196">
                  <c:v>0.106176238722063</c:v>
                </c:pt>
                <c:pt idx="197">
                  <c:v>0.106184343168276</c:v>
                </c:pt>
                <c:pt idx="198">
                  <c:v>0.10619245341332301</c:v>
                </c:pt>
                <c:pt idx="199">
                  <c:v>0.106200570095885</c:v>
                </c:pt>
                <c:pt idx="200">
                  <c:v>0.10620869386184199</c:v>
                </c:pt>
                <c:pt idx="201">
                  <c:v>0.10621682536468401</c:v>
                </c:pt>
                <c:pt idx="202">
                  <c:v>0.106224965265935</c:v>
                </c:pt>
                <c:pt idx="203">
                  <c:v>0.106233114235588</c:v>
                </c:pt>
                <c:pt idx="204">
                  <c:v>0.10624127295256</c:v>
                </c:pt>
                <c:pt idx="205">
                  <c:v>0.10624944210515699</c:v>
                </c:pt>
                <c:pt idx="206">
                  <c:v>0.106257622391562</c:v>
                </c:pt>
                <c:pt idx="207">
                  <c:v>0.106265814520335</c:v>
                </c:pt>
                <c:pt idx="208">
                  <c:v>0.106274019210935</c:v>
                </c:pt>
                <c:pt idx="209">
                  <c:v>0.10628223719426</c:v>
                </c:pt>
                <c:pt idx="210">
                  <c:v>0.106290469213214</c:v>
                </c:pt>
                <c:pt idx="211">
                  <c:v>0.106298716023284</c:v>
                </c:pt>
                <c:pt idx="212">
                  <c:v>0.106306978393155</c:v>
                </c:pt>
                <c:pt idx="213">
                  <c:v>0.106315257105341</c:v>
                </c:pt>
                <c:pt idx="214">
                  <c:v>0.10632355295684801</c:v>
                </c:pt>
                <c:pt idx="215">
                  <c:v>0.10633186675985799</c:v>
                </c:pt>
                <c:pt idx="216">
                  <c:v>0.10634019934245301</c:v>
                </c:pt>
                <c:pt idx="217">
                  <c:v>0.106348551549366</c:v>
                </c:pt>
                <c:pt idx="218">
                  <c:v>0.106356924242761</c:v>
                </c:pt>
                <c:pt idx="219">
                  <c:v>0.10636531830306099</c:v>
                </c:pt>
                <c:pt idx="220">
                  <c:v>0.106373734629807</c:v>
                </c:pt>
                <c:pt idx="221">
                  <c:v>0.10638217414255299</c:v>
                </c:pt>
                <c:pt idx="222">
                  <c:v>0.106390637781818</c:v>
                </c:pt>
                <c:pt idx="223">
                  <c:v>0.10639912651007299</c:v>
                </c:pt>
                <c:pt idx="224">
                  <c:v>0.10640764131277999</c:v>
                </c:pt>
                <c:pt idx="225">
                  <c:v>0.10641618319948901</c:v>
                </c:pt>
                <c:pt idx="226">
                  <c:v>0.106424753204983</c:v>
                </c:pt>
                <c:pt idx="227">
                  <c:v>0.10643335239049</c:v>
                </c:pt>
                <c:pt idx="228">
                  <c:v>0.106441981844954</c:v>
                </c:pt>
                <c:pt idx="229">
                  <c:v>0.106450642686375</c:v>
                </c:pt>
                <c:pt idx="230">
                  <c:v>0.10645933606322799</c:v>
                </c:pt>
                <c:pt idx="231">
                  <c:v>0.10646806315594901</c:v>
                </c:pt>
                <c:pt idx="232">
                  <c:v>0.106476825178516</c:v>
                </c:pt>
                <c:pt idx="233">
                  <c:v>0.10648562338011</c:v>
                </c:pt>
                <c:pt idx="234">
                  <c:v>0.106494459046881</c:v>
                </c:pt>
                <c:pt idx="235">
                  <c:v>0.106503333503809</c:v>
                </c:pt>
                <c:pt idx="236">
                  <c:v>0.10651224811667701</c:v>
                </c:pt>
                <c:pt idx="237">
                  <c:v>0.106521204294171</c:v>
                </c:pt>
                <c:pt idx="238">
                  <c:v>0.106530203490093</c:v>
                </c:pt>
                <c:pt idx="239">
                  <c:v>0.10653924720572699</c:v>
                </c:pt>
                <c:pt idx="240">
                  <c:v>0.106548336992338</c:v>
                </c:pt>
                <c:pt idx="241">
                  <c:v>0.106557474453844</c:v>
                </c:pt>
                <c:pt idx="242">
                  <c:v>0.106566661249652</c:v>
                </c:pt>
                <c:pt idx="243">
                  <c:v>0.10657589909767901</c:v>
                </c:pt>
                <c:pt idx="244">
                  <c:v>0.10658518977758299</c:v>
                </c:pt>
                <c:pt idx="245">
                  <c:v>0.106594535134197</c:v>
                </c:pt>
                <c:pt idx="246">
                  <c:v>0.106603937081217</c:v>
                </c:pt>
                <c:pt idx="247">
                  <c:v>0.106613397605125</c:v>
                </c:pt>
                <c:pt idx="248">
                  <c:v>0.10662291876941001</c:v>
                </c:pt>
                <c:pt idx="249">
                  <c:v>0.106632502719071</c:v>
                </c:pt>
                <c:pt idx="250">
                  <c:v>0.10664215168546599</c:v>
                </c:pt>
                <c:pt idx="251">
                  <c:v>0.106651867991505</c:v>
                </c:pt>
                <c:pt idx="252">
                  <c:v>0.106661654057239</c:v>
                </c:pt>
                <c:pt idx="253">
                  <c:v>0.106671512405876</c:v>
                </c:pt>
                <c:pt idx="254">
                  <c:v>0.106681445670259</c:v>
                </c:pt>
                <c:pt idx="255">
                  <c:v>0.106691456599855</c:v>
                </c:pt>
                <c:pt idx="256">
                  <c:v>0.10670154806830701</c:v>
                </c:pt>
                <c:pt idx="257">
                  <c:v>0.106711723081597</c:v>
                </c:pt>
                <c:pt idx="258">
                  <c:v>0.106721984786882</c:v>
                </c:pt>
                <c:pt idx="259">
                  <c:v>0.106732336482082</c:v>
                </c:pt>
                <c:pt idx="260">
                  <c:v>0.10674278162628199</c:v>
                </c:pt>
                <c:pt idx="261">
                  <c:v>0.106753323851043</c:v>
                </c:pt>
                <c:pt idx="262">
                  <c:v>0.106763966972719</c:v>
                </c:pt>
                <c:pt idx="263">
                  <c:v>0.10677471500588499</c:v>
                </c:pt>
                <c:pt idx="264">
                  <c:v>0.10678557217800599</c:v>
                </c:pt>
                <c:pt idx="265">
                  <c:v>0.106796542945475</c:v>
                </c:pt>
                <c:pt idx="266">
                  <c:v>0.10680763201119001</c:v>
                </c:pt>
                <c:pt idx="267">
                  <c:v>0.106818844343851</c:v>
                </c:pt>
                <c:pt idx="268">
                  <c:v>0.106830185199162</c:v>
                </c:pt>
                <c:pt idx="269">
                  <c:v>0.1068416601432</c:v>
                </c:pt>
                <c:pt idx="270">
                  <c:v>0.106853275078199</c:v>
                </c:pt>
                <c:pt idx="271">
                  <c:v>0.10686503627105901</c:v>
                </c:pt>
                <c:pt idx="272">
                  <c:v>0.106876950384948</c:v>
                </c:pt>
                <c:pt idx="273">
                  <c:v>0.10688902451438199</c:v>
                </c:pt>
                <c:pt idx="274">
                  <c:v>0.106901266224276</c:v>
                </c:pt>
                <c:pt idx="275">
                  <c:v>0.106913683593506</c:v>
                </c:pt>
                <c:pt idx="276">
                  <c:v>0.106926285263621</c:v>
                </c:pt>
                <c:pt idx="277">
                  <c:v>0.106939080493455</c:v>
                </c:pt>
                <c:pt idx="278">
                  <c:v>0.10695207922051</c:v>
                </c:pt>
                <c:pt idx="279">
                  <c:v>0.10696529213014599</c:v>
                </c:pt>
                <c:pt idx="280">
                  <c:v>0.106978730733797</c:v>
                </c:pt>
                <c:pt idx="281">
                  <c:v>0.106992407457646</c:v>
                </c:pt>
                <c:pt idx="282">
                  <c:v>0.107006335743491</c:v>
                </c:pt>
                <c:pt idx="283">
                  <c:v>0.10702053016384699</c:v>
                </c:pt>
                <c:pt idx="284">
                  <c:v>0.107035006553762</c:v>
                </c:pt>
                <c:pt idx="285">
                  <c:v>0.107049782162317</c:v>
                </c:pt>
                <c:pt idx="286">
                  <c:v>0.10706487582742701</c:v>
                </c:pt>
                <c:pt idx="287">
                  <c:v>0.107080308178348</c:v>
                </c:pt>
                <c:pt idx="288">
                  <c:v>0.10709610187127599</c:v>
                </c:pt>
                <c:pt idx="289">
                  <c:v>0.10711228186470099</c:v>
                </c:pt>
                <c:pt idx="290">
                  <c:v>0.107128875742745</c:v>
                </c:pt>
                <c:pt idx="291">
                  <c:v>0.107145914096787</c:v>
                </c:pt>
                <c:pt idx="292">
                  <c:v>0.10716343097827</c:v>
                </c:pt>
                <c:pt idx="293">
                  <c:v>0.10718146443905199</c:v>
                </c:pt>
                <c:pt idx="294">
                  <c:v>0.107200057180087</c:v>
                </c:pt>
                <c:pt idx="295">
                  <c:v>0.10721925733519</c:v>
                </c:pt>
                <c:pt idx="296">
                  <c:v>0.107239119424452</c:v>
                </c:pt>
                <c:pt idx="297">
                  <c:v>0.10725970552248799</c:v>
                </c:pt>
                <c:pt idx="298">
                  <c:v>0.107281086701057</c:v>
                </c:pt>
                <c:pt idx="299">
                  <c:v>0.10730334482520799</c:v>
                </c:pt>
                <c:pt idx="300">
                  <c:v>0.107326574809414</c:v>
                </c:pt>
                <c:pt idx="301">
                  <c:v>0.10735088747820599</c:v>
                </c:pt>
                <c:pt idx="302">
                  <c:v>0.10737641322982</c:v>
                </c:pt>
                <c:pt idx="303">
                  <c:v>0.107403306778537</c:v>
                </c:pt>
                <c:pt idx="304">
                  <c:v>0.10743175336319</c:v>
                </c:pt>
                <c:pt idx="305">
                  <c:v>0.107461976972791</c:v>
                </c:pt>
                <c:pt idx="306">
                  <c:v>0.107494251381856</c:v>
                </c:pt>
                <c:pt idx="307">
                  <c:v>0.107528915147976</c:v>
                </c:pt>
                <c:pt idx="308">
                  <c:v>0.107566392263413</c:v>
                </c:pt>
                <c:pt idx="309">
                  <c:v>0.10760722096054399</c:v>
                </c:pt>
                <c:pt idx="310">
                  <c:v>0.107652094373539</c:v>
                </c:pt>
                <c:pt idx="311">
                  <c:v>0.107701918517204</c:v>
                </c:pt>
                <c:pt idx="312">
                  <c:v>0.107757895545197</c:v>
                </c:pt>
                <c:pt idx="313">
                  <c:v>0.107821643761701</c:v>
                </c:pt>
                <c:pt idx="314">
                  <c:v>0.107895371464266</c:v>
                </c:pt>
                <c:pt idx="315">
                  <c:v>0.107982136054144</c:v>
                </c:pt>
                <c:pt idx="316">
                  <c:v>0.108086279484475</c:v>
                </c:pt>
                <c:pt idx="317">
                  <c:v>0.10821441051713999</c:v>
                </c:pt>
                <c:pt idx="318">
                  <c:v>0.108378611684964</c:v>
                </c:pt>
                <c:pt idx="319">
                  <c:v>0.10851279142848901</c:v>
                </c:pt>
                <c:pt idx="320">
                  <c:v>0.108646878508965</c:v>
                </c:pt>
                <c:pt idx="321">
                  <c:v>0.108781836007877</c:v>
                </c:pt>
                <c:pt idx="322">
                  <c:v>0.108917703938839</c:v>
                </c:pt>
                <c:pt idx="323">
                  <c:v>0.109054545173906</c:v>
                </c:pt>
                <c:pt idx="324">
                  <c:v>0.109192417872054</c:v>
                </c:pt>
                <c:pt idx="325">
                  <c:v>0.109331376964383</c:v>
                </c:pt>
                <c:pt idx="326">
                  <c:v>0.10947147454287399</c:v>
                </c:pt>
                <c:pt idx="327">
                  <c:v>0.109612760241196</c:v>
                </c:pt>
                <c:pt idx="328">
                  <c:v>0.10975528157779101</c:v>
                </c:pt>
                <c:pt idx="329">
                  <c:v>0.109899084266184</c:v>
                </c:pt>
                <c:pt idx="330">
                  <c:v>0.110044212495958</c:v>
                </c:pt>
                <c:pt idx="331">
                  <c:v>0.11019070918751001</c:v>
                </c:pt>
                <c:pt idx="332">
                  <c:v>0.11033861622334599</c:v>
                </c:pt>
                <c:pt idx="333">
                  <c:v>0.110487974658393</c:v>
                </c:pt>
                <c:pt idx="334">
                  <c:v>0.110638824911563</c:v>
                </c:pt>
                <c:pt idx="335">
                  <c:v>0.110791206940568</c:v>
                </c:pt>
                <c:pt idx="336">
                  <c:v>0.11094516040180299</c:v>
                </c:pt>
                <c:pt idx="337">
                  <c:v>0.11110072479692901</c:v>
                </c:pt>
                <c:pt idx="338">
                  <c:v>0.111257939607629</c:v>
                </c:pt>
                <c:pt idx="339">
                  <c:v>0.111416844419904</c:v>
                </c:pt>
                <c:pt idx="340">
                  <c:v>0.111577479039088</c:v>
                </c:pt>
                <c:pt idx="341">
                  <c:v>0.111739883596728</c:v>
                </c:pt>
                <c:pt idx="342">
                  <c:v>0.111904098650297</c:v>
                </c:pt>
                <c:pt idx="343">
                  <c:v>0.11207016527668</c:v>
                </c:pt>
                <c:pt idx="344">
                  <c:v>0.112238125160255</c:v>
                </c:pt>
                <c:pt idx="345">
                  <c:v>0.11240802067632299</c:v>
                </c:pt>
                <c:pt idx="346">
                  <c:v>0.11257989497059701</c:v>
                </c:pt>
                <c:pt idx="347">
                  <c:v>0.112753792035371</c:v>
                </c:pt>
                <c:pt idx="348">
                  <c:v>0.112929756782956</c:v>
                </c:pt>
                <c:pt idx="349">
                  <c:v>0.113107835116922</c:v>
                </c:pt>
                <c:pt idx="350">
                  <c:v>0.113288074001635</c:v>
                </c:pt>
                <c:pt idx="351">
                  <c:v>0.113470521530551</c:v>
                </c:pt>
                <c:pt idx="352">
                  <c:v>0.113655226993682</c:v>
                </c:pt>
                <c:pt idx="353">
                  <c:v>0.113842240944644</c:v>
                </c:pt>
                <c:pt idx="354">
                  <c:v>0.114031615267637</c:v>
                </c:pt>
                <c:pt idx="355">
                  <c:v>0.11422340324472501</c:v>
                </c:pt>
                <c:pt idx="356">
                  <c:v>0.11441765962373</c:v>
                </c:pt>
                <c:pt idx="357">
                  <c:v>0.114614440687063</c:v>
                </c:pt>
                <c:pt idx="358">
                  <c:v>0.114813804321789</c:v>
                </c:pt>
                <c:pt idx="359">
                  <c:v>0.22425676384167301</c:v>
                </c:pt>
                <c:pt idx="360">
                  <c:v>0.30704288935609397</c:v>
                </c:pt>
                <c:pt idx="361">
                  <c:v>0.30834090817871301</c:v>
                </c:pt>
                <c:pt idx="362">
                  <c:v>0.30921577139060102</c:v>
                </c:pt>
                <c:pt idx="363">
                  <c:v>0.31017471350345399</c:v>
                </c:pt>
                <c:pt idx="364">
                  <c:v>0.31131883897321</c:v>
                </c:pt>
                <c:pt idx="365">
                  <c:v>0.31289797505880901</c:v>
                </c:pt>
                <c:pt idx="366">
                  <c:v>0.51289797505880896</c:v>
                </c:pt>
                <c:pt idx="367">
                  <c:v>0.51289797505880896</c:v>
                </c:pt>
              </c:numCache>
            </c:numRef>
          </c:xVal>
          <c:yVal>
            <c:numRef>
              <c:f>Implicit_Fracs!$R$4:$R$371</c:f>
              <c:numCache>
                <c:formatCode>General</c:formatCode>
                <c:ptCount val="3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BD0-4311-8122-AB04DD3F6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62432"/>
        <c:axId val="412564392"/>
      </c:scatterChart>
      <c:valAx>
        <c:axId val="412570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1056"/>
        <c:crosses val="autoZero"/>
        <c:crossBetween val="midCat"/>
      </c:valAx>
      <c:valAx>
        <c:axId val="412571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0272"/>
        <c:crosses val="autoZero"/>
        <c:crossBetween val="midCat"/>
      </c:valAx>
      <c:valAx>
        <c:axId val="41256439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2432"/>
        <c:crosses val="max"/>
        <c:crossBetween val="midCat"/>
      </c:valAx>
      <c:valAx>
        <c:axId val="412562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564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Implicit_Fracs!$AU$2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Implicit_Fracs!$C$4:$C$371</c:f>
              <c:numCache>
                <c:formatCode>General</c:formatCode>
                <c:ptCount val="368"/>
                <c:pt idx="0">
                  <c:v>6.5458908507104702E-2</c:v>
                </c:pt>
                <c:pt idx="1">
                  <c:v>0.10158646265419501</c:v>
                </c:pt>
                <c:pt idx="2">
                  <c:v>0.102060105178604</c:v>
                </c:pt>
                <c:pt idx="3">
                  <c:v>0.102354758409441</c:v>
                </c:pt>
                <c:pt idx="4">
                  <c:v>0.10257003610151801</c:v>
                </c:pt>
                <c:pt idx="5">
                  <c:v>0.102740146597483</c:v>
                </c:pt>
                <c:pt idx="6">
                  <c:v>0.10288102093448701</c:v>
                </c:pt>
                <c:pt idx="7">
                  <c:v>0.10300139565401099</c:v>
                </c:pt>
                <c:pt idx="8">
                  <c:v>0.10310658737638601</c:v>
                </c:pt>
                <c:pt idx="9">
                  <c:v>0.103200075337502</c:v>
                </c:pt>
                <c:pt idx="10">
                  <c:v>0.103284262204</c:v>
                </c:pt>
                <c:pt idx="11">
                  <c:v>0.103360877526633</c:v>
                </c:pt>
                <c:pt idx="12">
                  <c:v>0.103431208153653</c:v>
                </c:pt>
                <c:pt idx="13">
                  <c:v>0.103496237708407</c:v>
                </c:pt>
                <c:pt idx="14">
                  <c:v>0.103556735084609</c:v>
                </c:pt>
                <c:pt idx="15">
                  <c:v>0.103613312816801</c:v>
                </c:pt>
                <c:pt idx="16">
                  <c:v>0.103666466857375</c:v>
                </c:pt>
                <c:pt idx="17">
                  <c:v>0.10371660444741999</c:v>
                </c:pt>
                <c:pt idx="18">
                  <c:v>0.10376406411969299</c:v>
                </c:pt>
                <c:pt idx="19">
                  <c:v>0.10380913035858701</c:v>
                </c:pt>
                <c:pt idx="20">
                  <c:v>0.103852044544123</c:v>
                </c:pt>
                <c:pt idx="21">
                  <c:v>0.103893013256558</c:v>
                </c:pt>
                <c:pt idx="22">
                  <c:v>0.103932214670875</c:v>
                </c:pt>
                <c:pt idx="23">
                  <c:v>0.10396980354554</c:v>
                </c:pt>
                <c:pt idx="24">
                  <c:v>0.104005915161023</c:v>
                </c:pt>
                <c:pt idx="25">
                  <c:v>0.10404066846285701</c:v>
                </c:pt>
                <c:pt idx="26">
                  <c:v>0.104074168594671</c:v>
                </c:pt>
                <c:pt idx="27">
                  <c:v>0.10410650895807599</c:v>
                </c:pt>
                <c:pt idx="28">
                  <c:v>0.10413777290170501</c:v>
                </c:pt>
                <c:pt idx="29">
                  <c:v>0.104168035116796</c:v>
                </c:pt>
                <c:pt idx="30">
                  <c:v>0.104197362798492</c:v>
                </c:pt>
                <c:pt idx="31">
                  <c:v>0.104225816618547</c:v>
                </c:pt>
                <c:pt idx="32">
                  <c:v>0.104253451545067</c:v>
                </c:pt>
                <c:pt idx="33">
                  <c:v>0.104280317537286</c:v>
                </c:pt>
                <c:pt idx="34">
                  <c:v>0.10430646013757899</c:v>
                </c:pt>
                <c:pt idx="35">
                  <c:v>0.10433192097843901</c:v>
                </c:pt>
                <c:pt idx="36">
                  <c:v>0.104356738218675</c:v>
                </c:pt>
                <c:pt idx="37">
                  <c:v>0.10438094692038</c:v>
                </c:pt>
                <c:pt idx="38">
                  <c:v>0.104404579376061</c:v>
                </c:pt>
                <c:pt idx="39">
                  <c:v>0.10442766539470601</c:v>
                </c:pt>
                <c:pt idx="40">
                  <c:v>0.104450232550895</c:v>
                </c:pt>
                <c:pt idx="41">
                  <c:v>0.104472306403378</c:v>
                </c:pt>
                <c:pt idx="42">
                  <c:v>0.104493910687546</c:v>
                </c:pt>
                <c:pt idx="43">
                  <c:v>0.104515067485448</c:v>
                </c:pt>
                <c:pt idx="44">
                  <c:v>0.104535797376425</c:v>
                </c:pt>
                <c:pt idx="45">
                  <c:v>0.104556119570968</c:v>
                </c:pt>
                <c:pt idx="46">
                  <c:v>0.10457605202998201</c:v>
                </c:pt>
                <c:pt idx="47">
                  <c:v>0.10459561157132601</c:v>
                </c:pt>
                <c:pt idx="48">
                  <c:v>0.10461481396524</c:v>
                </c:pt>
                <c:pt idx="49">
                  <c:v>0.104633674020002</c:v>
                </c:pt>
                <c:pt idx="50">
                  <c:v>0.104652205659008</c:v>
                </c:pt>
                <c:pt idx="51">
                  <c:v>0.10467042199028</c:v>
                </c:pt>
                <c:pt idx="52">
                  <c:v>0.10468833536927501</c:v>
                </c:pt>
                <c:pt idx="53">
                  <c:v>0.104705957455764</c:v>
                </c:pt>
                <c:pt idx="54">
                  <c:v>0.104723299265432</c:v>
                </c:pt>
                <c:pt idx="55">
                  <c:v>0.10474037121678501</c:v>
                </c:pt>
                <c:pt idx="56">
                  <c:v>0.104757183173858</c:v>
                </c:pt>
                <c:pt idx="57">
                  <c:v>0.10477374448518</c:v>
                </c:pt>
                <c:pt idx="58">
                  <c:v>0.104790064019366</c:v>
                </c:pt>
                <c:pt idx="59">
                  <c:v>0.10480615019770299</c:v>
                </c:pt>
                <c:pt idx="60">
                  <c:v>0.104822011024007</c:v>
                </c:pt>
                <c:pt idx="61">
                  <c:v>0.10483765411203801</c:v>
                </c:pt>
                <c:pt idx="62">
                  <c:v>0.104853086710699</c:v>
                </c:pt>
                <c:pt idx="63">
                  <c:v>0.10486831572724099</c:v>
                </c:pt>
                <c:pt idx="64">
                  <c:v>0.104883347748643</c:v>
                </c:pt>
                <c:pt idx="65">
                  <c:v>0.104898189061358</c:v>
                </c:pt>
                <c:pt idx="66">
                  <c:v>0.104912845669559</c:v>
                </c:pt>
                <c:pt idx="67">
                  <c:v>0.10492732331202199</c:v>
                </c:pt>
                <c:pt idx="68">
                  <c:v>0.10494162747777</c:v>
                </c:pt>
                <c:pt idx="69">
                  <c:v>0.10495576342058401</c:v>
                </c:pt>
                <c:pt idx="70">
                  <c:v>0.104969736172476</c:v>
                </c:pt>
                <c:pt idx="71">
                  <c:v>0.104983550556215</c:v>
                </c:pt>
                <c:pt idx="72">
                  <c:v>0.104997211196988</c:v>
                </c:pt>
                <c:pt idx="73">
                  <c:v>0.105010722533251</c:v>
                </c:pt>
                <c:pt idx="74">
                  <c:v>0.10502408882686499</c:v>
                </c:pt>
                <c:pt idx="75">
                  <c:v>0.105037314172539</c:v>
                </c:pt>
                <c:pt idx="76">
                  <c:v>0.10505040250667</c:v>
                </c:pt>
                <c:pt idx="77">
                  <c:v>0.105063357615594</c:v>
                </c:pt>
                <c:pt idx="78">
                  <c:v>0.105076183143323</c:v>
                </c:pt>
                <c:pt idx="79">
                  <c:v>0.10508888259878001</c:v>
                </c:pt>
                <c:pt idx="80">
                  <c:v>0.105101459362598</c:v>
                </c:pt>
                <c:pt idx="81">
                  <c:v>0.10511391669348399</c:v>
                </c:pt>
                <c:pt idx="82">
                  <c:v>0.10512625773421</c:v>
                </c:pt>
                <c:pt idx="83">
                  <c:v>0.10513848551723599</c:v>
                </c:pt>
                <c:pt idx="84">
                  <c:v>0.10515060297000201</c:v>
                </c:pt>
                <c:pt idx="85">
                  <c:v>0.105162612919908</c:v>
                </c:pt>
                <c:pt idx="86">
                  <c:v>0.105174518099013</c:v>
                </c:pt>
                <c:pt idx="87">
                  <c:v>0.105186321148453</c:v>
                </c:pt>
                <c:pt idx="88">
                  <c:v>0.105198024622616</c:v>
                </c:pt>
                <c:pt idx="89">
                  <c:v>0.105209630993088</c:v>
                </c:pt>
                <c:pt idx="90">
                  <c:v>0.10522114265237301</c:v>
                </c:pt>
                <c:pt idx="91">
                  <c:v>0.105232561917411</c:v>
                </c:pt>
                <c:pt idx="92">
                  <c:v>0.105243891032912</c:v>
                </c:pt>
                <c:pt idx="93">
                  <c:v>0.105255132174505</c:v>
                </c:pt>
                <c:pt idx="94">
                  <c:v>0.10526628745172401</c:v>
                </c:pt>
                <c:pt idx="95">
                  <c:v>0.105277358910841</c:v>
                </c:pt>
                <c:pt idx="96">
                  <c:v>0.105288348537545</c:v>
                </c:pt>
                <c:pt idx="97">
                  <c:v>0.10529925825949001</c:v>
                </c:pt>
                <c:pt idx="98">
                  <c:v>0.105310089948715</c:v>
                </c:pt>
                <c:pt idx="99">
                  <c:v>0.10532084542394</c:v>
                </c:pt>
                <c:pt idx="100">
                  <c:v>0.105331526452749</c:v>
                </c:pt>
                <c:pt idx="101">
                  <c:v>0.10534213475366599</c:v>
                </c:pt>
                <c:pt idx="102">
                  <c:v>0.105352671998135</c:v>
                </c:pt>
                <c:pt idx="103">
                  <c:v>0.105363139812398</c:v>
                </c:pt>
                <c:pt idx="104">
                  <c:v>0.10537353977929</c:v>
                </c:pt>
                <c:pt idx="105">
                  <c:v>0.105383873439947</c:v>
                </c:pt>
                <c:pt idx="106">
                  <c:v>0.105394142295438</c:v>
                </c:pt>
                <c:pt idx="107">
                  <c:v>0.10540434780831399</c:v>
                </c:pt>
                <c:pt idx="108">
                  <c:v>0.1054144914041</c:v>
                </c:pt>
                <c:pt idx="109">
                  <c:v>0.105424574472708</c:v>
                </c:pt>
                <c:pt idx="110">
                  <c:v>0.10543459836979301</c:v>
                </c:pt>
                <c:pt idx="111">
                  <c:v>0.105444564418049</c:v>
                </c:pt>
                <c:pt idx="112">
                  <c:v>0.105454473908448</c:v>
                </c:pt>
                <c:pt idx="113">
                  <c:v>0.105464328101426</c:v>
                </c:pt>
                <c:pt idx="114">
                  <c:v>0.10547412822802001</c:v>
                </c:pt>
                <c:pt idx="115">
                  <c:v>0.10548387549095201</c:v>
                </c:pt>
                <c:pt idx="116">
                  <c:v>0.105493571065675</c:v>
                </c:pt>
                <c:pt idx="117">
                  <c:v>0.105503216101374</c:v>
                </c:pt>
                <c:pt idx="118">
                  <c:v>0.10551281172191999</c:v>
                </c:pt>
                <c:pt idx="119">
                  <c:v>0.10552235902679701</c:v>
                </c:pt>
                <c:pt idx="120">
                  <c:v>0.105531859091982</c:v>
                </c:pt>
                <c:pt idx="121">
                  <c:v>0.105541312970793</c:v>
                </c:pt>
                <c:pt idx="122">
                  <c:v>0.105550721694713</c:v>
                </c:pt>
                <c:pt idx="123">
                  <c:v>0.10556008627416701</c:v>
                </c:pt>
                <c:pt idx="124">
                  <c:v>0.105569407699282</c:v>
                </c:pt>
                <c:pt idx="125">
                  <c:v>0.105578686940613</c:v>
                </c:pt>
                <c:pt idx="126">
                  <c:v>0.10558792494984499</c:v>
                </c:pt>
                <c:pt idx="127">
                  <c:v>0.105597122660464</c:v>
                </c:pt>
                <c:pt idx="128">
                  <c:v>0.105606280988415</c:v>
                </c:pt>
                <c:pt idx="129">
                  <c:v>0.105615400832723</c:v>
                </c:pt>
                <c:pt idx="130">
                  <c:v>0.10562448307610101</c:v>
                </c:pt>
                <c:pt idx="131">
                  <c:v>0.105633528585537</c:v>
                </c:pt>
                <c:pt idx="132">
                  <c:v>0.105642538212856</c:v>
                </c:pt>
                <c:pt idx="133">
                  <c:v>0.10565151279527001</c:v>
                </c:pt>
                <c:pt idx="134">
                  <c:v>0.105660453155901</c:v>
                </c:pt>
                <c:pt idx="135">
                  <c:v>0.1056693601043</c:v>
                </c:pt>
                <c:pt idx="136">
                  <c:v>0.105678234436935</c:v>
                </c:pt>
                <c:pt idx="137">
                  <c:v>0.105687076937673</c:v>
                </c:pt>
                <c:pt idx="138">
                  <c:v>0.10569588837824601</c:v>
                </c:pt>
                <c:pt idx="139">
                  <c:v>0.105704669518702</c:v>
                </c:pt>
                <c:pt idx="140">
                  <c:v>0.105713421107842</c:v>
                </c:pt>
                <c:pt idx="141">
                  <c:v>0.105722143883642</c:v>
                </c:pt>
                <c:pt idx="142">
                  <c:v>0.10573083857367301</c:v>
                </c:pt>
                <c:pt idx="143">
                  <c:v>0.10573950589549699</c:v>
                </c:pt>
                <c:pt idx="144">
                  <c:v>0.105748146557059</c:v>
                </c:pt>
                <c:pt idx="145">
                  <c:v>0.105756761257069</c:v>
                </c:pt>
                <c:pt idx="146">
                  <c:v>0.105765350685371</c:v>
                </c:pt>
                <c:pt idx="147">
                  <c:v>0.10577391552330601</c:v>
                </c:pt>
                <c:pt idx="148">
                  <c:v>0.105782456444064</c:v>
                </c:pt>
                <c:pt idx="149">
                  <c:v>0.105790974113029</c:v>
                </c:pt>
                <c:pt idx="150">
                  <c:v>0.105799469188117</c:v>
                </c:pt>
                <c:pt idx="151">
                  <c:v>0.105807942320102</c:v>
                </c:pt>
                <c:pt idx="152">
                  <c:v>0.105816394152941</c:v>
                </c:pt>
                <c:pt idx="153">
                  <c:v>0.10582482532409</c:v>
                </c:pt>
                <c:pt idx="154">
                  <c:v>0.10583323646481201</c:v>
                </c:pt>
                <c:pt idx="155">
                  <c:v>0.105841628200482</c:v>
                </c:pt>
                <c:pt idx="156">
                  <c:v>0.105850001150887</c:v>
                </c:pt>
                <c:pt idx="157">
                  <c:v>0.105858355930516</c:v>
                </c:pt>
                <c:pt idx="158">
                  <c:v>0.105866693148851</c:v>
                </c:pt>
                <c:pt idx="159">
                  <c:v>0.105875013410654</c:v>
                </c:pt>
                <c:pt idx="160">
                  <c:v>0.10588331731624</c:v>
                </c:pt>
                <c:pt idx="161">
                  <c:v>0.105891605461765</c:v>
                </c:pt>
                <c:pt idx="162">
                  <c:v>0.10589987843948701</c:v>
                </c:pt>
                <c:pt idx="163">
                  <c:v>0.10590813683804701</c:v>
                </c:pt>
                <c:pt idx="164">
                  <c:v>0.10591638124273201</c:v>
                </c:pt>
                <c:pt idx="165">
                  <c:v>0.105924612235738</c:v>
                </c:pt>
                <c:pt idx="166">
                  <c:v>0.10593283039644</c:v>
                </c:pt>
                <c:pt idx="167">
                  <c:v>0.105941036301648</c:v>
                </c:pt>
                <c:pt idx="168">
                  <c:v>0.10594923052586901</c:v>
                </c:pt>
                <c:pt idx="169">
                  <c:v>0.105957413641566</c:v>
                </c:pt>
                <c:pt idx="170">
                  <c:v>0.105965586219415</c:v>
                </c:pt>
                <c:pt idx="171">
                  <c:v>0.105973748828566</c:v>
                </c:pt>
                <c:pt idx="172">
                  <c:v>0.10598190203689301</c:v>
                </c:pt>
                <c:pt idx="173">
                  <c:v>0.105990046411258</c:v>
                </c:pt>
                <c:pt idx="174">
                  <c:v>0.10599818251776701</c:v>
                </c:pt>
                <c:pt idx="175">
                  <c:v>0.106006310922025</c:v>
                </c:pt>
                <c:pt idx="176">
                  <c:v>0.106014432189397</c:v>
                </c:pt>
                <c:pt idx="177">
                  <c:v>0.106022546885271</c:v>
                </c:pt>
                <c:pt idx="178">
                  <c:v>0.10603065557531401</c:v>
                </c:pt>
                <c:pt idx="179">
                  <c:v>0.10603875882574</c:v>
                </c:pt>
                <c:pt idx="180">
                  <c:v>0.106046857203577</c:v>
                </c:pt>
                <c:pt idx="181">
                  <c:v>0.106054951276932</c:v>
                </c:pt>
                <c:pt idx="182">
                  <c:v>0.106063041615263</c:v>
                </c:pt>
                <c:pt idx="183">
                  <c:v>0.10607112878965499</c:v>
                </c:pt>
                <c:pt idx="184">
                  <c:v>0.106079213373101</c:v>
                </c:pt>
                <c:pt idx="185">
                  <c:v>0.106087295940776</c:v>
                </c:pt>
                <c:pt idx="186">
                  <c:v>0.10609537707033299</c:v>
                </c:pt>
                <c:pt idx="187">
                  <c:v>0.106103457342189</c:v>
                </c:pt>
                <c:pt idx="188">
                  <c:v>0.106111537339822</c:v>
                </c:pt>
                <c:pt idx="189">
                  <c:v>0.10611961765007601</c:v>
                </c:pt>
                <c:pt idx="190">
                  <c:v>0.106127698863465</c:v>
                </c:pt>
                <c:pt idx="191">
                  <c:v>0.10613578157449099</c:v>
                </c:pt>
                <c:pt idx="192">
                  <c:v>0.106143866381966</c:v>
                </c:pt>
                <c:pt idx="193">
                  <c:v>0.10615195388934</c:v>
                </c:pt>
                <c:pt idx="194">
                  <c:v>0.106160044705038</c:v>
                </c:pt>
                <c:pt idx="195">
                  <c:v>0.106168139442805</c:v>
                </c:pt>
                <c:pt idx="196">
                  <c:v>0.106176238722063</c:v>
                </c:pt>
                <c:pt idx="197">
                  <c:v>0.106184343168276</c:v>
                </c:pt>
                <c:pt idx="198">
                  <c:v>0.10619245341332301</c:v>
                </c:pt>
                <c:pt idx="199">
                  <c:v>0.106200570095885</c:v>
                </c:pt>
                <c:pt idx="200">
                  <c:v>0.10620869386184199</c:v>
                </c:pt>
                <c:pt idx="201">
                  <c:v>0.10621682536468401</c:v>
                </c:pt>
                <c:pt idx="202">
                  <c:v>0.106224965265935</c:v>
                </c:pt>
                <c:pt idx="203">
                  <c:v>0.106233114235588</c:v>
                </c:pt>
                <c:pt idx="204">
                  <c:v>0.10624127295256</c:v>
                </c:pt>
                <c:pt idx="205">
                  <c:v>0.10624944210515699</c:v>
                </c:pt>
                <c:pt idx="206">
                  <c:v>0.106257622391562</c:v>
                </c:pt>
                <c:pt idx="207">
                  <c:v>0.106265814520335</c:v>
                </c:pt>
                <c:pt idx="208">
                  <c:v>0.106274019210935</c:v>
                </c:pt>
                <c:pt idx="209">
                  <c:v>0.10628223719426</c:v>
                </c:pt>
                <c:pt idx="210">
                  <c:v>0.106290469213214</c:v>
                </c:pt>
                <c:pt idx="211">
                  <c:v>0.106298716023284</c:v>
                </c:pt>
                <c:pt idx="212">
                  <c:v>0.106306978393155</c:v>
                </c:pt>
                <c:pt idx="213">
                  <c:v>0.106315257105341</c:v>
                </c:pt>
                <c:pt idx="214">
                  <c:v>0.10632355295684801</c:v>
                </c:pt>
                <c:pt idx="215">
                  <c:v>0.10633186675985799</c:v>
                </c:pt>
                <c:pt idx="216">
                  <c:v>0.10634019934245301</c:v>
                </c:pt>
                <c:pt idx="217">
                  <c:v>0.106348551549366</c:v>
                </c:pt>
                <c:pt idx="218">
                  <c:v>0.106356924242761</c:v>
                </c:pt>
                <c:pt idx="219">
                  <c:v>0.10636531830306099</c:v>
                </c:pt>
                <c:pt idx="220">
                  <c:v>0.106373734629807</c:v>
                </c:pt>
                <c:pt idx="221">
                  <c:v>0.10638217414255299</c:v>
                </c:pt>
                <c:pt idx="222">
                  <c:v>0.106390637781818</c:v>
                </c:pt>
                <c:pt idx="223">
                  <c:v>0.10639912651007299</c:v>
                </c:pt>
                <c:pt idx="224">
                  <c:v>0.10640764131277999</c:v>
                </c:pt>
                <c:pt idx="225">
                  <c:v>0.10641618319948901</c:v>
                </c:pt>
                <c:pt idx="226">
                  <c:v>0.106424753204983</c:v>
                </c:pt>
                <c:pt idx="227">
                  <c:v>0.10643335239049</c:v>
                </c:pt>
                <c:pt idx="228">
                  <c:v>0.106441981844954</c:v>
                </c:pt>
                <c:pt idx="229">
                  <c:v>0.106450642686375</c:v>
                </c:pt>
                <c:pt idx="230">
                  <c:v>0.10645933606322799</c:v>
                </c:pt>
                <c:pt idx="231">
                  <c:v>0.10646806315594901</c:v>
                </c:pt>
                <c:pt idx="232">
                  <c:v>0.106476825178516</c:v>
                </c:pt>
                <c:pt idx="233">
                  <c:v>0.10648562338011</c:v>
                </c:pt>
                <c:pt idx="234">
                  <c:v>0.106494459046881</c:v>
                </c:pt>
                <c:pt idx="235">
                  <c:v>0.106503333503809</c:v>
                </c:pt>
                <c:pt idx="236">
                  <c:v>0.10651224811667701</c:v>
                </c:pt>
                <c:pt idx="237">
                  <c:v>0.106521204294171</c:v>
                </c:pt>
                <c:pt idx="238">
                  <c:v>0.106530203490093</c:v>
                </c:pt>
                <c:pt idx="239">
                  <c:v>0.10653924720572699</c:v>
                </c:pt>
                <c:pt idx="240">
                  <c:v>0.106548336992338</c:v>
                </c:pt>
                <c:pt idx="241">
                  <c:v>0.106557474453844</c:v>
                </c:pt>
                <c:pt idx="242">
                  <c:v>0.106566661249652</c:v>
                </c:pt>
                <c:pt idx="243">
                  <c:v>0.10657589909767901</c:v>
                </c:pt>
                <c:pt idx="244">
                  <c:v>0.10658518977758299</c:v>
                </c:pt>
                <c:pt idx="245">
                  <c:v>0.106594535134197</c:v>
                </c:pt>
                <c:pt idx="246">
                  <c:v>0.106603937081217</c:v>
                </c:pt>
                <c:pt idx="247">
                  <c:v>0.106613397605125</c:v>
                </c:pt>
                <c:pt idx="248">
                  <c:v>0.10662291876941001</c:v>
                </c:pt>
                <c:pt idx="249">
                  <c:v>0.106632502719071</c:v>
                </c:pt>
                <c:pt idx="250">
                  <c:v>0.10664215168546599</c:v>
                </c:pt>
                <c:pt idx="251">
                  <c:v>0.106651867991505</c:v>
                </c:pt>
                <c:pt idx="252">
                  <c:v>0.106661654057239</c:v>
                </c:pt>
                <c:pt idx="253">
                  <c:v>0.106671512405876</c:v>
                </c:pt>
                <c:pt idx="254">
                  <c:v>0.106681445670259</c:v>
                </c:pt>
                <c:pt idx="255">
                  <c:v>0.106691456599855</c:v>
                </c:pt>
                <c:pt idx="256">
                  <c:v>0.10670154806830701</c:v>
                </c:pt>
                <c:pt idx="257">
                  <c:v>0.106711723081597</c:v>
                </c:pt>
                <c:pt idx="258">
                  <c:v>0.106721984786882</c:v>
                </c:pt>
                <c:pt idx="259">
                  <c:v>0.106732336482082</c:v>
                </c:pt>
                <c:pt idx="260">
                  <c:v>0.10674278162628199</c:v>
                </c:pt>
                <c:pt idx="261">
                  <c:v>0.106753323851043</c:v>
                </c:pt>
                <c:pt idx="262">
                  <c:v>0.106763966972719</c:v>
                </c:pt>
                <c:pt idx="263">
                  <c:v>0.10677471500588499</c:v>
                </c:pt>
                <c:pt idx="264">
                  <c:v>0.10678557217800599</c:v>
                </c:pt>
                <c:pt idx="265">
                  <c:v>0.106796542945475</c:v>
                </c:pt>
                <c:pt idx="266">
                  <c:v>0.10680763201119001</c:v>
                </c:pt>
                <c:pt idx="267">
                  <c:v>0.106818844343851</c:v>
                </c:pt>
                <c:pt idx="268">
                  <c:v>0.106830185199162</c:v>
                </c:pt>
                <c:pt idx="269">
                  <c:v>0.1068416601432</c:v>
                </c:pt>
                <c:pt idx="270">
                  <c:v>0.106853275078199</c:v>
                </c:pt>
                <c:pt idx="271">
                  <c:v>0.10686503627105901</c:v>
                </c:pt>
                <c:pt idx="272">
                  <c:v>0.106876950384948</c:v>
                </c:pt>
                <c:pt idx="273">
                  <c:v>0.10688902451438199</c:v>
                </c:pt>
                <c:pt idx="274">
                  <c:v>0.106901266224276</c:v>
                </c:pt>
                <c:pt idx="275">
                  <c:v>0.106913683593506</c:v>
                </c:pt>
                <c:pt idx="276">
                  <c:v>0.106926285263621</c:v>
                </c:pt>
                <c:pt idx="277">
                  <c:v>0.106939080493455</c:v>
                </c:pt>
                <c:pt idx="278">
                  <c:v>0.10695207922051</c:v>
                </c:pt>
                <c:pt idx="279">
                  <c:v>0.10696529213014599</c:v>
                </c:pt>
                <c:pt idx="280">
                  <c:v>0.106978730733797</c:v>
                </c:pt>
                <c:pt idx="281">
                  <c:v>0.106992407457646</c:v>
                </c:pt>
                <c:pt idx="282">
                  <c:v>0.107006335743491</c:v>
                </c:pt>
                <c:pt idx="283">
                  <c:v>0.10702053016384699</c:v>
                </c:pt>
                <c:pt idx="284">
                  <c:v>0.107035006553762</c:v>
                </c:pt>
                <c:pt idx="285">
                  <c:v>0.107049782162317</c:v>
                </c:pt>
                <c:pt idx="286">
                  <c:v>0.10706487582742701</c:v>
                </c:pt>
                <c:pt idx="287">
                  <c:v>0.107080308178348</c:v>
                </c:pt>
                <c:pt idx="288">
                  <c:v>0.10709610187127599</c:v>
                </c:pt>
                <c:pt idx="289">
                  <c:v>0.10711228186470099</c:v>
                </c:pt>
                <c:pt idx="290">
                  <c:v>0.107128875742745</c:v>
                </c:pt>
                <c:pt idx="291">
                  <c:v>0.107145914096787</c:v>
                </c:pt>
                <c:pt idx="292">
                  <c:v>0.10716343097827</c:v>
                </c:pt>
                <c:pt idx="293">
                  <c:v>0.10718146443905199</c:v>
                </c:pt>
                <c:pt idx="294">
                  <c:v>0.107200057180087</c:v>
                </c:pt>
                <c:pt idx="295">
                  <c:v>0.10721925733519</c:v>
                </c:pt>
                <c:pt idx="296">
                  <c:v>0.107239119424452</c:v>
                </c:pt>
                <c:pt idx="297">
                  <c:v>0.10725970552248799</c:v>
                </c:pt>
                <c:pt idx="298">
                  <c:v>0.107281086701057</c:v>
                </c:pt>
                <c:pt idx="299">
                  <c:v>0.10730334482520799</c:v>
                </c:pt>
                <c:pt idx="300">
                  <c:v>0.107326574809414</c:v>
                </c:pt>
                <c:pt idx="301">
                  <c:v>0.10735088747820599</c:v>
                </c:pt>
                <c:pt idx="302">
                  <c:v>0.10737641322982</c:v>
                </c:pt>
                <c:pt idx="303">
                  <c:v>0.107403306778537</c:v>
                </c:pt>
                <c:pt idx="304">
                  <c:v>0.10743175336319</c:v>
                </c:pt>
                <c:pt idx="305">
                  <c:v>0.107461976972791</c:v>
                </c:pt>
                <c:pt idx="306">
                  <c:v>0.107494251381856</c:v>
                </c:pt>
                <c:pt idx="307">
                  <c:v>0.107528915147976</c:v>
                </c:pt>
                <c:pt idx="308">
                  <c:v>0.107566392263413</c:v>
                </c:pt>
                <c:pt idx="309">
                  <c:v>0.10760722096054399</c:v>
                </c:pt>
                <c:pt idx="310">
                  <c:v>0.107652094373539</c:v>
                </c:pt>
                <c:pt idx="311">
                  <c:v>0.107701918517204</c:v>
                </c:pt>
                <c:pt idx="312">
                  <c:v>0.107757895545197</c:v>
                </c:pt>
                <c:pt idx="313">
                  <c:v>0.107821643761701</c:v>
                </c:pt>
                <c:pt idx="314">
                  <c:v>0.107895371464266</c:v>
                </c:pt>
                <c:pt idx="315">
                  <c:v>0.107982136054144</c:v>
                </c:pt>
                <c:pt idx="316">
                  <c:v>0.108086279484475</c:v>
                </c:pt>
                <c:pt idx="317">
                  <c:v>0.10821441051713999</c:v>
                </c:pt>
                <c:pt idx="318">
                  <c:v>0.108378611684964</c:v>
                </c:pt>
                <c:pt idx="319">
                  <c:v>0.10851279142848901</c:v>
                </c:pt>
                <c:pt idx="320">
                  <c:v>0.108646878508965</c:v>
                </c:pt>
                <c:pt idx="321">
                  <c:v>0.108781836007877</c:v>
                </c:pt>
                <c:pt idx="322">
                  <c:v>0.108917703938839</c:v>
                </c:pt>
                <c:pt idx="323">
                  <c:v>0.109054545173906</c:v>
                </c:pt>
                <c:pt idx="324">
                  <c:v>0.109192417872054</c:v>
                </c:pt>
                <c:pt idx="325">
                  <c:v>0.109331376964383</c:v>
                </c:pt>
                <c:pt idx="326">
                  <c:v>0.10947147454287399</c:v>
                </c:pt>
                <c:pt idx="327">
                  <c:v>0.109612760241196</c:v>
                </c:pt>
                <c:pt idx="328">
                  <c:v>0.10975528157779101</c:v>
                </c:pt>
                <c:pt idx="329">
                  <c:v>0.109899084266184</c:v>
                </c:pt>
                <c:pt idx="330">
                  <c:v>0.110044212495958</c:v>
                </c:pt>
                <c:pt idx="331">
                  <c:v>0.11019070918751001</c:v>
                </c:pt>
                <c:pt idx="332">
                  <c:v>0.11033861622334599</c:v>
                </c:pt>
                <c:pt idx="333">
                  <c:v>0.110487974658393</c:v>
                </c:pt>
                <c:pt idx="334">
                  <c:v>0.110638824911563</c:v>
                </c:pt>
                <c:pt idx="335">
                  <c:v>0.110791206940568</c:v>
                </c:pt>
                <c:pt idx="336">
                  <c:v>0.11094516040180299</c:v>
                </c:pt>
                <c:pt idx="337">
                  <c:v>0.11110072479692901</c:v>
                </c:pt>
                <c:pt idx="338">
                  <c:v>0.111257939607629</c:v>
                </c:pt>
                <c:pt idx="339">
                  <c:v>0.111416844419904</c:v>
                </c:pt>
                <c:pt idx="340">
                  <c:v>0.111577479039088</c:v>
                </c:pt>
                <c:pt idx="341">
                  <c:v>0.111739883596728</c:v>
                </c:pt>
                <c:pt idx="342">
                  <c:v>0.111904098650297</c:v>
                </c:pt>
                <c:pt idx="343">
                  <c:v>0.11207016527668</c:v>
                </c:pt>
                <c:pt idx="344">
                  <c:v>0.112238125160255</c:v>
                </c:pt>
                <c:pt idx="345">
                  <c:v>0.11240802067632299</c:v>
                </c:pt>
                <c:pt idx="346">
                  <c:v>0.11257989497059701</c:v>
                </c:pt>
                <c:pt idx="347">
                  <c:v>0.112753792035371</c:v>
                </c:pt>
                <c:pt idx="348">
                  <c:v>0.112929756782956</c:v>
                </c:pt>
                <c:pt idx="349">
                  <c:v>0.113107835116922</c:v>
                </c:pt>
                <c:pt idx="350">
                  <c:v>0.113288074001635</c:v>
                </c:pt>
                <c:pt idx="351">
                  <c:v>0.113470521530551</c:v>
                </c:pt>
                <c:pt idx="352">
                  <c:v>0.113655226993682</c:v>
                </c:pt>
                <c:pt idx="353">
                  <c:v>0.113842240944644</c:v>
                </c:pt>
                <c:pt idx="354">
                  <c:v>0.114031615267637</c:v>
                </c:pt>
                <c:pt idx="355">
                  <c:v>0.11422340324472501</c:v>
                </c:pt>
                <c:pt idx="356">
                  <c:v>0.11441765962373</c:v>
                </c:pt>
                <c:pt idx="357">
                  <c:v>0.114614440687063</c:v>
                </c:pt>
                <c:pt idx="358">
                  <c:v>0.114813804321789</c:v>
                </c:pt>
                <c:pt idx="359">
                  <c:v>0.22425676384167301</c:v>
                </c:pt>
                <c:pt idx="360">
                  <c:v>0.30704288935609397</c:v>
                </c:pt>
                <c:pt idx="361">
                  <c:v>0.30834090817871301</c:v>
                </c:pt>
                <c:pt idx="362">
                  <c:v>0.30921577139060102</c:v>
                </c:pt>
                <c:pt idx="363">
                  <c:v>0.31017471350345399</c:v>
                </c:pt>
                <c:pt idx="364">
                  <c:v>0.31131883897321</c:v>
                </c:pt>
                <c:pt idx="365">
                  <c:v>0.31289797505880901</c:v>
                </c:pt>
                <c:pt idx="366">
                  <c:v>0.51289797505880896</c:v>
                </c:pt>
                <c:pt idx="367">
                  <c:v>0.51289797505880896</c:v>
                </c:pt>
              </c:numCache>
            </c:numRef>
          </c:xVal>
          <c:yVal>
            <c:numRef>
              <c:f>Implicit_Fracs!$AU$4:$AU$371</c:f>
              <c:numCache>
                <c:formatCode>General</c:formatCode>
                <c:ptCount val="3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ser>
          <c:idx val="4"/>
          <c:order val="4"/>
          <c:tx>
            <c:strRef>
              <c:f>Implicit_Fracs!$AV$2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Implicit_Fracs!$C$4:$C$371</c:f>
              <c:numCache>
                <c:formatCode>General</c:formatCode>
                <c:ptCount val="368"/>
                <c:pt idx="0">
                  <c:v>6.5458908507104702E-2</c:v>
                </c:pt>
                <c:pt idx="1">
                  <c:v>0.10158646265419501</c:v>
                </c:pt>
                <c:pt idx="2">
                  <c:v>0.102060105178604</c:v>
                </c:pt>
                <c:pt idx="3">
                  <c:v>0.102354758409441</c:v>
                </c:pt>
                <c:pt idx="4">
                  <c:v>0.10257003610151801</c:v>
                </c:pt>
                <c:pt idx="5">
                  <c:v>0.102740146597483</c:v>
                </c:pt>
                <c:pt idx="6">
                  <c:v>0.10288102093448701</c:v>
                </c:pt>
                <c:pt idx="7">
                  <c:v>0.10300139565401099</c:v>
                </c:pt>
                <c:pt idx="8">
                  <c:v>0.10310658737638601</c:v>
                </c:pt>
                <c:pt idx="9">
                  <c:v>0.103200075337502</c:v>
                </c:pt>
                <c:pt idx="10">
                  <c:v>0.103284262204</c:v>
                </c:pt>
                <c:pt idx="11">
                  <c:v>0.103360877526633</c:v>
                </c:pt>
                <c:pt idx="12">
                  <c:v>0.103431208153653</c:v>
                </c:pt>
                <c:pt idx="13">
                  <c:v>0.103496237708407</c:v>
                </c:pt>
                <c:pt idx="14">
                  <c:v>0.103556735084609</c:v>
                </c:pt>
                <c:pt idx="15">
                  <c:v>0.103613312816801</c:v>
                </c:pt>
                <c:pt idx="16">
                  <c:v>0.103666466857375</c:v>
                </c:pt>
                <c:pt idx="17">
                  <c:v>0.10371660444741999</c:v>
                </c:pt>
                <c:pt idx="18">
                  <c:v>0.10376406411969299</c:v>
                </c:pt>
                <c:pt idx="19">
                  <c:v>0.10380913035858701</c:v>
                </c:pt>
                <c:pt idx="20">
                  <c:v>0.103852044544123</c:v>
                </c:pt>
                <c:pt idx="21">
                  <c:v>0.103893013256558</c:v>
                </c:pt>
                <c:pt idx="22">
                  <c:v>0.103932214670875</c:v>
                </c:pt>
                <c:pt idx="23">
                  <c:v>0.10396980354554</c:v>
                </c:pt>
                <c:pt idx="24">
                  <c:v>0.104005915161023</c:v>
                </c:pt>
                <c:pt idx="25">
                  <c:v>0.10404066846285701</c:v>
                </c:pt>
                <c:pt idx="26">
                  <c:v>0.104074168594671</c:v>
                </c:pt>
                <c:pt idx="27">
                  <c:v>0.10410650895807599</c:v>
                </c:pt>
                <c:pt idx="28">
                  <c:v>0.10413777290170501</c:v>
                </c:pt>
                <c:pt idx="29">
                  <c:v>0.104168035116796</c:v>
                </c:pt>
                <c:pt idx="30">
                  <c:v>0.104197362798492</c:v>
                </c:pt>
                <c:pt idx="31">
                  <c:v>0.104225816618547</c:v>
                </c:pt>
                <c:pt idx="32">
                  <c:v>0.104253451545067</c:v>
                </c:pt>
                <c:pt idx="33">
                  <c:v>0.104280317537286</c:v>
                </c:pt>
                <c:pt idx="34">
                  <c:v>0.10430646013757899</c:v>
                </c:pt>
                <c:pt idx="35">
                  <c:v>0.10433192097843901</c:v>
                </c:pt>
                <c:pt idx="36">
                  <c:v>0.104356738218675</c:v>
                </c:pt>
                <c:pt idx="37">
                  <c:v>0.10438094692038</c:v>
                </c:pt>
                <c:pt idx="38">
                  <c:v>0.104404579376061</c:v>
                </c:pt>
                <c:pt idx="39">
                  <c:v>0.10442766539470601</c:v>
                </c:pt>
                <c:pt idx="40">
                  <c:v>0.104450232550895</c:v>
                </c:pt>
                <c:pt idx="41">
                  <c:v>0.104472306403378</c:v>
                </c:pt>
                <c:pt idx="42">
                  <c:v>0.104493910687546</c:v>
                </c:pt>
                <c:pt idx="43">
                  <c:v>0.104515067485448</c:v>
                </c:pt>
                <c:pt idx="44">
                  <c:v>0.104535797376425</c:v>
                </c:pt>
                <c:pt idx="45">
                  <c:v>0.104556119570968</c:v>
                </c:pt>
                <c:pt idx="46">
                  <c:v>0.10457605202998201</c:v>
                </c:pt>
                <c:pt idx="47">
                  <c:v>0.10459561157132601</c:v>
                </c:pt>
                <c:pt idx="48">
                  <c:v>0.10461481396524</c:v>
                </c:pt>
                <c:pt idx="49">
                  <c:v>0.104633674020002</c:v>
                </c:pt>
                <c:pt idx="50">
                  <c:v>0.104652205659008</c:v>
                </c:pt>
                <c:pt idx="51">
                  <c:v>0.10467042199028</c:v>
                </c:pt>
                <c:pt idx="52">
                  <c:v>0.10468833536927501</c:v>
                </c:pt>
                <c:pt idx="53">
                  <c:v>0.104705957455764</c:v>
                </c:pt>
                <c:pt idx="54">
                  <c:v>0.104723299265432</c:v>
                </c:pt>
                <c:pt idx="55">
                  <c:v>0.10474037121678501</c:v>
                </c:pt>
                <c:pt idx="56">
                  <c:v>0.104757183173858</c:v>
                </c:pt>
                <c:pt idx="57">
                  <c:v>0.10477374448518</c:v>
                </c:pt>
                <c:pt idx="58">
                  <c:v>0.104790064019366</c:v>
                </c:pt>
                <c:pt idx="59">
                  <c:v>0.10480615019770299</c:v>
                </c:pt>
                <c:pt idx="60">
                  <c:v>0.104822011024007</c:v>
                </c:pt>
                <c:pt idx="61">
                  <c:v>0.10483765411203801</c:v>
                </c:pt>
                <c:pt idx="62">
                  <c:v>0.104853086710699</c:v>
                </c:pt>
                <c:pt idx="63">
                  <c:v>0.10486831572724099</c:v>
                </c:pt>
                <c:pt idx="64">
                  <c:v>0.104883347748643</c:v>
                </c:pt>
                <c:pt idx="65">
                  <c:v>0.104898189061358</c:v>
                </c:pt>
                <c:pt idx="66">
                  <c:v>0.104912845669559</c:v>
                </c:pt>
                <c:pt idx="67">
                  <c:v>0.10492732331202199</c:v>
                </c:pt>
                <c:pt idx="68">
                  <c:v>0.10494162747777</c:v>
                </c:pt>
                <c:pt idx="69">
                  <c:v>0.10495576342058401</c:v>
                </c:pt>
                <c:pt idx="70">
                  <c:v>0.104969736172476</c:v>
                </c:pt>
                <c:pt idx="71">
                  <c:v>0.104983550556215</c:v>
                </c:pt>
                <c:pt idx="72">
                  <c:v>0.104997211196988</c:v>
                </c:pt>
                <c:pt idx="73">
                  <c:v>0.105010722533251</c:v>
                </c:pt>
                <c:pt idx="74">
                  <c:v>0.10502408882686499</c:v>
                </c:pt>
                <c:pt idx="75">
                  <c:v>0.105037314172539</c:v>
                </c:pt>
                <c:pt idx="76">
                  <c:v>0.10505040250667</c:v>
                </c:pt>
                <c:pt idx="77">
                  <c:v>0.105063357615594</c:v>
                </c:pt>
                <c:pt idx="78">
                  <c:v>0.105076183143323</c:v>
                </c:pt>
                <c:pt idx="79">
                  <c:v>0.10508888259878001</c:v>
                </c:pt>
                <c:pt idx="80">
                  <c:v>0.105101459362598</c:v>
                </c:pt>
                <c:pt idx="81">
                  <c:v>0.10511391669348399</c:v>
                </c:pt>
                <c:pt idx="82">
                  <c:v>0.10512625773421</c:v>
                </c:pt>
                <c:pt idx="83">
                  <c:v>0.10513848551723599</c:v>
                </c:pt>
                <c:pt idx="84">
                  <c:v>0.10515060297000201</c:v>
                </c:pt>
                <c:pt idx="85">
                  <c:v>0.105162612919908</c:v>
                </c:pt>
                <c:pt idx="86">
                  <c:v>0.105174518099013</c:v>
                </c:pt>
                <c:pt idx="87">
                  <c:v>0.105186321148453</c:v>
                </c:pt>
                <c:pt idx="88">
                  <c:v>0.105198024622616</c:v>
                </c:pt>
                <c:pt idx="89">
                  <c:v>0.105209630993088</c:v>
                </c:pt>
                <c:pt idx="90">
                  <c:v>0.10522114265237301</c:v>
                </c:pt>
                <c:pt idx="91">
                  <c:v>0.105232561917411</c:v>
                </c:pt>
                <c:pt idx="92">
                  <c:v>0.105243891032912</c:v>
                </c:pt>
                <c:pt idx="93">
                  <c:v>0.105255132174505</c:v>
                </c:pt>
                <c:pt idx="94">
                  <c:v>0.10526628745172401</c:v>
                </c:pt>
                <c:pt idx="95">
                  <c:v>0.105277358910841</c:v>
                </c:pt>
                <c:pt idx="96">
                  <c:v>0.105288348537545</c:v>
                </c:pt>
                <c:pt idx="97">
                  <c:v>0.10529925825949001</c:v>
                </c:pt>
                <c:pt idx="98">
                  <c:v>0.105310089948715</c:v>
                </c:pt>
                <c:pt idx="99">
                  <c:v>0.10532084542394</c:v>
                </c:pt>
                <c:pt idx="100">
                  <c:v>0.105331526452749</c:v>
                </c:pt>
                <c:pt idx="101">
                  <c:v>0.10534213475366599</c:v>
                </c:pt>
                <c:pt idx="102">
                  <c:v>0.105352671998135</c:v>
                </c:pt>
                <c:pt idx="103">
                  <c:v>0.105363139812398</c:v>
                </c:pt>
                <c:pt idx="104">
                  <c:v>0.10537353977929</c:v>
                </c:pt>
                <c:pt idx="105">
                  <c:v>0.105383873439947</c:v>
                </c:pt>
                <c:pt idx="106">
                  <c:v>0.105394142295438</c:v>
                </c:pt>
                <c:pt idx="107">
                  <c:v>0.10540434780831399</c:v>
                </c:pt>
                <c:pt idx="108">
                  <c:v>0.1054144914041</c:v>
                </c:pt>
                <c:pt idx="109">
                  <c:v>0.105424574472708</c:v>
                </c:pt>
                <c:pt idx="110">
                  <c:v>0.10543459836979301</c:v>
                </c:pt>
                <c:pt idx="111">
                  <c:v>0.105444564418049</c:v>
                </c:pt>
                <c:pt idx="112">
                  <c:v>0.105454473908448</c:v>
                </c:pt>
                <c:pt idx="113">
                  <c:v>0.105464328101426</c:v>
                </c:pt>
                <c:pt idx="114">
                  <c:v>0.10547412822802001</c:v>
                </c:pt>
                <c:pt idx="115">
                  <c:v>0.10548387549095201</c:v>
                </c:pt>
                <c:pt idx="116">
                  <c:v>0.105493571065675</c:v>
                </c:pt>
                <c:pt idx="117">
                  <c:v>0.105503216101374</c:v>
                </c:pt>
                <c:pt idx="118">
                  <c:v>0.10551281172191999</c:v>
                </c:pt>
                <c:pt idx="119">
                  <c:v>0.10552235902679701</c:v>
                </c:pt>
                <c:pt idx="120">
                  <c:v>0.105531859091982</c:v>
                </c:pt>
                <c:pt idx="121">
                  <c:v>0.105541312970793</c:v>
                </c:pt>
                <c:pt idx="122">
                  <c:v>0.105550721694713</c:v>
                </c:pt>
                <c:pt idx="123">
                  <c:v>0.10556008627416701</c:v>
                </c:pt>
                <c:pt idx="124">
                  <c:v>0.105569407699282</c:v>
                </c:pt>
                <c:pt idx="125">
                  <c:v>0.105578686940613</c:v>
                </c:pt>
                <c:pt idx="126">
                  <c:v>0.10558792494984499</c:v>
                </c:pt>
                <c:pt idx="127">
                  <c:v>0.105597122660464</c:v>
                </c:pt>
                <c:pt idx="128">
                  <c:v>0.105606280988415</c:v>
                </c:pt>
                <c:pt idx="129">
                  <c:v>0.105615400832723</c:v>
                </c:pt>
                <c:pt idx="130">
                  <c:v>0.10562448307610101</c:v>
                </c:pt>
                <c:pt idx="131">
                  <c:v>0.105633528585537</c:v>
                </c:pt>
                <c:pt idx="132">
                  <c:v>0.105642538212856</c:v>
                </c:pt>
                <c:pt idx="133">
                  <c:v>0.10565151279527001</c:v>
                </c:pt>
                <c:pt idx="134">
                  <c:v>0.105660453155901</c:v>
                </c:pt>
                <c:pt idx="135">
                  <c:v>0.1056693601043</c:v>
                </c:pt>
                <c:pt idx="136">
                  <c:v>0.105678234436935</c:v>
                </c:pt>
                <c:pt idx="137">
                  <c:v>0.105687076937673</c:v>
                </c:pt>
                <c:pt idx="138">
                  <c:v>0.10569588837824601</c:v>
                </c:pt>
                <c:pt idx="139">
                  <c:v>0.105704669518702</c:v>
                </c:pt>
                <c:pt idx="140">
                  <c:v>0.105713421107842</c:v>
                </c:pt>
                <c:pt idx="141">
                  <c:v>0.105722143883642</c:v>
                </c:pt>
                <c:pt idx="142">
                  <c:v>0.10573083857367301</c:v>
                </c:pt>
                <c:pt idx="143">
                  <c:v>0.10573950589549699</c:v>
                </c:pt>
                <c:pt idx="144">
                  <c:v>0.105748146557059</c:v>
                </c:pt>
                <c:pt idx="145">
                  <c:v>0.105756761257069</c:v>
                </c:pt>
                <c:pt idx="146">
                  <c:v>0.105765350685371</c:v>
                </c:pt>
                <c:pt idx="147">
                  <c:v>0.10577391552330601</c:v>
                </c:pt>
                <c:pt idx="148">
                  <c:v>0.105782456444064</c:v>
                </c:pt>
                <c:pt idx="149">
                  <c:v>0.105790974113029</c:v>
                </c:pt>
                <c:pt idx="150">
                  <c:v>0.105799469188117</c:v>
                </c:pt>
                <c:pt idx="151">
                  <c:v>0.105807942320102</c:v>
                </c:pt>
                <c:pt idx="152">
                  <c:v>0.105816394152941</c:v>
                </c:pt>
                <c:pt idx="153">
                  <c:v>0.10582482532409</c:v>
                </c:pt>
                <c:pt idx="154">
                  <c:v>0.10583323646481201</c:v>
                </c:pt>
                <c:pt idx="155">
                  <c:v>0.105841628200482</c:v>
                </c:pt>
                <c:pt idx="156">
                  <c:v>0.105850001150887</c:v>
                </c:pt>
                <c:pt idx="157">
                  <c:v>0.105858355930516</c:v>
                </c:pt>
                <c:pt idx="158">
                  <c:v>0.105866693148851</c:v>
                </c:pt>
                <c:pt idx="159">
                  <c:v>0.105875013410654</c:v>
                </c:pt>
                <c:pt idx="160">
                  <c:v>0.10588331731624</c:v>
                </c:pt>
                <c:pt idx="161">
                  <c:v>0.105891605461765</c:v>
                </c:pt>
                <c:pt idx="162">
                  <c:v>0.10589987843948701</c:v>
                </c:pt>
                <c:pt idx="163">
                  <c:v>0.10590813683804701</c:v>
                </c:pt>
                <c:pt idx="164">
                  <c:v>0.10591638124273201</c:v>
                </c:pt>
                <c:pt idx="165">
                  <c:v>0.105924612235738</c:v>
                </c:pt>
                <c:pt idx="166">
                  <c:v>0.10593283039644</c:v>
                </c:pt>
                <c:pt idx="167">
                  <c:v>0.105941036301648</c:v>
                </c:pt>
                <c:pt idx="168">
                  <c:v>0.10594923052586901</c:v>
                </c:pt>
                <c:pt idx="169">
                  <c:v>0.105957413641566</c:v>
                </c:pt>
                <c:pt idx="170">
                  <c:v>0.105965586219415</c:v>
                </c:pt>
                <c:pt idx="171">
                  <c:v>0.105973748828566</c:v>
                </c:pt>
                <c:pt idx="172">
                  <c:v>0.10598190203689301</c:v>
                </c:pt>
                <c:pt idx="173">
                  <c:v>0.105990046411258</c:v>
                </c:pt>
                <c:pt idx="174">
                  <c:v>0.10599818251776701</c:v>
                </c:pt>
                <c:pt idx="175">
                  <c:v>0.106006310922025</c:v>
                </c:pt>
                <c:pt idx="176">
                  <c:v>0.106014432189397</c:v>
                </c:pt>
                <c:pt idx="177">
                  <c:v>0.106022546885271</c:v>
                </c:pt>
                <c:pt idx="178">
                  <c:v>0.10603065557531401</c:v>
                </c:pt>
                <c:pt idx="179">
                  <c:v>0.10603875882574</c:v>
                </c:pt>
                <c:pt idx="180">
                  <c:v>0.106046857203577</c:v>
                </c:pt>
                <c:pt idx="181">
                  <c:v>0.106054951276932</c:v>
                </c:pt>
                <c:pt idx="182">
                  <c:v>0.106063041615263</c:v>
                </c:pt>
                <c:pt idx="183">
                  <c:v>0.10607112878965499</c:v>
                </c:pt>
                <c:pt idx="184">
                  <c:v>0.106079213373101</c:v>
                </c:pt>
                <c:pt idx="185">
                  <c:v>0.106087295940776</c:v>
                </c:pt>
                <c:pt idx="186">
                  <c:v>0.10609537707033299</c:v>
                </c:pt>
                <c:pt idx="187">
                  <c:v>0.106103457342189</c:v>
                </c:pt>
                <c:pt idx="188">
                  <c:v>0.106111537339822</c:v>
                </c:pt>
                <c:pt idx="189">
                  <c:v>0.10611961765007601</c:v>
                </c:pt>
                <c:pt idx="190">
                  <c:v>0.106127698863465</c:v>
                </c:pt>
                <c:pt idx="191">
                  <c:v>0.10613578157449099</c:v>
                </c:pt>
                <c:pt idx="192">
                  <c:v>0.106143866381966</c:v>
                </c:pt>
                <c:pt idx="193">
                  <c:v>0.10615195388934</c:v>
                </c:pt>
                <c:pt idx="194">
                  <c:v>0.106160044705038</c:v>
                </c:pt>
                <c:pt idx="195">
                  <c:v>0.106168139442805</c:v>
                </c:pt>
                <c:pt idx="196">
                  <c:v>0.106176238722063</c:v>
                </c:pt>
                <c:pt idx="197">
                  <c:v>0.106184343168276</c:v>
                </c:pt>
                <c:pt idx="198">
                  <c:v>0.10619245341332301</c:v>
                </c:pt>
                <c:pt idx="199">
                  <c:v>0.106200570095885</c:v>
                </c:pt>
                <c:pt idx="200">
                  <c:v>0.10620869386184199</c:v>
                </c:pt>
                <c:pt idx="201">
                  <c:v>0.10621682536468401</c:v>
                </c:pt>
                <c:pt idx="202">
                  <c:v>0.106224965265935</c:v>
                </c:pt>
                <c:pt idx="203">
                  <c:v>0.106233114235588</c:v>
                </c:pt>
                <c:pt idx="204">
                  <c:v>0.10624127295256</c:v>
                </c:pt>
                <c:pt idx="205">
                  <c:v>0.10624944210515699</c:v>
                </c:pt>
                <c:pt idx="206">
                  <c:v>0.106257622391562</c:v>
                </c:pt>
                <c:pt idx="207">
                  <c:v>0.106265814520335</c:v>
                </c:pt>
                <c:pt idx="208">
                  <c:v>0.106274019210935</c:v>
                </c:pt>
                <c:pt idx="209">
                  <c:v>0.10628223719426</c:v>
                </c:pt>
                <c:pt idx="210">
                  <c:v>0.106290469213214</c:v>
                </c:pt>
                <c:pt idx="211">
                  <c:v>0.106298716023284</c:v>
                </c:pt>
                <c:pt idx="212">
                  <c:v>0.106306978393155</c:v>
                </c:pt>
                <c:pt idx="213">
                  <c:v>0.106315257105341</c:v>
                </c:pt>
                <c:pt idx="214">
                  <c:v>0.10632355295684801</c:v>
                </c:pt>
                <c:pt idx="215">
                  <c:v>0.10633186675985799</c:v>
                </c:pt>
                <c:pt idx="216">
                  <c:v>0.10634019934245301</c:v>
                </c:pt>
                <c:pt idx="217">
                  <c:v>0.106348551549366</c:v>
                </c:pt>
                <c:pt idx="218">
                  <c:v>0.106356924242761</c:v>
                </c:pt>
                <c:pt idx="219">
                  <c:v>0.10636531830306099</c:v>
                </c:pt>
                <c:pt idx="220">
                  <c:v>0.106373734629807</c:v>
                </c:pt>
                <c:pt idx="221">
                  <c:v>0.10638217414255299</c:v>
                </c:pt>
                <c:pt idx="222">
                  <c:v>0.106390637781818</c:v>
                </c:pt>
                <c:pt idx="223">
                  <c:v>0.10639912651007299</c:v>
                </c:pt>
                <c:pt idx="224">
                  <c:v>0.10640764131277999</c:v>
                </c:pt>
                <c:pt idx="225">
                  <c:v>0.10641618319948901</c:v>
                </c:pt>
                <c:pt idx="226">
                  <c:v>0.106424753204983</c:v>
                </c:pt>
                <c:pt idx="227">
                  <c:v>0.10643335239049</c:v>
                </c:pt>
                <c:pt idx="228">
                  <c:v>0.106441981844954</c:v>
                </c:pt>
                <c:pt idx="229">
                  <c:v>0.106450642686375</c:v>
                </c:pt>
                <c:pt idx="230">
                  <c:v>0.10645933606322799</c:v>
                </c:pt>
                <c:pt idx="231">
                  <c:v>0.10646806315594901</c:v>
                </c:pt>
                <c:pt idx="232">
                  <c:v>0.106476825178516</c:v>
                </c:pt>
                <c:pt idx="233">
                  <c:v>0.10648562338011</c:v>
                </c:pt>
                <c:pt idx="234">
                  <c:v>0.106494459046881</c:v>
                </c:pt>
                <c:pt idx="235">
                  <c:v>0.106503333503809</c:v>
                </c:pt>
                <c:pt idx="236">
                  <c:v>0.10651224811667701</c:v>
                </c:pt>
                <c:pt idx="237">
                  <c:v>0.106521204294171</c:v>
                </c:pt>
                <c:pt idx="238">
                  <c:v>0.106530203490093</c:v>
                </c:pt>
                <c:pt idx="239">
                  <c:v>0.10653924720572699</c:v>
                </c:pt>
                <c:pt idx="240">
                  <c:v>0.106548336992338</c:v>
                </c:pt>
                <c:pt idx="241">
                  <c:v>0.106557474453844</c:v>
                </c:pt>
                <c:pt idx="242">
                  <c:v>0.106566661249652</c:v>
                </c:pt>
                <c:pt idx="243">
                  <c:v>0.10657589909767901</c:v>
                </c:pt>
                <c:pt idx="244">
                  <c:v>0.10658518977758299</c:v>
                </c:pt>
                <c:pt idx="245">
                  <c:v>0.106594535134197</c:v>
                </c:pt>
                <c:pt idx="246">
                  <c:v>0.106603937081217</c:v>
                </c:pt>
                <c:pt idx="247">
                  <c:v>0.106613397605125</c:v>
                </c:pt>
                <c:pt idx="248">
                  <c:v>0.10662291876941001</c:v>
                </c:pt>
                <c:pt idx="249">
                  <c:v>0.106632502719071</c:v>
                </c:pt>
                <c:pt idx="250">
                  <c:v>0.10664215168546599</c:v>
                </c:pt>
                <c:pt idx="251">
                  <c:v>0.106651867991505</c:v>
                </c:pt>
                <c:pt idx="252">
                  <c:v>0.106661654057239</c:v>
                </c:pt>
                <c:pt idx="253">
                  <c:v>0.106671512405876</c:v>
                </c:pt>
                <c:pt idx="254">
                  <c:v>0.106681445670259</c:v>
                </c:pt>
                <c:pt idx="255">
                  <c:v>0.106691456599855</c:v>
                </c:pt>
                <c:pt idx="256">
                  <c:v>0.10670154806830701</c:v>
                </c:pt>
                <c:pt idx="257">
                  <c:v>0.106711723081597</c:v>
                </c:pt>
                <c:pt idx="258">
                  <c:v>0.106721984786882</c:v>
                </c:pt>
                <c:pt idx="259">
                  <c:v>0.106732336482082</c:v>
                </c:pt>
                <c:pt idx="260">
                  <c:v>0.10674278162628199</c:v>
                </c:pt>
                <c:pt idx="261">
                  <c:v>0.106753323851043</c:v>
                </c:pt>
                <c:pt idx="262">
                  <c:v>0.106763966972719</c:v>
                </c:pt>
                <c:pt idx="263">
                  <c:v>0.10677471500588499</c:v>
                </c:pt>
                <c:pt idx="264">
                  <c:v>0.10678557217800599</c:v>
                </c:pt>
                <c:pt idx="265">
                  <c:v>0.106796542945475</c:v>
                </c:pt>
                <c:pt idx="266">
                  <c:v>0.10680763201119001</c:v>
                </c:pt>
                <c:pt idx="267">
                  <c:v>0.106818844343851</c:v>
                </c:pt>
                <c:pt idx="268">
                  <c:v>0.106830185199162</c:v>
                </c:pt>
                <c:pt idx="269">
                  <c:v>0.1068416601432</c:v>
                </c:pt>
                <c:pt idx="270">
                  <c:v>0.106853275078199</c:v>
                </c:pt>
                <c:pt idx="271">
                  <c:v>0.10686503627105901</c:v>
                </c:pt>
                <c:pt idx="272">
                  <c:v>0.106876950384948</c:v>
                </c:pt>
                <c:pt idx="273">
                  <c:v>0.10688902451438199</c:v>
                </c:pt>
                <c:pt idx="274">
                  <c:v>0.106901266224276</c:v>
                </c:pt>
                <c:pt idx="275">
                  <c:v>0.106913683593506</c:v>
                </c:pt>
                <c:pt idx="276">
                  <c:v>0.106926285263621</c:v>
                </c:pt>
                <c:pt idx="277">
                  <c:v>0.106939080493455</c:v>
                </c:pt>
                <c:pt idx="278">
                  <c:v>0.10695207922051</c:v>
                </c:pt>
                <c:pt idx="279">
                  <c:v>0.10696529213014599</c:v>
                </c:pt>
                <c:pt idx="280">
                  <c:v>0.106978730733797</c:v>
                </c:pt>
                <c:pt idx="281">
                  <c:v>0.106992407457646</c:v>
                </c:pt>
                <c:pt idx="282">
                  <c:v>0.107006335743491</c:v>
                </c:pt>
                <c:pt idx="283">
                  <c:v>0.10702053016384699</c:v>
                </c:pt>
                <c:pt idx="284">
                  <c:v>0.107035006553762</c:v>
                </c:pt>
                <c:pt idx="285">
                  <c:v>0.107049782162317</c:v>
                </c:pt>
                <c:pt idx="286">
                  <c:v>0.10706487582742701</c:v>
                </c:pt>
                <c:pt idx="287">
                  <c:v>0.107080308178348</c:v>
                </c:pt>
                <c:pt idx="288">
                  <c:v>0.10709610187127599</c:v>
                </c:pt>
                <c:pt idx="289">
                  <c:v>0.10711228186470099</c:v>
                </c:pt>
                <c:pt idx="290">
                  <c:v>0.107128875742745</c:v>
                </c:pt>
                <c:pt idx="291">
                  <c:v>0.107145914096787</c:v>
                </c:pt>
                <c:pt idx="292">
                  <c:v>0.10716343097827</c:v>
                </c:pt>
                <c:pt idx="293">
                  <c:v>0.10718146443905199</c:v>
                </c:pt>
                <c:pt idx="294">
                  <c:v>0.107200057180087</c:v>
                </c:pt>
                <c:pt idx="295">
                  <c:v>0.10721925733519</c:v>
                </c:pt>
                <c:pt idx="296">
                  <c:v>0.107239119424452</c:v>
                </c:pt>
                <c:pt idx="297">
                  <c:v>0.10725970552248799</c:v>
                </c:pt>
                <c:pt idx="298">
                  <c:v>0.107281086701057</c:v>
                </c:pt>
                <c:pt idx="299">
                  <c:v>0.10730334482520799</c:v>
                </c:pt>
                <c:pt idx="300">
                  <c:v>0.107326574809414</c:v>
                </c:pt>
                <c:pt idx="301">
                  <c:v>0.10735088747820599</c:v>
                </c:pt>
                <c:pt idx="302">
                  <c:v>0.10737641322982</c:v>
                </c:pt>
                <c:pt idx="303">
                  <c:v>0.107403306778537</c:v>
                </c:pt>
                <c:pt idx="304">
                  <c:v>0.10743175336319</c:v>
                </c:pt>
                <c:pt idx="305">
                  <c:v>0.107461976972791</c:v>
                </c:pt>
                <c:pt idx="306">
                  <c:v>0.107494251381856</c:v>
                </c:pt>
                <c:pt idx="307">
                  <c:v>0.107528915147976</c:v>
                </c:pt>
                <c:pt idx="308">
                  <c:v>0.107566392263413</c:v>
                </c:pt>
                <c:pt idx="309">
                  <c:v>0.10760722096054399</c:v>
                </c:pt>
                <c:pt idx="310">
                  <c:v>0.107652094373539</c:v>
                </c:pt>
                <c:pt idx="311">
                  <c:v>0.107701918517204</c:v>
                </c:pt>
                <c:pt idx="312">
                  <c:v>0.107757895545197</c:v>
                </c:pt>
                <c:pt idx="313">
                  <c:v>0.107821643761701</c:v>
                </c:pt>
                <c:pt idx="314">
                  <c:v>0.107895371464266</c:v>
                </c:pt>
                <c:pt idx="315">
                  <c:v>0.107982136054144</c:v>
                </c:pt>
                <c:pt idx="316">
                  <c:v>0.108086279484475</c:v>
                </c:pt>
                <c:pt idx="317">
                  <c:v>0.10821441051713999</c:v>
                </c:pt>
                <c:pt idx="318">
                  <c:v>0.108378611684964</c:v>
                </c:pt>
                <c:pt idx="319">
                  <c:v>0.10851279142848901</c:v>
                </c:pt>
                <c:pt idx="320">
                  <c:v>0.108646878508965</c:v>
                </c:pt>
                <c:pt idx="321">
                  <c:v>0.108781836007877</c:v>
                </c:pt>
                <c:pt idx="322">
                  <c:v>0.108917703938839</c:v>
                </c:pt>
                <c:pt idx="323">
                  <c:v>0.109054545173906</c:v>
                </c:pt>
                <c:pt idx="324">
                  <c:v>0.109192417872054</c:v>
                </c:pt>
                <c:pt idx="325">
                  <c:v>0.109331376964383</c:v>
                </c:pt>
                <c:pt idx="326">
                  <c:v>0.10947147454287399</c:v>
                </c:pt>
                <c:pt idx="327">
                  <c:v>0.109612760241196</c:v>
                </c:pt>
                <c:pt idx="328">
                  <c:v>0.10975528157779101</c:v>
                </c:pt>
                <c:pt idx="329">
                  <c:v>0.109899084266184</c:v>
                </c:pt>
                <c:pt idx="330">
                  <c:v>0.110044212495958</c:v>
                </c:pt>
                <c:pt idx="331">
                  <c:v>0.11019070918751001</c:v>
                </c:pt>
                <c:pt idx="332">
                  <c:v>0.11033861622334599</c:v>
                </c:pt>
                <c:pt idx="333">
                  <c:v>0.110487974658393</c:v>
                </c:pt>
                <c:pt idx="334">
                  <c:v>0.110638824911563</c:v>
                </c:pt>
                <c:pt idx="335">
                  <c:v>0.110791206940568</c:v>
                </c:pt>
                <c:pt idx="336">
                  <c:v>0.11094516040180299</c:v>
                </c:pt>
                <c:pt idx="337">
                  <c:v>0.11110072479692901</c:v>
                </c:pt>
                <c:pt idx="338">
                  <c:v>0.111257939607629</c:v>
                </c:pt>
                <c:pt idx="339">
                  <c:v>0.111416844419904</c:v>
                </c:pt>
                <c:pt idx="340">
                  <c:v>0.111577479039088</c:v>
                </c:pt>
                <c:pt idx="341">
                  <c:v>0.111739883596728</c:v>
                </c:pt>
                <c:pt idx="342">
                  <c:v>0.111904098650297</c:v>
                </c:pt>
                <c:pt idx="343">
                  <c:v>0.11207016527668</c:v>
                </c:pt>
                <c:pt idx="344">
                  <c:v>0.112238125160255</c:v>
                </c:pt>
                <c:pt idx="345">
                  <c:v>0.11240802067632299</c:v>
                </c:pt>
                <c:pt idx="346">
                  <c:v>0.11257989497059701</c:v>
                </c:pt>
                <c:pt idx="347">
                  <c:v>0.112753792035371</c:v>
                </c:pt>
                <c:pt idx="348">
                  <c:v>0.112929756782956</c:v>
                </c:pt>
                <c:pt idx="349">
                  <c:v>0.113107835116922</c:v>
                </c:pt>
                <c:pt idx="350">
                  <c:v>0.113288074001635</c:v>
                </c:pt>
                <c:pt idx="351">
                  <c:v>0.113470521530551</c:v>
                </c:pt>
                <c:pt idx="352">
                  <c:v>0.113655226993682</c:v>
                </c:pt>
                <c:pt idx="353">
                  <c:v>0.113842240944644</c:v>
                </c:pt>
                <c:pt idx="354">
                  <c:v>0.114031615267637</c:v>
                </c:pt>
                <c:pt idx="355">
                  <c:v>0.11422340324472501</c:v>
                </c:pt>
                <c:pt idx="356">
                  <c:v>0.11441765962373</c:v>
                </c:pt>
                <c:pt idx="357">
                  <c:v>0.114614440687063</c:v>
                </c:pt>
                <c:pt idx="358">
                  <c:v>0.114813804321789</c:v>
                </c:pt>
                <c:pt idx="359">
                  <c:v>0.22425676384167301</c:v>
                </c:pt>
                <c:pt idx="360">
                  <c:v>0.30704288935609397</c:v>
                </c:pt>
                <c:pt idx="361">
                  <c:v>0.30834090817871301</c:v>
                </c:pt>
                <c:pt idx="362">
                  <c:v>0.30921577139060102</c:v>
                </c:pt>
                <c:pt idx="363">
                  <c:v>0.31017471350345399</c:v>
                </c:pt>
                <c:pt idx="364">
                  <c:v>0.31131883897321</c:v>
                </c:pt>
                <c:pt idx="365">
                  <c:v>0.31289797505880901</c:v>
                </c:pt>
                <c:pt idx="366">
                  <c:v>0.51289797505880896</c:v>
                </c:pt>
                <c:pt idx="367">
                  <c:v>0.51289797505880896</c:v>
                </c:pt>
              </c:numCache>
            </c:numRef>
          </c:xVal>
          <c:yVal>
            <c:numRef>
              <c:f>Implicit_Fracs!$AV$4:$AV$371</c:f>
              <c:numCache>
                <c:formatCode>General</c:formatCode>
                <c:ptCount val="3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E-47FB-BE15-75945A2C40C8}"/>
            </c:ext>
          </c:extLst>
        </c:ser>
        <c:ser>
          <c:idx val="5"/>
          <c:order val="5"/>
          <c:tx>
            <c:strRef>
              <c:f>Implicit_Fracs!$AW$2</c:f>
              <c:strCache>
                <c:ptCount val="1"/>
                <c:pt idx="0">
                  <c:v>Clear zone volume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Implicit_Fracs!$C$4:$C$371</c:f>
              <c:numCache>
                <c:formatCode>General</c:formatCode>
                <c:ptCount val="368"/>
                <c:pt idx="0">
                  <c:v>6.5458908507104702E-2</c:v>
                </c:pt>
                <c:pt idx="1">
                  <c:v>0.10158646265419501</c:v>
                </c:pt>
                <c:pt idx="2">
                  <c:v>0.102060105178604</c:v>
                </c:pt>
                <c:pt idx="3">
                  <c:v>0.102354758409441</c:v>
                </c:pt>
                <c:pt idx="4">
                  <c:v>0.10257003610151801</c:v>
                </c:pt>
                <c:pt idx="5">
                  <c:v>0.102740146597483</c:v>
                </c:pt>
                <c:pt idx="6">
                  <c:v>0.10288102093448701</c:v>
                </c:pt>
                <c:pt idx="7">
                  <c:v>0.10300139565401099</c:v>
                </c:pt>
                <c:pt idx="8">
                  <c:v>0.10310658737638601</c:v>
                </c:pt>
                <c:pt idx="9">
                  <c:v>0.103200075337502</c:v>
                </c:pt>
                <c:pt idx="10">
                  <c:v>0.103284262204</c:v>
                </c:pt>
                <c:pt idx="11">
                  <c:v>0.103360877526633</c:v>
                </c:pt>
                <c:pt idx="12">
                  <c:v>0.103431208153653</c:v>
                </c:pt>
                <c:pt idx="13">
                  <c:v>0.103496237708407</c:v>
                </c:pt>
                <c:pt idx="14">
                  <c:v>0.103556735084609</c:v>
                </c:pt>
                <c:pt idx="15">
                  <c:v>0.103613312816801</c:v>
                </c:pt>
                <c:pt idx="16">
                  <c:v>0.103666466857375</c:v>
                </c:pt>
                <c:pt idx="17">
                  <c:v>0.10371660444741999</c:v>
                </c:pt>
                <c:pt idx="18">
                  <c:v>0.10376406411969299</c:v>
                </c:pt>
                <c:pt idx="19">
                  <c:v>0.10380913035858701</c:v>
                </c:pt>
                <c:pt idx="20">
                  <c:v>0.103852044544123</c:v>
                </c:pt>
                <c:pt idx="21">
                  <c:v>0.103893013256558</c:v>
                </c:pt>
                <c:pt idx="22">
                  <c:v>0.103932214670875</c:v>
                </c:pt>
                <c:pt idx="23">
                  <c:v>0.10396980354554</c:v>
                </c:pt>
                <c:pt idx="24">
                  <c:v>0.104005915161023</c:v>
                </c:pt>
                <c:pt idx="25">
                  <c:v>0.10404066846285701</c:v>
                </c:pt>
                <c:pt idx="26">
                  <c:v>0.104074168594671</c:v>
                </c:pt>
                <c:pt idx="27">
                  <c:v>0.10410650895807599</c:v>
                </c:pt>
                <c:pt idx="28">
                  <c:v>0.10413777290170501</c:v>
                </c:pt>
                <c:pt idx="29">
                  <c:v>0.104168035116796</c:v>
                </c:pt>
                <c:pt idx="30">
                  <c:v>0.104197362798492</c:v>
                </c:pt>
                <c:pt idx="31">
                  <c:v>0.104225816618547</c:v>
                </c:pt>
                <c:pt idx="32">
                  <c:v>0.104253451545067</c:v>
                </c:pt>
                <c:pt idx="33">
                  <c:v>0.104280317537286</c:v>
                </c:pt>
                <c:pt idx="34">
                  <c:v>0.10430646013757899</c:v>
                </c:pt>
                <c:pt idx="35">
                  <c:v>0.10433192097843901</c:v>
                </c:pt>
                <c:pt idx="36">
                  <c:v>0.104356738218675</c:v>
                </c:pt>
                <c:pt idx="37">
                  <c:v>0.10438094692038</c:v>
                </c:pt>
                <c:pt idx="38">
                  <c:v>0.104404579376061</c:v>
                </c:pt>
                <c:pt idx="39">
                  <c:v>0.10442766539470601</c:v>
                </c:pt>
                <c:pt idx="40">
                  <c:v>0.104450232550895</c:v>
                </c:pt>
                <c:pt idx="41">
                  <c:v>0.104472306403378</c:v>
                </c:pt>
                <c:pt idx="42">
                  <c:v>0.104493910687546</c:v>
                </c:pt>
                <c:pt idx="43">
                  <c:v>0.104515067485448</c:v>
                </c:pt>
                <c:pt idx="44">
                  <c:v>0.104535797376425</c:v>
                </c:pt>
                <c:pt idx="45">
                  <c:v>0.104556119570968</c:v>
                </c:pt>
                <c:pt idx="46">
                  <c:v>0.10457605202998201</c:v>
                </c:pt>
                <c:pt idx="47">
                  <c:v>0.10459561157132601</c:v>
                </c:pt>
                <c:pt idx="48">
                  <c:v>0.10461481396524</c:v>
                </c:pt>
                <c:pt idx="49">
                  <c:v>0.104633674020002</c:v>
                </c:pt>
                <c:pt idx="50">
                  <c:v>0.104652205659008</c:v>
                </c:pt>
                <c:pt idx="51">
                  <c:v>0.10467042199028</c:v>
                </c:pt>
                <c:pt idx="52">
                  <c:v>0.10468833536927501</c:v>
                </c:pt>
                <c:pt idx="53">
                  <c:v>0.104705957455764</c:v>
                </c:pt>
                <c:pt idx="54">
                  <c:v>0.104723299265432</c:v>
                </c:pt>
                <c:pt idx="55">
                  <c:v>0.10474037121678501</c:v>
                </c:pt>
                <c:pt idx="56">
                  <c:v>0.104757183173858</c:v>
                </c:pt>
                <c:pt idx="57">
                  <c:v>0.10477374448518</c:v>
                </c:pt>
                <c:pt idx="58">
                  <c:v>0.104790064019366</c:v>
                </c:pt>
                <c:pt idx="59">
                  <c:v>0.10480615019770299</c:v>
                </c:pt>
                <c:pt idx="60">
                  <c:v>0.104822011024007</c:v>
                </c:pt>
                <c:pt idx="61">
                  <c:v>0.10483765411203801</c:v>
                </c:pt>
                <c:pt idx="62">
                  <c:v>0.104853086710699</c:v>
                </c:pt>
                <c:pt idx="63">
                  <c:v>0.10486831572724099</c:v>
                </c:pt>
                <c:pt idx="64">
                  <c:v>0.104883347748643</c:v>
                </c:pt>
                <c:pt idx="65">
                  <c:v>0.104898189061358</c:v>
                </c:pt>
                <c:pt idx="66">
                  <c:v>0.104912845669559</c:v>
                </c:pt>
                <c:pt idx="67">
                  <c:v>0.10492732331202199</c:v>
                </c:pt>
                <c:pt idx="68">
                  <c:v>0.10494162747777</c:v>
                </c:pt>
                <c:pt idx="69">
                  <c:v>0.10495576342058401</c:v>
                </c:pt>
                <c:pt idx="70">
                  <c:v>0.104969736172476</c:v>
                </c:pt>
                <c:pt idx="71">
                  <c:v>0.104983550556215</c:v>
                </c:pt>
                <c:pt idx="72">
                  <c:v>0.104997211196988</c:v>
                </c:pt>
                <c:pt idx="73">
                  <c:v>0.105010722533251</c:v>
                </c:pt>
                <c:pt idx="74">
                  <c:v>0.10502408882686499</c:v>
                </c:pt>
                <c:pt idx="75">
                  <c:v>0.105037314172539</c:v>
                </c:pt>
                <c:pt idx="76">
                  <c:v>0.10505040250667</c:v>
                </c:pt>
                <c:pt idx="77">
                  <c:v>0.105063357615594</c:v>
                </c:pt>
                <c:pt idx="78">
                  <c:v>0.105076183143323</c:v>
                </c:pt>
                <c:pt idx="79">
                  <c:v>0.10508888259878001</c:v>
                </c:pt>
                <c:pt idx="80">
                  <c:v>0.105101459362598</c:v>
                </c:pt>
                <c:pt idx="81">
                  <c:v>0.10511391669348399</c:v>
                </c:pt>
                <c:pt idx="82">
                  <c:v>0.10512625773421</c:v>
                </c:pt>
                <c:pt idx="83">
                  <c:v>0.10513848551723599</c:v>
                </c:pt>
                <c:pt idx="84">
                  <c:v>0.10515060297000201</c:v>
                </c:pt>
                <c:pt idx="85">
                  <c:v>0.105162612919908</c:v>
                </c:pt>
                <c:pt idx="86">
                  <c:v>0.105174518099013</c:v>
                </c:pt>
                <c:pt idx="87">
                  <c:v>0.105186321148453</c:v>
                </c:pt>
                <c:pt idx="88">
                  <c:v>0.105198024622616</c:v>
                </c:pt>
                <c:pt idx="89">
                  <c:v>0.105209630993088</c:v>
                </c:pt>
                <c:pt idx="90">
                  <c:v>0.10522114265237301</c:v>
                </c:pt>
                <c:pt idx="91">
                  <c:v>0.105232561917411</c:v>
                </c:pt>
                <c:pt idx="92">
                  <c:v>0.105243891032912</c:v>
                </c:pt>
                <c:pt idx="93">
                  <c:v>0.105255132174505</c:v>
                </c:pt>
                <c:pt idx="94">
                  <c:v>0.10526628745172401</c:v>
                </c:pt>
                <c:pt idx="95">
                  <c:v>0.105277358910841</c:v>
                </c:pt>
                <c:pt idx="96">
                  <c:v>0.105288348537545</c:v>
                </c:pt>
                <c:pt idx="97">
                  <c:v>0.10529925825949001</c:v>
                </c:pt>
                <c:pt idx="98">
                  <c:v>0.105310089948715</c:v>
                </c:pt>
                <c:pt idx="99">
                  <c:v>0.10532084542394</c:v>
                </c:pt>
                <c:pt idx="100">
                  <c:v>0.105331526452749</c:v>
                </c:pt>
                <c:pt idx="101">
                  <c:v>0.10534213475366599</c:v>
                </c:pt>
                <c:pt idx="102">
                  <c:v>0.105352671998135</c:v>
                </c:pt>
                <c:pt idx="103">
                  <c:v>0.105363139812398</c:v>
                </c:pt>
                <c:pt idx="104">
                  <c:v>0.10537353977929</c:v>
                </c:pt>
                <c:pt idx="105">
                  <c:v>0.105383873439947</c:v>
                </c:pt>
                <c:pt idx="106">
                  <c:v>0.105394142295438</c:v>
                </c:pt>
                <c:pt idx="107">
                  <c:v>0.10540434780831399</c:v>
                </c:pt>
                <c:pt idx="108">
                  <c:v>0.1054144914041</c:v>
                </c:pt>
                <c:pt idx="109">
                  <c:v>0.105424574472708</c:v>
                </c:pt>
                <c:pt idx="110">
                  <c:v>0.10543459836979301</c:v>
                </c:pt>
                <c:pt idx="111">
                  <c:v>0.105444564418049</c:v>
                </c:pt>
                <c:pt idx="112">
                  <c:v>0.105454473908448</c:v>
                </c:pt>
                <c:pt idx="113">
                  <c:v>0.105464328101426</c:v>
                </c:pt>
                <c:pt idx="114">
                  <c:v>0.10547412822802001</c:v>
                </c:pt>
                <c:pt idx="115">
                  <c:v>0.10548387549095201</c:v>
                </c:pt>
                <c:pt idx="116">
                  <c:v>0.105493571065675</c:v>
                </c:pt>
                <c:pt idx="117">
                  <c:v>0.105503216101374</c:v>
                </c:pt>
                <c:pt idx="118">
                  <c:v>0.10551281172191999</c:v>
                </c:pt>
                <c:pt idx="119">
                  <c:v>0.10552235902679701</c:v>
                </c:pt>
                <c:pt idx="120">
                  <c:v>0.105531859091982</c:v>
                </c:pt>
                <c:pt idx="121">
                  <c:v>0.105541312970793</c:v>
                </c:pt>
                <c:pt idx="122">
                  <c:v>0.105550721694713</c:v>
                </c:pt>
                <c:pt idx="123">
                  <c:v>0.10556008627416701</c:v>
                </c:pt>
                <c:pt idx="124">
                  <c:v>0.105569407699282</c:v>
                </c:pt>
                <c:pt idx="125">
                  <c:v>0.105578686940613</c:v>
                </c:pt>
                <c:pt idx="126">
                  <c:v>0.10558792494984499</c:v>
                </c:pt>
                <c:pt idx="127">
                  <c:v>0.105597122660464</c:v>
                </c:pt>
                <c:pt idx="128">
                  <c:v>0.105606280988415</c:v>
                </c:pt>
                <c:pt idx="129">
                  <c:v>0.105615400832723</c:v>
                </c:pt>
                <c:pt idx="130">
                  <c:v>0.10562448307610101</c:v>
                </c:pt>
                <c:pt idx="131">
                  <c:v>0.105633528585537</c:v>
                </c:pt>
                <c:pt idx="132">
                  <c:v>0.105642538212856</c:v>
                </c:pt>
                <c:pt idx="133">
                  <c:v>0.10565151279527001</c:v>
                </c:pt>
                <c:pt idx="134">
                  <c:v>0.105660453155901</c:v>
                </c:pt>
                <c:pt idx="135">
                  <c:v>0.1056693601043</c:v>
                </c:pt>
                <c:pt idx="136">
                  <c:v>0.105678234436935</c:v>
                </c:pt>
                <c:pt idx="137">
                  <c:v>0.105687076937673</c:v>
                </c:pt>
                <c:pt idx="138">
                  <c:v>0.10569588837824601</c:v>
                </c:pt>
                <c:pt idx="139">
                  <c:v>0.105704669518702</c:v>
                </c:pt>
                <c:pt idx="140">
                  <c:v>0.105713421107842</c:v>
                </c:pt>
                <c:pt idx="141">
                  <c:v>0.105722143883642</c:v>
                </c:pt>
                <c:pt idx="142">
                  <c:v>0.10573083857367301</c:v>
                </c:pt>
                <c:pt idx="143">
                  <c:v>0.10573950589549699</c:v>
                </c:pt>
                <c:pt idx="144">
                  <c:v>0.105748146557059</c:v>
                </c:pt>
                <c:pt idx="145">
                  <c:v>0.105756761257069</c:v>
                </c:pt>
                <c:pt idx="146">
                  <c:v>0.105765350685371</c:v>
                </c:pt>
                <c:pt idx="147">
                  <c:v>0.10577391552330601</c:v>
                </c:pt>
                <c:pt idx="148">
                  <c:v>0.105782456444064</c:v>
                </c:pt>
                <c:pt idx="149">
                  <c:v>0.105790974113029</c:v>
                </c:pt>
                <c:pt idx="150">
                  <c:v>0.105799469188117</c:v>
                </c:pt>
                <c:pt idx="151">
                  <c:v>0.105807942320102</c:v>
                </c:pt>
                <c:pt idx="152">
                  <c:v>0.105816394152941</c:v>
                </c:pt>
                <c:pt idx="153">
                  <c:v>0.10582482532409</c:v>
                </c:pt>
                <c:pt idx="154">
                  <c:v>0.10583323646481201</c:v>
                </c:pt>
                <c:pt idx="155">
                  <c:v>0.105841628200482</c:v>
                </c:pt>
                <c:pt idx="156">
                  <c:v>0.105850001150887</c:v>
                </c:pt>
                <c:pt idx="157">
                  <c:v>0.105858355930516</c:v>
                </c:pt>
                <c:pt idx="158">
                  <c:v>0.105866693148851</c:v>
                </c:pt>
                <c:pt idx="159">
                  <c:v>0.105875013410654</c:v>
                </c:pt>
                <c:pt idx="160">
                  <c:v>0.10588331731624</c:v>
                </c:pt>
                <c:pt idx="161">
                  <c:v>0.105891605461765</c:v>
                </c:pt>
                <c:pt idx="162">
                  <c:v>0.10589987843948701</c:v>
                </c:pt>
                <c:pt idx="163">
                  <c:v>0.10590813683804701</c:v>
                </c:pt>
                <c:pt idx="164">
                  <c:v>0.10591638124273201</c:v>
                </c:pt>
                <c:pt idx="165">
                  <c:v>0.105924612235738</c:v>
                </c:pt>
                <c:pt idx="166">
                  <c:v>0.10593283039644</c:v>
                </c:pt>
                <c:pt idx="167">
                  <c:v>0.105941036301648</c:v>
                </c:pt>
                <c:pt idx="168">
                  <c:v>0.10594923052586901</c:v>
                </c:pt>
                <c:pt idx="169">
                  <c:v>0.105957413641566</c:v>
                </c:pt>
                <c:pt idx="170">
                  <c:v>0.105965586219415</c:v>
                </c:pt>
                <c:pt idx="171">
                  <c:v>0.105973748828566</c:v>
                </c:pt>
                <c:pt idx="172">
                  <c:v>0.10598190203689301</c:v>
                </c:pt>
                <c:pt idx="173">
                  <c:v>0.105990046411258</c:v>
                </c:pt>
                <c:pt idx="174">
                  <c:v>0.10599818251776701</c:v>
                </c:pt>
                <c:pt idx="175">
                  <c:v>0.106006310922025</c:v>
                </c:pt>
                <c:pt idx="176">
                  <c:v>0.106014432189397</c:v>
                </c:pt>
                <c:pt idx="177">
                  <c:v>0.106022546885271</c:v>
                </c:pt>
                <c:pt idx="178">
                  <c:v>0.10603065557531401</c:v>
                </c:pt>
                <c:pt idx="179">
                  <c:v>0.10603875882574</c:v>
                </c:pt>
                <c:pt idx="180">
                  <c:v>0.106046857203577</c:v>
                </c:pt>
                <c:pt idx="181">
                  <c:v>0.106054951276932</c:v>
                </c:pt>
                <c:pt idx="182">
                  <c:v>0.106063041615263</c:v>
                </c:pt>
                <c:pt idx="183">
                  <c:v>0.10607112878965499</c:v>
                </c:pt>
                <c:pt idx="184">
                  <c:v>0.106079213373101</c:v>
                </c:pt>
                <c:pt idx="185">
                  <c:v>0.106087295940776</c:v>
                </c:pt>
                <c:pt idx="186">
                  <c:v>0.10609537707033299</c:v>
                </c:pt>
                <c:pt idx="187">
                  <c:v>0.106103457342189</c:v>
                </c:pt>
                <c:pt idx="188">
                  <c:v>0.106111537339822</c:v>
                </c:pt>
                <c:pt idx="189">
                  <c:v>0.10611961765007601</c:v>
                </c:pt>
                <c:pt idx="190">
                  <c:v>0.106127698863465</c:v>
                </c:pt>
                <c:pt idx="191">
                  <c:v>0.10613578157449099</c:v>
                </c:pt>
                <c:pt idx="192">
                  <c:v>0.106143866381966</c:v>
                </c:pt>
                <c:pt idx="193">
                  <c:v>0.10615195388934</c:v>
                </c:pt>
                <c:pt idx="194">
                  <c:v>0.106160044705038</c:v>
                </c:pt>
                <c:pt idx="195">
                  <c:v>0.106168139442805</c:v>
                </c:pt>
                <c:pt idx="196">
                  <c:v>0.106176238722063</c:v>
                </c:pt>
                <c:pt idx="197">
                  <c:v>0.106184343168276</c:v>
                </c:pt>
                <c:pt idx="198">
                  <c:v>0.10619245341332301</c:v>
                </c:pt>
                <c:pt idx="199">
                  <c:v>0.106200570095885</c:v>
                </c:pt>
                <c:pt idx="200">
                  <c:v>0.10620869386184199</c:v>
                </c:pt>
                <c:pt idx="201">
                  <c:v>0.10621682536468401</c:v>
                </c:pt>
                <c:pt idx="202">
                  <c:v>0.106224965265935</c:v>
                </c:pt>
                <c:pt idx="203">
                  <c:v>0.106233114235588</c:v>
                </c:pt>
                <c:pt idx="204">
                  <c:v>0.10624127295256</c:v>
                </c:pt>
                <c:pt idx="205">
                  <c:v>0.10624944210515699</c:v>
                </c:pt>
                <c:pt idx="206">
                  <c:v>0.106257622391562</c:v>
                </c:pt>
                <c:pt idx="207">
                  <c:v>0.106265814520335</c:v>
                </c:pt>
                <c:pt idx="208">
                  <c:v>0.106274019210935</c:v>
                </c:pt>
                <c:pt idx="209">
                  <c:v>0.10628223719426</c:v>
                </c:pt>
                <c:pt idx="210">
                  <c:v>0.106290469213214</c:v>
                </c:pt>
                <c:pt idx="211">
                  <c:v>0.106298716023284</c:v>
                </c:pt>
                <c:pt idx="212">
                  <c:v>0.106306978393155</c:v>
                </c:pt>
                <c:pt idx="213">
                  <c:v>0.106315257105341</c:v>
                </c:pt>
                <c:pt idx="214">
                  <c:v>0.10632355295684801</c:v>
                </c:pt>
                <c:pt idx="215">
                  <c:v>0.10633186675985799</c:v>
                </c:pt>
                <c:pt idx="216">
                  <c:v>0.10634019934245301</c:v>
                </c:pt>
                <c:pt idx="217">
                  <c:v>0.106348551549366</c:v>
                </c:pt>
                <c:pt idx="218">
                  <c:v>0.106356924242761</c:v>
                </c:pt>
                <c:pt idx="219">
                  <c:v>0.10636531830306099</c:v>
                </c:pt>
                <c:pt idx="220">
                  <c:v>0.106373734629807</c:v>
                </c:pt>
                <c:pt idx="221">
                  <c:v>0.10638217414255299</c:v>
                </c:pt>
                <c:pt idx="222">
                  <c:v>0.106390637781818</c:v>
                </c:pt>
                <c:pt idx="223">
                  <c:v>0.10639912651007299</c:v>
                </c:pt>
                <c:pt idx="224">
                  <c:v>0.10640764131277999</c:v>
                </c:pt>
                <c:pt idx="225">
                  <c:v>0.10641618319948901</c:v>
                </c:pt>
                <c:pt idx="226">
                  <c:v>0.106424753204983</c:v>
                </c:pt>
                <c:pt idx="227">
                  <c:v>0.10643335239049</c:v>
                </c:pt>
                <c:pt idx="228">
                  <c:v>0.106441981844954</c:v>
                </c:pt>
                <c:pt idx="229">
                  <c:v>0.106450642686375</c:v>
                </c:pt>
                <c:pt idx="230">
                  <c:v>0.10645933606322799</c:v>
                </c:pt>
                <c:pt idx="231">
                  <c:v>0.10646806315594901</c:v>
                </c:pt>
                <c:pt idx="232">
                  <c:v>0.106476825178516</c:v>
                </c:pt>
                <c:pt idx="233">
                  <c:v>0.10648562338011</c:v>
                </c:pt>
                <c:pt idx="234">
                  <c:v>0.106494459046881</c:v>
                </c:pt>
                <c:pt idx="235">
                  <c:v>0.106503333503809</c:v>
                </c:pt>
                <c:pt idx="236">
                  <c:v>0.10651224811667701</c:v>
                </c:pt>
                <c:pt idx="237">
                  <c:v>0.106521204294171</c:v>
                </c:pt>
                <c:pt idx="238">
                  <c:v>0.106530203490093</c:v>
                </c:pt>
                <c:pt idx="239">
                  <c:v>0.10653924720572699</c:v>
                </c:pt>
                <c:pt idx="240">
                  <c:v>0.106548336992338</c:v>
                </c:pt>
                <c:pt idx="241">
                  <c:v>0.106557474453844</c:v>
                </c:pt>
                <c:pt idx="242">
                  <c:v>0.106566661249652</c:v>
                </c:pt>
                <c:pt idx="243">
                  <c:v>0.10657589909767901</c:v>
                </c:pt>
                <c:pt idx="244">
                  <c:v>0.10658518977758299</c:v>
                </c:pt>
                <c:pt idx="245">
                  <c:v>0.106594535134197</c:v>
                </c:pt>
                <c:pt idx="246">
                  <c:v>0.106603937081217</c:v>
                </c:pt>
                <c:pt idx="247">
                  <c:v>0.106613397605125</c:v>
                </c:pt>
                <c:pt idx="248">
                  <c:v>0.10662291876941001</c:v>
                </c:pt>
                <c:pt idx="249">
                  <c:v>0.106632502719071</c:v>
                </c:pt>
                <c:pt idx="250">
                  <c:v>0.10664215168546599</c:v>
                </c:pt>
                <c:pt idx="251">
                  <c:v>0.106651867991505</c:v>
                </c:pt>
                <c:pt idx="252">
                  <c:v>0.106661654057239</c:v>
                </c:pt>
                <c:pt idx="253">
                  <c:v>0.106671512405876</c:v>
                </c:pt>
                <c:pt idx="254">
                  <c:v>0.106681445670259</c:v>
                </c:pt>
                <c:pt idx="255">
                  <c:v>0.106691456599855</c:v>
                </c:pt>
                <c:pt idx="256">
                  <c:v>0.10670154806830701</c:v>
                </c:pt>
                <c:pt idx="257">
                  <c:v>0.106711723081597</c:v>
                </c:pt>
                <c:pt idx="258">
                  <c:v>0.106721984786882</c:v>
                </c:pt>
                <c:pt idx="259">
                  <c:v>0.106732336482082</c:v>
                </c:pt>
                <c:pt idx="260">
                  <c:v>0.10674278162628199</c:v>
                </c:pt>
                <c:pt idx="261">
                  <c:v>0.106753323851043</c:v>
                </c:pt>
                <c:pt idx="262">
                  <c:v>0.106763966972719</c:v>
                </c:pt>
                <c:pt idx="263">
                  <c:v>0.10677471500588499</c:v>
                </c:pt>
                <c:pt idx="264">
                  <c:v>0.10678557217800599</c:v>
                </c:pt>
                <c:pt idx="265">
                  <c:v>0.106796542945475</c:v>
                </c:pt>
                <c:pt idx="266">
                  <c:v>0.10680763201119001</c:v>
                </c:pt>
                <c:pt idx="267">
                  <c:v>0.106818844343851</c:v>
                </c:pt>
                <c:pt idx="268">
                  <c:v>0.106830185199162</c:v>
                </c:pt>
                <c:pt idx="269">
                  <c:v>0.1068416601432</c:v>
                </c:pt>
                <c:pt idx="270">
                  <c:v>0.106853275078199</c:v>
                </c:pt>
                <c:pt idx="271">
                  <c:v>0.10686503627105901</c:v>
                </c:pt>
                <c:pt idx="272">
                  <c:v>0.106876950384948</c:v>
                </c:pt>
                <c:pt idx="273">
                  <c:v>0.10688902451438199</c:v>
                </c:pt>
                <c:pt idx="274">
                  <c:v>0.106901266224276</c:v>
                </c:pt>
                <c:pt idx="275">
                  <c:v>0.106913683593506</c:v>
                </c:pt>
                <c:pt idx="276">
                  <c:v>0.106926285263621</c:v>
                </c:pt>
                <c:pt idx="277">
                  <c:v>0.106939080493455</c:v>
                </c:pt>
                <c:pt idx="278">
                  <c:v>0.10695207922051</c:v>
                </c:pt>
                <c:pt idx="279">
                  <c:v>0.10696529213014599</c:v>
                </c:pt>
                <c:pt idx="280">
                  <c:v>0.106978730733797</c:v>
                </c:pt>
                <c:pt idx="281">
                  <c:v>0.106992407457646</c:v>
                </c:pt>
                <c:pt idx="282">
                  <c:v>0.107006335743491</c:v>
                </c:pt>
                <c:pt idx="283">
                  <c:v>0.10702053016384699</c:v>
                </c:pt>
                <c:pt idx="284">
                  <c:v>0.107035006553762</c:v>
                </c:pt>
                <c:pt idx="285">
                  <c:v>0.107049782162317</c:v>
                </c:pt>
                <c:pt idx="286">
                  <c:v>0.10706487582742701</c:v>
                </c:pt>
                <c:pt idx="287">
                  <c:v>0.107080308178348</c:v>
                </c:pt>
                <c:pt idx="288">
                  <c:v>0.10709610187127599</c:v>
                </c:pt>
                <c:pt idx="289">
                  <c:v>0.10711228186470099</c:v>
                </c:pt>
                <c:pt idx="290">
                  <c:v>0.107128875742745</c:v>
                </c:pt>
                <c:pt idx="291">
                  <c:v>0.107145914096787</c:v>
                </c:pt>
                <c:pt idx="292">
                  <c:v>0.10716343097827</c:v>
                </c:pt>
                <c:pt idx="293">
                  <c:v>0.10718146443905199</c:v>
                </c:pt>
                <c:pt idx="294">
                  <c:v>0.107200057180087</c:v>
                </c:pt>
                <c:pt idx="295">
                  <c:v>0.10721925733519</c:v>
                </c:pt>
                <c:pt idx="296">
                  <c:v>0.107239119424452</c:v>
                </c:pt>
                <c:pt idx="297">
                  <c:v>0.10725970552248799</c:v>
                </c:pt>
                <c:pt idx="298">
                  <c:v>0.107281086701057</c:v>
                </c:pt>
                <c:pt idx="299">
                  <c:v>0.10730334482520799</c:v>
                </c:pt>
                <c:pt idx="300">
                  <c:v>0.107326574809414</c:v>
                </c:pt>
                <c:pt idx="301">
                  <c:v>0.10735088747820599</c:v>
                </c:pt>
                <c:pt idx="302">
                  <c:v>0.10737641322982</c:v>
                </c:pt>
                <c:pt idx="303">
                  <c:v>0.107403306778537</c:v>
                </c:pt>
                <c:pt idx="304">
                  <c:v>0.10743175336319</c:v>
                </c:pt>
                <c:pt idx="305">
                  <c:v>0.107461976972791</c:v>
                </c:pt>
                <c:pt idx="306">
                  <c:v>0.107494251381856</c:v>
                </c:pt>
                <c:pt idx="307">
                  <c:v>0.107528915147976</c:v>
                </c:pt>
                <c:pt idx="308">
                  <c:v>0.107566392263413</c:v>
                </c:pt>
                <c:pt idx="309">
                  <c:v>0.10760722096054399</c:v>
                </c:pt>
                <c:pt idx="310">
                  <c:v>0.107652094373539</c:v>
                </c:pt>
                <c:pt idx="311">
                  <c:v>0.107701918517204</c:v>
                </c:pt>
                <c:pt idx="312">
                  <c:v>0.107757895545197</c:v>
                </c:pt>
                <c:pt idx="313">
                  <c:v>0.107821643761701</c:v>
                </c:pt>
                <c:pt idx="314">
                  <c:v>0.107895371464266</c:v>
                </c:pt>
                <c:pt idx="315">
                  <c:v>0.107982136054144</c:v>
                </c:pt>
                <c:pt idx="316">
                  <c:v>0.108086279484475</c:v>
                </c:pt>
                <c:pt idx="317">
                  <c:v>0.10821441051713999</c:v>
                </c:pt>
                <c:pt idx="318">
                  <c:v>0.108378611684964</c:v>
                </c:pt>
                <c:pt idx="319">
                  <c:v>0.10851279142848901</c:v>
                </c:pt>
                <c:pt idx="320">
                  <c:v>0.108646878508965</c:v>
                </c:pt>
                <c:pt idx="321">
                  <c:v>0.108781836007877</c:v>
                </c:pt>
                <c:pt idx="322">
                  <c:v>0.108917703938839</c:v>
                </c:pt>
                <c:pt idx="323">
                  <c:v>0.109054545173906</c:v>
                </c:pt>
                <c:pt idx="324">
                  <c:v>0.109192417872054</c:v>
                </c:pt>
                <c:pt idx="325">
                  <c:v>0.109331376964383</c:v>
                </c:pt>
                <c:pt idx="326">
                  <c:v>0.10947147454287399</c:v>
                </c:pt>
                <c:pt idx="327">
                  <c:v>0.109612760241196</c:v>
                </c:pt>
                <c:pt idx="328">
                  <c:v>0.10975528157779101</c:v>
                </c:pt>
                <c:pt idx="329">
                  <c:v>0.109899084266184</c:v>
                </c:pt>
                <c:pt idx="330">
                  <c:v>0.110044212495958</c:v>
                </c:pt>
                <c:pt idx="331">
                  <c:v>0.11019070918751001</c:v>
                </c:pt>
                <c:pt idx="332">
                  <c:v>0.11033861622334599</c:v>
                </c:pt>
                <c:pt idx="333">
                  <c:v>0.110487974658393</c:v>
                </c:pt>
                <c:pt idx="334">
                  <c:v>0.110638824911563</c:v>
                </c:pt>
                <c:pt idx="335">
                  <c:v>0.110791206940568</c:v>
                </c:pt>
                <c:pt idx="336">
                  <c:v>0.11094516040180299</c:v>
                </c:pt>
                <c:pt idx="337">
                  <c:v>0.11110072479692901</c:v>
                </c:pt>
                <c:pt idx="338">
                  <c:v>0.111257939607629</c:v>
                </c:pt>
                <c:pt idx="339">
                  <c:v>0.111416844419904</c:v>
                </c:pt>
                <c:pt idx="340">
                  <c:v>0.111577479039088</c:v>
                </c:pt>
                <c:pt idx="341">
                  <c:v>0.111739883596728</c:v>
                </c:pt>
                <c:pt idx="342">
                  <c:v>0.111904098650297</c:v>
                </c:pt>
                <c:pt idx="343">
                  <c:v>0.11207016527668</c:v>
                </c:pt>
                <c:pt idx="344">
                  <c:v>0.112238125160255</c:v>
                </c:pt>
                <c:pt idx="345">
                  <c:v>0.11240802067632299</c:v>
                </c:pt>
                <c:pt idx="346">
                  <c:v>0.11257989497059701</c:v>
                </c:pt>
                <c:pt idx="347">
                  <c:v>0.112753792035371</c:v>
                </c:pt>
                <c:pt idx="348">
                  <c:v>0.112929756782956</c:v>
                </c:pt>
                <c:pt idx="349">
                  <c:v>0.113107835116922</c:v>
                </c:pt>
                <c:pt idx="350">
                  <c:v>0.113288074001635</c:v>
                </c:pt>
                <c:pt idx="351">
                  <c:v>0.113470521530551</c:v>
                </c:pt>
                <c:pt idx="352">
                  <c:v>0.113655226993682</c:v>
                </c:pt>
                <c:pt idx="353">
                  <c:v>0.113842240944644</c:v>
                </c:pt>
                <c:pt idx="354">
                  <c:v>0.114031615267637</c:v>
                </c:pt>
                <c:pt idx="355">
                  <c:v>0.11422340324472501</c:v>
                </c:pt>
                <c:pt idx="356">
                  <c:v>0.11441765962373</c:v>
                </c:pt>
                <c:pt idx="357">
                  <c:v>0.114614440687063</c:v>
                </c:pt>
                <c:pt idx="358">
                  <c:v>0.114813804321789</c:v>
                </c:pt>
                <c:pt idx="359">
                  <c:v>0.22425676384167301</c:v>
                </c:pt>
                <c:pt idx="360">
                  <c:v>0.30704288935609397</c:v>
                </c:pt>
                <c:pt idx="361">
                  <c:v>0.30834090817871301</c:v>
                </c:pt>
                <c:pt idx="362">
                  <c:v>0.30921577139060102</c:v>
                </c:pt>
                <c:pt idx="363">
                  <c:v>0.31017471350345399</c:v>
                </c:pt>
                <c:pt idx="364">
                  <c:v>0.31131883897321</c:v>
                </c:pt>
                <c:pt idx="365">
                  <c:v>0.31289797505880901</c:v>
                </c:pt>
                <c:pt idx="366">
                  <c:v>0.51289797505880896</c:v>
                </c:pt>
                <c:pt idx="367">
                  <c:v>0.51289797505880896</c:v>
                </c:pt>
              </c:numCache>
            </c:numRef>
          </c:xVal>
          <c:yVal>
            <c:numRef>
              <c:f>Implicit_Fracs!$AW$4:$AW$371</c:f>
              <c:numCache>
                <c:formatCode>General</c:formatCode>
                <c:ptCount val="36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66352"/>
        <c:axId val="412566744"/>
      </c:scatterChart>
      <c:scatterChart>
        <c:scatterStyle val="lineMarker"/>
        <c:varyColors val="0"/>
        <c:ser>
          <c:idx val="0"/>
          <c:order val="0"/>
          <c:tx>
            <c:strRef>
              <c:f>Implicit_Fracs!$AR$2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Implicit_Fracs!$C$4:$C$371</c:f>
              <c:numCache>
                <c:formatCode>General</c:formatCode>
                <c:ptCount val="368"/>
                <c:pt idx="0">
                  <c:v>6.5458908507104702E-2</c:v>
                </c:pt>
                <c:pt idx="1">
                  <c:v>0.10158646265419501</c:v>
                </c:pt>
                <c:pt idx="2">
                  <c:v>0.102060105178604</c:v>
                </c:pt>
                <c:pt idx="3">
                  <c:v>0.102354758409441</c:v>
                </c:pt>
                <c:pt idx="4">
                  <c:v>0.10257003610151801</c:v>
                </c:pt>
                <c:pt idx="5">
                  <c:v>0.102740146597483</c:v>
                </c:pt>
                <c:pt idx="6">
                  <c:v>0.10288102093448701</c:v>
                </c:pt>
                <c:pt idx="7">
                  <c:v>0.10300139565401099</c:v>
                </c:pt>
                <c:pt idx="8">
                  <c:v>0.10310658737638601</c:v>
                </c:pt>
                <c:pt idx="9">
                  <c:v>0.103200075337502</c:v>
                </c:pt>
                <c:pt idx="10">
                  <c:v>0.103284262204</c:v>
                </c:pt>
                <c:pt idx="11">
                  <c:v>0.103360877526633</c:v>
                </c:pt>
                <c:pt idx="12">
                  <c:v>0.103431208153653</c:v>
                </c:pt>
                <c:pt idx="13">
                  <c:v>0.103496237708407</c:v>
                </c:pt>
                <c:pt idx="14">
                  <c:v>0.103556735084609</c:v>
                </c:pt>
                <c:pt idx="15">
                  <c:v>0.103613312816801</c:v>
                </c:pt>
                <c:pt idx="16">
                  <c:v>0.103666466857375</c:v>
                </c:pt>
                <c:pt idx="17">
                  <c:v>0.10371660444741999</c:v>
                </c:pt>
                <c:pt idx="18">
                  <c:v>0.10376406411969299</c:v>
                </c:pt>
                <c:pt idx="19">
                  <c:v>0.10380913035858701</c:v>
                </c:pt>
                <c:pt idx="20">
                  <c:v>0.103852044544123</c:v>
                </c:pt>
                <c:pt idx="21">
                  <c:v>0.103893013256558</c:v>
                </c:pt>
                <c:pt idx="22">
                  <c:v>0.103932214670875</c:v>
                </c:pt>
                <c:pt idx="23">
                  <c:v>0.10396980354554</c:v>
                </c:pt>
                <c:pt idx="24">
                  <c:v>0.104005915161023</c:v>
                </c:pt>
                <c:pt idx="25">
                  <c:v>0.10404066846285701</c:v>
                </c:pt>
                <c:pt idx="26">
                  <c:v>0.104074168594671</c:v>
                </c:pt>
                <c:pt idx="27">
                  <c:v>0.10410650895807599</c:v>
                </c:pt>
                <c:pt idx="28">
                  <c:v>0.10413777290170501</c:v>
                </c:pt>
                <c:pt idx="29">
                  <c:v>0.104168035116796</c:v>
                </c:pt>
                <c:pt idx="30">
                  <c:v>0.104197362798492</c:v>
                </c:pt>
                <c:pt idx="31">
                  <c:v>0.104225816618547</c:v>
                </c:pt>
                <c:pt idx="32">
                  <c:v>0.104253451545067</c:v>
                </c:pt>
                <c:pt idx="33">
                  <c:v>0.104280317537286</c:v>
                </c:pt>
                <c:pt idx="34">
                  <c:v>0.10430646013757899</c:v>
                </c:pt>
                <c:pt idx="35">
                  <c:v>0.10433192097843901</c:v>
                </c:pt>
                <c:pt idx="36">
                  <c:v>0.104356738218675</c:v>
                </c:pt>
                <c:pt idx="37">
                  <c:v>0.10438094692038</c:v>
                </c:pt>
                <c:pt idx="38">
                  <c:v>0.104404579376061</c:v>
                </c:pt>
                <c:pt idx="39">
                  <c:v>0.10442766539470601</c:v>
                </c:pt>
                <c:pt idx="40">
                  <c:v>0.104450232550895</c:v>
                </c:pt>
                <c:pt idx="41">
                  <c:v>0.104472306403378</c:v>
                </c:pt>
                <c:pt idx="42">
                  <c:v>0.104493910687546</c:v>
                </c:pt>
                <c:pt idx="43">
                  <c:v>0.104515067485448</c:v>
                </c:pt>
                <c:pt idx="44">
                  <c:v>0.104535797376425</c:v>
                </c:pt>
                <c:pt idx="45">
                  <c:v>0.104556119570968</c:v>
                </c:pt>
                <c:pt idx="46">
                  <c:v>0.10457605202998201</c:v>
                </c:pt>
                <c:pt idx="47">
                  <c:v>0.10459561157132601</c:v>
                </c:pt>
                <c:pt idx="48">
                  <c:v>0.10461481396524</c:v>
                </c:pt>
                <c:pt idx="49">
                  <c:v>0.104633674020002</c:v>
                </c:pt>
                <c:pt idx="50">
                  <c:v>0.104652205659008</c:v>
                </c:pt>
                <c:pt idx="51">
                  <c:v>0.10467042199028</c:v>
                </c:pt>
                <c:pt idx="52">
                  <c:v>0.10468833536927501</c:v>
                </c:pt>
                <c:pt idx="53">
                  <c:v>0.104705957455764</c:v>
                </c:pt>
                <c:pt idx="54">
                  <c:v>0.104723299265432</c:v>
                </c:pt>
                <c:pt idx="55">
                  <c:v>0.10474037121678501</c:v>
                </c:pt>
                <c:pt idx="56">
                  <c:v>0.104757183173858</c:v>
                </c:pt>
                <c:pt idx="57">
                  <c:v>0.10477374448518</c:v>
                </c:pt>
                <c:pt idx="58">
                  <c:v>0.104790064019366</c:v>
                </c:pt>
                <c:pt idx="59">
                  <c:v>0.10480615019770299</c:v>
                </c:pt>
                <c:pt idx="60">
                  <c:v>0.104822011024007</c:v>
                </c:pt>
                <c:pt idx="61">
                  <c:v>0.10483765411203801</c:v>
                </c:pt>
                <c:pt idx="62">
                  <c:v>0.104853086710699</c:v>
                </c:pt>
                <c:pt idx="63">
                  <c:v>0.10486831572724099</c:v>
                </c:pt>
                <c:pt idx="64">
                  <c:v>0.104883347748643</c:v>
                </c:pt>
                <c:pt idx="65">
                  <c:v>0.104898189061358</c:v>
                </c:pt>
                <c:pt idx="66">
                  <c:v>0.104912845669559</c:v>
                </c:pt>
                <c:pt idx="67">
                  <c:v>0.10492732331202199</c:v>
                </c:pt>
                <c:pt idx="68">
                  <c:v>0.10494162747777</c:v>
                </c:pt>
                <c:pt idx="69">
                  <c:v>0.10495576342058401</c:v>
                </c:pt>
                <c:pt idx="70">
                  <c:v>0.104969736172476</c:v>
                </c:pt>
                <c:pt idx="71">
                  <c:v>0.104983550556215</c:v>
                </c:pt>
                <c:pt idx="72">
                  <c:v>0.104997211196988</c:v>
                </c:pt>
                <c:pt idx="73">
                  <c:v>0.105010722533251</c:v>
                </c:pt>
                <c:pt idx="74">
                  <c:v>0.10502408882686499</c:v>
                </c:pt>
                <c:pt idx="75">
                  <c:v>0.105037314172539</c:v>
                </c:pt>
                <c:pt idx="76">
                  <c:v>0.10505040250667</c:v>
                </c:pt>
                <c:pt idx="77">
                  <c:v>0.105063357615594</c:v>
                </c:pt>
                <c:pt idx="78">
                  <c:v>0.105076183143323</c:v>
                </c:pt>
                <c:pt idx="79">
                  <c:v>0.10508888259878001</c:v>
                </c:pt>
                <c:pt idx="80">
                  <c:v>0.105101459362598</c:v>
                </c:pt>
                <c:pt idx="81">
                  <c:v>0.10511391669348399</c:v>
                </c:pt>
                <c:pt idx="82">
                  <c:v>0.10512625773421</c:v>
                </c:pt>
                <c:pt idx="83">
                  <c:v>0.10513848551723599</c:v>
                </c:pt>
                <c:pt idx="84">
                  <c:v>0.10515060297000201</c:v>
                </c:pt>
                <c:pt idx="85">
                  <c:v>0.105162612919908</c:v>
                </c:pt>
                <c:pt idx="86">
                  <c:v>0.105174518099013</c:v>
                </c:pt>
                <c:pt idx="87">
                  <c:v>0.105186321148453</c:v>
                </c:pt>
                <c:pt idx="88">
                  <c:v>0.105198024622616</c:v>
                </c:pt>
                <c:pt idx="89">
                  <c:v>0.105209630993088</c:v>
                </c:pt>
                <c:pt idx="90">
                  <c:v>0.10522114265237301</c:v>
                </c:pt>
                <c:pt idx="91">
                  <c:v>0.105232561917411</c:v>
                </c:pt>
                <c:pt idx="92">
                  <c:v>0.105243891032912</c:v>
                </c:pt>
                <c:pt idx="93">
                  <c:v>0.105255132174505</c:v>
                </c:pt>
                <c:pt idx="94">
                  <c:v>0.10526628745172401</c:v>
                </c:pt>
                <c:pt idx="95">
                  <c:v>0.105277358910841</c:v>
                </c:pt>
                <c:pt idx="96">
                  <c:v>0.105288348537545</c:v>
                </c:pt>
                <c:pt idx="97">
                  <c:v>0.10529925825949001</c:v>
                </c:pt>
                <c:pt idx="98">
                  <c:v>0.105310089948715</c:v>
                </c:pt>
                <c:pt idx="99">
                  <c:v>0.10532084542394</c:v>
                </c:pt>
                <c:pt idx="100">
                  <c:v>0.105331526452749</c:v>
                </c:pt>
                <c:pt idx="101">
                  <c:v>0.10534213475366599</c:v>
                </c:pt>
                <c:pt idx="102">
                  <c:v>0.105352671998135</c:v>
                </c:pt>
                <c:pt idx="103">
                  <c:v>0.105363139812398</c:v>
                </c:pt>
                <c:pt idx="104">
                  <c:v>0.10537353977929</c:v>
                </c:pt>
                <c:pt idx="105">
                  <c:v>0.105383873439947</c:v>
                </c:pt>
                <c:pt idx="106">
                  <c:v>0.105394142295438</c:v>
                </c:pt>
                <c:pt idx="107">
                  <c:v>0.10540434780831399</c:v>
                </c:pt>
                <c:pt idx="108">
                  <c:v>0.1054144914041</c:v>
                </c:pt>
                <c:pt idx="109">
                  <c:v>0.105424574472708</c:v>
                </c:pt>
                <c:pt idx="110">
                  <c:v>0.10543459836979301</c:v>
                </c:pt>
                <c:pt idx="111">
                  <c:v>0.105444564418049</c:v>
                </c:pt>
                <c:pt idx="112">
                  <c:v>0.105454473908448</c:v>
                </c:pt>
                <c:pt idx="113">
                  <c:v>0.105464328101426</c:v>
                </c:pt>
                <c:pt idx="114">
                  <c:v>0.10547412822802001</c:v>
                </c:pt>
                <c:pt idx="115">
                  <c:v>0.10548387549095201</c:v>
                </c:pt>
                <c:pt idx="116">
                  <c:v>0.105493571065675</c:v>
                </c:pt>
                <c:pt idx="117">
                  <c:v>0.105503216101374</c:v>
                </c:pt>
                <c:pt idx="118">
                  <c:v>0.10551281172191999</c:v>
                </c:pt>
                <c:pt idx="119">
                  <c:v>0.10552235902679701</c:v>
                </c:pt>
                <c:pt idx="120">
                  <c:v>0.105531859091982</c:v>
                </c:pt>
                <c:pt idx="121">
                  <c:v>0.105541312970793</c:v>
                </c:pt>
                <c:pt idx="122">
                  <c:v>0.105550721694713</c:v>
                </c:pt>
                <c:pt idx="123">
                  <c:v>0.10556008627416701</c:v>
                </c:pt>
                <c:pt idx="124">
                  <c:v>0.105569407699282</c:v>
                </c:pt>
                <c:pt idx="125">
                  <c:v>0.105578686940613</c:v>
                </c:pt>
                <c:pt idx="126">
                  <c:v>0.10558792494984499</c:v>
                </c:pt>
                <c:pt idx="127">
                  <c:v>0.105597122660464</c:v>
                </c:pt>
                <c:pt idx="128">
                  <c:v>0.105606280988415</c:v>
                </c:pt>
                <c:pt idx="129">
                  <c:v>0.105615400832723</c:v>
                </c:pt>
                <c:pt idx="130">
                  <c:v>0.10562448307610101</c:v>
                </c:pt>
                <c:pt idx="131">
                  <c:v>0.105633528585537</c:v>
                </c:pt>
                <c:pt idx="132">
                  <c:v>0.105642538212856</c:v>
                </c:pt>
                <c:pt idx="133">
                  <c:v>0.10565151279527001</c:v>
                </c:pt>
                <c:pt idx="134">
                  <c:v>0.105660453155901</c:v>
                </c:pt>
                <c:pt idx="135">
                  <c:v>0.1056693601043</c:v>
                </c:pt>
                <c:pt idx="136">
                  <c:v>0.105678234436935</c:v>
                </c:pt>
                <c:pt idx="137">
                  <c:v>0.105687076937673</c:v>
                </c:pt>
                <c:pt idx="138">
                  <c:v>0.10569588837824601</c:v>
                </c:pt>
                <c:pt idx="139">
                  <c:v>0.105704669518702</c:v>
                </c:pt>
                <c:pt idx="140">
                  <c:v>0.105713421107842</c:v>
                </c:pt>
                <c:pt idx="141">
                  <c:v>0.105722143883642</c:v>
                </c:pt>
                <c:pt idx="142">
                  <c:v>0.10573083857367301</c:v>
                </c:pt>
                <c:pt idx="143">
                  <c:v>0.10573950589549699</c:v>
                </c:pt>
                <c:pt idx="144">
                  <c:v>0.105748146557059</c:v>
                </c:pt>
                <c:pt idx="145">
                  <c:v>0.105756761257069</c:v>
                </c:pt>
                <c:pt idx="146">
                  <c:v>0.105765350685371</c:v>
                </c:pt>
                <c:pt idx="147">
                  <c:v>0.10577391552330601</c:v>
                </c:pt>
                <c:pt idx="148">
                  <c:v>0.105782456444064</c:v>
                </c:pt>
                <c:pt idx="149">
                  <c:v>0.105790974113029</c:v>
                </c:pt>
                <c:pt idx="150">
                  <c:v>0.105799469188117</c:v>
                </c:pt>
                <c:pt idx="151">
                  <c:v>0.105807942320102</c:v>
                </c:pt>
                <c:pt idx="152">
                  <c:v>0.105816394152941</c:v>
                </c:pt>
                <c:pt idx="153">
                  <c:v>0.10582482532409</c:v>
                </c:pt>
                <c:pt idx="154">
                  <c:v>0.10583323646481201</c:v>
                </c:pt>
                <c:pt idx="155">
                  <c:v>0.105841628200482</c:v>
                </c:pt>
                <c:pt idx="156">
                  <c:v>0.105850001150887</c:v>
                </c:pt>
                <c:pt idx="157">
                  <c:v>0.105858355930516</c:v>
                </c:pt>
                <c:pt idx="158">
                  <c:v>0.105866693148851</c:v>
                </c:pt>
                <c:pt idx="159">
                  <c:v>0.105875013410654</c:v>
                </c:pt>
                <c:pt idx="160">
                  <c:v>0.10588331731624</c:v>
                </c:pt>
                <c:pt idx="161">
                  <c:v>0.105891605461765</c:v>
                </c:pt>
                <c:pt idx="162">
                  <c:v>0.10589987843948701</c:v>
                </c:pt>
                <c:pt idx="163">
                  <c:v>0.10590813683804701</c:v>
                </c:pt>
                <c:pt idx="164">
                  <c:v>0.10591638124273201</c:v>
                </c:pt>
                <c:pt idx="165">
                  <c:v>0.105924612235738</c:v>
                </c:pt>
                <c:pt idx="166">
                  <c:v>0.10593283039644</c:v>
                </c:pt>
                <c:pt idx="167">
                  <c:v>0.105941036301648</c:v>
                </c:pt>
                <c:pt idx="168">
                  <c:v>0.10594923052586901</c:v>
                </c:pt>
                <c:pt idx="169">
                  <c:v>0.105957413641566</c:v>
                </c:pt>
                <c:pt idx="170">
                  <c:v>0.105965586219415</c:v>
                </c:pt>
                <c:pt idx="171">
                  <c:v>0.105973748828566</c:v>
                </c:pt>
                <c:pt idx="172">
                  <c:v>0.10598190203689301</c:v>
                </c:pt>
                <c:pt idx="173">
                  <c:v>0.105990046411258</c:v>
                </c:pt>
                <c:pt idx="174">
                  <c:v>0.10599818251776701</c:v>
                </c:pt>
                <c:pt idx="175">
                  <c:v>0.106006310922025</c:v>
                </c:pt>
                <c:pt idx="176">
                  <c:v>0.106014432189397</c:v>
                </c:pt>
                <c:pt idx="177">
                  <c:v>0.106022546885271</c:v>
                </c:pt>
                <c:pt idx="178">
                  <c:v>0.10603065557531401</c:v>
                </c:pt>
                <c:pt idx="179">
                  <c:v>0.10603875882574</c:v>
                </c:pt>
                <c:pt idx="180">
                  <c:v>0.106046857203577</c:v>
                </c:pt>
                <c:pt idx="181">
                  <c:v>0.106054951276932</c:v>
                </c:pt>
                <c:pt idx="182">
                  <c:v>0.106063041615263</c:v>
                </c:pt>
                <c:pt idx="183">
                  <c:v>0.10607112878965499</c:v>
                </c:pt>
                <c:pt idx="184">
                  <c:v>0.106079213373101</c:v>
                </c:pt>
                <c:pt idx="185">
                  <c:v>0.106087295940776</c:v>
                </c:pt>
                <c:pt idx="186">
                  <c:v>0.10609537707033299</c:v>
                </c:pt>
                <c:pt idx="187">
                  <c:v>0.106103457342189</c:v>
                </c:pt>
                <c:pt idx="188">
                  <c:v>0.106111537339822</c:v>
                </c:pt>
                <c:pt idx="189">
                  <c:v>0.10611961765007601</c:v>
                </c:pt>
                <c:pt idx="190">
                  <c:v>0.106127698863465</c:v>
                </c:pt>
                <c:pt idx="191">
                  <c:v>0.10613578157449099</c:v>
                </c:pt>
                <c:pt idx="192">
                  <c:v>0.106143866381966</c:v>
                </c:pt>
                <c:pt idx="193">
                  <c:v>0.10615195388934</c:v>
                </c:pt>
                <c:pt idx="194">
                  <c:v>0.106160044705038</c:v>
                </c:pt>
                <c:pt idx="195">
                  <c:v>0.106168139442805</c:v>
                </c:pt>
                <c:pt idx="196">
                  <c:v>0.106176238722063</c:v>
                </c:pt>
                <c:pt idx="197">
                  <c:v>0.106184343168276</c:v>
                </c:pt>
                <c:pt idx="198">
                  <c:v>0.10619245341332301</c:v>
                </c:pt>
                <c:pt idx="199">
                  <c:v>0.106200570095885</c:v>
                </c:pt>
                <c:pt idx="200">
                  <c:v>0.10620869386184199</c:v>
                </c:pt>
                <c:pt idx="201">
                  <c:v>0.10621682536468401</c:v>
                </c:pt>
                <c:pt idx="202">
                  <c:v>0.106224965265935</c:v>
                </c:pt>
                <c:pt idx="203">
                  <c:v>0.106233114235588</c:v>
                </c:pt>
                <c:pt idx="204">
                  <c:v>0.10624127295256</c:v>
                </c:pt>
                <c:pt idx="205">
                  <c:v>0.10624944210515699</c:v>
                </c:pt>
                <c:pt idx="206">
                  <c:v>0.106257622391562</c:v>
                </c:pt>
                <c:pt idx="207">
                  <c:v>0.106265814520335</c:v>
                </c:pt>
                <c:pt idx="208">
                  <c:v>0.106274019210935</c:v>
                </c:pt>
                <c:pt idx="209">
                  <c:v>0.10628223719426</c:v>
                </c:pt>
                <c:pt idx="210">
                  <c:v>0.106290469213214</c:v>
                </c:pt>
                <c:pt idx="211">
                  <c:v>0.106298716023284</c:v>
                </c:pt>
                <c:pt idx="212">
                  <c:v>0.106306978393155</c:v>
                </c:pt>
                <c:pt idx="213">
                  <c:v>0.106315257105341</c:v>
                </c:pt>
                <c:pt idx="214">
                  <c:v>0.10632355295684801</c:v>
                </c:pt>
                <c:pt idx="215">
                  <c:v>0.10633186675985799</c:v>
                </c:pt>
                <c:pt idx="216">
                  <c:v>0.10634019934245301</c:v>
                </c:pt>
                <c:pt idx="217">
                  <c:v>0.106348551549366</c:v>
                </c:pt>
                <c:pt idx="218">
                  <c:v>0.106356924242761</c:v>
                </c:pt>
                <c:pt idx="219">
                  <c:v>0.10636531830306099</c:v>
                </c:pt>
                <c:pt idx="220">
                  <c:v>0.106373734629807</c:v>
                </c:pt>
                <c:pt idx="221">
                  <c:v>0.10638217414255299</c:v>
                </c:pt>
                <c:pt idx="222">
                  <c:v>0.106390637781818</c:v>
                </c:pt>
                <c:pt idx="223">
                  <c:v>0.10639912651007299</c:v>
                </c:pt>
                <c:pt idx="224">
                  <c:v>0.10640764131277999</c:v>
                </c:pt>
                <c:pt idx="225">
                  <c:v>0.10641618319948901</c:v>
                </c:pt>
                <c:pt idx="226">
                  <c:v>0.106424753204983</c:v>
                </c:pt>
                <c:pt idx="227">
                  <c:v>0.10643335239049</c:v>
                </c:pt>
                <c:pt idx="228">
                  <c:v>0.106441981844954</c:v>
                </c:pt>
                <c:pt idx="229">
                  <c:v>0.106450642686375</c:v>
                </c:pt>
                <c:pt idx="230">
                  <c:v>0.10645933606322799</c:v>
                </c:pt>
                <c:pt idx="231">
                  <c:v>0.10646806315594901</c:v>
                </c:pt>
                <c:pt idx="232">
                  <c:v>0.106476825178516</c:v>
                </c:pt>
                <c:pt idx="233">
                  <c:v>0.10648562338011</c:v>
                </c:pt>
                <c:pt idx="234">
                  <c:v>0.106494459046881</c:v>
                </c:pt>
                <c:pt idx="235">
                  <c:v>0.106503333503809</c:v>
                </c:pt>
                <c:pt idx="236">
                  <c:v>0.10651224811667701</c:v>
                </c:pt>
                <c:pt idx="237">
                  <c:v>0.106521204294171</c:v>
                </c:pt>
                <c:pt idx="238">
                  <c:v>0.106530203490093</c:v>
                </c:pt>
                <c:pt idx="239">
                  <c:v>0.10653924720572699</c:v>
                </c:pt>
                <c:pt idx="240">
                  <c:v>0.106548336992338</c:v>
                </c:pt>
                <c:pt idx="241">
                  <c:v>0.106557474453844</c:v>
                </c:pt>
                <c:pt idx="242">
                  <c:v>0.106566661249652</c:v>
                </c:pt>
                <c:pt idx="243">
                  <c:v>0.10657589909767901</c:v>
                </c:pt>
                <c:pt idx="244">
                  <c:v>0.10658518977758299</c:v>
                </c:pt>
                <c:pt idx="245">
                  <c:v>0.106594535134197</c:v>
                </c:pt>
                <c:pt idx="246">
                  <c:v>0.106603937081217</c:v>
                </c:pt>
                <c:pt idx="247">
                  <c:v>0.106613397605125</c:v>
                </c:pt>
                <c:pt idx="248">
                  <c:v>0.10662291876941001</c:v>
                </c:pt>
                <c:pt idx="249">
                  <c:v>0.106632502719071</c:v>
                </c:pt>
                <c:pt idx="250">
                  <c:v>0.10664215168546599</c:v>
                </c:pt>
                <c:pt idx="251">
                  <c:v>0.106651867991505</c:v>
                </c:pt>
                <c:pt idx="252">
                  <c:v>0.106661654057239</c:v>
                </c:pt>
                <c:pt idx="253">
                  <c:v>0.106671512405876</c:v>
                </c:pt>
                <c:pt idx="254">
                  <c:v>0.106681445670259</c:v>
                </c:pt>
                <c:pt idx="255">
                  <c:v>0.106691456599855</c:v>
                </c:pt>
                <c:pt idx="256">
                  <c:v>0.10670154806830701</c:v>
                </c:pt>
                <c:pt idx="257">
                  <c:v>0.106711723081597</c:v>
                </c:pt>
                <c:pt idx="258">
                  <c:v>0.106721984786882</c:v>
                </c:pt>
                <c:pt idx="259">
                  <c:v>0.106732336482082</c:v>
                </c:pt>
                <c:pt idx="260">
                  <c:v>0.10674278162628199</c:v>
                </c:pt>
                <c:pt idx="261">
                  <c:v>0.106753323851043</c:v>
                </c:pt>
                <c:pt idx="262">
                  <c:v>0.106763966972719</c:v>
                </c:pt>
                <c:pt idx="263">
                  <c:v>0.10677471500588499</c:v>
                </c:pt>
                <c:pt idx="264">
                  <c:v>0.10678557217800599</c:v>
                </c:pt>
                <c:pt idx="265">
                  <c:v>0.106796542945475</c:v>
                </c:pt>
                <c:pt idx="266">
                  <c:v>0.10680763201119001</c:v>
                </c:pt>
                <c:pt idx="267">
                  <c:v>0.106818844343851</c:v>
                </c:pt>
                <c:pt idx="268">
                  <c:v>0.106830185199162</c:v>
                </c:pt>
                <c:pt idx="269">
                  <c:v>0.1068416601432</c:v>
                </c:pt>
                <c:pt idx="270">
                  <c:v>0.106853275078199</c:v>
                </c:pt>
                <c:pt idx="271">
                  <c:v>0.10686503627105901</c:v>
                </c:pt>
                <c:pt idx="272">
                  <c:v>0.106876950384948</c:v>
                </c:pt>
                <c:pt idx="273">
                  <c:v>0.10688902451438199</c:v>
                </c:pt>
                <c:pt idx="274">
                  <c:v>0.106901266224276</c:v>
                </c:pt>
                <c:pt idx="275">
                  <c:v>0.106913683593506</c:v>
                </c:pt>
                <c:pt idx="276">
                  <c:v>0.106926285263621</c:v>
                </c:pt>
                <c:pt idx="277">
                  <c:v>0.106939080493455</c:v>
                </c:pt>
                <c:pt idx="278">
                  <c:v>0.10695207922051</c:v>
                </c:pt>
                <c:pt idx="279">
                  <c:v>0.10696529213014599</c:v>
                </c:pt>
                <c:pt idx="280">
                  <c:v>0.106978730733797</c:v>
                </c:pt>
                <c:pt idx="281">
                  <c:v>0.106992407457646</c:v>
                </c:pt>
                <c:pt idx="282">
                  <c:v>0.107006335743491</c:v>
                </c:pt>
                <c:pt idx="283">
                  <c:v>0.10702053016384699</c:v>
                </c:pt>
                <c:pt idx="284">
                  <c:v>0.107035006553762</c:v>
                </c:pt>
                <c:pt idx="285">
                  <c:v>0.107049782162317</c:v>
                </c:pt>
                <c:pt idx="286">
                  <c:v>0.10706487582742701</c:v>
                </c:pt>
                <c:pt idx="287">
                  <c:v>0.107080308178348</c:v>
                </c:pt>
                <c:pt idx="288">
                  <c:v>0.10709610187127599</c:v>
                </c:pt>
                <c:pt idx="289">
                  <c:v>0.10711228186470099</c:v>
                </c:pt>
                <c:pt idx="290">
                  <c:v>0.107128875742745</c:v>
                </c:pt>
                <c:pt idx="291">
                  <c:v>0.107145914096787</c:v>
                </c:pt>
                <c:pt idx="292">
                  <c:v>0.10716343097827</c:v>
                </c:pt>
                <c:pt idx="293">
                  <c:v>0.10718146443905199</c:v>
                </c:pt>
                <c:pt idx="294">
                  <c:v>0.107200057180087</c:v>
                </c:pt>
                <c:pt idx="295">
                  <c:v>0.10721925733519</c:v>
                </c:pt>
                <c:pt idx="296">
                  <c:v>0.107239119424452</c:v>
                </c:pt>
                <c:pt idx="297">
                  <c:v>0.10725970552248799</c:v>
                </c:pt>
                <c:pt idx="298">
                  <c:v>0.107281086701057</c:v>
                </c:pt>
                <c:pt idx="299">
                  <c:v>0.10730334482520799</c:v>
                </c:pt>
                <c:pt idx="300">
                  <c:v>0.107326574809414</c:v>
                </c:pt>
                <c:pt idx="301">
                  <c:v>0.10735088747820599</c:v>
                </c:pt>
                <c:pt idx="302">
                  <c:v>0.10737641322982</c:v>
                </c:pt>
                <c:pt idx="303">
                  <c:v>0.107403306778537</c:v>
                </c:pt>
                <c:pt idx="304">
                  <c:v>0.10743175336319</c:v>
                </c:pt>
                <c:pt idx="305">
                  <c:v>0.107461976972791</c:v>
                </c:pt>
                <c:pt idx="306">
                  <c:v>0.107494251381856</c:v>
                </c:pt>
                <c:pt idx="307">
                  <c:v>0.107528915147976</c:v>
                </c:pt>
                <c:pt idx="308">
                  <c:v>0.107566392263413</c:v>
                </c:pt>
                <c:pt idx="309">
                  <c:v>0.10760722096054399</c:v>
                </c:pt>
                <c:pt idx="310">
                  <c:v>0.107652094373539</c:v>
                </c:pt>
                <c:pt idx="311">
                  <c:v>0.107701918517204</c:v>
                </c:pt>
                <c:pt idx="312">
                  <c:v>0.107757895545197</c:v>
                </c:pt>
                <c:pt idx="313">
                  <c:v>0.107821643761701</c:v>
                </c:pt>
                <c:pt idx="314">
                  <c:v>0.107895371464266</c:v>
                </c:pt>
                <c:pt idx="315">
                  <c:v>0.107982136054144</c:v>
                </c:pt>
                <c:pt idx="316">
                  <c:v>0.108086279484475</c:v>
                </c:pt>
                <c:pt idx="317">
                  <c:v>0.10821441051713999</c:v>
                </c:pt>
                <c:pt idx="318">
                  <c:v>0.108378611684964</c:v>
                </c:pt>
                <c:pt idx="319">
                  <c:v>0.10851279142848901</c:v>
                </c:pt>
                <c:pt idx="320">
                  <c:v>0.108646878508965</c:v>
                </c:pt>
                <c:pt idx="321">
                  <c:v>0.108781836007877</c:v>
                </c:pt>
                <c:pt idx="322">
                  <c:v>0.108917703938839</c:v>
                </c:pt>
                <c:pt idx="323">
                  <c:v>0.109054545173906</c:v>
                </c:pt>
                <c:pt idx="324">
                  <c:v>0.109192417872054</c:v>
                </c:pt>
                <c:pt idx="325">
                  <c:v>0.109331376964383</c:v>
                </c:pt>
                <c:pt idx="326">
                  <c:v>0.10947147454287399</c:v>
                </c:pt>
                <c:pt idx="327">
                  <c:v>0.109612760241196</c:v>
                </c:pt>
                <c:pt idx="328">
                  <c:v>0.10975528157779101</c:v>
                </c:pt>
                <c:pt idx="329">
                  <c:v>0.109899084266184</c:v>
                </c:pt>
                <c:pt idx="330">
                  <c:v>0.110044212495958</c:v>
                </c:pt>
                <c:pt idx="331">
                  <c:v>0.11019070918751001</c:v>
                </c:pt>
                <c:pt idx="332">
                  <c:v>0.11033861622334599</c:v>
                </c:pt>
                <c:pt idx="333">
                  <c:v>0.110487974658393</c:v>
                </c:pt>
                <c:pt idx="334">
                  <c:v>0.110638824911563</c:v>
                </c:pt>
                <c:pt idx="335">
                  <c:v>0.110791206940568</c:v>
                </c:pt>
                <c:pt idx="336">
                  <c:v>0.11094516040180299</c:v>
                </c:pt>
                <c:pt idx="337">
                  <c:v>0.11110072479692901</c:v>
                </c:pt>
                <c:pt idx="338">
                  <c:v>0.111257939607629</c:v>
                </c:pt>
                <c:pt idx="339">
                  <c:v>0.111416844419904</c:v>
                </c:pt>
                <c:pt idx="340">
                  <c:v>0.111577479039088</c:v>
                </c:pt>
                <c:pt idx="341">
                  <c:v>0.111739883596728</c:v>
                </c:pt>
                <c:pt idx="342">
                  <c:v>0.111904098650297</c:v>
                </c:pt>
                <c:pt idx="343">
                  <c:v>0.11207016527668</c:v>
                </c:pt>
                <c:pt idx="344">
                  <c:v>0.112238125160255</c:v>
                </c:pt>
                <c:pt idx="345">
                  <c:v>0.11240802067632299</c:v>
                </c:pt>
                <c:pt idx="346">
                  <c:v>0.11257989497059701</c:v>
                </c:pt>
                <c:pt idx="347">
                  <c:v>0.112753792035371</c:v>
                </c:pt>
                <c:pt idx="348">
                  <c:v>0.112929756782956</c:v>
                </c:pt>
                <c:pt idx="349">
                  <c:v>0.113107835116922</c:v>
                </c:pt>
                <c:pt idx="350">
                  <c:v>0.113288074001635</c:v>
                </c:pt>
                <c:pt idx="351">
                  <c:v>0.113470521530551</c:v>
                </c:pt>
                <c:pt idx="352">
                  <c:v>0.113655226993682</c:v>
                </c:pt>
                <c:pt idx="353">
                  <c:v>0.113842240944644</c:v>
                </c:pt>
                <c:pt idx="354">
                  <c:v>0.114031615267637</c:v>
                </c:pt>
                <c:pt idx="355">
                  <c:v>0.11422340324472501</c:v>
                </c:pt>
                <c:pt idx="356">
                  <c:v>0.11441765962373</c:v>
                </c:pt>
                <c:pt idx="357">
                  <c:v>0.114614440687063</c:v>
                </c:pt>
                <c:pt idx="358">
                  <c:v>0.114813804321789</c:v>
                </c:pt>
                <c:pt idx="359">
                  <c:v>0.22425676384167301</c:v>
                </c:pt>
                <c:pt idx="360">
                  <c:v>0.30704288935609397</c:v>
                </c:pt>
                <c:pt idx="361">
                  <c:v>0.30834090817871301</c:v>
                </c:pt>
                <c:pt idx="362">
                  <c:v>0.30921577139060102</c:v>
                </c:pt>
                <c:pt idx="363">
                  <c:v>0.31017471350345399</c:v>
                </c:pt>
                <c:pt idx="364">
                  <c:v>0.31131883897321</c:v>
                </c:pt>
                <c:pt idx="365">
                  <c:v>0.31289797505880901</c:v>
                </c:pt>
                <c:pt idx="366">
                  <c:v>0.51289797505880896</c:v>
                </c:pt>
                <c:pt idx="367">
                  <c:v>0.51289797505880896</c:v>
                </c:pt>
              </c:numCache>
            </c:numRef>
          </c:xVal>
          <c:yVal>
            <c:numRef>
              <c:f>Implicit_Fracs!$AR$4:$AR$371</c:f>
              <c:numCache>
                <c:formatCode>General</c:formatCode>
                <c:ptCount val="368"/>
                <c:pt idx="0">
                  <c:v>1.6E-2</c:v>
                </c:pt>
                <c:pt idx="1">
                  <c:v>1.6E-2</c:v>
                </c:pt>
                <c:pt idx="2">
                  <c:v>1.6E-2</c:v>
                </c:pt>
                <c:pt idx="3">
                  <c:v>1.6E-2</c:v>
                </c:pt>
                <c:pt idx="4">
                  <c:v>1.6E-2</c:v>
                </c:pt>
                <c:pt idx="5">
                  <c:v>1.6E-2</c:v>
                </c:pt>
                <c:pt idx="6">
                  <c:v>1.6E-2</c:v>
                </c:pt>
                <c:pt idx="7">
                  <c:v>1.6E-2</c:v>
                </c:pt>
                <c:pt idx="8">
                  <c:v>1.6E-2</c:v>
                </c:pt>
                <c:pt idx="9">
                  <c:v>1.6E-2</c:v>
                </c:pt>
                <c:pt idx="10">
                  <c:v>1.6E-2</c:v>
                </c:pt>
                <c:pt idx="11">
                  <c:v>1.6E-2</c:v>
                </c:pt>
                <c:pt idx="12">
                  <c:v>1.6E-2</c:v>
                </c:pt>
                <c:pt idx="13">
                  <c:v>1.6E-2</c:v>
                </c:pt>
                <c:pt idx="14">
                  <c:v>1.6E-2</c:v>
                </c:pt>
                <c:pt idx="15">
                  <c:v>1.6E-2</c:v>
                </c:pt>
                <c:pt idx="16">
                  <c:v>1.6E-2</c:v>
                </c:pt>
                <c:pt idx="17">
                  <c:v>1.6E-2</c:v>
                </c:pt>
                <c:pt idx="18">
                  <c:v>1.6E-2</c:v>
                </c:pt>
                <c:pt idx="19">
                  <c:v>1.6E-2</c:v>
                </c:pt>
                <c:pt idx="20">
                  <c:v>1.6E-2</c:v>
                </c:pt>
                <c:pt idx="21">
                  <c:v>1.6E-2</c:v>
                </c:pt>
                <c:pt idx="22">
                  <c:v>1.6E-2</c:v>
                </c:pt>
                <c:pt idx="23">
                  <c:v>1.6E-2</c:v>
                </c:pt>
                <c:pt idx="24">
                  <c:v>1.6E-2</c:v>
                </c:pt>
                <c:pt idx="25">
                  <c:v>1.6E-2</c:v>
                </c:pt>
                <c:pt idx="26">
                  <c:v>1.6E-2</c:v>
                </c:pt>
                <c:pt idx="27">
                  <c:v>1.6E-2</c:v>
                </c:pt>
                <c:pt idx="28">
                  <c:v>1.6E-2</c:v>
                </c:pt>
                <c:pt idx="29">
                  <c:v>1.6E-2</c:v>
                </c:pt>
                <c:pt idx="30">
                  <c:v>1.6E-2</c:v>
                </c:pt>
                <c:pt idx="31">
                  <c:v>1.6E-2</c:v>
                </c:pt>
                <c:pt idx="32">
                  <c:v>1.6E-2</c:v>
                </c:pt>
                <c:pt idx="33">
                  <c:v>1.6E-2</c:v>
                </c:pt>
                <c:pt idx="34">
                  <c:v>1.6E-2</c:v>
                </c:pt>
                <c:pt idx="35">
                  <c:v>1.6E-2</c:v>
                </c:pt>
                <c:pt idx="36">
                  <c:v>1.6E-2</c:v>
                </c:pt>
                <c:pt idx="37">
                  <c:v>1.6E-2</c:v>
                </c:pt>
                <c:pt idx="38">
                  <c:v>1.6E-2</c:v>
                </c:pt>
                <c:pt idx="39">
                  <c:v>1.6E-2</c:v>
                </c:pt>
                <c:pt idx="40">
                  <c:v>1.6E-2</c:v>
                </c:pt>
                <c:pt idx="41">
                  <c:v>1.6E-2</c:v>
                </c:pt>
                <c:pt idx="42">
                  <c:v>1.6E-2</c:v>
                </c:pt>
                <c:pt idx="43">
                  <c:v>1.6E-2</c:v>
                </c:pt>
                <c:pt idx="44">
                  <c:v>1.6E-2</c:v>
                </c:pt>
                <c:pt idx="45">
                  <c:v>1.6E-2</c:v>
                </c:pt>
                <c:pt idx="46">
                  <c:v>1.6E-2</c:v>
                </c:pt>
                <c:pt idx="47">
                  <c:v>1.6E-2</c:v>
                </c:pt>
                <c:pt idx="48">
                  <c:v>1.6E-2</c:v>
                </c:pt>
                <c:pt idx="49">
                  <c:v>1.6E-2</c:v>
                </c:pt>
                <c:pt idx="50">
                  <c:v>1.6E-2</c:v>
                </c:pt>
                <c:pt idx="51">
                  <c:v>1.6E-2</c:v>
                </c:pt>
                <c:pt idx="52">
                  <c:v>1.6E-2</c:v>
                </c:pt>
                <c:pt idx="53">
                  <c:v>1.6E-2</c:v>
                </c:pt>
                <c:pt idx="54">
                  <c:v>1.6E-2</c:v>
                </c:pt>
                <c:pt idx="55">
                  <c:v>1.6E-2</c:v>
                </c:pt>
                <c:pt idx="56">
                  <c:v>1.6E-2</c:v>
                </c:pt>
                <c:pt idx="57">
                  <c:v>1.6E-2</c:v>
                </c:pt>
                <c:pt idx="58">
                  <c:v>1.6E-2</c:v>
                </c:pt>
                <c:pt idx="59">
                  <c:v>1.6E-2</c:v>
                </c:pt>
                <c:pt idx="60">
                  <c:v>1.6E-2</c:v>
                </c:pt>
                <c:pt idx="61">
                  <c:v>1.6E-2</c:v>
                </c:pt>
                <c:pt idx="62">
                  <c:v>1.6E-2</c:v>
                </c:pt>
                <c:pt idx="63">
                  <c:v>1.6E-2</c:v>
                </c:pt>
                <c:pt idx="64">
                  <c:v>1.6E-2</c:v>
                </c:pt>
                <c:pt idx="65">
                  <c:v>1.6E-2</c:v>
                </c:pt>
                <c:pt idx="66">
                  <c:v>1.6E-2</c:v>
                </c:pt>
                <c:pt idx="67">
                  <c:v>1.6E-2</c:v>
                </c:pt>
                <c:pt idx="68">
                  <c:v>1.6E-2</c:v>
                </c:pt>
                <c:pt idx="69">
                  <c:v>1.6E-2</c:v>
                </c:pt>
                <c:pt idx="70">
                  <c:v>1.6E-2</c:v>
                </c:pt>
                <c:pt idx="71">
                  <c:v>1.6E-2</c:v>
                </c:pt>
                <c:pt idx="72">
                  <c:v>1.6E-2</c:v>
                </c:pt>
                <c:pt idx="73">
                  <c:v>1.6E-2</c:v>
                </c:pt>
                <c:pt idx="74">
                  <c:v>1.6E-2</c:v>
                </c:pt>
                <c:pt idx="75">
                  <c:v>1.6E-2</c:v>
                </c:pt>
                <c:pt idx="76">
                  <c:v>1.6E-2</c:v>
                </c:pt>
                <c:pt idx="77">
                  <c:v>1.6E-2</c:v>
                </c:pt>
                <c:pt idx="78">
                  <c:v>1.6E-2</c:v>
                </c:pt>
                <c:pt idx="79">
                  <c:v>1.6E-2</c:v>
                </c:pt>
                <c:pt idx="80">
                  <c:v>1.6E-2</c:v>
                </c:pt>
                <c:pt idx="81">
                  <c:v>1.6E-2</c:v>
                </c:pt>
                <c:pt idx="82">
                  <c:v>1.6E-2</c:v>
                </c:pt>
                <c:pt idx="83">
                  <c:v>1.6E-2</c:v>
                </c:pt>
                <c:pt idx="84">
                  <c:v>1.6E-2</c:v>
                </c:pt>
                <c:pt idx="85">
                  <c:v>1.6E-2</c:v>
                </c:pt>
                <c:pt idx="86">
                  <c:v>1.6E-2</c:v>
                </c:pt>
                <c:pt idx="87">
                  <c:v>1.6E-2</c:v>
                </c:pt>
                <c:pt idx="88">
                  <c:v>1.6E-2</c:v>
                </c:pt>
                <c:pt idx="89">
                  <c:v>1.6E-2</c:v>
                </c:pt>
                <c:pt idx="90">
                  <c:v>1.6E-2</c:v>
                </c:pt>
                <c:pt idx="91">
                  <c:v>1.6E-2</c:v>
                </c:pt>
                <c:pt idx="92">
                  <c:v>1.6E-2</c:v>
                </c:pt>
                <c:pt idx="93">
                  <c:v>1.6E-2</c:v>
                </c:pt>
                <c:pt idx="94">
                  <c:v>1.6E-2</c:v>
                </c:pt>
                <c:pt idx="95">
                  <c:v>1.6E-2</c:v>
                </c:pt>
                <c:pt idx="96">
                  <c:v>1.6E-2</c:v>
                </c:pt>
                <c:pt idx="97">
                  <c:v>1.6E-2</c:v>
                </c:pt>
                <c:pt idx="98">
                  <c:v>1.6E-2</c:v>
                </c:pt>
                <c:pt idx="99">
                  <c:v>1.6E-2</c:v>
                </c:pt>
                <c:pt idx="100">
                  <c:v>1.6E-2</c:v>
                </c:pt>
                <c:pt idx="101">
                  <c:v>1.6E-2</c:v>
                </c:pt>
                <c:pt idx="102">
                  <c:v>1.6E-2</c:v>
                </c:pt>
                <c:pt idx="103">
                  <c:v>1.6E-2</c:v>
                </c:pt>
                <c:pt idx="104">
                  <c:v>1.6E-2</c:v>
                </c:pt>
                <c:pt idx="105">
                  <c:v>1.6E-2</c:v>
                </c:pt>
                <c:pt idx="106">
                  <c:v>1.6E-2</c:v>
                </c:pt>
                <c:pt idx="107">
                  <c:v>1.6E-2</c:v>
                </c:pt>
                <c:pt idx="108">
                  <c:v>1.6E-2</c:v>
                </c:pt>
                <c:pt idx="109">
                  <c:v>1.6E-2</c:v>
                </c:pt>
                <c:pt idx="110">
                  <c:v>1.6E-2</c:v>
                </c:pt>
                <c:pt idx="111">
                  <c:v>1.6E-2</c:v>
                </c:pt>
                <c:pt idx="112">
                  <c:v>1.6E-2</c:v>
                </c:pt>
                <c:pt idx="113">
                  <c:v>1.6E-2</c:v>
                </c:pt>
                <c:pt idx="114">
                  <c:v>1.6E-2</c:v>
                </c:pt>
                <c:pt idx="115">
                  <c:v>1.6E-2</c:v>
                </c:pt>
                <c:pt idx="116">
                  <c:v>1.6E-2</c:v>
                </c:pt>
                <c:pt idx="117">
                  <c:v>1.6E-2</c:v>
                </c:pt>
                <c:pt idx="118">
                  <c:v>1.6E-2</c:v>
                </c:pt>
                <c:pt idx="119">
                  <c:v>1.6E-2</c:v>
                </c:pt>
                <c:pt idx="120">
                  <c:v>1.6E-2</c:v>
                </c:pt>
                <c:pt idx="121">
                  <c:v>1.6E-2</c:v>
                </c:pt>
                <c:pt idx="122">
                  <c:v>1.6E-2</c:v>
                </c:pt>
                <c:pt idx="123">
                  <c:v>1.6E-2</c:v>
                </c:pt>
                <c:pt idx="124">
                  <c:v>1.6E-2</c:v>
                </c:pt>
                <c:pt idx="125">
                  <c:v>1.6E-2</c:v>
                </c:pt>
                <c:pt idx="126">
                  <c:v>1.6E-2</c:v>
                </c:pt>
                <c:pt idx="127">
                  <c:v>1.6E-2</c:v>
                </c:pt>
                <c:pt idx="128">
                  <c:v>1.6E-2</c:v>
                </c:pt>
                <c:pt idx="129">
                  <c:v>1.6E-2</c:v>
                </c:pt>
                <c:pt idx="130">
                  <c:v>1.6E-2</c:v>
                </c:pt>
                <c:pt idx="131">
                  <c:v>1.6E-2</c:v>
                </c:pt>
                <c:pt idx="132">
                  <c:v>1.6E-2</c:v>
                </c:pt>
                <c:pt idx="133">
                  <c:v>1.6E-2</c:v>
                </c:pt>
                <c:pt idx="134">
                  <c:v>1.6E-2</c:v>
                </c:pt>
                <c:pt idx="135">
                  <c:v>1.6E-2</c:v>
                </c:pt>
                <c:pt idx="136">
                  <c:v>1.6E-2</c:v>
                </c:pt>
                <c:pt idx="137">
                  <c:v>1.6E-2</c:v>
                </c:pt>
                <c:pt idx="138">
                  <c:v>1.6E-2</c:v>
                </c:pt>
                <c:pt idx="139">
                  <c:v>1.6E-2</c:v>
                </c:pt>
                <c:pt idx="140">
                  <c:v>1.6E-2</c:v>
                </c:pt>
                <c:pt idx="141">
                  <c:v>1.6E-2</c:v>
                </c:pt>
                <c:pt idx="142">
                  <c:v>1.6E-2</c:v>
                </c:pt>
                <c:pt idx="143">
                  <c:v>1.6E-2</c:v>
                </c:pt>
                <c:pt idx="144">
                  <c:v>1.6E-2</c:v>
                </c:pt>
                <c:pt idx="145">
                  <c:v>1.6E-2</c:v>
                </c:pt>
                <c:pt idx="146">
                  <c:v>1.6E-2</c:v>
                </c:pt>
                <c:pt idx="147">
                  <c:v>1.6E-2</c:v>
                </c:pt>
                <c:pt idx="148">
                  <c:v>1.6E-2</c:v>
                </c:pt>
                <c:pt idx="149">
                  <c:v>1.6E-2</c:v>
                </c:pt>
                <c:pt idx="150">
                  <c:v>1.6E-2</c:v>
                </c:pt>
                <c:pt idx="151">
                  <c:v>1.6E-2</c:v>
                </c:pt>
                <c:pt idx="152">
                  <c:v>1.6E-2</c:v>
                </c:pt>
                <c:pt idx="153">
                  <c:v>1.6E-2</c:v>
                </c:pt>
                <c:pt idx="154">
                  <c:v>1.6E-2</c:v>
                </c:pt>
                <c:pt idx="155">
                  <c:v>1.6E-2</c:v>
                </c:pt>
                <c:pt idx="156">
                  <c:v>1.6E-2</c:v>
                </c:pt>
                <c:pt idx="157">
                  <c:v>1.6E-2</c:v>
                </c:pt>
                <c:pt idx="158">
                  <c:v>1.6E-2</c:v>
                </c:pt>
                <c:pt idx="159">
                  <c:v>1.6E-2</c:v>
                </c:pt>
                <c:pt idx="160">
                  <c:v>1.6E-2</c:v>
                </c:pt>
                <c:pt idx="161">
                  <c:v>1.6E-2</c:v>
                </c:pt>
                <c:pt idx="162">
                  <c:v>1.6E-2</c:v>
                </c:pt>
                <c:pt idx="163">
                  <c:v>1.6E-2</c:v>
                </c:pt>
                <c:pt idx="164">
                  <c:v>1.6E-2</c:v>
                </c:pt>
                <c:pt idx="165">
                  <c:v>1.6E-2</c:v>
                </c:pt>
                <c:pt idx="166">
                  <c:v>1.6E-2</c:v>
                </c:pt>
                <c:pt idx="167">
                  <c:v>1.6E-2</c:v>
                </c:pt>
                <c:pt idx="168">
                  <c:v>1.6E-2</c:v>
                </c:pt>
                <c:pt idx="169">
                  <c:v>1.6E-2</c:v>
                </c:pt>
                <c:pt idx="170">
                  <c:v>1.6E-2</c:v>
                </c:pt>
                <c:pt idx="171">
                  <c:v>1.6E-2</c:v>
                </c:pt>
                <c:pt idx="172">
                  <c:v>1.6E-2</c:v>
                </c:pt>
                <c:pt idx="173">
                  <c:v>1.6E-2</c:v>
                </c:pt>
                <c:pt idx="174">
                  <c:v>1.6E-2</c:v>
                </c:pt>
                <c:pt idx="175">
                  <c:v>1.6E-2</c:v>
                </c:pt>
                <c:pt idx="176">
                  <c:v>1.6E-2</c:v>
                </c:pt>
                <c:pt idx="177">
                  <c:v>1.6E-2</c:v>
                </c:pt>
                <c:pt idx="178">
                  <c:v>1.6E-2</c:v>
                </c:pt>
                <c:pt idx="179">
                  <c:v>1.6E-2</c:v>
                </c:pt>
                <c:pt idx="180">
                  <c:v>1.6E-2</c:v>
                </c:pt>
                <c:pt idx="181">
                  <c:v>1.6E-2</c:v>
                </c:pt>
                <c:pt idx="182">
                  <c:v>1.6E-2</c:v>
                </c:pt>
                <c:pt idx="183">
                  <c:v>1.6E-2</c:v>
                </c:pt>
                <c:pt idx="184">
                  <c:v>1.6E-2</c:v>
                </c:pt>
                <c:pt idx="185">
                  <c:v>1.6E-2</c:v>
                </c:pt>
                <c:pt idx="186">
                  <c:v>1.6E-2</c:v>
                </c:pt>
                <c:pt idx="187">
                  <c:v>1.6E-2</c:v>
                </c:pt>
                <c:pt idx="188">
                  <c:v>1.6E-2</c:v>
                </c:pt>
                <c:pt idx="189">
                  <c:v>1.6E-2</c:v>
                </c:pt>
                <c:pt idx="190">
                  <c:v>1.6E-2</c:v>
                </c:pt>
                <c:pt idx="191">
                  <c:v>1.6E-2</c:v>
                </c:pt>
                <c:pt idx="192">
                  <c:v>1.6E-2</c:v>
                </c:pt>
                <c:pt idx="193">
                  <c:v>1.6E-2</c:v>
                </c:pt>
                <c:pt idx="194">
                  <c:v>1.6E-2</c:v>
                </c:pt>
                <c:pt idx="195">
                  <c:v>1.6E-2</c:v>
                </c:pt>
                <c:pt idx="196">
                  <c:v>1.6E-2</c:v>
                </c:pt>
                <c:pt idx="197">
                  <c:v>1.6E-2</c:v>
                </c:pt>
                <c:pt idx="198">
                  <c:v>1.6E-2</c:v>
                </c:pt>
                <c:pt idx="199">
                  <c:v>1.6E-2</c:v>
                </c:pt>
                <c:pt idx="200">
                  <c:v>1.6E-2</c:v>
                </c:pt>
                <c:pt idx="201">
                  <c:v>1.6E-2</c:v>
                </c:pt>
                <c:pt idx="202">
                  <c:v>1.6E-2</c:v>
                </c:pt>
                <c:pt idx="203">
                  <c:v>1.6E-2</c:v>
                </c:pt>
                <c:pt idx="204">
                  <c:v>1.6E-2</c:v>
                </c:pt>
                <c:pt idx="205">
                  <c:v>1.6E-2</c:v>
                </c:pt>
                <c:pt idx="206">
                  <c:v>1.6E-2</c:v>
                </c:pt>
                <c:pt idx="207">
                  <c:v>1.6E-2</c:v>
                </c:pt>
                <c:pt idx="208">
                  <c:v>1.6E-2</c:v>
                </c:pt>
                <c:pt idx="209">
                  <c:v>1.6E-2</c:v>
                </c:pt>
                <c:pt idx="210">
                  <c:v>1.6E-2</c:v>
                </c:pt>
                <c:pt idx="211">
                  <c:v>1.6E-2</c:v>
                </c:pt>
                <c:pt idx="212">
                  <c:v>1.6E-2</c:v>
                </c:pt>
                <c:pt idx="213">
                  <c:v>1.6E-2</c:v>
                </c:pt>
                <c:pt idx="214">
                  <c:v>1.6E-2</c:v>
                </c:pt>
                <c:pt idx="215">
                  <c:v>1.6E-2</c:v>
                </c:pt>
                <c:pt idx="216">
                  <c:v>1.6E-2</c:v>
                </c:pt>
                <c:pt idx="217">
                  <c:v>1.6E-2</c:v>
                </c:pt>
                <c:pt idx="218">
                  <c:v>1.6E-2</c:v>
                </c:pt>
                <c:pt idx="219">
                  <c:v>1.6E-2</c:v>
                </c:pt>
                <c:pt idx="220">
                  <c:v>1.6E-2</c:v>
                </c:pt>
                <c:pt idx="221">
                  <c:v>1.6E-2</c:v>
                </c:pt>
                <c:pt idx="222">
                  <c:v>1.6E-2</c:v>
                </c:pt>
                <c:pt idx="223">
                  <c:v>1.6E-2</c:v>
                </c:pt>
                <c:pt idx="224">
                  <c:v>1.6E-2</c:v>
                </c:pt>
                <c:pt idx="225">
                  <c:v>1.6E-2</c:v>
                </c:pt>
                <c:pt idx="226">
                  <c:v>1.6E-2</c:v>
                </c:pt>
                <c:pt idx="227">
                  <c:v>1.6E-2</c:v>
                </c:pt>
                <c:pt idx="228">
                  <c:v>1.6E-2</c:v>
                </c:pt>
                <c:pt idx="229">
                  <c:v>1.6E-2</c:v>
                </c:pt>
                <c:pt idx="230">
                  <c:v>1.6E-2</c:v>
                </c:pt>
                <c:pt idx="231">
                  <c:v>1.6E-2</c:v>
                </c:pt>
                <c:pt idx="232">
                  <c:v>1.6E-2</c:v>
                </c:pt>
                <c:pt idx="233">
                  <c:v>1.6E-2</c:v>
                </c:pt>
                <c:pt idx="234">
                  <c:v>1.6E-2</c:v>
                </c:pt>
                <c:pt idx="235">
                  <c:v>1.6E-2</c:v>
                </c:pt>
                <c:pt idx="236">
                  <c:v>1.6E-2</c:v>
                </c:pt>
                <c:pt idx="237">
                  <c:v>1.6E-2</c:v>
                </c:pt>
                <c:pt idx="238">
                  <c:v>1.6E-2</c:v>
                </c:pt>
                <c:pt idx="239">
                  <c:v>1.6E-2</c:v>
                </c:pt>
                <c:pt idx="240">
                  <c:v>1.6E-2</c:v>
                </c:pt>
                <c:pt idx="241">
                  <c:v>1.6E-2</c:v>
                </c:pt>
                <c:pt idx="242">
                  <c:v>1.6E-2</c:v>
                </c:pt>
                <c:pt idx="243">
                  <c:v>1.6E-2</c:v>
                </c:pt>
                <c:pt idx="244">
                  <c:v>1.6E-2</c:v>
                </c:pt>
                <c:pt idx="245">
                  <c:v>1.6E-2</c:v>
                </c:pt>
                <c:pt idx="246">
                  <c:v>1.6E-2</c:v>
                </c:pt>
                <c:pt idx="247">
                  <c:v>1.6E-2</c:v>
                </c:pt>
                <c:pt idx="248">
                  <c:v>1.6E-2</c:v>
                </c:pt>
                <c:pt idx="249">
                  <c:v>1.6E-2</c:v>
                </c:pt>
                <c:pt idx="250">
                  <c:v>1.6E-2</c:v>
                </c:pt>
                <c:pt idx="251">
                  <c:v>1.6E-2</c:v>
                </c:pt>
                <c:pt idx="252">
                  <c:v>1.6E-2</c:v>
                </c:pt>
                <c:pt idx="253">
                  <c:v>1.6E-2</c:v>
                </c:pt>
                <c:pt idx="254">
                  <c:v>1.6E-2</c:v>
                </c:pt>
                <c:pt idx="255">
                  <c:v>1.6E-2</c:v>
                </c:pt>
                <c:pt idx="256">
                  <c:v>1.6E-2</c:v>
                </c:pt>
                <c:pt idx="257">
                  <c:v>1.6E-2</c:v>
                </c:pt>
                <c:pt idx="258">
                  <c:v>1.6E-2</c:v>
                </c:pt>
                <c:pt idx="259">
                  <c:v>1.6E-2</c:v>
                </c:pt>
                <c:pt idx="260">
                  <c:v>1.6E-2</c:v>
                </c:pt>
                <c:pt idx="261">
                  <c:v>1.6E-2</c:v>
                </c:pt>
                <c:pt idx="262">
                  <c:v>1.6E-2</c:v>
                </c:pt>
                <c:pt idx="263">
                  <c:v>1.6E-2</c:v>
                </c:pt>
                <c:pt idx="264">
                  <c:v>1.6E-2</c:v>
                </c:pt>
                <c:pt idx="265">
                  <c:v>1.6E-2</c:v>
                </c:pt>
                <c:pt idx="266">
                  <c:v>1.6E-2</c:v>
                </c:pt>
                <c:pt idx="267">
                  <c:v>1.6E-2</c:v>
                </c:pt>
                <c:pt idx="268">
                  <c:v>1.6E-2</c:v>
                </c:pt>
                <c:pt idx="269">
                  <c:v>1.6E-2</c:v>
                </c:pt>
                <c:pt idx="270">
                  <c:v>1.6E-2</c:v>
                </c:pt>
                <c:pt idx="271">
                  <c:v>1.6E-2</c:v>
                </c:pt>
                <c:pt idx="272">
                  <c:v>1.6E-2</c:v>
                </c:pt>
                <c:pt idx="273">
                  <c:v>1.6E-2</c:v>
                </c:pt>
                <c:pt idx="274">
                  <c:v>1.6E-2</c:v>
                </c:pt>
                <c:pt idx="275">
                  <c:v>1.6E-2</c:v>
                </c:pt>
                <c:pt idx="276">
                  <c:v>1.6E-2</c:v>
                </c:pt>
                <c:pt idx="277">
                  <c:v>1.6E-2</c:v>
                </c:pt>
                <c:pt idx="278">
                  <c:v>1.6E-2</c:v>
                </c:pt>
                <c:pt idx="279">
                  <c:v>1.6E-2</c:v>
                </c:pt>
                <c:pt idx="280">
                  <c:v>1.6E-2</c:v>
                </c:pt>
                <c:pt idx="281">
                  <c:v>1.6E-2</c:v>
                </c:pt>
                <c:pt idx="282">
                  <c:v>1.6E-2</c:v>
                </c:pt>
                <c:pt idx="283">
                  <c:v>1.6E-2</c:v>
                </c:pt>
                <c:pt idx="284">
                  <c:v>1.6E-2</c:v>
                </c:pt>
                <c:pt idx="285">
                  <c:v>1.6E-2</c:v>
                </c:pt>
                <c:pt idx="286">
                  <c:v>1.6E-2</c:v>
                </c:pt>
                <c:pt idx="287">
                  <c:v>1.6E-2</c:v>
                </c:pt>
                <c:pt idx="288">
                  <c:v>1.6E-2</c:v>
                </c:pt>
                <c:pt idx="289">
                  <c:v>1.6E-2</c:v>
                </c:pt>
                <c:pt idx="290">
                  <c:v>1.6E-2</c:v>
                </c:pt>
                <c:pt idx="291">
                  <c:v>1.6E-2</c:v>
                </c:pt>
                <c:pt idx="292">
                  <c:v>1.6E-2</c:v>
                </c:pt>
                <c:pt idx="293">
                  <c:v>1.6E-2</c:v>
                </c:pt>
                <c:pt idx="294">
                  <c:v>1.6E-2</c:v>
                </c:pt>
                <c:pt idx="295">
                  <c:v>1.6E-2</c:v>
                </c:pt>
                <c:pt idx="296">
                  <c:v>1.6E-2</c:v>
                </c:pt>
                <c:pt idx="297">
                  <c:v>1.6E-2</c:v>
                </c:pt>
                <c:pt idx="298">
                  <c:v>1.6E-2</c:v>
                </c:pt>
                <c:pt idx="299">
                  <c:v>1.6E-2</c:v>
                </c:pt>
                <c:pt idx="300">
                  <c:v>1.6E-2</c:v>
                </c:pt>
                <c:pt idx="301">
                  <c:v>1.6E-2</c:v>
                </c:pt>
                <c:pt idx="302">
                  <c:v>1.6E-2</c:v>
                </c:pt>
                <c:pt idx="303">
                  <c:v>1.6E-2</c:v>
                </c:pt>
                <c:pt idx="304">
                  <c:v>1.6E-2</c:v>
                </c:pt>
                <c:pt idx="305">
                  <c:v>1.6E-2</c:v>
                </c:pt>
                <c:pt idx="306">
                  <c:v>1.6E-2</c:v>
                </c:pt>
                <c:pt idx="307">
                  <c:v>1.6E-2</c:v>
                </c:pt>
                <c:pt idx="308">
                  <c:v>1.6E-2</c:v>
                </c:pt>
                <c:pt idx="309">
                  <c:v>1.6E-2</c:v>
                </c:pt>
                <c:pt idx="310">
                  <c:v>1.6E-2</c:v>
                </c:pt>
                <c:pt idx="311">
                  <c:v>1.6E-2</c:v>
                </c:pt>
                <c:pt idx="312">
                  <c:v>1.6E-2</c:v>
                </c:pt>
                <c:pt idx="313">
                  <c:v>1.6E-2</c:v>
                </c:pt>
                <c:pt idx="314">
                  <c:v>1.6E-2</c:v>
                </c:pt>
                <c:pt idx="315">
                  <c:v>1.6E-2</c:v>
                </c:pt>
                <c:pt idx="316">
                  <c:v>1.6E-2</c:v>
                </c:pt>
                <c:pt idx="317">
                  <c:v>1.6E-2</c:v>
                </c:pt>
                <c:pt idx="318">
                  <c:v>1.6E-2</c:v>
                </c:pt>
                <c:pt idx="319">
                  <c:v>1.6E-2</c:v>
                </c:pt>
                <c:pt idx="320">
                  <c:v>1.6E-2</c:v>
                </c:pt>
                <c:pt idx="321">
                  <c:v>1.6E-2</c:v>
                </c:pt>
                <c:pt idx="322">
                  <c:v>1.6E-2</c:v>
                </c:pt>
                <c:pt idx="323">
                  <c:v>1.6E-2</c:v>
                </c:pt>
                <c:pt idx="324">
                  <c:v>1.6E-2</c:v>
                </c:pt>
                <c:pt idx="325">
                  <c:v>1.6E-2</c:v>
                </c:pt>
                <c:pt idx="326">
                  <c:v>1.6E-2</c:v>
                </c:pt>
                <c:pt idx="327">
                  <c:v>1.6E-2</c:v>
                </c:pt>
                <c:pt idx="328">
                  <c:v>1.6E-2</c:v>
                </c:pt>
                <c:pt idx="329">
                  <c:v>1.6E-2</c:v>
                </c:pt>
                <c:pt idx="330">
                  <c:v>1.6E-2</c:v>
                </c:pt>
                <c:pt idx="331">
                  <c:v>1.6E-2</c:v>
                </c:pt>
                <c:pt idx="332">
                  <c:v>1.6E-2</c:v>
                </c:pt>
                <c:pt idx="333">
                  <c:v>1.6E-2</c:v>
                </c:pt>
                <c:pt idx="334">
                  <c:v>1.6E-2</c:v>
                </c:pt>
                <c:pt idx="335">
                  <c:v>1.6E-2</c:v>
                </c:pt>
                <c:pt idx="336">
                  <c:v>1.6E-2</c:v>
                </c:pt>
                <c:pt idx="337">
                  <c:v>1.6E-2</c:v>
                </c:pt>
                <c:pt idx="338">
                  <c:v>1.6E-2</c:v>
                </c:pt>
                <c:pt idx="339">
                  <c:v>1.6E-2</c:v>
                </c:pt>
                <c:pt idx="340">
                  <c:v>1.6E-2</c:v>
                </c:pt>
                <c:pt idx="341">
                  <c:v>1.6E-2</c:v>
                </c:pt>
                <c:pt idx="342">
                  <c:v>1.6E-2</c:v>
                </c:pt>
                <c:pt idx="343">
                  <c:v>1.6E-2</c:v>
                </c:pt>
                <c:pt idx="344">
                  <c:v>1.6E-2</c:v>
                </c:pt>
                <c:pt idx="345">
                  <c:v>1.6E-2</c:v>
                </c:pt>
                <c:pt idx="346">
                  <c:v>1.6E-2</c:v>
                </c:pt>
                <c:pt idx="347">
                  <c:v>1.6E-2</c:v>
                </c:pt>
                <c:pt idx="348">
                  <c:v>1.6E-2</c:v>
                </c:pt>
                <c:pt idx="349">
                  <c:v>1.6E-2</c:v>
                </c:pt>
                <c:pt idx="350">
                  <c:v>1.6E-2</c:v>
                </c:pt>
                <c:pt idx="351">
                  <c:v>1.6E-2</c:v>
                </c:pt>
                <c:pt idx="352">
                  <c:v>1.6E-2</c:v>
                </c:pt>
                <c:pt idx="353">
                  <c:v>1.6E-2</c:v>
                </c:pt>
                <c:pt idx="354">
                  <c:v>1.6E-2</c:v>
                </c:pt>
                <c:pt idx="355">
                  <c:v>1.6E-2</c:v>
                </c:pt>
                <c:pt idx="356">
                  <c:v>1.6E-2</c:v>
                </c:pt>
                <c:pt idx="357">
                  <c:v>1.6E-2</c:v>
                </c:pt>
                <c:pt idx="358">
                  <c:v>1.6E-2</c:v>
                </c:pt>
                <c:pt idx="359">
                  <c:v>1.6E-2</c:v>
                </c:pt>
                <c:pt idx="360">
                  <c:v>1.6E-2</c:v>
                </c:pt>
                <c:pt idx="361">
                  <c:v>1.6E-2</c:v>
                </c:pt>
                <c:pt idx="362">
                  <c:v>1.6E-2</c:v>
                </c:pt>
                <c:pt idx="363">
                  <c:v>1.6E-2</c:v>
                </c:pt>
                <c:pt idx="364">
                  <c:v>1.6E-2</c:v>
                </c:pt>
                <c:pt idx="365">
                  <c:v>1.6E-2</c:v>
                </c:pt>
                <c:pt idx="366">
                  <c:v>1.6E-2</c:v>
                </c:pt>
                <c:pt idx="367">
                  <c:v>1.6E-2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Implicit_Fracs!$AS$2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Implicit_Fracs!$C$4:$C$371</c:f>
              <c:numCache>
                <c:formatCode>General</c:formatCode>
                <c:ptCount val="368"/>
                <c:pt idx="0">
                  <c:v>6.5458908507104702E-2</c:v>
                </c:pt>
                <c:pt idx="1">
                  <c:v>0.10158646265419501</c:v>
                </c:pt>
                <c:pt idx="2">
                  <c:v>0.102060105178604</c:v>
                </c:pt>
                <c:pt idx="3">
                  <c:v>0.102354758409441</c:v>
                </c:pt>
                <c:pt idx="4">
                  <c:v>0.10257003610151801</c:v>
                </c:pt>
                <c:pt idx="5">
                  <c:v>0.102740146597483</c:v>
                </c:pt>
                <c:pt idx="6">
                  <c:v>0.10288102093448701</c:v>
                </c:pt>
                <c:pt idx="7">
                  <c:v>0.10300139565401099</c:v>
                </c:pt>
                <c:pt idx="8">
                  <c:v>0.10310658737638601</c:v>
                </c:pt>
                <c:pt idx="9">
                  <c:v>0.103200075337502</c:v>
                </c:pt>
                <c:pt idx="10">
                  <c:v>0.103284262204</c:v>
                </c:pt>
                <c:pt idx="11">
                  <c:v>0.103360877526633</c:v>
                </c:pt>
                <c:pt idx="12">
                  <c:v>0.103431208153653</c:v>
                </c:pt>
                <c:pt idx="13">
                  <c:v>0.103496237708407</c:v>
                </c:pt>
                <c:pt idx="14">
                  <c:v>0.103556735084609</c:v>
                </c:pt>
                <c:pt idx="15">
                  <c:v>0.103613312816801</c:v>
                </c:pt>
                <c:pt idx="16">
                  <c:v>0.103666466857375</c:v>
                </c:pt>
                <c:pt idx="17">
                  <c:v>0.10371660444741999</c:v>
                </c:pt>
                <c:pt idx="18">
                  <c:v>0.10376406411969299</c:v>
                </c:pt>
                <c:pt idx="19">
                  <c:v>0.10380913035858701</c:v>
                </c:pt>
                <c:pt idx="20">
                  <c:v>0.103852044544123</c:v>
                </c:pt>
                <c:pt idx="21">
                  <c:v>0.103893013256558</c:v>
                </c:pt>
                <c:pt idx="22">
                  <c:v>0.103932214670875</c:v>
                </c:pt>
                <c:pt idx="23">
                  <c:v>0.10396980354554</c:v>
                </c:pt>
                <c:pt idx="24">
                  <c:v>0.104005915161023</c:v>
                </c:pt>
                <c:pt idx="25">
                  <c:v>0.10404066846285701</c:v>
                </c:pt>
                <c:pt idx="26">
                  <c:v>0.104074168594671</c:v>
                </c:pt>
                <c:pt idx="27">
                  <c:v>0.10410650895807599</c:v>
                </c:pt>
                <c:pt idx="28">
                  <c:v>0.10413777290170501</c:v>
                </c:pt>
                <c:pt idx="29">
                  <c:v>0.104168035116796</c:v>
                </c:pt>
                <c:pt idx="30">
                  <c:v>0.104197362798492</c:v>
                </c:pt>
                <c:pt idx="31">
                  <c:v>0.104225816618547</c:v>
                </c:pt>
                <c:pt idx="32">
                  <c:v>0.104253451545067</c:v>
                </c:pt>
                <c:pt idx="33">
                  <c:v>0.104280317537286</c:v>
                </c:pt>
                <c:pt idx="34">
                  <c:v>0.10430646013757899</c:v>
                </c:pt>
                <c:pt idx="35">
                  <c:v>0.10433192097843901</c:v>
                </c:pt>
                <c:pt idx="36">
                  <c:v>0.104356738218675</c:v>
                </c:pt>
                <c:pt idx="37">
                  <c:v>0.10438094692038</c:v>
                </c:pt>
                <c:pt idx="38">
                  <c:v>0.104404579376061</c:v>
                </c:pt>
                <c:pt idx="39">
                  <c:v>0.10442766539470601</c:v>
                </c:pt>
                <c:pt idx="40">
                  <c:v>0.104450232550895</c:v>
                </c:pt>
                <c:pt idx="41">
                  <c:v>0.104472306403378</c:v>
                </c:pt>
                <c:pt idx="42">
                  <c:v>0.104493910687546</c:v>
                </c:pt>
                <c:pt idx="43">
                  <c:v>0.104515067485448</c:v>
                </c:pt>
                <c:pt idx="44">
                  <c:v>0.104535797376425</c:v>
                </c:pt>
                <c:pt idx="45">
                  <c:v>0.104556119570968</c:v>
                </c:pt>
                <c:pt idx="46">
                  <c:v>0.10457605202998201</c:v>
                </c:pt>
                <c:pt idx="47">
                  <c:v>0.10459561157132601</c:v>
                </c:pt>
                <c:pt idx="48">
                  <c:v>0.10461481396524</c:v>
                </c:pt>
                <c:pt idx="49">
                  <c:v>0.104633674020002</c:v>
                </c:pt>
                <c:pt idx="50">
                  <c:v>0.104652205659008</c:v>
                </c:pt>
                <c:pt idx="51">
                  <c:v>0.10467042199028</c:v>
                </c:pt>
                <c:pt idx="52">
                  <c:v>0.10468833536927501</c:v>
                </c:pt>
                <c:pt idx="53">
                  <c:v>0.104705957455764</c:v>
                </c:pt>
                <c:pt idx="54">
                  <c:v>0.104723299265432</c:v>
                </c:pt>
                <c:pt idx="55">
                  <c:v>0.10474037121678501</c:v>
                </c:pt>
                <c:pt idx="56">
                  <c:v>0.104757183173858</c:v>
                </c:pt>
                <c:pt idx="57">
                  <c:v>0.10477374448518</c:v>
                </c:pt>
                <c:pt idx="58">
                  <c:v>0.104790064019366</c:v>
                </c:pt>
                <c:pt idx="59">
                  <c:v>0.10480615019770299</c:v>
                </c:pt>
                <c:pt idx="60">
                  <c:v>0.104822011024007</c:v>
                </c:pt>
                <c:pt idx="61">
                  <c:v>0.10483765411203801</c:v>
                </c:pt>
                <c:pt idx="62">
                  <c:v>0.104853086710699</c:v>
                </c:pt>
                <c:pt idx="63">
                  <c:v>0.10486831572724099</c:v>
                </c:pt>
                <c:pt idx="64">
                  <c:v>0.104883347748643</c:v>
                </c:pt>
                <c:pt idx="65">
                  <c:v>0.104898189061358</c:v>
                </c:pt>
                <c:pt idx="66">
                  <c:v>0.104912845669559</c:v>
                </c:pt>
                <c:pt idx="67">
                  <c:v>0.10492732331202199</c:v>
                </c:pt>
                <c:pt idx="68">
                  <c:v>0.10494162747777</c:v>
                </c:pt>
                <c:pt idx="69">
                  <c:v>0.10495576342058401</c:v>
                </c:pt>
                <c:pt idx="70">
                  <c:v>0.104969736172476</c:v>
                </c:pt>
                <c:pt idx="71">
                  <c:v>0.104983550556215</c:v>
                </c:pt>
                <c:pt idx="72">
                  <c:v>0.104997211196988</c:v>
                </c:pt>
                <c:pt idx="73">
                  <c:v>0.105010722533251</c:v>
                </c:pt>
                <c:pt idx="74">
                  <c:v>0.10502408882686499</c:v>
                </c:pt>
                <c:pt idx="75">
                  <c:v>0.105037314172539</c:v>
                </c:pt>
                <c:pt idx="76">
                  <c:v>0.10505040250667</c:v>
                </c:pt>
                <c:pt idx="77">
                  <c:v>0.105063357615594</c:v>
                </c:pt>
                <c:pt idx="78">
                  <c:v>0.105076183143323</c:v>
                </c:pt>
                <c:pt idx="79">
                  <c:v>0.10508888259878001</c:v>
                </c:pt>
                <c:pt idx="80">
                  <c:v>0.105101459362598</c:v>
                </c:pt>
                <c:pt idx="81">
                  <c:v>0.10511391669348399</c:v>
                </c:pt>
                <c:pt idx="82">
                  <c:v>0.10512625773421</c:v>
                </c:pt>
                <c:pt idx="83">
                  <c:v>0.10513848551723599</c:v>
                </c:pt>
                <c:pt idx="84">
                  <c:v>0.10515060297000201</c:v>
                </c:pt>
                <c:pt idx="85">
                  <c:v>0.105162612919908</c:v>
                </c:pt>
                <c:pt idx="86">
                  <c:v>0.105174518099013</c:v>
                </c:pt>
                <c:pt idx="87">
                  <c:v>0.105186321148453</c:v>
                </c:pt>
                <c:pt idx="88">
                  <c:v>0.105198024622616</c:v>
                </c:pt>
                <c:pt idx="89">
                  <c:v>0.105209630993088</c:v>
                </c:pt>
                <c:pt idx="90">
                  <c:v>0.10522114265237301</c:v>
                </c:pt>
                <c:pt idx="91">
                  <c:v>0.105232561917411</c:v>
                </c:pt>
                <c:pt idx="92">
                  <c:v>0.105243891032912</c:v>
                </c:pt>
                <c:pt idx="93">
                  <c:v>0.105255132174505</c:v>
                </c:pt>
                <c:pt idx="94">
                  <c:v>0.10526628745172401</c:v>
                </c:pt>
                <c:pt idx="95">
                  <c:v>0.105277358910841</c:v>
                </c:pt>
                <c:pt idx="96">
                  <c:v>0.105288348537545</c:v>
                </c:pt>
                <c:pt idx="97">
                  <c:v>0.10529925825949001</c:v>
                </c:pt>
                <c:pt idx="98">
                  <c:v>0.105310089948715</c:v>
                </c:pt>
                <c:pt idx="99">
                  <c:v>0.10532084542394</c:v>
                </c:pt>
                <c:pt idx="100">
                  <c:v>0.105331526452749</c:v>
                </c:pt>
                <c:pt idx="101">
                  <c:v>0.10534213475366599</c:v>
                </c:pt>
                <c:pt idx="102">
                  <c:v>0.105352671998135</c:v>
                </c:pt>
                <c:pt idx="103">
                  <c:v>0.105363139812398</c:v>
                </c:pt>
                <c:pt idx="104">
                  <c:v>0.10537353977929</c:v>
                </c:pt>
                <c:pt idx="105">
                  <c:v>0.105383873439947</c:v>
                </c:pt>
                <c:pt idx="106">
                  <c:v>0.105394142295438</c:v>
                </c:pt>
                <c:pt idx="107">
                  <c:v>0.10540434780831399</c:v>
                </c:pt>
                <c:pt idx="108">
                  <c:v>0.1054144914041</c:v>
                </c:pt>
                <c:pt idx="109">
                  <c:v>0.105424574472708</c:v>
                </c:pt>
                <c:pt idx="110">
                  <c:v>0.10543459836979301</c:v>
                </c:pt>
                <c:pt idx="111">
                  <c:v>0.105444564418049</c:v>
                </c:pt>
                <c:pt idx="112">
                  <c:v>0.105454473908448</c:v>
                </c:pt>
                <c:pt idx="113">
                  <c:v>0.105464328101426</c:v>
                </c:pt>
                <c:pt idx="114">
                  <c:v>0.10547412822802001</c:v>
                </c:pt>
                <c:pt idx="115">
                  <c:v>0.10548387549095201</c:v>
                </c:pt>
                <c:pt idx="116">
                  <c:v>0.105493571065675</c:v>
                </c:pt>
                <c:pt idx="117">
                  <c:v>0.105503216101374</c:v>
                </c:pt>
                <c:pt idx="118">
                  <c:v>0.10551281172191999</c:v>
                </c:pt>
                <c:pt idx="119">
                  <c:v>0.10552235902679701</c:v>
                </c:pt>
                <c:pt idx="120">
                  <c:v>0.105531859091982</c:v>
                </c:pt>
                <c:pt idx="121">
                  <c:v>0.105541312970793</c:v>
                </c:pt>
                <c:pt idx="122">
                  <c:v>0.105550721694713</c:v>
                </c:pt>
                <c:pt idx="123">
                  <c:v>0.10556008627416701</c:v>
                </c:pt>
                <c:pt idx="124">
                  <c:v>0.105569407699282</c:v>
                </c:pt>
                <c:pt idx="125">
                  <c:v>0.105578686940613</c:v>
                </c:pt>
                <c:pt idx="126">
                  <c:v>0.10558792494984499</c:v>
                </c:pt>
                <c:pt idx="127">
                  <c:v>0.105597122660464</c:v>
                </c:pt>
                <c:pt idx="128">
                  <c:v>0.105606280988415</c:v>
                </c:pt>
                <c:pt idx="129">
                  <c:v>0.105615400832723</c:v>
                </c:pt>
                <c:pt idx="130">
                  <c:v>0.10562448307610101</c:v>
                </c:pt>
                <c:pt idx="131">
                  <c:v>0.105633528585537</c:v>
                </c:pt>
                <c:pt idx="132">
                  <c:v>0.105642538212856</c:v>
                </c:pt>
                <c:pt idx="133">
                  <c:v>0.10565151279527001</c:v>
                </c:pt>
                <c:pt idx="134">
                  <c:v>0.105660453155901</c:v>
                </c:pt>
                <c:pt idx="135">
                  <c:v>0.1056693601043</c:v>
                </c:pt>
                <c:pt idx="136">
                  <c:v>0.105678234436935</c:v>
                </c:pt>
                <c:pt idx="137">
                  <c:v>0.105687076937673</c:v>
                </c:pt>
                <c:pt idx="138">
                  <c:v>0.10569588837824601</c:v>
                </c:pt>
                <c:pt idx="139">
                  <c:v>0.105704669518702</c:v>
                </c:pt>
                <c:pt idx="140">
                  <c:v>0.105713421107842</c:v>
                </c:pt>
                <c:pt idx="141">
                  <c:v>0.105722143883642</c:v>
                </c:pt>
                <c:pt idx="142">
                  <c:v>0.10573083857367301</c:v>
                </c:pt>
                <c:pt idx="143">
                  <c:v>0.10573950589549699</c:v>
                </c:pt>
                <c:pt idx="144">
                  <c:v>0.105748146557059</c:v>
                </c:pt>
                <c:pt idx="145">
                  <c:v>0.105756761257069</c:v>
                </c:pt>
                <c:pt idx="146">
                  <c:v>0.105765350685371</c:v>
                </c:pt>
                <c:pt idx="147">
                  <c:v>0.10577391552330601</c:v>
                </c:pt>
                <c:pt idx="148">
                  <c:v>0.105782456444064</c:v>
                </c:pt>
                <c:pt idx="149">
                  <c:v>0.105790974113029</c:v>
                </c:pt>
                <c:pt idx="150">
                  <c:v>0.105799469188117</c:v>
                </c:pt>
                <c:pt idx="151">
                  <c:v>0.105807942320102</c:v>
                </c:pt>
                <c:pt idx="152">
                  <c:v>0.105816394152941</c:v>
                </c:pt>
                <c:pt idx="153">
                  <c:v>0.10582482532409</c:v>
                </c:pt>
                <c:pt idx="154">
                  <c:v>0.10583323646481201</c:v>
                </c:pt>
                <c:pt idx="155">
                  <c:v>0.105841628200482</c:v>
                </c:pt>
                <c:pt idx="156">
                  <c:v>0.105850001150887</c:v>
                </c:pt>
                <c:pt idx="157">
                  <c:v>0.105858355930516</c:v>
                </c:pt>
                <c:pt idx="158">
                  <c:v>0.105866693148851</c:v>
                </c:pt>
                <c:pt idx="159">
                  <c:v>0.105875013410654</c:v>
                </c:pt>
                <c:pt idx="160">
                  <c:v>0.10588331731624</c:v>
                </c:pt>
                <c:pt idx="161">
                  <c:v>0.105891605461765</c:v>
                </c:pt>
                <c:pt idx="162">
                  <c:v>0.10589987843948701</c:v>
                </c:pt>
                <c:pt idx="163">
                  <c:v>0.10590813683804701</c:v>
                </c:pt>
                <c:pt idx="164">
                  <c:v>0.10591638124273201</c:v>
                </c:pt>
                <c:pt idx="165">
                  <c:v>0.105924612235738</c:v>
                </c:pt>
                <c:pt idx="166">
                  <c:v>0.10593283039644</c:v>
                </c:pt>
                <c:pt idx="167">
                  <c:v>0.105941036301648</c:v>
                </c:pt>
                <c:pt idx="168">
                  <c:v>0.10594923052586901</c:v>
                </c:pt>
                <c:pt idx="169">
                  <c:v>0.105957413641566</c:v>
                </c:pt>
                <c:pt idx="170">
                  <c:v>0.105965586219415</c:v>
                </c:pt>
                <c:pt idx="171">
                  <c:v>0.105973748828566</c:v>
                </c:pt>
                <c:pt idx="172">
                  <c:v>0.10598190203689301</c:v>
                </c:pt>
                <c:pt idx="173">
                  <c:v>0.105990046411258</c:v>
                </c:pt>
                <c:pt idx="174">
                  <c:v>0.10599818251776701</c:v>
                </c:pt>
                <c:pt idx="175">
                  <c:v>0.106006310922025</c:v>
                </c:pt>
                <c:pt idx="176">
                  <c:v>0.106014432189397</c:v>
                </c:pt>
                <c:pt idx="177">
                  <c:v>0.106022546885271</c:v>
                </c:pt>
                <c:pt idx="178">
                  <c:v>0.10603065557531401</c:v>
                </c:pt>
                <c:pt idx="179">
                  <c:v>0.10603875882574</c:v>
                </c:pt>
                <c:pt idx="180">
                  <c:v>0.106046857203577</c:v>
                </c:pt>
                <c:pt idx="181">
                  <c:v>0.106054951276932</c:v>
                </c:pt>
                <c:pt idx="182">
                  <c:v>0.106063041615263</c:v>
                </c:pt>
                <c:pt idx="183">
                  <c:v>0.10607112878965499</c:v>
                </c:pt>
                <c:pt idx="184">
                  <c:v>0.106079213373101</c:v>
                </c:pt>
                <c:pt idx="185">
                  <c:v>0.106087295940776</c:v>
                </c:pt>
                <c:pt idx="186">
                  <c:v>0.10609537707033299</c:v>
                </c:pt>
                <c:pt idx="187">
                  <c:v>0.106103457342189</c:v>
                </c:pt>
                <c:pt idx="188">
                  <c:v>0.106111537339822</c:v>
                </c:pt>
                <c:pt idx="189">
                  <c:v>0.10611961765007601</c:v>
                </c:pt>
                <c:pt idx="190">
                  <c:v>0.106127698863465</c:v>
                </c:pt>
                <c:pt idx="191">
                  <c:v>0.10613578157449099</c:v>
                </c:pt>
                <c:pt idx="192">
                  <c:v>0.106143866381966</c:v>
                </c:pt>
                <c:pt idx="193">
                  <c:v>0.10615195388934</c:v>
                </c:pt>
                <c:pt idx="194">
                  <c:v>0.106160044705038</c:v>
                </c:pt>
                <c:pt idx="195">
                  <c:v>0.106168139442805</c:v>
                </c:pt>
                <c:pt idx="196">
                  <c:v>0.106176238722063</c:v>
                </c:pt>
                <c:pt idx="197">
                  <c:v>0.106184343168276</c:v>
                </c:pt>
                <c:pt idx="198">
                  <c:v>0.10619245341332301</c:v>
                </c:pt>
                <c:pt idx="199">
                  <c:v>0.106200570095885</c:v>
                </c:pt>
                <c:pt idx="200">
                  <c:v>0.10620869386184199</c:v>
                </c:pt>
                <c:pt idx="201">
                  <c:v>0.10621682536468401</c:v>
                </c:pt>
                <c:pt idx="202">
                  <c:v>0.106224965265935</c:v>
                </c:pt>
                <c:pt idx="203">
                  <c:v>0.106233114235588</c:v>
                </c:pt>
                <c:pt idx="204">
                  <c:v>0.10624127295256</c:v>
                </c:pt>
                <c:pt idx="205">
                  <c:v>0.10624944210515699</c:v>
                </c:pt>
                <c:pt idx="206">
                  <c:v>0.106257622391562</c:v>
                </c:pt>
                <c:pt idx="207">
                  <c:v>0.106265814520335</c:v>
                </c:pt>
                <c:pt idx="208">
                  <c:v>0.106274019210935</c:v>
                </c:pt>
                <c:pt idx="209">
                  <c:v>0.10628223719426</c:v>
                </c:pt>
                <c:pt idx="210">
                  <c:v>0.106290469213214</c:v>
                </c:pt>
                <c:pt idx="211">
                  <c:v>0.106298716023284</c:v>
                </c:pt>
                <c:pt idx="212">
                  <c:v>0.106306978393155</c:v>
                </c:pt>
                <c:pt idx="213">
                  <c:v>0.106315257105341</c:v>
                </c:pt>
                <c:pt idx="214">
                  <c:v>0.10632355295684801</c:v>
                </c:pt>
                <c:pt idx="215">
                  <c:v>0.10633186675985799</c:v>
                </c:pt>
                <c:pt idx="216">
                  <c:v>0.10634019934245301</c:v>
                </c:pt>
                <c:pt idx="217">
                  <c:v>0.106348551549366</c:v>
                </c:pt>
                <c:pt idx="218">
                  <c:v>0.106356924242761</c:v>
                </c:pt>
                <c:pt idx="219">
                  <c:v>0.10636531830306099</c:v>
                </c:pt>
                <c:pt idx="220">
                  <c:v>0.106373734629807</c:v>
                </c:pt>
                <c:pt idx="221">
                  <c:v>0.10638217414255299</c:v>
                </c:pt>
                <c:pt idx="222">
                  <c:v>0.106390637781818</c:v>
                </c:pt>
                <c:pt idx="223">
                  <c:v>0.10639912651007299</c:v>
                </c:pt>
                <c:pt idx="224">
                  <c:v>0.10640764131277999</c:v>
                </c:pt>
                <c:pt idx="225">
                  <c:v>0.10641618319948901</c:v>
                </c:pt>
                <c:pt idx="226">
                  <c:v>0.106424753204983</c:v>
                </c:pt>
                <c:pt idx="227">
                  <c:v>0.10643335239049</c:v>
                </c:pt>
                <c:pt idx="228">
                  <c:v>0.106441981844954</c:v>
                </c:pt>
                <c:pt idx="229">
                  <c:v>0.106450642686375</c:v>
                </c:pt>
                <c:pt idx="230">
                  <c:v>0.10645933606322799</c:v>
                </c:pt>
                <c:pt idx="231">
                  <c:v>0.10646806315594901</c:v>
                </c:pt>
                <c:pt idx="232">
                  <c:v>0.106476825178516</c:v>
                </c:pt>
                <c:pt idx="233">
                  <c:v>0.10648562338011</c:v>
                </c:pt>
                <c:pt idx="234">
                  <c:v>0.106494459046881</c:v>
                </c:pt>
                <c:pt idx="235">
                  <c:v>0.106503333503809</c:v>
                </c:pt>
                <c:pt idx="236">
                  <c:v>0.10651224811667701</c:v>
                </c:pt>
                <c:pt idx="237">
                  <c:v>0.106521204294171</c:v>
                </c:pt>
                <c:pt idx="238">
                  <c:v>0.106530203490093</c:v>
                </c:pt>
                <c:pt idx="239">
                  <c:v>0.10653924720572699</c:v>
                </c:pt>
                <c:pt idx="240">
                  <c:v>0.106548336992338</c:v>
                </c:pt>
                <c:pt idx="241">
                  <c:v>0.106557474453844</c:v>
                </c:pt>
                <c:pt idx="242">
                  <c:v>0.106566661249652</c:v>
                </c:pt>
                <c:pt idx="243">
                  <c:v>0.10657589909767901</c:v>
                </c:pt>
                <c:pt idx="244">
                  <c:v>0.10658518977758299</c:v>
                </c:pt>
                <c:pt idx="245">
                  <c:v>0.106594535134197</c:v>
                </c:pt>
                <c:pt idx="246">
                  <c:v>0.106603937081217</c:v>
                </c:pt>
                <c:pt idx="247">
                  <c:v>0.106613397605125</c:v>
                </c:pt>
                <c:pt idx="248">
                  <c:v>0.10662291876941001</c:v>
                </c:pt>
                <c:pt idx="249">
                  <c:v>0.106632502719071</c:v>
                </c:pt>
                <c:pt idx="250">
                  <c:v>0.10664215168546599</c:v>
                </c:pt>
                <c:pt idx="251">
                  <c:v>0.106651867991505</c:v>
                </c:pt>
                <c:pt idx="252">
                  <c:v>0.106661654057239</c:v>
                </c:pt>
                <c:pt idx="253">
                  <c:v>0.106671512405876</c:v>
                </c:pt>
                <c:pt idx="254">
                  <c:v>0.106681445670259</c:v>
                </c:pt>
                <c:pt idx="255">
                  <c:v>0.106691456599855</c:v>
                </c:pt>
                <c:pt idx="256">
                  <c:v>0.10670154806830701</c:v>
                </c:pt>
                <c:pt idx="257">
                  <c:v>0.106711723081597</c:v>
                </c:pt>
                <c:pt idx="258">
                  <c:v>0.106721984786882</c:v>
                </c:pt>
                <c:pt idx="259">
                  <c:v>0.106732336482082</c:v>
                </c:pt>
                <c:pt idx="260">
                  <c:v>0.10674278162628199</c:v>
                </c:pt>
                <c:pt idx="261">
                  <c:v>0.106753323851043</c:v>
                </c:pt>
                <c:pt idx="262">
                  <c:v>0.106763966972719</c:v>
                </c:pt>
                <c:pt idx="263">
                  <c:v>0.10677471500588499</c:v>
                </c:pt>
                <c:pt idx="264">
                  <c:v>0.10678557217800599</c:v>
                </c:pt>
                <c:pt idx="265">
                  <c:v>0.106796542945475</c:v>
                </c:pt>
                <c:pt idx="266">
                  <c:v>0.10680763201119001</c:v>
                </c:pt>
                <c:pt idx="267">
                  <c:v>0.106818844343851</c:v>
                </c:pt>
                <c:pt idx="268">
                  <c:v>0.106830185199162</c:v>
                </c:pt>
                <c:pt idx="269">
                  <c:v>0.1068416601432</c:v>
                </c:pt>
                <c:pt idx="270">
                  <c:v>0.106853275078199</c:v>
                </c:pt>
                <c:pt idx="271">
                  <c:v>0.10686503627105901</c:v>
                </c:pt>
                <c:pt idx="272">
                  <c:v>0.106876950384948</c:v>
                </c:pt>
                <c:pt idx="273">
                  <c:v>0.10688902451438199</c:v>
                </c:pt>
                <c:pt idx="274">
                  <c:v>0.106901266224276</c:v>
                </c:pt>
                <c:pt idx="275">
                  <c:v>0.106913683593506</c:v>
                </c:pt>
                <c:pt idx="276">
                  <c:v>0.106926285263621</c:v>
                </c:pt>
                <c:pt idx="277">
                  <c:v>0.106939080493455</c:v>
                </c:pt>
                <c:pt idx="278">
                  <c:v>0.10695207922051</c:v>
                </c:pt>
                <c:pt idx="279">
                  <c:v>0.10696529213014599</c:v>
                </c:pt>
                <c:pt idx="280">
                  <c:v>0.106978730733797</c:v>
                </c:pt>
                <c:pt idx="281">
                  <c:v>0.106992407457646</c:v>
                </c:pt>
                <c:pt idx="282">
                  <c:v>0.107006335743491</c:v>
                </c:pt>
                <c:pt idx="283">
                  <c:v>0.10702053016384699</c:v>
                </c:pt>
                <c:pt idx="284">
                  <c:v>0.107035006553762</c:v>
                </c:pt>
                <c:pt idx="285">
                  <c:v>0.107049782162317</c:v>
                </c:pt>
                <c:pt idx="286">
                  <c:v>0.10706487582742701</c:v>
                </c:pt>
                <c:pt idx="287">
                  <c:v>0.107080308178348</c:v>
                </c:pt>
                <c:pt idx="288">
                  <c:v>0.10709610187127599</c:v>
                </c:pt>
                <c:pt idx="289">
                  <c:v>0.10711228186470099</c:v>
                </c:pt>
                <c:pt idx="290">
                  <c:v>0.107128875742745</c:v>
                </c:pt>
                <c:pt idx="291">
                  <c:v>0.107145914096787</c:v>
                </c:pt>
                <c:pt idx="292">
                  <c:v>0.10716343097827</c:v>
                </c:pt>
                <c:pt idx="293">
                  <c:v>0.10718146443905199</c:v>
                </c:pt>
                <c:pt idx="294">
                  <c:v>0.107200057180087</c:v>
                </c:pt>
                <c:pt idx="295">
                  <c:v>0.10721925733519</c:v>
                </c:pt>
                <c:pt idx="296">
                  <c:v>0.107239119424452</c:v>
                </c:pt>
                <c:pt idx="297">
                  <c:v>0.10725970552248799</c:v>
                </c:pt>
                <c:pt idx="298">
                  <c:v>0.107281086701057</c:v>
                </c:pt>
                <c:pt idx="299">
                  <c:v>0.10730334482520799</c:v>
                </c:pt>
                <c:pt idx="300">
                  <c:v>0.107326574809414</c:v>
                </c:pt>
                <c:pt idx="301">
                  <c:v>0.10735088747820599</c:v>
                </c:pt>
                <c:pt idx="302">
                  <c:v>0.10737641322982</c:v>
                </c:pt>
                <c:pt idx="303">
                  <c:v>0.107403306778537</c:v>
                </c:pt>
                <c:pt idx="304">
                  <c:v>0.10743175336319</c:v>
                </c:pt>
                <c:pt idx="305">
                  <c:v>0.107461976972791</c:v>
                </c:pt>
                <c:pt idx="306">
                  <c:v>0.107494251381856</c:v>
                </c:pt>
                <c:pt idx="307">
                  <c:v>0.107528915147976</c:v>
                </c:pt>
                <c:pt idx="308">
                  <c:v>0.107566392263413</c:v>
                </c:pt>
                <c:pt idx="309">
                  <c:v>0.10760722096054399</c:v>
                </c:pt>
                <c:pt idx="310">
                  <c:v>0.107652094373539</c:v>
                </c:pt>
                <c:pt idx="311">
                  <c:v>0.107701918517204</c:v>
                </c:pt>
                <c:pt idx="312">
                  <c:v>0.107757895545197</c:v>
                </c:pt>
                <c:pt idx="313">
                  <c:v>0.107821643761701</c:v>
                </c:pt>
                <c:pt idx="314">
                  <c:v>0.107895371464266</c:v>
                </c:pt>
                <c:pt idx="315">
                  <c:v>0.107982136054144</c:v>
                </c:pt>
                <c:pt idx="316">
                  <c:v>0.108086279484475</c:v>
                </c:pt>
                <c:pt idx="317">
                  <c:v>0.10821441051713999</c:v>
                </c:pt>
                <c:pt idx="318">
                  <c:v>0.108378611684964</c:v>
                </c:pt>
                <c:pt idx="319">
                  <c:v>0.10851279142848901</c:v>
                </c:pt>
                <c:pt idx="320">
                  <c:v>0.108646878508965</c:v>
                </c:pt>
                <c:pt idx="321">
                  <c:v>0.108781836007877</c:v>
                </c:pt>
                <c:pt idx="322">
                  <c:v>0.108917703938839</c:v>
                </c:pt>
                <c:pt idx="323">
                  <c:v>0.109054545173906</c:v>
                </c:pt>
                <c:pt idx="324">
                  <c:v>0.109192417872054</c:v>
                </c:pt>
                <c:pt idx="325">
                  <c:v>0.109331376964383</c:v>
                </c:pt>
                <c:pt idx="326">
                  <c:v>0.10947147454287399</c:v>
                </c:pt>
                <c:pt idx="327">
                  <c:v>0.109612760241196</c:v>
                </c:pt>
                <c:pt idx="328">
                  <c:v>0.10975528157779101</c:v>
                </c:pt>
                <c:pt idx="329">
                  <c:v>0.109899084266184</c:v>
                </c:pt>
                <c:pt idx="330">
                  <c:v>0.110044212495958</c:v>
                </c:pt>
                <c:pt idx="331">
                  <c:v>0.11019070918751001</c:v>
                </c:pt>
                <c:pt idx="332">
                  <c:v>0.11033861622334599</c:v>
                </c:pt>
                <c:pt idx="333">
                  <c:v>0.110487974658393</c:v>
                </c:pt>
                <c:pt idx="334">
                  <c:v>0.110638824911563</c:v>
                </c:pt>
                <c:pt idx="335">
                  <c:v>0.110791206940568</c:v>
                </c:pt>
                <c:pt idx="336">
                  <c:v>0.11094516040180299</c:v>
                </c:pt>
                <c:pt idx="337">
                  <c:v>0.11110072479692901</c:v>
                </c:pt>
                <c:pt idx="338">
                  <c:v>0.111257939607629</c:v>
                </c:pt>
                <c:pt idx="339">
                  <c:v>0.111416844419904</c:v>
                </c:pt>
                <c:pt idx="340">
                  <c:v>0.111577479039088</c:v>
                </c:pt>
                <c:pt idx="341">
                  <c:v>0.111739883596728</c:v>
                </c:pt>
                <c:pt idx="342">
                  <c:v>0.111904098650297</c:v>
                </c:pt>
                <c:pt idx="343">
                  <c:v>0.11207016527668</c:v>
                </c:pt>
                <c:pt idx="344">
                  <c:v>0.112238125160255</c:v>
                </c:pt>
                <c:pt idx="345">
                  <c:v>0.11240802067632299</c:v>
                </c:pt>
                <c:pt idx="346">
                  <c:v>0.11257989497059701</c:v>
                </c:pt>
                <c:pt idx="347">
                  <c:v>0.112753792035371</c:v>
                </c:pt>
                <c:pt idx="348">
                  <c:v>0.112929756782956</c:v>
                </c:pt>
                <c:pt idx="349">
                  <c:v>0.113107835116922</c:v>
                </c:pt>
                <c:pt idx="350">
                  <c:v>0.113288074001635</c:v>
                </c:pt>
                <c:pt idx="351">
                  <c:v>0.113470521530551</c:v>
                </c:pt>
                <c:pt idx="352">
                  <c:v>0.113655226993682</c:v>
                </c:pt>
                <c:pt idx="353">
                  <c:v>0.113842240944644</c:v>
                </c:pt>
                <c:pt idx="354">
                  <c:v>0.114031615267637</c:v>
                </c:pt>
                <c:pt idx="355">
                  <c:v>0.11422340324472501</c:v>
                </c:pt>
                <c:pt idx="356">
                  <c:v>0.11441765962373</c:v>
                </c:pt>
                <c:pt idx="357">
                  <c:v>0.114614440687063</c:v>
                </c:pt>
                <c:pt idx="358">
                  <c:v>0.114813804321789</c:v>
                </c:pt>
                <c:pt idx="359">
                  <c:v>0.22425676384167301</c:v>
                </c:pt>
                <c:pt idx="360">
                  <c:v>0.30704288935609397</c:v>
                </c:pt>
                <c:pt idx="361">
                  <c:v>0.30834090817871301</c:v>
                </c:pt>
                <c:pt idx="362">
                  <c:v>0.30921577139060102</c:v>
                </c:pt>
                <c:pt idx="363">
                  <c:v>0.31017471350345399</c:v>
                </c:pt>
                <c:pt idx="364">
                  <c:v>0.31131883897321</c:v>
                </c:pt>
                <c:pt idx="365">
                  <c:v>0.31289797505880901</c:v>
                </c:pt>
                <c:pt idx="366">
                  <c:v>0.51289797505880896</c:v>
                </c:pt>
                <c:pt idx="367">
                  <c:v>0.51289797505880896</c:v>
                </c:pt>
              </c:numCache>
            </c:numRef>
          </c:xVal>
          <c:yVal>
            <c:numRef>
              <c:f>Implicit_Fracs!$AS$4:$AS$371</c:f>
              <c:numCache>
                <c:formatCode>General</c:formatCode>
                <c:ptCount val="3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2"/>
          <c:order val="2"/>
          <c:tx>
            <c:strRef>
              <c:f>Implicit_Fracs!$AT$2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Implicit_Fracs!$C$4:$C$371</c:f>
              <c:numCache>
                <c:formatCode>General</c:formatCode>
                <c:ptCount val="368"/>
                <c:pt idx="0">
                  <c:v>6.5458908507104702E-2</c:v>
                </c:pt>
                <c:pt idx="1">
                  <c:v>0.10158646265419501</c:v>
                </c:pt>
                <c:pt idx="2">
                  <c:v>0.102060105178604</c:v>
                </c:pt>
                <c:pt idx="3">
                  <c:v>0.102354758409441</c:v>
                </c:pt>
                <c:pt idx="4">
                  <c:v>0.10257003610151801</c:v>
                </c:pt>
                <c:pt idx="5">
                  <c:v>0.102740146597483</c:v>
                </c:pt>
                <c:pt idx="6">
                  <c:v>0.10288102093448701</c:v>
                </c:pt>
                <c:pt idx="7">
                  <c:v>0.10300139565401099</c:v>
                </c:pt>
                <c:pt idx="8">
                  <c:v>0.10310658737638601</c:v>
                </c:pt>
                <c:pt idx="9">
                  <c:v>0.103200075337502</c:v>
                </c:pt>
                <c:pt idx="10">
                  <c:v>0.103284262204</c:v>
                </c:pt>
                <c:pt idx="11">
                  <c:v>0.103360877526633</c:v>
                </c:pt>
                <c:pt idx="12">
                  <c:v>0.103431208153653</c:v>
                </c:pt>
                <c:pt idx="13">
                  <c:v>0.103496237708407</c:v>
                </c:pt>
                <c:pt idx="14">
                  <c:v>0.103556735084609</c:v>
                </c:pt>
                <c:pt idx="15">
                  <c:v>0.103613312816801</c:v>
                </c:pt>
                <c:pt idx="16">
                  <c:v>0.103666466857375</c:v>
                </c:pt>
                <c:pt idx="17">
                  <c:v>0.10371660444741999</c:v>
                </c:pt>
                <c:pt idx="18">
                  <c:v>0.10376406411969299</c:v>
                </c:pt>
                <c:pt idx="19">
                  <c:v>0.10380913035858701</c:v>
                </c:pt>
                <c:pt idx="20">
                  <c:v>0.103852044544123</c:v>
                </c:pt>
                <c:pt idx="21">
                  <c:v>0.103893013256558</c:v>
                </c:pt>
                <c:pt idx="22">
                  <c:v>0.103932214670875</c:v>
                </c:pt>
                <c:pt idx="23">
                  <c:v>0.10396980354554</c:v>
                </c:pt>
                <c:pt idx="24">
                  <c:v>0.104005915161023</c:v>
                </c:pt>
                <c:pt idx="25">
                  <c:v>0.10404066846285701</c:v>
                </c:pt>
                <c:pt idx="26">
                  <c:v>0.104074168594671</c:v>
                </c:pt>
                <c:pt idx="27">
                  <c:v>0.10410650895807599</c:v>
                </c:pt>
                <c:pt idx="28">
                  <c:v>0.10413777290170501</c:v>
                </c:pt>
                <c:pt idx="29">
                  <c:v>0.104168035116796</c:v>
                </c:pt>
                <c:pt idx="30">
                  <c:v>0.104197362798492</c:v>
                </c:pt>
                <c:pt idx="31">
                  <c:v>0.104225816618547</c:v>
                </c:pt>
                <c:pt idx="32">
                  <c:v>0.104253451545067</c:v>
                </c:pt>
                <c:pt idx="33">
                  <c:v>0.104280317537286</c:v>
                </c:pt>
                <c:pt idx="34">
                  <c:v>0.10430646013757899</c:v>
                </c:pt>
                <c:pt idx="35">
                  <c:v>0.10433192097843901</c:v>
                </c:pt>
                <c:pt idx="36">
                  <c:v>0.104356738218675</c:v>
                </c:pt>
                <c:pt idx="37">
                  <c:v>0.10438094692038</c:v>
                </c:pt>
                <c:pt idx="38">
                  <c:v>0.104404579376061</c:v>
                </c:pt>
                <c:pt idx="39">
                  <c:v>0.10442766539470601</c:v>
                </c:pt>
                <c:pt idx="40">
                  <c:v>0.104450232550895</c:v>
                </c:pt>
                <c:pt idx="41">
                  <c:v>0.104472306403378</c:v>
                </c:pt>
                <c:pt idx="42">
                  <c:v>0.104493910687546</c:v>
                </c:pt>
                <c:pt idx="43">
                  <c:v>0.104515067485448</c:v>
                </c:pt>
                <c:pt idx="44">
                  <c:v>0.104535797376425</c:v>
                </c:pt>
                <c:pt idx="45">
                  <c:v>0.104556119570968</c:v>
                </c:pt>
                <c:pt idx="46">
                  <c:v>0.10457605202998201</c:v>
                </c:pt>
                <c:pt idx="47">
                  <c:v>0.10459561157132601</c:v>
                </c:pt>
                <c:pt idx="48">
                  <c:v>0.10461481396524</c:v>
                </c:pt>
                <c:pt idx="49">
                  <c:v>0.104633674020002</c:v>
                </c:pt>
                <c:pt idx="50">
                  <c:v>0.104652205659008</c:v>
                </c:pt>
                <c:pt idx="51">
                  <c:v>0.10467042199028</c:v>
                </c:pt>
                <c:pt idx="52">
                  <c:v>0.10468833536927501</c:v>
                </c:pt>
                <c:pt idx="53">
                  <c:v>0.104705957455764</c:v>
                </c:pt>
                <c:pt idx="54">
                  <c:v>0.104723299265432</c:v>
                </c:pt>
                <c:pt idx="55">
                  <c:v>0.10474037121678501</c:v>
                </c:pt>
                <c:pt idx="56">
                  <c:v>0.104757183173858</c:v>
                </c:pt>
                <c:pt idx="57">
                  <c:v>0.10477374448518</c:v>
                </c:pt>
                <c:pt idx="58">
                  <c:v>0.104790064019366</c:v>
                </c:pt>
                <c:pt idx="59">
                  <c:v>0.10480615019770299</c:v>
                </c:pt>
                <c:pt idx="60">
                  <c:v>0.104822011024007</c:v>
                </c:pt>
                <c:pt idx="61">
                  <c:v>0.10483765411203801</c:v>
                </c:pt>
                <c:pt idx="62">
                  <c:v>0.104853086710699</c:v>
                </c:pt>
                <c:pt idx="63">
                  <c:v>0.10486831572724099</c:v>
                </c:pt>
                <c:pt idx="64">
                  <c:v>0.104883347748643</c:v>
                </c:pt>
                <c:pt idx="65">
                  <c:v>0.104898189061358</c:v>
                </c:pt>
                <c:pt idx="66">
                  <c:v>0.104912845669559</c:v>
                </c:pt>
                <c:pt idx="67">
                  <c:v>0.10492732331202199</c:v>
                </c:pt>
                <c:pt idx="68">
                  <c:v>0.10494162747777</c:v>
                </c:pt>
                <c:pt idx="69">
                  <c:v>0.10495576342058401</c:v>
                </c:pt>
                <c:pt idx="70">
                  <c:v>0.104969736172476</c:v>
                </c:pt>
                <c:pt idx="71">
                  <c:v>0.104983550556215</c:v>
                </c:pt>
                <c:pt idx="72">
                  <c:v>0.104997211196988</c:v>
                </c:pt>
                <c:pt idx="73">
                  <c:v>0.105010722533251</c:v>
                </c:pt>
                <c:pt idx="74">
                  <c:v>0.10502408882686499</c:v>
                </c:pt>
                <c:pt idx="75">
                  <c:v>0.105037314172539</c:v>
                </c:pt>
                <c:pt idx="76">
                  <c:v>0.10505040250667</c:v>
                </c:pt>
                <c:pt idx="77">
                  <c:v>0.105063357615594</c:v>
                </c:pt>
                <c:pt idx="78">
                  <c:v>0.105076183143323</c:v>
                </c:pt>
                <c:pt idx="79">
                  <c:v>0.10508888259878001</c:v>
                </c:pt>
                <c:pt idx="80">
                  <c:v>0.105101459362598</c:v>
                </c:pt>
                <c:pt idx="81">
                  <c:v>0.10511391669348399</c:v>
                </c:pt>
                <c:pt idx="82">
                  <c:v>0.10512625773421</c:v>
                </c:pt>
                <c:pt idx="83">
                  <c:v>0.10513848551723599</c:v>
                </c:pt>
                <c:pt idx="84">
                  <c:v>0.10515060297000201</c:v>
                </c:pt>
                <c:pt idx="85">
                  <c:v>0.105162612919908</c:v>
                </c:pt>
                <c:pt idx="86">
                  <c:v>0.105174518099013</c:v>
                </c:pt>
                <c:pt idx="87">
                  <c:v>0.105186321148453</c:v>
                </c:pt>
                <c:pt idx="88">
                  <c:v>0.105198024622616</c:v>
                </c:pt>
                <c:pt idx="89">
                  <c:v>0.105209630993088</c:v>
                </c:pt>
                <c:pt idx="90">
                  <c:v>0.10522114265237301</c:v>
                </c:pt>
                <c:pt idx="91">
                  <c:v>0.105232561917411</c:v>
                </c:pt>
                <c:pt idx="92">
                  <c:v>0.105243891032912</c:v>
                </c:pt>
                <c:pt idx="93">
                  <c:v>0.105255132174505</c:v>
                </c:pt>
                <c:pt idx="94">
                  <c:v>0.10526628745172401</c:v>
                </c:pt>
                <c:pt idx="95">
                  <c:v>0.105277358910841</c:v>
                </c:pt>
                <c:pt idx="96">
                  <c:v>0.105288348537545</c:v>
                </c:pt>
                <c:pt idx="97">
                  <c:v>0.10529925825949001</c:v>
                </c:pt>
                <c:pt idx="98">
                  <c:v>0.105310089948715</c:v>
                </c:pt>
                <c:pt idx="99">
                  <c:v>0.10532084542394</c:v>
                </c:pt>
                <c:pt idx="100">
                  <c:v>0.105331526452749</c:v>
                </c:pt>
                <c:pt idx="101">
                  <c:v>0.10534213475366599</c:v>
                </c:pt>
                <c:pt idx="102">
                  <c:v>0.105352671998135</c:v>
                </c:pt>
                <c:pt idx="103">
                  <c:v>0.105363139812398</c:v>
                </c:pt>
                <c:pt idx="104">
                  <c:v>0.10537353977929</c:v>
                </c:pt>
                <c:pt idx="105">
                  <c:v>0.105383873439947</c:v>
                </c:pt>
                <c:pt idx="106">
                  <c:v>0.105394142295438</c:v>
                </c:pt>
                <c:pt idx="107">
                  <c:v>0.10540434780831399</c:v>
                </c:pt>
                <c:pt idx="108">
                  <c:v>0.1054144914041</c:v>
                </c:pt>
                <c:pt idx="109">
                  <c:v>0.105424574472708</c:v>
                </c:pt>
                <c:pt idx="110">
                  <c:v>0.10543459836979301</c:v>
                </c:pt>
                <c:pt idx="111">
                  <c:v>0.105444564418049</c:v>
                </c:pt>
                <c:pt idx="112">
                  <c:v>0.105454473908448</c:v>
                </c:pt>
                <c:pt idx="113">
                  <c:v>0.105464328101426</c:v>
                </c:pt>
                <c:pt idx="114">
                  <c:v>0.10547412822802001</c:v>
                </c:pt>
                <c:pt idx="115">
                  <c:v>0.10548387549095201</c:v>
                </c:pt>
                <c:pt idx="116">
                  <c:v>0.105493571065675</c:v>
                </c:pt>
                <c:pt idx="117">
                  <c:v>0.105503216101374</c:v>
                </c:pt>
                <c:pt idx="118">
                  <c:v>0.10551281172191999</c:v>
                </c:pt>
                <c:pt idx="119">
                  <c:v>0.10552235902679701</c:v>
                </c:pt>
                <c:pt idx="120">
                  <c:v>0.105531859091982</c:v>
                </c:pt>
                <c:pt idx="121">
                  <c:v>0.105541312970793</c:v>
                </c:pt>
                <c:pt idx="122">
                  <c:v>0.105550721694713</c:v>
                </c:pt>
                <c:pt idx="123">
                  <c:v>0.10556008627416701</c:v>
                </c:pt>
                <c:pt idx="124">
                  <c:v>0.105569407699282</c:v>
                </c:pt>
                <c:pt idx="125">
                  <c:v>0.105578686940613</c:v>
                </c:pt>
                <c:pt idx="126">
                  <c:v>0.10558792494984499</c:v>
                </c:pt>
                <c:pt idx="127">
                  <c:v>0.105597122660464</c:v>
                </c:pt>
                <c:pt idx="128">
                  <c:v>0.105606280988415</c:v>
                </c:pt>
                <c:pt idx="129">
                  <c:v>0.105615400832723</c:v>
                </c:pt>
                <c:pt idx="130">
                  <c:v>0.10562448307610101</c:v>
                </c:pt>
                <c:pt idx="131">
                  <c:v>0.105633528585537</c:v>
                </c:pt>
                <c:pt idx="132">
                  <c:v>0.105642538212856</c:v>
                </c:pt>
                <c:pt idx="133">
                  <c:v>0.10565151279527001</c:v>
                </c:pt>
                <c:pt idx="134">
                  <c:v>0.105660453155901</c:v>
                </c:pt>
                <c:pt idx="135">
                  <c:v>0.1056693601043</c:v>
                </c:pt>
                <c:pt idx="136">
                  <c:v>0.105678234436935</c:v>
                </c:pt>
                <c:pt idx="137">
                  <c:v>0.105687076937673</c:v>
                </c:pt>
                <c:pt idx="138">
                  <c:v>0.10569588837824601</c:v>
                </c:pt>
                <c:pt idx="139">
                  <c:v>0.105704669518702</c:v>
                </c:pt>
                <c:pt idx="140">
                  <c:v>0.105713421107842</c:v>
                </c:pt>
                <c:pt idx="141">
                  <c:v>0.105722143883642</c:v>
                </c:pt>
                <c:pt idx="142">
                  <c:v>0.10573083857367301</c:v>
                </c:pt>
                <c:pt idx="143">
                  <c:v>0.10573950589549699</c:v>
                </c:pt>
                <c:pt idx="144">
                  <c:v>0.105748146557059</c:v>
                </c:pt>
                <c:pt idx="145">
                  <c:v>0.105756761257069</c:v>
                </c:pt>
                <c:pt idx="146">
                  <c:v>0.105765350685371</c:v>
                </c:pt>
                <c:pt idx="147">
                  <c:v>0.10577391552330601</c:v>
                </c:pt>
                <c:pt idx="148">
                  <c:v>0.105782456444064</c:v>
                </c:pt>
                <c:pt idx="149">
                  <c:v>0.105790974113029</c:v>
                </c:pt>
                <c:pt idx="150">
                  <c:v>0.105799469188117</c:v>
                </c:pt>
                <c:pt idx="151">
                  <c:v>0.105807942320102</c:v>
                </c:pt>
                <c:pt idx="152">
                  <c:v>0.105816394152941</c:v>
                </c:pt>
                <c:pt idx="153">
                  <c:v>0.10582482532409</c:v>
                </c:pt>
                <c:pt idx="154">
                  <c:v>0.10583323646481201</c:v>
                </c:pt>
                <c:pt idx="155">
                  <c:v>0.105841628200482</c:v>
                </c:pt>
                <c:pt idx="156">
                  <c:v>0.105850001150887</c:v>
                </c:pt>
                <c:pt idx="157">
                  <c:v>0.105858355930516</c:v>
                </c:pt>
                <c:pt idx="158">
                  <c:v>0.105866693148851</c:v>
                </c:pt>
                <c:pt idx="159">
                  <c:v>0.105875013410654</c:v>
                </c:pt>
                <c:pt idx="160">
                  <c:v>0.10588331731624</c:v>
                </c:pt>
                <c:pt idx="161">
                  <c:v>0.105891605461765</c:v>
                </c:pt>
                <c:pt idx="162">
                  <c:v>0.10589987843948701</c:v>
                </c:pt>
                <c:pt idx="163">
                  <c:v>0.10590813683804701</c:v>
                </c:pt>
                <c:pt idx="164">
                  <c:v>0.10591638124273201</c:v>
                </c:pt>
                <c:pt idx="165">
                  <c:v>0.105924612235738</c:v>
                </c:pt>
                <c:pt idx="166">
                  <c:v>0.10593283039644</c:v>
                </c:pt>
                <c:pt idx="167">
                  <c:v>0.105941036301648</c:v>
                </c:pt>
                <c:pt idx="168">
                  <c:v>0.10594923052586901</c:v>
                </c:pt>
                <c:pt idx="169">
                  <c:v>0.105957413641566</c:v>
                </c:pt>
                <c:pt idx="170">
                  <c:v>0.105965586219415</c:v>
                </c:pt>
                <c:pt idx="171">
                  <c:v>0.105973748828566</c:v>
                </c:pt>
                <c:pt idx="172">
                  <c:v>0.10598190203689301</c:v>
                </c:pt>
                <c:pt idx="173">
                  <c:v>0.105990046411258</c:v>
                </c:pt>
                <c:pt idx="174">
                  <c:v>0.10599818251776701</c:v>
                </c:pt>
                <c:pt idx="175">
                  <c:v>0.106006310922025</c:v>
                </c:pt>
                <c:pt idx="176">
                  <c:v>0.106014432189397</c:v>
                </c:pt>
                <c:pt idx="177">
                  <c:v>0.106022546885271</c:v>
                </c:pt>
                <c:pt idx="178">
                  <c:v>0.10603065557531401</c:v>
                </c:pt>
                <c:pt idx="179">
                  <c:v>0.10603875882574</c:v>
                </c:pt>
                <c:pt idx="180">
                  <c:v>0.106046857203577</c:v>
                </c:pt>
                <c:pt idx="181">
                  <c:v>0.106054951276932</c:v>
                </c:pt>
                <c:pt idx="182">
                  <c:v>0.106063041615263</c:v>
                </c:pt>
                <c:pt idx="183">
                  <c:v>0.10607112878965499</c:v>
                </c:pt>
                <c:pt idx="184">
                  <c:v>0.106079213373101</c:v>
                </c:pt>
                <c:pt idx="185">
                  <c:v>0.106087295940776</c:v>
                </c:pt>
                <c:pt idx="186">
                  <c:v>0.10609537707033299</c:v>
                </c:pt>
                <c:pt idx="187">
                  <c:v>0.106103457342189</c:v>
                </c:pt>
                <c:pt idx="188">
                  <c:v>0.106111537339822</c:v>
                </c:pt>
                <c:pt idx="189">
                  <c:v>0.10611961765007601</c:v>
                </c:pt>
                <c:pt idx="190">
                  <c:v>0.106127698863465</c:v>
                </c:pt>
                <c:pt idx="191">
                  <c:v>0.10613578157449099</c:v>
                </c:pt>
                <c:pt idx="192">
                  <c:v>0.106143866381966</c:v>
                </c:pt>
                <c:pt idx="193">
                  <c:v>0.10615195388934</c:v>
                </c:pt>
                <c:pt idx="194">
                  <c:v>0.106160044705038</c:v>
                </c:pt>
                <c:pt idx="195">
                  <c:v>0.106168139442805</c:v>
                </c:pt>
                <c:pt idx="196">
                  <c:v>0.106176238722063</c:v>
                </c:pt>
                <c:pt idx="197">
                  <c:v>0.106184343168276</c:v>
                </c:pt>
                <c:pt idx="198">
                  <c:v>0.10619245341332301</c:v>
                </c:pt>
                <c:pt idx="199">
                  <c:v>0.106200570095885</c:v>
                </c:pt>
                <c:pt idx="200">
                  <c:v>0.10620869386184199</c:v>
                </c:pt>
                <c:pt idx="201">
                  <c:v>0.10621682536468401</c:v>
                </c:pt>
                <c:pt idx="202">
                  <c:v>0.106224965265935</c:v>
                </c:pt>
                <c:pt idx="203">
                  <c:v>0.106233114235588</c:v>
                </c:pt>
                <c:pt idx="204">
                  <c:v>0.10624127295256</c:v>
                </c:pt>
                <c:pt idx="205">
                  <c:v>0.10624944210515699</c:v>
                </c:pt>
                <c:pt idx="206">
                  <c:v>0.106257622391562</c:v>
                </c:pt>
                <c:pt idx="207">
                  <c:v>0.106265814520335</c:v>
                </c:pt>
                <c:pt idx="208">
                  <c:v>0.106274019210935</c:v>
                </c:pt>
                <c:pt idx="209">
                  <c:v>0.10628223719426</c:v>
                </c:pt>
                <c:pt idx="210">
                  <c:v>0.106290469213214</c:v>
                </c:pt>
                <c:pt idx="211">
                  <c:v>0.106298716023284</c:v>
                </c:pt>
                <c:pt idx="212">
                  <c:v>0.106306978393155</c:v>
                </c:pt>
                <c:pt idx="213">
                  <c:v>0.106315257105341</c:v>
                </c:pt>
                <c:pt idx="214">
                  <c:v>0.10632355295684801</c:v>
                </c:pt>
                <c:pt idx="215">
                  <c:v>0.10633186675985799</c:v>
                </c:pt>
                <c:pt idx="216">
                  <c:v>0.10634019934245301</c:v>
                </c:pt>
                <c:pt idx="217">
                  <c:v>0.106348551549366</c:v>
                </c:pt>
                <c:pt idx="218">
                  <c:v>0.106356924242761</c:v>
                </c:pt>
                <c:pt idx="219">
                  <c:v>0.10636531830306099</c:v>
                </c:pt>
                <c:pt idx="220">
                  <c:v>0.106373734629807</c:v>
                </c:pt>
                <c:pt idx="221">
                  <c:v>0.10638217414255299</c:v>
                </c:pt>
                <c:pt idx="222">
                  <c:v>0.106390637781818</c:v>
                </c:pt>
                <c:pt idx="223">
                  <c:v>0.10639912651007299</c:v>
                </c:pt>
                <c:pt idx="224">
                  <c:v>0.10640764131277999</c:v>
                </c:pt>
                <c:pt idx="225">
                  <c:v>0.10641618319948901</c:v>
                </c:pt>
                <c:pt idx="226">
                  <c:v>0.106424753204983</c:v>
                </c:pt>
                <c:pt idx="227">
                  <c:v>0.10643335239049</c:v>
                </c:pt>
                <c:pt idx="228">
                  <c:v>0.106441981844954</c:v>
                </c:pt>
                <c:pt idx="229">
                  <c:v>0.106450642686375</c:v>
                </c:pt>
                <c:pt idx="230">
                  <c:v>0.10645933606322799</c:v>
                </c:pt>
                <c:pt idx="231">
                  <c:v>0.10646806315594901</c:v>
                </c:pt>
                <c:pt idx="232">
                  <c:v>0.106476825178516</c:v>
                </c:pt>
                <c:pt idx="233">
                  <c:v>0.10648562338011</c:v>
                </c:pt>
                <c:pt idx="234">
                  <c:v>0.106494459046881</c:v>
                </c:pt>
                <c:pt idx="235">
                  <c:v>0.106503333503809</c:v>
                </c:pt>
                <c:pt idx="236">
                  <c:v>0.10651224811667701</c:v>
                </c:pt>
                <c:pt idx="237">
                  <c:v>0.106521204294171</c:v>
                </c:pt>
                <c:pt idx="238">
                  <c:v>0.106530203490093</c:v>
                </c:pt>
                <c:pt idx="239">
                  <c:v>0.10653924720572699</c:v>
                </c:pt>
                <c:pt idx="240">
                  <c:v>0.106548336992338</c:v>
                </c:pt>
                <c:pt idx="241">
                  <c:v>0.106557474453844</c:v>
                </c:pt>
                <c:pt idx="242">
                  <c:v>0.106566661249652</c:v>
                </c:pt>
                <c:pt idx="243">
                  <c:v>0.10657589909767901</c:v>
                </c:pt>
                <c:pt idx="244">
                  <c:v>0.10658518977758299</c:v>
                </c:pt>
                <c:pt idx="245">
                  <c:v>0.106594535134197</c:v>
                </c:pt>
                <c:pt idx="246">
                  <c:v>0.106603937081217</c:v>
                </c:pt>
                <c:pt idx="247">
                  <c:v>0.106613397605125</c:v>
                </c:pt>
                <c:pt idx="248">
                  <c:v>0.10662291876941001</c:v>
                </c:pt>
                <c:pt idx="249">
                  <c:v>0.106632502719071</c:v>
                </c:pt>
                <c:pt idx="250">
                  <c:v>0.10664215168546599</c:v>
                </c:pt>
                <c:pt idx="251">
                  <c:v>0.106651867991505</c:v>
                </c:pt>
                <c:pt idx="252">
                  <c:v>0.106661654057239</c:v>
                </c:pt>
                <c:pt idx="253">
                  <c:v>0.106671512405876</c:v>
                </c:pt>
                <c:pt idx="254">
                  <c:v>0.106681445670259</c:v>
                </c:pt>
                <c:pt idx="255">
                  <c:v>0.106691456599855</c:v>
                </c:pt>
                <c:pt idx="256">
                  <c:v>0.10670154806830701</c:v>
                </c:pt>
                <c:pt idx="257">
                  <c:v>0.106711723081597</c:v>
                </c:pt>
                <c:pt idx="258">
                  <c:v>0.106721984786882</c:v>
                </c:pt>
                <c:pt idx="259">
                  <c:v>0.106732336482082</c:v>
                </c:pt>
                <c:pt idx="260">
                  <c:v>0.10674278162628199</c:v>
                </c:pt>
                <c:pt idx="261">
                  <c:v>0.106753323851043</c:v>
                </c:pt>
                <c:pt idx="262">
                  <c:v>0.106763966972719</c:v>
                </c:pt>
                <c:pt idx="263">
                  <c:v>0.10677471500588499</c:v>
                </c:pt>
                <c:pt idx="264">
                  <c:v>0.10678557217800599</c:v>
                </c:pt>
                <c:pt idx="265">
                  <c:v>0.106796542945475</c:v>
                </c:pt>
                <c:pt idx="266">
                  <c:v>0.10680763201119001</c:v>
                </c:pt>
                <c:pt idx="267">
                  <c:v>0.106818844343851</c:v>
                </c:pt>
                <c:pt idx="268">
                  <c:v>0.106830185199162</c:v>
                </c:pt>
                <c:pt idx="269">
                  <c:v>0.1068416601432</c:v>
                </c:pt>
                <c:pt idx="270">
                  <c:v>0.106853275078199</c:v>
                </c:pt>
                <c:pt idx="271">
                  <c:v>0.10686503627105901</c:v>
                </c:pt>
                <c:pt idx="272">
                  <c:v>0.106876950384948</c:v>
                </c:pt>
                <c:pt idx="273">
                  <c:v>0.10688902451438199</c:v>
                </c:pt>
                <c:pt idx="274">
                  <c:v>0.106901266224276</c:v>
                </c:pt>
                <c:pt idx="275">
                  <c:v>0.106913683593506</c:v>
                </c:pt>
                <c:pt idx="276">
                  <c:v>0.106926285263621</c:v>
                </c:pt>
                <c:pt idx="277">
                  <c:v>0.106939080493455</c:v>
                </c:pt>
                <c:pt idx="278">
                  <c:v>0.10695207922051</c:v>
                </c:pt>
                <c:pt idx="279">
                  <c:v>0.10696529213014599</c:v>
                </c:pt>
                <c:pt idx="280">
                  <c:v>0.106978730733797</c:v>
                </c:pt>
                <c:pt idx="281">
                  <c:v>0.106992407457646</c:v>
                </c:pt>
                <c:pt idx="282">
                  <c:v>0.107006335743491</c:v>
                </c:pt>
                <c:pt idx="283">
                  <c:v>0.10702053016384699</c:v>
                </c:pt>
                <c:pt idx="284">
                  <c:v>0.107035006553762</c:v>
                </c:pt>
                <c:pt idx="285">
                  <c:v>0.107049782162317</c:v>
                </c:pt>
                <c:pt idx="286">
                  <c:v>0.10706487582742701</c:v>
                </c:pt>
                <c:pt idx="287">
                  <c:v>0.107080308178348</c:v>
                </c:pt>
                <c:pt idx="288">
                  <c:v>0.10709610187127599</c:v>
                </c:pt>
                <c:pt idx="289">
                  <c:v>0.10711228186470099</c:v>
                </c:pt>
                <c:pt idx="290">
                  <c:v>0.107128875742745</c:v>
                </c:pt>
                <c:pt idx="291">
                  <c:v>0.107145914096787</c:v>
                </c:pt>
                <c:pt idx="292">
                  <c:v>0.10716343097827</c:v>
                </c:pt>
                <c:pt idx="293">
                  <c:v>0.10718146443905199</c:v>
                </c:pt>
                <c:pt idx="294">
                  <c:v>0.107200057180087</c:v>
                </c:pt>
                <c:pt idx="295">
                  <c:v>0.10721925733519</c:v>
                </c:pt>
                <c:pt idx="296">
                  <c:v>0.107239119424452</c:v>
                </c:pt>
                <c:pt idx="297">
                  <c:v>0.10725970552248799</c:v>
                </c:pt>
                <c:pt idx="298">
                  <c:v>0.107281086701057</c:v>
                </c:pt>
                <c:pt idx="299">
                  <c:v>0.10730334482520799</c:v>
                </c:pt>
                <c:pt idx="300">
                  <c:v>0.107326574809414</c:v>
                </c:pt>
                <c:pt idx="301">
                  <c:v>0.10735088747820599</c:v>
                </c:pt>
                <c:pt idx="302">
                  <c:v>0.10737641322982</c:v>
                </c:pt>
                <c:pt idx="303">
                  <c:v>0.107403306778537</c:v>
                </c:pt>
                <c:pt idx="304">
                  <c:v>0.10743175336319</c:v>
                </c:pt>
                <c:pt idx="305">
                  <c:v>0.107461976972791</c:v>
                </c:pt>
                <c:pt idx="306">
                  <c:v>0.107494251381856</c:v>
                </c:pt>
                <c:pt idx="307">
                  <c:v>0.107528915147976</c:v>
                </c:pt>
                <c:pt idx="308">
                  <c:v>0.107566392263413</c:v>
                </c:pt>
                <c:pt idx="309">
                  <c:v>0.10760722096054399</c:v>
                </c:pt>
                <c:pt idx="310">
                  <c:v>0.107652094373539</c:v>
                </c:pt>
                <c:pt idx="311">
                  <c:v>0.107701918517204</c:v>
                </c:pt>
                <c:pt idx="312">
                  <c:v>0.107757895545197</c:v>
                </c:pt>
                <c:pt idx="313">
                  <c:v>0.107821643761701</c:v>
                </c:pt>
                <c:pt idx="314">
                  <c:v>0.107895371464266</c:v>
                </c:pt>
                <c:pt idx="315">
                  <c:v>0.107982136054144</c:v>
                </c:pt>
                <c:pt idx="316">
                  <c:v>0.108086279484475</c:v>
                </c:pt>
                <c:pt idx="317">
                  <c:v>0.10821441051713999</c:v>
                </c:pt>
                <c:pt idx="318">
                  <c:v>0.108378611684964</c:v>
                </c:pt>
                <c:pt idx="319">
                  <c:v>0.10851279142848901</c:v>
                </c:pt>
                <c:pt idx="320">
                  <c:v>0.108646878508965</c:v>
                </c:pt>
                <c:pt idx="321">
                  <c:v>0.108781836007877</c:v>
                </c:pt>
                <c:pt idx="322">
                  <c:v>0.108917703938839</c:v>
                </c:pt>
                <c:pt idx="323">
                  <c:v>0.109054545173906</c:v>
                </c:pt>
                <c:pt idx="324">
                  <c:v>0.109192417872054</c:v>
                </c:pt>
                <c:pt idx="325">
                  <c:v>0.109331376964383</c:v>
                </c:pt>
                <c:pt idx="326">
                  <c:v>0.10947147454287399</c:v>
                </c:pt>
                <c:pt idx="327">
                  <c:v>0.109612760241196</c:v>
                </c:pt>
                <c:pt idx="328">
                  <c:v>0.10975528157779101</c:v>
                </c:pt>
                <c:pt idx="329">
                  <c:v>0.109899084266184</c:v>
                </c:pt>
                <c:pt idx="330">
                  <c:v>0.110044212495958</c:v>
                </c:pt>
                <c:pt idx="331">
                  <c:v>0.11019070918751001</c:v>
                </c:pt>
                <c:pt idx="332">
                  <c:v>0.11033861622334599</c:v>
                </c:pt>
                <c:pt idx="333">
                  <c:v>0.110487974658393</c:v>
                </c:pt>
                <c:pt idx="334">
                  <c:v>0.110638824911563</c:v>
                </c:pt>
                <c:pt idx="335">
                  <c:v>0.110791206940568</c:v>
                </c:pt>
                <c:pt idx="336">
                  <c:v>0.11094516040180299</c:v>
                </c:pt>
                <c:pt idx="337">
                  <c:v>0.11110072479692901</c:v>
                </c:pt>
                <c:pt idx="338">
                  <c:v>0.111257939607629</c:v>
                </c:pt>
                <c:pt idx="339">
                  <c:v>0.111416844419904</c:v>
                </c:pt>
                <c:pt idx="340">
                  <c:v>0.111577479039088</c:v>
                </c:pt>
                <c:pt idx="341">
                  <c:v>0.111739883596728</c:v>
                </c:pt>
                <c:pt idx="342">
                  <c:v>0.111904098650297</c:v>
                </c:pt>
                <c:pt idx="343">
                  <c:v>0.11207016527668</c:v>
                </c:pt>
                <c:pt idx="344">
                  <c:v>0.112238125160255</c:v>
                </c:pt>
                <c:pt idx="345">
                  <c:v>0.11240802067632299</c:v>
                </c:pt>
                <c:pt idx="346">
                  <c:v>0.11257989497059701</c:v>
                </c:pt>
                <c:pt idx="347">
                  <c:v>0.112753792035371</c:v>
                </c:pt>
                <c:pt idx="348">
                  <c:v>0.112929756782956</c:v>
                </c:pt>
                <c:pt idx="349">
                  <c:v>0.113107835116922</c:v>
                </c:pt>
                <c:pt idx="350">
                  <c:v>0.113288074001635</c:v>
                </c:pt>
                <c:pt idx="351">
                  <c:v>0.113470521530551</c:v>
                </c:pt>
                <c:pt idx="352">
                  <c:v>0.113655226993682</c:v>
                </c:pt>
                <c:pt idx="353">
                  <c:v>0.113842240944644</c:v>
                </c:pt>
                <c:pt idx="354">
                  <c:v>0.114031615267637</c:v>
                </c:pt>
                <c:pt idx="355">
                  <c:v>0.11422340324472501</c:v>
                </c:pt>
                <c:pt idx="356">
                  <c:v>0.11441765962373</c:v>
                </c:pt>
                <c:pt idx="357">
                  <c:v>0.114614440687063</c:v>
                </c:pt>
                <c:pt idx="358">
                  <c:v>0.114813804321789</c:v>
                </c:pt>
                <c:pt idx="359">
                  <c:v>0.22425676384167301</c:v>
                </c:pt>
                <c:pt idx="360">
                  <c:v>0.30704288935609397</c:v>
                </c:pt>
                <c:pt idx="361">
                  <c:v>0.30834090817871301</c:v>
                </c:pt>
                <c:pt idx="362">
                  <c:v>0.30921577139060102</c:v>
                </c:pt>
                <c:pt idx="363">
                  <c:v>0.31017471350345399</c:v>
                </c:pt>
                <c:pt idx="364">
                  <c:v>0.31131883897321</c:v>
                </c:pt>
                <c:pt idx="365">
                  <c:v>0.31289797505880901</c:v>
                </c:pt>
                <c:pt idx="366">
                  <c:v>0.51289797505880896</c:v>
                </c:pt>
                <c:pt idx="367">
                  <c:v>0.51289797505880896</c:v>
                </c:pt>
              </c:numCache>
            </c:numRef>
          </c:xVal>
          <c:yVal>
            <c:numRef>
              <c:f>Implicit_Fracs!$AT$4:$AT$371</c:f>
              <c:numCache>
                <c:formatCode>General</c:formatCode>
                <c:ptCount val="3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67136"/>
        <c:axId val="412562824"/>
      </c:scatterChart>
      <c:valAx>
        <c:axId val="41256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6744"/>
        <c:crosses val="autoZero"/>
        <c:crossBetween val="midCat"/>
      </c:valAx>
      <c:valAx>
        <c:axId val="412566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6352"/>
        <c:crosses val="autoZero"/>
        <c:crossBetween val="midCat"/>
      </c:valAx>
      <c:valAx>
        <c:axId val="412562824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7136"/>
        <c:crosses val="max"/>
        <c:crossBetween val="midCat"/>
      </c:valAx>
      <c:valAx>
        <c:axId val="4125671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562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Implicit_Fracs!$BI$2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Implicit_Fracs!$C$4:$C$371</c:f>
              <c:numCache>
                <c:formatCode>General</c:formatCode>
                <c:ptCount val="368"/>
                <c:pt idx="0">
                  <c:v>6.5458908507104702E-2</c:v>
                </c:pt>
                <c:pt idx="1">
                  <c:v>0.10158646265419501</c:v>
                </c:pt>
                <c:pt idx="2">
                  <c:v>0.102060105178604</c:v>
                </c:pt>
                <c:pt idx="3">
                  <c:v>0.102354758409441</c:v>
                </c:pt>
                <c:pt idx="4">
                  <c:v>0.10257003610151801</c:v>
                </c:pt>
                <c:pt idx="5">
                  <c:v>0.102740146597483</c:v>
                </c:pt>
                <c:pt idx="6">
                  <c:v>0.10288102093448701</c:v>
                </c:pt>
                <c:pt idx="7">
                  <c:v>0.10300139565401099</c:v>
                </c:pt>
                <c:pt idx="8">
                  <c:v>0.10310658737638601</c:v>
                </c:pt>
                <c:pt idx="9">
                  <c:v>0.103200075337502</c:v>
                </c:pt>
                <c:pt idx="10">
                  <c:v>0.103284262204</c:v>
                </c:pt>
                <c:pt idx="11">
                  <c:v>0.103360877526633</c:v>
                </c:pt>
                <c:pt idx="12">
                  <c:v>0.103431208153653</c:v>
                </c:pt>
                <c:pt idx="13">
                  <c:v>0.103496237708407</c:v>
                </c:pt>
                <c:pt idx="14">
                  <c:v>0.103556735084609</c:v>
                </c:pt>
                <c:pt idx="15">
                  <c:v>0.103613312816801</c:v>
                </c:pt>
                <c:pt idx="16">
                  <c:v>0.103666466857375</c:v>
                </c:pt>
                <c:pt idx="17">
                  <c:v>0.10371660444741999</c:v>
                </c:pt>
                <c:pt idx="18">
                  <c:v>0.10376406411969299</c:v>
                </c:pt>
                <c:pt idx="19">
                  <c:v>0.10380913035858701</c:v>
                </c:pt>
                <c:pt idx="20">
                  <c:v>0.103852044544123</c:v>
                </c:pt>
                <c:pt idx="21">
                  <c:v>0.103893013256558</c:v>
                </c:pt>
                <c:pt idx="22">
                  <c:v>0.103932214670875</c:v>
                </c:pt>
                <c:pt idx="23">
                  <c:v>0.10396980354554</c:v>
                </c:pt>
                <c:pt idx="24">
                  <c:v>0.104005915161023</c:v>
                </c:pt>
                <c:pt idx="25">
                  <c:v>0.10404066846285701</c:v>
                </c:pt>
                <c:pt idx="26">
                  <c:v>0.104074168594671</c:v>
                </c:pt>
                <c:pt idx="27">
                  <c:v>0.10410650895807599</c:v>
                </c:pt>
                <c:pt idx="28">
                  <c:v>0.10413777290170501</c:v>
                </c:pt>
                <c:pt idx="29">
                  <c:v>0.104168035116796</c:v>
                </c:pt>
                <c:pt idx="30">
                  <c:v>0.104197362798492</c:v>
                </c:pt>
                <c:pt idx="31">
                  <c:v>0.104225816618547</c:v>
                </c:pt>
                <c:pt idx="32">
                  <c:v>0.104253451545067</c:v>
                </c:pt>
                <c:pt idx="33">
                  <c:v>0.104280317537286</c:v>
                </c:pt>
                <c:pt idx="34">
                  <c:v>0.10430646013757899</c:v>
                </c:pt>
                <c:pt idx="35">
                  <c:v>0.10433192097843901</c:v>
                </c:pt>
                <c:pt idx="36">
                  <c:v>0.104356738218675</c:v>
                </c:pt>
                <c:pt idx="37">
                  <c:v>0.10438094692038</c:v>
                </c:pt>
                <c:pt idx="38">
                  <c:v>0.104404579376061</c:v>
                </c:pt>
                <c:pt idx="39">
                  <c:v>0.10442766539470601</c:v>
                </c:pt>
                <c:pt idx="40">
                  <c:v>0.104450232550895</c:v>
                </c:pt>
                <c:pt idx="41">
                  <c:v>0.104472306403378</c:v>
                </c:pt>
                <c:pt idx="42">
                  <c:v>0.104493910687546</c:v>
                </c:pt>
                <c:pt idx="43">
                  <c:v>0.104515067485448</c:v>
                </c:pt>
                <c:pt idx="44">
                  <c:v>0.104535797376425</c:v>
                </c:pt>
                <c:pt idx="45">
                  <c:v>0.104556119570968</c:v>
                </c:pt>
                <c:pt idx="46">
                  <c:v>0.10457605202998201</c:v>
                </c:pt>
                <c:pt idx="47">
                  <c:v>0.10459561157132601</c:v>
                </c:pt>
                <c:pt idx="48">
                  <c:v>0.10461481396524</c:v>
                </c:pt>
                <c:pt idx="49">
                  <c:v>0.104633674020002</c:v>
                </c:pt>
                <c:pt idx="50">
                  <c:v>0.104652205659008</c:v>
                </c:pt>
                <c:pt idx="51">
                  <c:v>0.10467042199028</c:v>
                </c:pt>
                <c:pt idx="52">
                  <c:v>0.10468833536927501</c:v>
                </c:pt>
                <c:pt idx="53">
                  <c:v>0.104705957455764</c:v>
                </c:pt>
                <c:pt idx="54">
                  <c:v>0.104723299265432</c:v>
                </c:pt>
                <c:pt idx="55">
                  <c:v>0.10474037121678501</c:v>
                </c:pt>
                <c:pt idx="56">
                  <c:v>0.104757183173858</c:v>
                </c:pt>
                <c:pt idx="57">
                  <c:v>0.10477374448518</c:v>
                </c:pt>
                <c:pt idx="58">
                  <c:v>0.104790064019366</c:v>
                </c:pt>
                <c:pt idx="59">
                  <c:v>0.10480615019770299</c:v>
                </c:pt>
                <c:pt idx="60">
                  <c:v>0.104822011024007</c:v>
                </c:pt>
                <c:pt idx="61">
                  <c:v>0.10483765411203801</c:v>
                </c:pt>
                <c:pt idx="62">
                  <c:v>0.104853086710699</c:v>
                </c:pt>
                <c:pt idx="63">
                  <c:v>0.10486831572724099</c:v>
                </c:pt>
                <c:pt idx="64">
                  <c:v>0.104883347748643</c:v>
                </c:pt>
                <c:pt idx="65">
                  <c:v>0.104898189061358</c:v>
                </c:pt>
                <c:pt idx="66">
                  <c:v>0.104912845669559</c:v>
                </c:pt>
                <c:pt idx="67">
                  <c:v>0.10492732331202199</c:v>
                </c:pt>
                <c:pt idx="68">
                  <c:v>0.10494162747777</c:v>
                </c:pt>
                <c:pt idx="69">
                  <c:v>0.10495576342058401</c:v>
                </c:pt>
                <c:pt idx="70">
                  <c:v>0.104969736172476</c:v>
                </c:pt>
                <c:pt idx="71">
                  <c:v>0.104983550556215</c:v>
                </c:pt>
                <c:pt idx="72">
                  <c:v>0.104997211196988</c:v>
                </c:pt>
                <c:pt idx="73">
                  <c:v>0.105010722533251</c:v>
                </c:pt>
                <c:pt idx="74">
                  <c:v>0.10502408882686499</c:v>
                </c:pt>
                <c:pt idx="75">
                  <c:v>0.105037314172539</c:v>
                </c:pt>
                <c:pt idx="76">
                  <c:v>0.10505040250667</c:v>
                </c:pt>
                <c:pt idx="77">
                  <c:v>0.105063357615594</c:v>
                </c:pt>
                <c:pt idx="78">
                  <c:v>0.105076183143323</c:v>
                </c:pt>
                <c:pt idx="79">
                  <c:v>0.10508888259878001</c:v>
                </c:pt>
                <c:pt idx="80">
                  <c:v>0.105101459362598</c:v>
                </c:pt>
                <c:pt idx="81">
                  <c:v>0.10511391669348399</c:v>
                </c:pt>
                <c:pt idx="82">
                  <c:v>0.10512625773421</c:v>
                </c:pt>
                <c:pt idx="83">
                  <c:v>0.10513848551723599</c:v>
                </c:pt>
                <c:pt idx="84">
                  <c:v>0.10515060297000201</c:v>
                </c:pt>
                <c:pt idx="85">
                  <c:v>0.105162612919908</c:v>
                </c:pt>
                <c:pt idx="86">
                  <c:v>0.105174518099013</c:v>
                </c:pt>
                <c:pt idx="87">
                  <c:v>0.105186321148453</c:v>
                </c:pt>
                <c:pt idx="88">
                  <c:v>0.105198024622616</c:v>
                </c:pt>
                <c:pt idx="89">
                  <c:v>0.105209630993088</c:v>
                </c:pt>
                <c:pt idx="90">
                  <c:v>0.10522114265237301</c:v>
                </c:pt>
                <c:pt idx="91">
                  <c:v>0.105232561917411</c:v>
                </c:pt>
                <c:pt idx="92">
                  <c:v>0.105243891032912</c:v>
                </c:pt>
                <c:pt idx="93">
                  <c:v>0.105255132174505</c:v>
                </c:pt>
                <c:pt idx="94">
                  <c:v>0.10526628745172401</c:v>
                </c:pt>
                <c:pt idx="95">
                  <c:v>0.105277358910841</c:v>
                </c:pt>
                <c:pt idx="96">
                  <c:v>0.105288348537545</c:v>
                </c:pt>
                <c:pt idx="97">
                  <c:v>0.10529925825949001</c:v>
                </c:pt>
                <c:pt idx="98">
                  <c:v>0.105310089948715</c:v>
                </c:pt>
                <c:pt idx="99">
                  <c:v>0.10532084542394</c:v>
                </c:pt>
                <c:pt idx="100">
                  <c:v>0.105331526452749</c:v>
                </c:pt>
                <c:pt idx="101">
                  <c:v>0.10534213475366599</c:v>
                </c:pt>
                <c:pt idx="102">
                  <c:v>0.105352671998135</c:v>
                </c:pt>
                <c:pt idx="103">
                  <c:v>0.105363139812398</c:v>
                </c:pt>
                <c:pt idx="104">
                  <c:v>0.10537353977929</c:v>
                </c:pt>
                <c:pt idx="105">
                  <c:v>0.105383873439947</c:v>
                </c:pt>
                <c:pt idx="106">
                  <c:v>0.105394142295438</c:v>
                </c:pt>
                <c:pt idx="107">
                  <c:v>0.10540434780831399</c:v>
                </c:pt>
                <c:pt idx="108">
                  <c:v>0.1054144914041</c:v>
                </c:pt>
                <c:pt idx="109">
                  <c:v>0.105424574472708</c:v>
                </c:pt>
                <c:pt idx="110">
                  <c:v>0.10543459836979301</c:v>
                </c:pt>
                <c:pt idx="111">
                  <c:v>0.105444564418049</c:v>
                </c:pt>
                <c:pt idx="112">
                  <c:v>0.105454473908448</c:v>
                </c:pt>
                <c:pt idx="113">
                  <c:v>0.105464328101426</c:v>
                </c:pt>
                <c:pt idx="114">
                  <c:v>0.10547412822802001</c:v>
                </c:pt>
                <c:pt idx="115">
                  <c:v>0.10548387549095201</c:v>
                </c:pt>
                <c:pt idx="116">
                  <c:v>0.105493571065675</c:v>
                </c:pt>
                <c:pt idx="117">
                  <c:v>0.105503216101374</c:v>
                </c:pt>
                <c:pt idx="118">
                  <c:v>0.10551281172191999</c:v>
                </c:pt>
                <c:pt idx="119">
                  <c:v>0.10552235902679701</c:v>
                </c:pt>
                <c:pt idx="120">
                  <c:v>0.105531859091982</c:v>
                </c:pt>
                <c:pt idx="121">
                  <c:v>0.105541312970793</c:v>
                </c:pt>
                <c:pt idx="122">
                  <c:v>0.105550721694713</c:v>
                </c:pt>
                <c:pt idx="123">
                  <c:v>0.10556008627416701</c:v>
                </c:pt>
                <c:pt idx="124">
                  <c:v>0.105569407699282</c:v>
                </c:pt>
                <c:pt idx="125">
                  <c:v>0.105578686940613</c:v>
                </c:pt>
                <c:pt idx="126">
                  <c:v>0.10558792494984499</c:v>
                </c:pt>
                <c:pt idx="127">
                  <c:v>0.105597122660464</c:v>
                </c:pt>
                <c:pt idx="128">
                  <c:v>0.105606280988415</c:v>
                </c:pt>
                <c:pt idx="129">
                  <c:v>0.105615400832723</c:v>
                </c:pt>
                <c:pt idx="130">
                  <c:v>0.10562448307610101</c:v>
                </c:pt>
                <c:pt idx="131">
                  <c:v>0.105633528585537</c:v>
                </c:pt>
                <c:pt idx="132">
                  <c:v>0.105642538212856</c:v>
                </c:pt>
                <c:pt idx="133">
                  <c:v>0.10565151279527001</c:v>
                </c:pt>
                <c:pt idx="134">
                  <c:v>0.105660453155901</c:v>
                </c:pt>
                <c:pt idx="135">
                  <c:v>0.1056693601043</c:v>
                </c:pt>
                <c:pt idx="136">
                  <c:v>0.105678234436935</c:v>
                </c:pt>
                <c:pt idx="137">
                  <c:v>0.105687076937673</c:v>
                </c:pt>
                <c:pt idx="138">
                  <c:v>0.10569588837824601</c:v>
                </c:pt>
                <c:pt idx="139">
                  <c:v>0.105704669518702</c:v>
                </c:pt>
                <c:pt idx="140">
                  <c:v>0.105713421107842</c:v>
                </c:pt>
                <c:pt idx="141">
                  <c:v>0.105722143883642</c:v>
                </c:pt>
                <c:pt idx="142">
                  <c:v>0.10573083857367301</c:v>
                </c:pt>
                <c:pt idx="143">
                  <c:v>0.10573950589549699</c:v>
                </c:pt>
                <c:pt idx="144">
                  <c:v>0.105748146557059</c:v>
                </c:pt>
                <c:pt idx="145">
                  <c:v>0.105756761257069</c:v>
                </c:pt>
                <c:pt idx="146">
                  <c:v>0.105765350685371</c:v>
                </c:pt>
                <c:pt idx="147">
                  <c:v>0.10577391552330601</c:v>
                </c:pt>
                <c:pt idx="148">
                  <c:v>0.105782456444064</c:v>
                </c:pt>
                <c:pt idx="149">
                  <c:v>0.105790974113029</c:v>
                </c:pt>
                <c:pt idx="150">
                  <c:v>0.105799469188117</c:v>
                </c:pt>
                <c:pt idx="151">
                  <c:v>0.105807942320102</c:v>
                </c:pt>
                <c:pt idx="152">
                  <c:v>0.105816394152941</c:v>
                </c:pt>
                <c:pt idx="153">
                  <c:v>0.10582482532409</c:v>
                </c:pt>
                <c:pt idx="154">
                  <c:v>0.10583323646481201</c:v>
                </c:pt>
                <c:pt idx="155">
                  <c:v>0.105841628200482</c:v>
                </c:pt>
                <c:pt idx="156">
                  <c:v>0.105850001150887</c:v>
                </c:pt>
                <c:pt idx="157">
                  <c:v>0.105858355930516</c:v>
                </c:pt>
                <c:pt idx="158">
                  <c:v>0.105866693148851</c:v>
                </c:pt>
                <c:pt idx="159">
                  <c:v>0.105875013410654</c:v>
                </c:pt>
                <c:pt idx="160">
                  <c:v>0.10588331731624</c:v>
                </c:pt>
                <c:pt idx="161">
                  <c:v>0.105891605461765</c:v>
                </c:pt>
                <c:pt idx="162">
                  <c:v>0.10589987843948701</c:v>
                </c:pt>
                <c:pt idx="163">
                  <c:v>0.10590813683804701</c:v>
                </c:pt>
                <c:pt idx="164">
                  <c:v>0.10591638124273201</c:v>
                </c:pt>
                <c:pt idx="165">
                  <c:v>0.105924612235738</c:v>
                </c:pt>
                <c:pt idx="166">
                  <c:v>0.10593283039644</c:v>
                </c:pt>
                <c:pt idx="167">
                  <c:v>0.105941036301648</c:v>
                </c:pt>
                <c:pt idx="168">
                  <c:v>0.10594923052586901</c:v>
                </c:pt>
                <c:pt idx="169">
                  <c:v>0.105957413641566</c:v>
                </c:pt>
                <c:pt idx="170">
                  <c:v>0.105965586219415</c:v>
                </c:pt>
                <c:pt idx="171">
                  <c:v>0.105973748828566</c:v>
                </c:pt>
                <c:pt idx="172">
                  <c:v>0.10598190203689301</c:v>
                </c:pt>
                <c:pt idx="173">
                  <c:v>0.105990046411258</c:v>
                </c:pt>
                <c:pt idx="174">
                  <c:v>0.10599818251776701</c:v>
                </c:pt>
                <c:pt idx="175">
                  <c:v>0.106006310922025</c:v>
                </c:pt>
                <c:pt idx="176">
                  <c:v>0.106014432189397</c:v>
                </c:pt>
                <c:pt idx="177">
                  <c:v>0.106022546885271</c:v>
                </c:pt>
                <c:pt idx="178">
                  <c:v>0.10603065557531401</c:v>
                </c:pt>
                <c:pt idx="179">
                  <c:v>0.10603875882574</c:v>
                </c:pt>
                <c:pt idx="180">
                  <c:v>0.106046857203577</c:v>
                </c:pt>
                <c:pt idx="181">
                  <c:v>0.106054951276932</c:v>
                </c:pt>
                <c:pt idx="182">
                  <c:v>0.106063041615263</c:v>
                </c:pt>
                <c:pt idx="183">
                  <c:v>0.10607112878965499</c:v>
                </c:pt>
                <c:pt idx="184">
                  <c:v>0.106079213373101</c:v>
                </c:pt>
                <c:pt idx="185">
                  <c:v>0.106087295940776</c:v>
                </c:pt>
                <c:pt idx="186">
                  <c:v>0.10609537707033299</c:v>
                </c:pt>
                <c:pt idx="187">
                  <c:v>0.106103457342189</c:v>
                </c:pt>
                <c:pt idx="188">
                  <c:v>0.106111537339822</c:v>
                </c:pt>
                <c:pt idx="189">
                  <c:v>0.10611961765007601</c:v>
                </c:pt>
                <c:pt idx="190">
                  <c:v>0.106127698863465</c:v>
                </c:pt>
                <c:pt idx="191">
                  <c:v>0.10613578157449099</c:v>
                </c:pt>
                <c:pt idx="192">
                  <c:v>0.106143866381966</c:v>
                </c:pt>
                <c:pt idx="193">
                  <c:v>0.10615195388934</c:v>
                </c:pt>
                <c:pt idx="194">
                  <c:v>0.106160044705038</c:v>
                </c:pt>
                <c:pt idx="195">
                  <c:v>0.106168139442805</c:v>
                </c:pt>
                <c:pt idx="196">
                  <c:v>0.106176238722063</c:v>
                </c:pt>
                <c:pt idx="197">
                  <c:v>0.106184343168276</c:v>
                </c:pt>
                <c:pt idx="198">
                  <c:v>0.10619245341332301</c:v>
                </c:pt>
                <c:pt idx="199">
                  <c:v>0.106200570095885</c:v>
                </c:pt>
                <c:pt idx="200">
                  <c:v>0.10620869386184199</c:v>
                </c:pt>
                <c:pt idx="201">
                  <c:v>0.10621682536468401</c:v>
                </c:pt>
                <c:pt idx="202">
                  <c:v>0.106224965265935</c:v>
                </c:pt>
                <c:pt idx="203">
                  <c:v>0.106233114235588</c:v>
                </c:pt>
                <c:pt idx="204">
                  <c:v>0.10624127295256</c:v>
                </c:pt>
                <c:pt idx="205">
                  <c:v>0.10624944210515699</c:v>
                </c:pt>
                <c:pt idx="206">
                  <c:v>0.106257622391562</c:v>
                </c:pt>
                <c:pt idx="207">
                  <c:v>0.106265814520335</c:v>
                </c:pt>
                <c:pt idx="208">
                  <c:v>0.106274019210935</c:v>
                </c:pt>
                <c:pt idx="209">
                  <c:v>0.10628223719426</c:v>
                </c:pt>
                <c:pt idx="210">
                  <c:v>0.106290469213214</c:v>
                </c:pt>
                <c:pt idx="211">
                  <c:v>0.106298716023284</c:v>
                </c:pt>
                <c:pt idx="212">
                  <c:v>0.106306978393155</c:v>
                </c:pt>
                <c:pt idx="213">
                  <c:v>0.106315257105341</c:v>
                </c:pt>
                <c:pt idx="214">
                  <c:v>0.10632355295684801</c:v>
                </c:pt>
                <c:pt idx="215">
                  <c:v>0.10633186675985799</c:v>
                </c:pt>
                <c:pt idx="216">
                  <c:v>0.10634019934245301</c:v>
                </c:pt>
                <c:pt idx="217">
                  <c:v>0.106348551549366</c:v>
                </c:pt>
                <c:pt idx="218">
                  <c:v>0.106356924242761</c:v>
                </c:pt>
                <c:pt idx="219">
                  <c:v>0.10636531830306099</c:v>
                </c:pt>
                <c:pt idx="220">
                  <c:v>0.106373734629807</c:v>
                </c:pt>
                <c:pt idx="221">
                  <c:v>0.10638217414255299</c:v>
                </c:pt>
                <c:pt idx="222">
                  <c:v>0.106390637781818</c:v>
                </c:pt>
                <c:pt idx="223">
                  <c:v>0.10639912651007299</c:v>
                </c:pt>
                <c:pt idx="224">
                  <c:v>0.10640764131277999</c:v>
                </c:pt>
                <c:pt idx="225">
                  <c:v>0.10641618319948901</c:v>
                </c:pt>
                <c:pt idx="226">
                  <c:v>0.106424753204983</c:v>
                </c:pt>
                <c:pt idx="227">
                  <c:v>0.10643335239049</c:v>
                </c:pt>
                <c:pt idx="228">
                  <c:v>0.106441981844954</c:v>
                </c:pt>
                <c:pt idx="229">
                  <c:v>0.106450642686375</c:v>
                </c:pt>
                <c:pt idx="230">
                  <c:v>0.10645933606322799</c:v>
                </c:pt>
                <c:pt idx="231">
                  <c:v>0.10646806315594901</c:v>
                </c:pt>
                <c:pt idx="232">
                  <c:v>0.106476825178516</c:v>
                </c:pt>
                <c:pt idx="233">
                  <c:v>0.10648562338011</c:v>
                </c:pt>
                <c:pt idx="234">
                  <c:v>0.106494459046881</c:v>
                </c:pt>
                <c:pt idx="235">
                  <c:v>0.106503333503809</c:v>
                </c:pt>
                <c:pt idx="236">
                  <c:v>0.10651224811667701</c:v>
                </c:pt>
                <c:pt idx="237">
                  <c:v>0.106521204294171</c:v>
                </c:pt>
                <c:pt idx="238">
                  <c:v>0.106530203490093</c:v>
                </c:pt>
                <c:pt idx="239">
                  <c:v>0.10653924720572699</c:v>
                </c:pt>
                <c:pt idx="240">
                  <c:v>0.106548336992338</c:v>
                </c:pt>
                <c:pt idx="241">
                  <c:v>0.106557474453844</c:v>
                </c:pt>
                <c:pt idx="242">
                  <c:v>0.106566661249652</c:v>
                </c:pt>
                <c:pt idx="243">
                  <c:v>0.10657589909767901</c:v>
                </c:pt>
                <c:pt idx="244">
                  <c:v>0.10658518977758299</c:v>
                </c:pt>
                <c:pt idx="245">
                  <c:v>0.106594535134197</c:v>
                </c:pt>
                <c:pt idx="246">
                  <c:v>0.106603937081217</c:v>
                </c:pt>
                <c:pt idx="247">
                  <c:v>0.106613397605125</c:v>
                </c:pt>
                <c:pt idx="248">
                  <c:v>0.10662291876941001</c:v>
                </c:pt>
                <c:pt idx="249">
                  <c:v>0.106632502719071</c:v>
                </c:pt>
                <c:pt idx="250">
                  <c:v>0.10664215168546599</c:v>
                </c:pt>
                <c:pt idx="251">
                  <c:v>0.106651867991505</c:v>
                </c:pt>
                <c:pt idx="252">
                  <c:v>0.106661654057239</c:v>
                </c:pt>
                <c:pt idx="253">
                  <c:v>0.106671512405876</c:v>
                </c:pt>
                <c:pt idx="254">
                  <c:v>0.106681445670259</c:v>
                </c:pt>
                <c:pt idx="255">
                  <c:v>0.106691456599855</c:v>
                </c:pt>
                <c:pt idx="256">
                  <c:v>0.10670154806830701</c:v>
                </c:pt>
                <c:pt idx="257">
                  <c:v>0.106711723081597</c:v>
                </c:pt>
                <c:pt idx="258">
                  <c:v>0.106721984786882</c:v>
                </c:pt>
                <c:pt idx="259">
                  <c:v>0.106732336482082</c:v>
                </c:pt>
                <c:pt idx="260">
                  <c:v>0.10674278162628199</c:v>
                </c:pt>
                <c:pt idx="261">
                  <c:v>0.106753323851043</c:v>
                </c:pt>
                <c:pt idx="262">
                  <c:v>0.106763966972719</c:v>
                </c:pt>
                <c:pt idx="263">
                  <c:v>0.10677471500588499</c:v>
                </c:pt>
                <c:pt idx="264">
                  <c:v>0.10678557217800599</c:v>
                </c:pt>
                <c:pt idx="265">
                  <c:v>0.106796542945475</c:v>
                </c:pt>
                <c:pt idx="266">
                  <c:v>0.10680763201119001</c:v>
                </c:pt>
                <c:pt idx="267">
                  <c:v>0.106818844343851</c:v>
                </c:pt>
                <c:pt idx="268">
                  <c:v>0.106830185199162</c:v>
                </c:pt>
                <c:pt idx="269">
                  <c:v>0.1068416601432</c:v>
                </c:pt>
                <c:pt idx="270">
                  <c:v>0.106853275078199</c:v>
                </c:pt>
                <c:pt idx="271">
                  <c:v>0.10686503627105901</c:v>
                </c:pt>
                <c:pt idx="272">
                  <c:v>0.106876950384948</c:v>
                </c:pt>
                <c:pt idx="273">
                  <c:v>0.10688902451438199</c:v>
                </c:pt>
                <c:pt idx="274">
                  <c:v>0.106901266224276</c:v>
                </c:pt>
                <c:pt idx="275">
                  <c:v>0.106913683593506</c:v>
                </c:pt>
                <c:pt idx="276">
                  <c:v>0.106926285263621</c:v>
                </c:pt>
                <c:pt idx="277">
                  <c:v>0.106939080493455</c:v>
                </c:pt>
                <c:pt idx="278">
                  <c:v>0.10695207922051</c:v>
                </c:pt>
                <c:pt idx="279">
                  <c:v>0.10696529213014599</c:v>
                </c:pt>
                <c:pt idx="280">
                  <c:v>0.106978730733797</c:v>
                </c:pt>
                <c:pt idx="281">
                  <c:v>0.106992407457646</c:v>
                </c:pt>
                <c:pt idx="282">
                  <c:v>0.107006335743491</c:v>
                </c:pt>
                <c:pt idx="283">
                  <c:v>0.10702053016384699</c:v>
                </c:pt>
                <c:pt idx="284">
                  <c:v>0.107035006553762</c:v>
                </c:pt>
                <c:pt idx="285">
                  <c:v>0.107049782162317</c:v>
                </c:pt>
                <c:pt idx="286">
                  <c:v>0.10706487582742701</c:v>
                </c:pt>
                <c:pt idx="287">
                  <c:v>0.107080308178348</c:v>
                </c:pt>
                <c:pt idx="288">
                  <c:v>0.10709610187127599</c:v>
                </c:pt>
                <c:pt idx="289">
                  <c:v>0.10711228186470099</c:v>
                </c:pt>
                <c:pt idx="290">
                  <c:v>0.107128875742745</c:v>
                </c:pt>
                <c:pt idx="291">
                  <c:v>0.107145914096787</c:v>
                </c:pt>
                <c:pt idx="292">
                  <c:v>0.10716343097827</c:v>
                </c:pt>
                <c:pt idx="293">
                  <c:v>0.10718146443905199</c:v>
                </c:pt>
                <c:pt idx="294">
                  <c:v>0.107200057180087</c:v>
                </c:pt>
                <c:pt idx="295">
                  <c:v>0.10721925733519</c:v>
                </c:pt>
                <c:pt idx="296">
                  <c:v>0.107239119424452</c:v>
                </c:pt>
                <c:pt idx="297">
                  <c:v>0.10725970552248799</c:v>
                </c:pt>
                <c:pt idx="298">
                  <c:v>0.107281086701057</c:v>
                </c:pt>
                <c:pt idx="299">
                  <c:v>0.10730334482520799</c:v>
                </c:pt>
                <c:pt idx="300">
                  <c:v>0.107326574809414</c:v>
                </c:pt>
                <c:pt idx="301">
                  <c:v>0.10735088747820599</c:v>
                </c:pt>
                <c:pt idx="302">
                  <c:v>0.10737641322982</c:v>
                </c:pt>
                <c:pt idx="303">
                  <c:v>0.107403306778537</c:v>
                </c:pt>
                <c:pt idx="304">
                  <c:v>0.10743175336319</c:v>
                </c:pt>
                <c:pt idx="305">
                  <c:v>0.107461976972791</c:v>
                </c:pt>
                <c:pt idx="306">
                  <c:v>0.107494251381856</c:v>
                </c:pt>
                <c:pt idx="307">
                  <c:v>0.107528915147976</c:v>
                </c:pt>
                <c:pt idx="308">
                  <c:v>0.107566392263413</c:v>
                </c:pt>
                <c:pt idx="309">
                  <c:v>0.10760722096054399</c:v>
                </c:pt>
                <c:pt idx="310">
                  <c:v>0.107652094373539</c:v>
                </c:pt>
                <c:pt idx="311">
                  <c:v>0.107701918517204</c:v>
                </c:pt>
                <c:pt idx="312">
                  <c:v>0.107757895545197</c:v>
                </c:pt>
                <c:pt idx="313">
                  <c:v>0.107821643761701</c:v>
                </c:pt>
                <c:pt idx="314">
                  <c:v>0.107895371464266</c:v>
                </c:pt>
                <c:pt idx="315">
                  <c:v>0.107982136054144</c:v>
                </c:pt>
                <c:pt idx="316">
                  <c:v>0.108086279484475</c:v>
                </c:pt>
                <c:pt idx="317">
                  <c:v>0.10821441051713999</c:v>
                </c:pt>
                <c:pt idx="318">
                  <c:v>0.108378611684964</c:v>
                </c:pt>
                <c:pt idx="319">
                  <c:v>0.10851279142848901</c:v>
                </c:pt>
                <c:pt idx="320">
                  <c:v>0.108646878508965</c:v>
                </c:pt>
                <c:pt idx="321">
                  <c:v>0.108781836007877</c:v>
                </c:pt>
                <c:pt idx="322">
                  <c:v>0.108917703938839</c:v>
                </c:pt>
                <c:pt idx="323">
                  <c:v>0.109054545173906</c:v>
                </c:pt>
                <c:pt idx="324">
                  <c:v>0.109192417872054</c:v>
                </c:pt>
                <c:pt idx="325">
                  <c:v>0.109331376964383</c:v>
                </c:pt>
                <c:pt idx="326">
                  <c:v>0.10947147454287399</c:v>
                </c:pt>
                <c:pt idx="327">
                  <c:v>0.109612760241196</c:v>
                </c:pt>
                <c:pt idx="328">
                  <c:v>0.10975528157779101</c:v>
                </c:pt>
                <c:pt idx="329">
                  <c:v>0.109899084266184</c:v>
                </c:pt>
                <c:pt idx="330">
                  <c:v>0.110044212495958</c:v>
                </c:pt>
                <c:pt idx="331">
                  <c:v>0.11019070918751001</c:v>
                </c:pt>
                <c:pt idx="332">
                  <c:v>0.11033861622334599</c:v>
                </c:pt>
                <c:pt idx="333">
                  <c:v>0.110487974658393</c:v>
                </c:pt>
                <c:pt idx="334">
                  <c:v>0.110638824911563</c:v>
                </c:pt>
                <c:pt idx="335">
                  <c:v>0.110791206940568</c:v>
                </c:pt>
                <c:pt idx="336">
                  <c:v>0.11094516040180299</c:v>
                </c:pt>
                <c:pt idx="337">
                  <c:v>0.11110072479692901</c:v>
                </c:pt>
                <c:pt idx="338">
                  <c:v>0.111257939607629</c:v>
                </c:pt>
                <c:pt idx="339">
                  <c:v>0.111416844419904</c:v>
                </c:pt>
                <c:pt idx="340">
                  <c:v>0.111577479039088</c:v>
                </c:pt>
                <c:pt idx="341">
                  <c:v>0.111739883596728</c:v>
                </c:pt>
                <c:pt idx="342">
                  <c:v>0.111904098650297</c:v>
                </c:pt>
                <c:pt idx="343">
                  <c:v>0.11207016527668</c:v>
                </c:pt>
                <c:pt idx="344">
                  <c:v>0.112238125160255</c:v>
                </c:pt>
                <c:pt idx="345">
                  <c:v>0.11240802067632299</c:v>
                </c:pt>
                <c:pt idx="346">
                  <c:v>0.11257989497059701</c:v>
                </c:pt>
                <c:pt idx="347">
                  <c:v>0.112753792035371</c:v>
                </c:pt>
                <c:pt idx="348">
                  <c:v>0.112929756782956</c:v>
                </c:pt>
                <c:pt idx="349">
                  <c:v>0.113107835116922</c:v>
                </c:pt>
                <c:pt idx="350">
                  <c:v>0.113288074001635</c:v>
                </c:pt>
                <c:pt idx="351">
                  <c:v>0.113470521530551</c:v>
                </c:pt>
                <c:pt idx="352">
                  <c:v>0.113655226993682</c:v>
                </c:pt>
                <c:pt idx="353">
                  <c:v>0.113842240944644</c:v>
                </c:pt>
                <c:pt idx="354">
                  <c:v>0.114031615267637</c:v>
                </c:pt>
                <c:pt idx="355">
                  <c:v>0.11422340324472501</c:v>
                </c:pt>
                <c:pt idx="356">
                  <c:v>0.11441765962373</c:v>
                </c:pt>
                <c:pt idx="357">
                  <c:v>0.114614440687063</c:v>
                </c:pt>
                <c:pt idx="358">
                  <c:v>0.114813804321789</c:v>
                </c:pt>
                <c:pt idx="359">
                  <c:v>0.22425676384167301</c:v>
                </c:pt>
                <c:pt idx="360">
                  <c:v>0.30704288935609397</c:v>
                </c:pt>
                <c:pt idx="361">
                  <c:v>0.30834090817871301</c:v>
                </c:pt>
                <c:pt idx="362">
                  <c:v>0.30921577139060102</c:v>
                </c:pt>
                <c:pt idx="363">
                  <c:v>0.31017471350345399</c:v>
                </c:pt>
                <c:pt idx="364">
                  <c:v>0.31131883897321</c:v>
                </c:pt>
                <c:pt idx="365">
                  <c:v>0.31289797505880901</c:v>
                </c:pt>
                <c:pt idx="366">
                  <c:v>0.51289797505880896</c:v>
                </c:pt>
                <c:pt idx="367">
                  <c:v>0.51289797505880896</c:v>
                </c:pt>
              </c:numCache>
            </c:numRef>
          </c:xVal>
          <c:yVal>
            <c:numRef>
              <c:f>Implicit_Fracs!$BI$4:$BI$371</c:f>
              <c:numCache>
                <c:formatCode>General</c:formatCode>
                <c:ptCount val="3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91-429B-A3ED-EA119F4F2CB0}"/>
            </c:ext>
          </c:extLst>
        </c:ser>
        <c:ser>
          <c:idx val="4"/>
          <c:order val="4"/>
          <c:tx>
            <c:strRef>
              <c:f>Implicit_Fracs!$BJ$2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Implicit_Fracs!$C$4:$C$371</c:f>
              <c:numCache>
                <c:formatCode>General</c:formatCode>
                <c:ptCount val="368"/>
                <c:pt idx="0">
                  <c:v>6.5458908507104702E-2</c:v>
                </c:pt>
                <c:pt idx="1">
                  <c:v>0.10158646265419501</c:v>
                </c:pt>
                <c:pt idx="2">
                  <c:v>0.102060105178604</c:v>
                </c:pt>
                <c:pt idx="3">
                  <c:v>0.102354758409441</c:v>
                </c:pt>
                <c:pt idx="4">
                  <c:v>0.10257003610151801</c:v>
                </c:pt>
                <c:pt idx="5">
                  <c:v>0.102740146597483</c:v>
                </c:pt>
                <c:pt idx="6">
                  <c:v>0.10288102093448701</c:v>
                </c:pt>
                <c:pt idx="7">
                  <c:v>0.10300139565401099</c:v>
                </c:pt>
                <c:pt idx="8">
                  <c:v>0.10310658737638601</c:v>
                </c:pt>
                <c:pt idx="9">
                  <c:v>0.103200075337502</c:v>
                </c:pt>
                <c:pt idx="10">
                  <c:v>0.103284262204</c:v>
                </c:pt>
                <c:pt idx="11">
                  <c:v>0.103360877526633</c:v>
                </c:pt>
                <c:pt idx="12">
                  <c:v>0.103431208153653</c:v>
                </c:pt>
                <c:pt idx="13">
                  <c:v>0.103496237708407</c:v>
                </c:pt>
                <c:pt idx="14">
                  <c:v>0.103556735084609</c:v>
                </c:pt>
                <c:pt idx="15">
                  <c:v>0.103613312816801</c:v>
                </c:pt>
                <c:pt idx="16">
                  <c:v>0.103666466857375</c:v>
                </c:pt>
                <c:pt idx="17">
                  <c:v>0.10371660444741999</c:v>
                </c:pt>
                <c:pt idx="18">
                  <c:v>0.10376406411969299</c:v>
                </c:pt>
                <c:pt idx="19">
                  <c:v>0.10380913035858701</c:v>
                </c:pt>
                <c:pt idx="20">
                  <c:v>0.103852044544123</c:v>
                </c:pt>
                <c:pt idx="21">
                  <c:v>0.103893013256558</c:v>
                </c:pt>
                <c:pt idx="22">
                  <c:v>0.103932214670875</c:v>
                </c:pt>
                <c:pt idx="23">
                  <c:v>0.10396980354554</c:v>
                </c:pt>
                <c:pt idx="24">
                  <c:v>0.104005915161023</c:v>
                </c:pt>
                <c:pt idx="25">
                  <c:v>0.10404066846285701</c:v>
                </c:pt>
                <c:pt idx="26">
                  <c:v>0.104074168594671</c:v>
                </c:pt>
                <c:pt idx="27">
                  <c:v>0.10410650895807599</c:v>
                </c:pt>
                <c:pt idx="28">
                  <c:v>0.10413777290170501</c:v>
                </c:pt>
                <c:pt idx="29">
                  <c:v>0.104168035116796</c:v>
                </c:pt>
                <c:pt idx="30">
                  <c:v>0.104197362798492</c:v>
                </c:pt>
                <c:pt idx="31">
                  <c:v>0.104225816618547</c:v>
                </c:pt>
                <c:pt idx="32">
                  <c:v>0.104253451545067</c:v>
                </c:pt>
                <c:pt idx="33">
                  <c:v>0.104280317537286</c:v>
                </c:pt>
                <c:pt idx="34">
                  <c:v>0.10430646013757899</c:v>
                </c:pt>
                <c:pt idx="35">
                  <c:v>0.10433192097843901</c:v>
                </c:pt>
                <c:pt idx="36">
                  <c:v>0.104356738218675</c:v>
                </c:pt>
                <c:pt idx="37">
                  <c:v>0.10438094692038</c:v>
                </c:pt>
                <c:pt idx="38">
                  <c:v>0.104404579376061</c:v>
                </c:pt>
                <c:pt idx="39">
                  <c:v>0.10442766539470601</c:v>
                </c:pt>
                <c:pt idx="40">
                  <c:v>0.104450232550895</c:v>
                </c:pt>
                <c:pt idx="41">
                  <c:v>0.104472306403378</c:v>
                </c:pt>
                <c:pt idx="42">
                  <c:v>0.104493910687546</c:v>
                </c:pt>
                <c:pt idx="43">
                  <c:v>0.104515067485448</c:v>
                </c:pt>
                <c:pt idx="44">
                  <c:v>0.104535797376425</c:v>
                </c:pt>
                <c:pt idx="45">
                  <c:v>0.104556119570968</c:v>
                </c:pt>
                <c:pt idx="46">
                  <c:v>0.10457605202998201</c:v>
                </c:pt>
                <c:pt idx="47">
                  <c:v>0.10459561157132601</c:v>
                </c:pt>
                <c:pt idx="48">
                  <c:v>0.10461481396524</c:v>
                </c:pt>
                <c:pt idx="49">
                  <c:v>0.104633674020002</c:v>
                </c:pt>
                <c:pt idx="50">
                  <c:v>0.104652205659008</c:v>
                </c:pt>
                <c:pt idx="51">
                  <c:v>0.10467042199028</c:v>
                </c:pt>
                <c:pt idx="52">
                  <c:v>0.10468833536927501</c:v>
                </c:pt>
                <c:pt idx="53">
                  <c:v>0.104705957455764</c:v>
                </c:pt>
                <c:pt idx="54">
                  <c:v>0.104723299265432</c:v>
                </c:pt>
                <c:pt idx="55">
                  <c:v>0.10474037121678501</c:v>
                </c:pt>
                <c:pt idx="56">
                  <c:v>0.104757183173858</c:v>
                </c:pt>
                <c:pt idx="57">
                  <c:v>0.10477374448518</c:v>
                </c:pt>
                <c:pt idx="58">
                  <c:v>0.104790064019366</c:v>
                </c:pt>
                <c:pt idx="59">
                  <c:v>0.10480615019770299</c:v>
                </c:pt>
                <c:pt idx="60">
                  <c:v>0.104822011024007</c:v>
                </c:pt>
                <c:pt idx="61">
                  <c:v>0.10483765411203801</c:v>
                </c:pt>
                <c:pt idx="62">
                  <c:v>0.104853086710699</c:v>
                </c:pt>
                <c:pt idx="63">
                  <c:v>0.10486831572724099</c:v>
                </c:pt>
                <c:pt idx="64">
                  <c:v>0.104883347748643</c:v>
                </c:pt>
                <c:pt idx="65">
                  <c:v>0.104898189061358</c:v>
                </c:pt>
                <c:pt idx="66">
                  <c:v>0.104912845669559</c:v>
                </c:pt>
                <c:pt idx="67">
                  <c:v>0.10492732331202199</c:v>
                </c:pt>
                <c:pt idx="68">
                  <c:v>0.10494162747777</c:v>
                </c:pt>
                <c:pt idx="69">
                  <c:v>0.10495576342058401</c:v>
                </c:pt>
                <c:pt idx="70">
                  <c:v>0.104969736172476</c:v>
                </c:pt>
                <c:pt idx="71">
                  <c:v>0.104983550556215</c:v>
                </c:pt>
                <c:pt idx="72">
                  <c:v>0.104997211196988</c:v>
                </c:pt>
                <c:pt idx="73">
                  <c:v>0.105010722533251</c:v>
                </c:pt>
                <c:pt idx="74">
                  <c:v>0.10502408882686499</c:v>
                </c:pt>
                <c:pt idx="75">
                  <c:v>0.105037314172539</c:v>
                </c:pt>
                <c:pt idx="76">
                  <c:v>0.10505040250667</c:v>
                </c:pt>
                <c:pt idx="77">
                  <c:v>0.105063357615594</c:v>
                </c:pt>
                <c:pt idx="78">
                  <c:v>0.105076183143323</c:v>
                </c:pt>
                <c:pt idx="79">
                  <c:v>0.10508888259878001</c:v>
                </c:pt>
                <c:pt idx="80">
                  <c:v>0.105101459362598</c:v>
                </c:pt>
                <c:pt idx="81">
                  <c:v>0.10511391669348399</c:v>
                </c:pt>
                <c:pt idx="82">
                  <c:v>0.10512625773421</c:v>
                </c:pt>
                <c:pt idx="83">
                  <c:v>0.10513848551723599</c:v>
                </c:pt>
                <c:pt idx="84">
                  <c:v>0.10515060297000201</c:v>
                </c:pt>
                <c:pt idx="85">
                  <c:v>0.105162612919908</c:v>
                </c:pt>
                <c:pt idx="86">
                  <c:v>0.105174518099013</c:v>
                </c:pt>
                <c:pt idx="87">
                  <c:v>0.105186321148453</c:v>
                </c:pt>
                <c:pt idx="88">
                  <c:v>0.105198024622616</c:v>
                </c:pt>
                <c:pt idx="89">
                  <c:v>0.105209630993088</c:v>
                </c:pt>
                <c:pt idx="90">
                  <c:v>0.10522114265237301</c:v>
                </c:pt>
                <c:pt idx="91">
                  <c:v>0.105232561917411</c:v>
                </c:pt>
                <c:pt idx="92">
                  <c:v>0.105243891032912</c:v>
                </c:pt>
                <c:pt idx="93">
                  <c:v>0.105255132174505</c:v>
                </c:pt>
                <c:pt idx="94">
                  <c:v>0.10526628745172401</c:v>
                </c:pt>
                <c:pt idx="95">
                  <c:v>0.105277358910841</c:v>
                </c:pt>
                <c:pt idx="96">
                  <c:v>0.105288348537545</c:v>
                </c:pt>
                <c:pt idx="97">
                  <c:v>0.10529925825949001</c:v>
                </c:pt>
                <c:pt idx="98">
                  <c:v>0.105310089948715</c:v>
                </c:pt>
                <c:pt idx="99">
                  <c:v>0.10532084542394</c:v>
                </c:pt>
                <c:pt idx="100">
                  <c:v>0.105331526452749</c:v>
                </c:pt>
                <c:pt idx="101">
                  <c:v>0.10534213475366599</c:v>
                </c:pt>
                <c:pt idx="102">
                  <c:v>0.105352671998135</c:v>
                </c:pt>
                <c:pt idx="103">
                  <c:v>0.105363139812398</c:v>
                </c:pt>
                <c:pt idx="104">
                  <c:v>0.10537353977929</c:v>
                </c:pt>
                <c:pt idx="105">
                  <c:v>0.105383873439947</c:v>
                </c:pt>
                <c:pt idx="106">
                  <c:v>0.105394142295438</c:v>
                </c:pt>
                <c:pt idx="107">
                  <c:v>0.10540434780831399</c:v>
                </c:pt>
                <c:pt idx="108">
                  <c:v>0.1054144914041</c:v>
                </c:pt>
                <c:pt idx="109">
                  <c:v>0.105424574472708</c:v>
                </c:pt>
                <c:pt idx="110">
                  <c:v>0.10543459836979301</c:v>
                </c:pt>
                <c:pt idx="111">
                  <c:v>0.105444564418049</c:v>
                </c:pt>
                <c:pt idx="112">
                  <c:v>0.105454473908448</c:v>
                </c:pt>
                <c:pt idx="113">
                  <c:v>0.105464328101426</c:v>
                </c:pt>
                <c:pt idx="114">
                  <c:v>0.10547412822802001</c:v>
                </c:pt>
                <c:pt idx="115">
                  <c:v>0.10548387549095201</c:v>
                </c:pt>
                <c:pt idx="116">
                  <c:v>0.105493571065675</c:v>
                </c:pt>
                <c:pt idx="117">
                  <c:v>0.105503216101374</c:v>
                </c:pt>
                <c:pt idx="118">
                  <c:v>0.10551281172191999</c:v>
                </c:pt>
                <c:pt idx="119">
                  <c:v>0.10552235902679701</c:v>
                </c:pt>
                <c:pt idx="120">
                  <c:v>0.105531859091982</c:v>
                </c:pt>
                <c:pt idx="121">
                  <c:v>0.105541312970793</c:v>
                </c:pt>
                <c:pt idx="122">
                  <c:v>0.105550721694713</c:v>
                </c:pt>
                <c:pt idx="123">
                  <c:v>0.10556008627416701</c:v>
                </c:pt>
                <c:pt idx="124">
                  <c:v>0.105569407699282</c:v>
                </c:pt>
                <c:pt idx="125">
                  <c:v>0.105578686940613</c:v>
                </c:pt>
                <c:pt idx="126">
                  <c:v>0.10558792494984499</c:v>
                </c:pt>
                <c:pt idx="127">
                  <c:v>0.105597122660464</c:v>
                </c:pt>
                <c:pt idx="128">
                  <c:v>0.105606280988415</c:v>
                </c:pt>
                <c:pt idx="129">
                  <c:v>0.105615400832723</c:v>
                </c:pt>
                <c:pt idx="130">
                  <c:v>0.10562448307610101</c:v>
                </c:pt>
                <c:pt idx="131">
                  <c:v>0.105633528585537</c:v>
                </c:pt>
                <c:pt idx="132">
                  <c:v>0.105642538212856</c:v>
                </c:pt>
                <c:pt idx="133">
                  <c:v>0.10565151279527001</c:v>
                </c:pt>
                <c:pt idx="134">
                  <c:v>0.105660453155901</c:v>
                </c:pt>
                <c:pt idx="135">
                  <c:v>0.1056693601043</c:v>
                </c:pt>
                <c:pt idx="136">
                  <c:v>0.105678234436935</c:v>
                </c:pt>
                <c:pt idx="137">
                  <c:v>0.105687076937673</c:v>
                </c:pt>
                <c:pt idx="138">
                  <c:v>0.10569588837824601</c:v>
                </c:pt>
                <c:pt idx="139">
                  <c:v>0.105704669518702</c:v>
                </c:pt>
                <c:pt idx="140">
                  <c:v>0.105713421107842</c:v>
                </c:pt>
                <c:pt idx="141">
                  <c:v>0.105722143883642</c:v>
                </c:pt>
                <c:pt idx="142">
                  <c:v>0.10573083857367301</c:v>
                </c:pt>
                <c:pt idx="143">
                  <c:v>0.10573950589549699</c:v>
                </c:pt>
                <c:pt idx="144">
                  <c:v>0.105748146557059</c:v>
                </c:pt>
                <c:pt idx="145">
                  <c:v>0.105756761257069</c:v>
                </c:pt>
                <c:pt idx="146">
                  <c:v>0.105765350685371</c:v>
                </c:pt>
                <c:pt idx="147">
                  <c:v>0.10577391552330601</c:v>
                </c:pt>
                <c:pt idx="148">
                  <c:v>0.105782456444064</c:v>
                </c:pt>
                <c:pt idx="149">
                  <c:v>0.105790974113029</c:v>
                </c:pt>
                <c:pt idx="150">
                  <c:v>0.105799469188117</c:v>
                </c:pt>
                <c:pt idx="151">
                  <c:v>0.105807942320102</c:v>
                </c:pt>
                <c:pt idx="152">
                  <c:v>0.105816394152941</c:v>
                </c:pt>
                <c:pt idx="153">
                  <c:v>0.10582482532409</c:v>
                </c:pt>
                <c:pt idx="154">
                  <c:v>0.10583323646481201</c:v>
                </c:pt>
                <c:pt idx="155">
                  <c:v>0.105841628200482</c:v>
                </c:pt>
                <c:pt idx="156">
                  <c:v>0.105850001150887</c:v>
                </c:pt>
                <c:pt idx="157">
                  <c:v>0.105858355930516</c:v>
                </c:pt>
                <c:pt idx="158">
                  <c:v>0.105866693148851</c:v>
                </c:pt>
                <c:pt idx="159">
                  <c:v>0.105875013410654</c:v>
                </c:pt>
                <c:pt idx="160">
                  <c:v>0.10588331731624</c:v>
                </c:pt>
                <c:pt idx="161">
                  <c:v>0.105891605461765</c:v>
                </c:pt>
                <c:pt idx="162">
                  <c:v>0.10589987843948701</c:v>
                </c:pt>
                <c:pt idx="163">
                  <c:v>0.10590813683804701</c:v>
                </c:pt>
                <c:pt idx="164">
                  <c:v>0.10591638124273201</c:v>
                </c:pt>
                <c:pt idx="165">
                  <c:v>0.105924612235738</c:v>
                </c:pt>
                <c:pt idx="166">
                  <c:v>0.10593283039644</c:v>
                </c:pt>
                <c:pt idx="167">
                  <c:v>0.105941036301648</c:v>
                </c:pt>
                <c:pt idx="168">
                  <c:v>0.10594923052586901</c:v>
                </c:pt>
                <c:pt idx="169">
                  <c:v>0.105957413641566</c:v>
                </c:pt>
                <c:pt idx="170">
                  <c:v>0.105965586219415</c:v>
                </c:pt>
                <c:pt idx="171">
                  <c:v>0.105973748828566</c:v>
                </c:pt>
                <c:pt idx="172">
                  <c:v>0.10598190203689301</c:v>
                </c:pt>
                <c:pt idx="173">
                  <c:v>0.105990046411258</c:v>
                </c:pt>
                <c:pt idx="174">
                  <c:v>0.10599818251776701</c:v>
                </c:pt>
                <c:pt idx="175">
                  <c:v>0.106006310922025</c:v>
                </c:pt>
                <c:pt idx="176">
                  <c:v>0.106014432189397</c:v>
                </c:pt>
                <c:pt idx="177">
                  <c:v>0.106022546885271</c:v>
                </c:pt>
                <c:pt idx="178">
                  <c:v>0.10603065557531401</c:v>
                </c:pt>
                <c:pt idx="179">
                  <c:v>0.10603875882574</c:v>
                </c:pt>
                <c:pt idx="180">
                  <c:v>0.106046857203577</c:v>
                </c:pt>
                <c:pt idx="181">
                  <c:v>0.106054951276932</c:v>
                </c:pt>
                <c:pt idx="182">
                  <c:v>0.106063041615263</c:v>
                </c:pt>
                <c:pt idx="183">
                  <c:v>0.10607112878965499</c:v>
                </c:pt>
                <c:pt idx="184">
                  <c:v>0.106079213373101</c:v>
                </c:pt>
                <c:pt idx="185">
                  <c:v>0.106087295940776</c:v>
                </c:pt>
                <c:pt idx="186">
                  <c:v>0.10609537707033299</c:v>
                </c:pt>
                <c:pt idx="187">
                  <c:v>0.106103457342189</c:v>
                </c:pt>
                <c:pt idx="188">
                  <c:v>0.106111537339822</c:v>
                </c:pt>
                <c:pt idx="189">
                  <c:v>0.10611961765007601</c:v>
                </c:pt>
                <c:pt idx="190">
                  <c:v>0.106127698863465</c:v>
                </c:pt>
                <c:pt idx="191">
                  <c:v>0.10613578157449099</c:v>
                </c:pt>
                <c:pt idx="192">
                  <c:v>0.106143866381966</c:v>
                </c:pt>
                <c:pt idx="193">
                  <c:v>0.10615195388934</c:v>
                </c:pt>
                <c:pt idx="194">
                  <c:v>0.106160044705038</c:v>
                </c:pt>
                <c:pt idx="195">
                  <c:v>0.106168139442805</c:v>
                </c:pt>
                <c:pt idx="196">
                  <c:v>0.106176238722063</c:v>
                </c:pt>
                <c:pt idx="197">
                  <c:v>0.106184343168276</c:v>
                </c:pt>
                <c:pt idx="198">
                  <c:v>0.10619245341332301</c:v>
                </c:pt>
                <c:pt idx="199">
                  <c:v>0.106200570095885</c:v>
                </c:pt>
                <c:pt idx="200">
                  <c:v>0.10620869386184199</c:v>
                </c:pt>
                <c:pt idx="201">
                  <c:v>0.10621682536468401</c:v>
                </c:pt>
                <c:pt idx="202">
                  <c:v>0.106224965265935</c:v>
                </c:pt>
                <c:pt idx="203">
                  <c:v>0.106233114235588</c:v>
                </c:pt>
                <c:pt idx="204">
                  <c:v>0.10624127295256</c:v>
                </c:pt>
                <c:pt idx="205">
                  <c:v>0.10624944210515699</c:v>
                </c:pt>
                <c:pt idx="206">
                  <c:v>0.106257622391562</c:v>
                </c:pt>
                <c:pt idx="207">
                  <c:v>0.106265814520335</c:v>
                </c:pt>
                <c:pt idx="208">
                  <c:v>0.106274019210935</c:v>
                </c:pt>
                <c:pt idx="209">
                  <c:v>0.10628223719426</c:v>
                </c:pt>
                <c:pt idx="210">
                  <c:v>0.106290469213214</c:v>
                </c:pt>
                <c:pt idx="211">
                  <c:v>0.106298716023284</c:v>
                </c:pt>
                <c:pt idx="212">
                  <c:v>0.106306978393155</c:v>
                </c:pt>
                <c:pt idx="213">
                  <c:v>0.106315257105341</c:v>
                </c:pt>
                <c:pt idx="214">
                  <c:v>0.10632355295684801</c:v>
                </c:pt>
                <c:pt idx="215">
                  <c:v>0.10633186675985799</c:v>
                </c:pt>
                <c:pt idx="216">
                  <c:v>0.10634019934245301</c:v>
                </c:pt>
                <c:pt idx="217">
                  <c:v>0.106348551549366</c:v>
                </c:pt>
                <c:pt idx="218">
                  <c:v>0.106356924242761</c:v>
                </c:pt>
                <c:pt idx="219">
                  <c:v>0.10636531830306099</c:v>
                </c:pt>
                <c:pt idx="220">
                  <c:v>0.106373734629807</c:v>
                </c:pt>
                <c:pt idx="221">
                  <c:v>0.10638217414255299</c:v>
                </c:pt>
                <c:pt idx="222">
                  <c:v>0.106390637781818</c:v>
                </c:pt>
                <c:pt idx="223">
                  <c:v>0.10639912651007299</c:v>
                </c:pt>
                <c:pt idx="224">
                  <c:v>0.10640764131277999</c:v>
                </c:pt>
                <c:pt idx="225">
                  <c:v>0.10641618319948901</c:v>
                </c:pt>
                <c:pt idx="226">
                  <c:v>0.106424753204983</c:v>
                </c:pt>
                <c:pt idx="227">
                  <c:v>0.10643335239049</c:v>
                </c:pt>
                <c:pt idx="228">
                  <c:v>0.106441981844954</c:v>
                </c:pt>
                <c:pt idx="229">
                  <c:v>0.106450642686375</c:v>
                </c:pt>
                <c:pt idx="230">
                  <c:v>0.10645933606322799</c:v>
                </c:pt>
                <c:pt idx="231">
                  <c:v>0.10646806315594901</c:v>
                </c:pt>
                <c:pt idx="232">
                  <c:v>0.106476825178516</c:v>
                </c:pt>
                <c:pt idx="233">
                  <c:v>0.10648562338011</c:v>
                </c:pt>
                <c:pt idx="234">
                  <c:v>0.106494459046881</c:v>
                </c:pt>
                <c:pt idx="235">
                  <c:v>0.106503333503809</c:v>
                </c:pt>
                <c:pt idx="236">
                  <c:v>0.10651224811667701</c:v>
                </c:pt>
                <c:pt idx="237">
                  <c:v>0.106521204294171</c:v>
                </c:pt>
                <c:pt idx="238">
                  <c:v>0.106530203490093</c:v>
                </c:pt>
                <c:pt idx="239">
                  <c:v>0.10653924720572699</c:v>
                </c:pt>
                <c:pt idx="240">
                  <c:v>0.106548336992338</c:v>
                </c:pt>
                <c:pt idx="241">
                  <c:v>0.106557474453844</c:v>
                </c:pt>
                <c:pt idx="242">
                  <c:v>0.106566661249652</c:v>
                </c:pt>
                <c:pt idx="243">
                  <c:v>0.10657589909767901</c:v>
                </c:pt>
                <c:pt idx="244">
                  <c:v>0.10658518977758299</c:v>
                </c:pt>
                <c:pt idx="245">
                  <c:v>0.106594535134197</c:v>
                </c:pt>
                <c:pt idx="246">
                  <c:v>0.106603937081217</c:v>
                </c:pt>
                <c:pt idx="247">
                  <c:v>0.106613397605125</c:v>
                </c:pt>
                <c:pt idx="248">
                  <c:v>0.10662291876941001</c:v>
                </c:pt>
                <c:pt idx="249">
                  <c:v>0.106632502719071</c:v>
                </c:pt>
                <c:pt idx="250">
                  <c:v>0.10664215168546599</c:v>
                </c:pt>
                <c:pt idx="251">
                  <c:v>0.106651867991505</c:v>
                </c:pt>
                <c:pt idx="252">
                  <c:v>0.106661654057239</c:v>
                </c:pt>
                <c:pt idx="253">
                  <c:v>0.106671512405876</c:v>
                </c:pt>
                <c:pt idx="254">
                  <c:v>0.106681445670259</c:v>
                </c:pt>
                <c:pt idx="255">
                  <c:v>0.106691456599855</c:v>
                </c:pt>
                <c:pt idx="256">
                  <c:v>0.10670154806830701</c:v>
                </c:pt>
                <c:pt idx="257">
                  <c:v>0.106711723081597</c:v>
                </c:pt>
                <c:pt idx="258">
                  <c:v>0.106721984786882</c:v>
                </c:pt>
                <c:pt idx="259">
                  <c:v>0.106732336482082</c:v>
                </c:pt>
                <c:pt idx="260">
                  <c:v>0.10674278162628199</c:v>
                </c:pt>
                <c:pt idx="261">
                  <c:v>0.106753323851043</c:v>
                </c:pt>
                <c:pt idx="262">
                  <c:v>0.106763966972719</c:v>
                </c:pt>
                <c:pt idx="263">
                  <c:v>0.10677471500588499</c:v>
                </c:pt>
                <c:pt idx="264">
                  <c:v>0.10678557217800599</c:v>
                </c:pt>
                <c:pt idx="265">
                  <c:v>0.106796542945475</c:v>
                </c:pt>
                <c:pt idx="266">
                  <c:v>0.10680763201119001</c:v>
                </c:pt>
                <c:pt idx="267">
                  <c:v>0.106818844343851</c:v>
                </c:pt>
                <c:pt idx="268">
                  <c:v>0.106830185199162</c:v>
                </c:pt>
                <c:pt idx="269">
                  <c:v>0.1068416601432</c:v>
                </c:pt>
                <c:pt idx="270">
                  <c:v>0.106853275078199</c:v>
                </c:pt>
                <c:pt idx="271">
                  <c:v>0.10686503627105901</c:v>
                </c:pt>
                <c:pt idx="272">
                  <c:v>0.106876950384948</c:v>
                </c:pt>
                <c:pt idx="273">
                  <c:v>0.10688902451438199</c:v>
                </c:pt>
                <c:pt idx="274">
                  <c:v>0.106901266224276</c:v>
                </c:pt>
                <c:pt idx="275">
                  <c:v>0.106913683593506</c:v>
                </c:pt>
                <c:pt idx="276">
                  <c:v>0.106926285263621</c:v>
                </c:pt>
                <c:pt idx="277">
                  <c:v>0.106939080493455</c:v>
                </c:pt>
                <c:pt idx="278">
                  <c:v>0.10695207922051</c:v>
                </c:pt>
                <c:pt idx="279">
                  <c:v>0.10696529213014599</c:v>
                </c:pt>
                <c:pt idx="280">
                  <c:v>0.106978730733797</c:v>
                </c:pt>
                <c:pt idx="281">
                  <c:v>0.106992407457646</c:v>
                </c:pt>
                <c:pt idx="282">
                  <c:v>0.107006335743491</c:v>
                </c:pt>
                <c:pt idx="283">
                  <c:v>0.10702053016384699</c:v>
                </c:pt>
                <c:pt idx="284">
                  <c:v>0.107035006553762</c:v>
                </c:pt>
                <c:pt idx="285">
                  <c:v>0.107049782162317</c:v>
                </c:pt>
                <c:pt idx="286">
                  <c:v>0.10706487582742701</c:v>
                </c:pt>
                <c:pt idx="287">
                  <c:v>0.107080308178348</c:v>
                </c:pt>
                <c:pt idx="288">
                  <c:v>0.10709610187127599</c:v>
                </c:pt>
                <c:pt idx="289">
                  <c:v>0.10711228186470099</c:v>
                </c:pt>
                <c:pt idx="290">
                  <c:v>0.107128875742745</c:v>
                </c:pt>
                <c:pt idx="291">
                  <c:v>0.107145914096787</c:v>
                </c:pt>
                <c:pt idx="292">
                  <c:v>0.10716343097827</c:v>
                </c:pt>
                <c:pt idx="293">
                  <c:v>0.10718146443905199</c:v>
                </c:pt>
                <c:pt idx="294">
                  <c:v>0.107200057180087</c:v>
                </c:pt>
                <c:pt idx="295">
                  <c:v>0.10721925733519</c:v>
                </c:pt>
                <c:pt idx="296">
                  <c:v>0.107239119424452</c:v>
                </c:pt>
                <c:pt idx="297">
                  <c:v>0.10725970552248799</c:v>
                </c:pt>
                <c:pt idx="298">
                  <c:v>0.107281086701057</c:v>
                </c:pt>
                <c:pt idx="299">
                  <c:v>0.10730334482520799</c:v>
                </c:pt>
                <c:pt idx="300">
                  <c:v>0.107326574809414</c:v>
                </c:pt>
                <c:pt idx="301">
                  <c:v>0.10735088747820599</c:v>
                </c:pt>
                <c:pt idx="302">
                  <c:v>0.10737641322982</c:v>
                </c:pt>
                <c:pt idx="303">
                  <c:v>0.107403306778537</c:v>
                </c:pt>
                <c:pt idx="304">
                  <c:v>0.10743175336319</c:v>
                </c:pt>
                <c:pt idx="305">
                  <c:v>0.107461976972791</c:v>
                </c:pt>
                <c:pt idx="306">
                  <c:v>0.107494251381856</c:v>
                </c:pt>
                <c:pt idx="307">
                  <c:v>0.107528915147976</c:v>
                </c:pt>
                <c:pt idx="308">
                  <c:v>0.107566392263413</c:v>
                </c:pt>
                <c:pt idx="309">
                  <c:v>0.10760722096054399</c:v>
                </c:pt>
                <c:pt idx="310">
                  <c:v>0.107652094373539</c:v>
                </c:pt>
                <c:pt idx="311">
                  <c:v>0.107701918517204</c:v>
                </c:pt>
                <c:pt idx="312">
                  <c:v>0.107757895545197</c:v>
                </c:pt>
                <c:pt idx="313">
                  <c:v>0.107821643761701</c:v>
                </c:pt>
                <c:pt idx="314">
                  <c:v>0.107895371464266</c:v>
                </c:pt>
                <c:pt idx="315">
                  <c:v>0.107982136054144</c:v>
                </c:pt>
                <c:pt idx="316">
                  <c:v>0.108086279484475</c:v>
                </c:pt>
                <c:pt idx="317">
                  <c:v>0.10821441051713999</c:v>
                </c:pt>
                <c:pt idx="318">
                  <c:v>0.108378611684964</c:v>
                </c:pt>
                <c:pt idx="319">
                  <c:v>0.10851279142848901</c:v>
                </c:pt>
                <c:pt idx="320">
                  <c:v>0.108646878508965</c:v>
                </c:pt>
                <c:pt idx="321">
                  <c:v>0.108781836007877</c:v>
                </c:pt>
                <c:pt idx="322">
                  <c:v>0.108917703938839</c:v>
                </c:pt>
                <c:pt idx="323">
                  <c:v>0.109054545173906</c:v>
                </c:pt>
                <c:pt idx="324">
                  <c:v>0.109192417872054</c:v>
                </c:pt>
                <c:pt idx="325">
                  <c:v>0.109331376964383</c:v>
                </c:pt>
                <c:pt idx="326">
                  <c:v>0.10947147454287399</c:v>
                </c:pt>
                <c:pt idx="327">
                  <c:v>0.109612760241196</c:v>
                </c:pt>
                <c:pt idx="328">
                  <c:v>0.10975528157779101</c:v>
                </c:pt>
                <c:pt idx="329">
                  <c:v>0.109899084266184</c:v>
                </c:pt>
                <c:pt idx="330">
                  <c:v>0.110044212495958</c:v>
                </c:pt>
                <c:pt idx="331">
                  <c:v>0.11019070918751001</c:v>
                </c:pt>
                <c:pt idx="332">
                  <c:v>0.11033861622334599</c:v>
                </c:pt>
                <c:pt idx="333">
                  <c:v>0.110487974658393</c:v>
                </c:pt>
                <c:pt idx="334">
                  <c:v>0.110638824911563</c:v>
                </c:pt>
                <c:pt idx="335">
                  <c:v>0.110791206940568</c:v>
                </c:pt>
                <c:pt idx="336">
                  <c:v>0.11094516040180299</c:v>
                </c:pt>
                <c:pt idx="337">
                  <c:v>0.11110072479692901</c:v>
                </c:pt>
                <c:pt idx="338">
                  <c:v>0.111257939607629</c:v>
                </c:pt>
                <c:pt idx="339">
                  <c:v>0.111416844419904</c:v>
                </c:pt>
                <c:pt idx="340">
                  <c:v>0.111577479039088</c:v>
                </c:pt>
                <c:pt idx="341">
                  <c:v>0.111739883596728</c:v>
                </c:pt>
                <c:pt idx="342">
                  <c:v>0.111904098650297</c:v>
                </c:pt>
                <c:pt idx="343">
                  <c:v>0.11207016527668</c:v>
                </c:pt>
                <c:pt idx="344">
                  <c:v>0.112238125160255</c:v>
                </c:pt>
                <c:pt idx="345">
                  <c:v>0.11240802067632299</c:v>
                </c:pt>
                <c:pt idx="346">
                  <c:v>0.11257989497059701</c:v>
                </c:pt>
                <c:pt idx="347">
                  <c:v>0.112753792035371</c:v>
                </c:pt>
                <c:pt idx="348">
                  <c:v>0.112929756782956</c:v>
                </c:pt>
                <c:pt idx="349">
                  <c:v>0.113107835116922</c:v>
                </c:pt>
                <c:pt idx="350">
                  <c:v>0.113288074001635</c:v>
                </c:pt>
                <c:pt idx="351">
                  <c:v>0.113470521530551</c:v>
                </c:pt>
                <c:pt idx="352">
                  <c:v>0.113655226993682</c:v>
                </c:pt>
                <c:pt idx="353">
                  <c:v>0.113842240944644</c:v>
                </c:pt>
                <c:pt idx="354">
                  <c:v>0.114031615267637</c:v>
                </c:pt>
                <c:pt idx="355">
                  <c:v>0.11422340324472501</c:v>
                </c:pt>
                <c:pt idx="356">
                  <c:v>0.11441765962373</c:v>
                </c:pt>
                <c:pt idx="357">
                  <c:v>0.114614440687063</c:v>
                </c:pt>
                <c:pt idx="358">
                  <c:v>0.114813804321789</c:v>
                </c:pt>
                <c:pt idx="359">
                  <c:v>0.22425676384167301</c:v>
                </c:pt>
                <c:pt idx="360">
                  <c:v>0.30704288935609397</c:v>
                </c:pt>
                <c:pt idx="361">
                  <c:v>0.30834090817871301</c:v>
                </c:pt>
                <c:pt idx="362">
                  <c:v>0.30921577139060102</c:v>
                </c:pt>
                <c:pt idx="363">
                  <c:v>0.31017471350345399</c:v>
                </c:pt>
                <c:pt idx="364">
                  <c:v>0.31131883897321</c:v>
                </c:pt>
                <c:pt idx="365">
                  <c:v>0.31289797505880901</c:v>
                </c:pt>
                <c:pt idx="366">
                  <c:v>0.51289797505880896</c:v>
                </c:pt>
                <c:pt idx="367">
                  <c:v>0.51289797505880896</c:v>
                </c:pt>
              </c:numCache>
            </c:numRef>
          </c:xVal>
          <c:yVal>
            <c:numRef>
              <c:f>Implicit_Fracs!$BJ$4:$BJ$371</c:f>
              <c:numCache>
                <c:formatCode>General</c:formatCode>
                <c:ptCount val="3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91-429B-A3ED-EA119F4F2CB0}"/>
            </c:ext>
          </c:extLst>
        </c:ser>
        <c:ser>
          <c:idx val="5"/>
          <c:order val="5"/>
          <c:tx>
            <c:strRef>
              <c:f>Implicit_Fracs!$BK$2</c:f>
              <c:strCache>
                <c:ptCount val="1"/>
                <c:pt idx="0">
                  <c:v>Clear zone volume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Implicit_Fracs!$C$4:$C$371</c:f>
              <c:numCache>
                <c:formatCode>General</c:formatCode>
                <c:ptCount val="368"/>
                <c:pt idx="0">
                  <c:v>6.5458908507104702E-2</c:v>
                </c:pt>
                <c:pt idx="1">
                  <c:v>0.10158646265419501</c:v>
                </c:pt>
                <c:pt idx="2">
                  <c:v>0.102060105178604</c:v>
                </c:pt>
                <c:pt idx="3">
                  <c:v>0.102354758409441</c:v>
                </c:pt>
                <c:pt idx="4">
                  <c:v>0.10257003610151801</c:v>
                </c:pt>
                <c:pt idx="5">
                  <c:v>0.102740146597483</c:v>
                </c:pt>
                <c:pt idx="6">
                  <c:v>0.10288102093448701</c:v>
                </c:pt>
                <c:pt idx="7">
                  <c:v>0.10300139565401099</c:v>
                </c:pt>
                <c:pt idx="8">
                  <c:v>0.10310658737638601</c:v>
                </c:pt>
                <c:pt idx="9">
                  <c:v>0.103200075337502</c:v>
                </c:pt>
                <c:pt idx="10">
                  <c:v>0.103284262204</c:v>
                </c:pt>
                <c:pt idx="11">
                  <c:v>0.103360877526633</c:v>
                </c:pt>
                <c:pt idx="12">
                  <c:v>0.103431208153653</c:v>
                </c:pt>
                <c:pt idx="13">
                  <c:v>0.103496237708407</c:v>
                </c:pt>
                <c:pt idx="14">
                  <c:v>0.103556735084609</c:v>
                </c:pt>
                <c:pt idx="15">
                  <c:v>0.103613312816801</c:v>
                </c:pt>
                <c:pt idx="16">
                  <c:v>0.103666466857375</c:v>
                </c:pt>
                <c:pt idx="17">
                  <c:v>0.10371660444741999</c:v>
                </c:pt>
                <c:pt idx="18">
                  <c:v>0.10376406411969299</c:v>
                </c:pt>
                <c:pt idx="19">
                  <c:v>0.10380913035858701</c:v>
                </c:pt>
                <c:pt idx="20">
                  <c:v>0.103852044544123</c:v>
                </c:pt>
                <c:pt idx="21">
                  <c:v>0.103893013256558</c:v>
                </c:pt>
                <c:pt idx="22">
                  <c:v>0.103932214670875</c:v>
                </c:pt>
                <c:pt idx="23">
                  <c:v>0.10396980354554</c:v>
                </c:pt>
                <c:pt idx="24">
                  <c:v>0.104005915161023</c:v>
                </c:pt>
                <c:pt idx="25">
                  <c:v>0.10404066846285701</c:v>
                </c:pt>
                <c:pt idx="26">
                  <c:v>0.104074168594671</c:v>
                </c:pt>
                <c:pt idx="27">
                  <c:v>0.10410650895807599</c:v>
                </c:pt>
                <c:pt idx="28">
                  <c:v>0.10413777290170501</c:v>
                </c:pt>
                <c:pt idx="29">
                  <c:v>0.104168035116796</c:v>
                </c:pt>
                <c:pt idx="30">
                  <c:v>0.104197362798492</c:v>
                </c:pt>
                <c:pt idx="31">
                  <c:v>0.104225816618547</c:v>
                </c:pt>
                <c:pt idx="32">
                  <c:v>0.104253451545067</c:v>
                </c:pt>
                <c:pt idx="33">
                  <c:v>0.104280317537286</c:v>
                </c:pt>
                <c:pt idx="34">
                  <c:v>0.10430646013757899</c:v>
                </c:pt>
                <c:pt idx="35">
                  <c:v>0.10433192097843901</c:v>
                </c:pt>
                <c:pt idx="36">
                  <c:v>0.104356738218675</c:v>
                </c:pt>
                <c:pt idx="37">
                  <c:v>0.10438094692038</c:v>
                </c:pt>
                <c:pt idx="38">
                  <c:v>0.104404579376061</c:v>
                </c:pt>
                <c:pt idx="39">
                  <c:v>0.10442766539470601</c:v>
                </c:pt>
                <c:pt idx="40">
                  <c:v>0.104450232550895</c:v>
                </c:pt>
                <c:pt idx="41">
                  <c:v>0.104472306403378</c:v>
                </c:pt>
                <c:pt idx="42">
                  <c:v>0.104493910687546</c:v>
                </c:pt>
                <c:pt idx="43">
                  <c:v>0.104515067485448</c:v>
                </c:pt>
                <c:pt idx="44">
                  <c:v>0.104535797376425</c:v>
                </c:pt>
                <c:pt idx="45">
                  <c:v>0.104556119570968</c:v>
                </c:pt>
                <c:pt idx="46">
                  <c:v>0.10457605202998201</c:v>
                </c:pt>
                <c:pt idx="47">
                  <c:v>0.10459561157132601</c:v>
                </c:pt>
                <c:pt idx="48">
                  <c:v>0.10461481396524</c:v>
                </c:pt>
                <c:pt idx="49">
                  <c:v>0.104633674020002</c:v>
                </c:pt>
                <c:pt idx="50">
                  <c:v>0.104652205659008</c:v>
                </c:pt>
                <c:pt idx="51">
                  <c:v>0.10467042199028</c:v>
                </c:pt>
                <c:pt idx="52">
                  <c:v>0.10468833536927501</c:v>
                </c:pt>
                <c:pt idx="53">
                  <c:v>0.104705957455764</c:v>
                </c:pt>
                <c:pt idx="54">
                  <c:v>0.104723299265432</c:v>
                </c:pt>
                <c:pt idx="55">
                  <c:v>0.10474037121678501</c:v>
                </c:pt>
                <c:pt idx="56">
                  <c:v>0.104757183173858</c:v>
                </c:pt>
                <c:pt idx="57">
                  <c:v>0.10477374448518</c:v>
                </c:pt>
                <c:pt idx="58">
                  <c:v>0.104790064019366</c:v>
                </c:pt>
                <c:pt idx="59">
                  <c:v>0.10480615019770299</c:v>
                </c:pt>
                <c:pt idx="60">
                  <c:v>0.104822011024007</c:v>
                </c:pt>
                <c:pt idx="61">
                  <c:v>0.10483765411203801</c:v>
                </c:pt>
                <c:pt idx="62">
                  <c:v>0.104853086710699</c:v>
                </c:pt>
                <c:pt idx="63">
                  <c:v>0.10486831572724099</c:v>
                </c:pt>
                <c:pt idx="64">
                  <c:v>0.104883347748643</c:v>
                </c:pt>
                <c:pt idx="65">
                  <c:v>0.104898189061358</c:v>
                </c:pt>
                <c:pt idx="66">
                  <c:v>0.104912845669559</c:v>
                </c:pt>
                <c:pt idx="67">
                  <c:v>0.10492732331202199</c:v>
                </c:pt>
                <c:pt idx="68">
                  <c:v>0.10494162747777</c:v>
                </c:pt>
                <c:pt idx="69">
                  <c:v>0.10495576342058401</c:v>
                </c:pt>
                <c:pt idx="70">
                  <c:v>0.104969736172476</c:v>
                </c:pt>
                <c:pt idx="71">
                  <c:v>0.104983550556215</c:v>
                </c:pt>
                <c:pt idx="72">
                  <c:v>0.104997211196988</c:v>
                </c:pt>
                <c:pt idx="73">
                  <c:v>0.105010722533251</c:v>
                </c:pt>
                <c:pt idx="74">
                  <c:v>0.10502408882686499</c:v>
                </c:pt>
                <c:pt idx="75">
                  <c:v>0.105037314172539</c:v>
                </c:pt>
                <c:pt idx="76">
                  <c:v>0.10505040250667</c:v>
                </c:pt>
                <c:pt idx="77">
                  <c:v>0.105063357615594</c:v>
                </c:pt>
                <c:pt idx="78">
                  <c:v>0.105076183143323</c:v>
                </c:pt>
                <c:pt idx="79">
                  <c:v>0.10508888259878001</c:v>
                </c:pt>
                <c:pt idx="80">
                  <c:v>0.105101459362598</c:v>
                </c:pt>
                <c:pt idx="81">
                  <c:v>0.10511391669348399</c:v>
                </c:pt>
                <c:pt idx="82">
                  <c:v>0.10512625773421</c:v>
                </c:pt>
                <c:pt idx="83">
                  <c:v>0.10513848551723599</c:v>
                </c:pt>
                <c:pt idx="84">
                  <c:v>0.10515060297000201</c:v>
                </c:pt>
                <c:pt idx="85">
                  <c:v>0.105162612919908</c:v>
                </c:pt>
                <c:pt idx="86">
                  <c:v>0.105174518099013</c:v>
                </c:pt>
                <c:pt idx="87">
                  <c:v>0.105186321148453</c:v>
                </c:pt>
                <c:pt idx="88">
                  <c:v>0.105198024622616</c:v>
                </c:pt>
                <c:pt idx="89">
                  <c:v>0.105209630993088</c:v>
                </c:pt>
                <c:pt idx="90">
                  <c:v>0.10522114265237301</c:v>
                </c:pt>
                <c:pt idx="91">
                  <c:v>0.105232561917411</c:v>
                </c:pt>
                <c:pt idx="92">
                  <c:v>0.105243891032912</c:v>
                </c:pt>
                <c:pt idx="93">
                  <c:v>0.105255132174505</c:v>
                </c:pt>
                <c:pt idx="94">
                  <c:v>0.10526628745172401</c:v>
                </c:pt>
                <c:pt idx="95">
                  <c:v>0.105277358910841</c:v>
                </c:pt>
                <c:pt idx="96">
                  <c:v>0.105288348537545</c:v>
                </c:pt>
                <c:pt idx="97">
                  <c:v>0.10529925825949001</c:v>
                </c:pt>
                <c:pt idx="98">
                  <c:v>0.105310089948715</c:v>
                </c:pt>
                <c:pt idx="99">
                  <c:v>0.10532084542394</c:v>
                </c:pt>
                <c:pt idx="100">
                  <c:v>0.105331526452749</c:v>
                </c:pt>
                <c:pt idx="101">
                  <c:v>0.10534213475366599</c:v>
                </c:pt>
                <c:pt idx="102">
                  <c:v>0.105352671998135</c:v>
                </c:pt>
                <c:pt idx="103">
                  <c:v>0.105363139812398</c:v>
                </c:pt>
                <c:pt idx="104">
                  <c:v>0.10537353977929</c:v>
                </c:pt>
                <c:pt idx="105">
                  <c:v>0.105383873439947</c:v>
                </c:pt>
                <c:pt idx="106">
                  <c:v>0.105394142295438</c:v>
                </c:pt>
                <c:pt idx="107">
                  <c:v>0.10540434780831399</c:v>
                </c:pt>
                <c:pt idx="108">
                  <c:v>0.1054144914041</c:v>
                </c:pt>
                <c:pt idx="109">
                  <c:v>0.105424574472708</c:v>
                </c:pt>
                <c:pt idx="110">
                  <c:v>0.10543459836979301</c:v>
                </c:pt>
                <c:pt idx="111">
                  <c:v>0.105444564418049</c:v>
                </c:pt>
                <c:pt idx="112">
                  <c:v>0.105454473908448</c:v>
                </c:pt>
                <c:pt idx="113">
                  <c:v>0.105464328101426</c:v>
                </c:pt>
                <c:pt idx="114">
                  <c:v>0.10547412822802001</c:v>
                </c:pt>
                <c:pt idx="115">
                  <c:v>0.10548387549095201</c:v>
                </c:pt>
                <c:pt idx="116">
                  <c:v>0.105493571065675</c:v>
                </c:pt>
                <c:pt idx="117">
                  <c:v>0.105503216101374</c:v>
                </c:pt>
                <c:pt idx="118">
                  <c:v>0.10551281172191999</c:v>
                </c:pt>
                <c:pt idx="119">
                  <c:v>0.10552235902679701</c:v>
                </c:pt>
                <c:pt idx="120">
                  <c:v>0.105531859091982</c:v>
                </c:pt>
                <c:pt idx="121">
                  <c:v>0.105541312970793</c:v>
                </c:pt>
                <c:pt idx="122">
                  <c:v>0.105550721694713</c:v>
                </c:pt>
                <c:pt idx="123">
                  <c:v>0.10556008627416701</c:v>
                </c:pt>
                <c:pt idx="124">
                  <c:v>0.105569407699282</c:v>
                </c:pt>
                <c:pt idx="125">
                  <c:v>0.105578686940613</c:v>
                </c:pt>
                <c:pt idx="126">
                  <c:v>0.10558792494984499</c:v>
                </c:pt>
                <c:pt idx="127">
                  <c:v>0.105597122660464</c:v>
                </c:pt>
                <c:pt idx="128">
                  <c:v>0.105606280988415</c:v>
                </c:pt>
                <c:pt idx="129">
                  <c:v>0.105615400832723</c:v>
                </c:pt>
                <c:pt idx="130">
                  <c:v>0.10562448307610101</c:v>
                </c:pt>
                <c:pt idx="131">
                  <c:v>0.105633528585537</c:v>
                </c:pt>
                <c:pt idx="132">
                  <c:v>0.105642538212856</c:v>
                </c:pt>
                <c:pt idx="133">
                  <c:v>0.10565151279527001</c:v>
                </c:pt>
                <c:pt idx="134">
                  <c:v>0.105660453155901</c:v>
                </c:pt>
                <c:pt idx="135">
                  <c:v>0.1056693601043</c:v>
                </c:pt>
                <c:pt idx="136">
                  <c:v>0.105678234436935</c:v>
                </c:pt>
                <c:pt idx="137">
                  <c:v>0.105687076937673</c:v>
                </c:pt>
                <c:pt idx="138">
                  <c:v>0.10569588837824601</c:v>
                </c:pt>
                <c:pt idx="139">
                  <c:v>0.105704669518702</c:v>
                </c:pt>
                <c:pt idx="140">
                  <c:v>0.105713421107842</c:v>
                </c:pt>
                <c:pt idx="141">
                  <c:v>0.105722143883642</c:v>
                </c:pt>
                <c:pt idx="142">
                  <c:v>0.10573083857367301</c:v>
                </c:pt>
                <c:pt idx="143">
                  <c:v>0.10573950589549699</c:v>
                </c:pt>
                <c:pt idx="144">
                  <c:v>0.105748146557059</c:v>
                </c:pt>
                <c:pt idx="145">
                  <c:v>0.105756761257069</c:v>
                </c:pt>
                <c:pt idx="146">
                  <c:v>0.105765350685371</c:v>
                </c:pt>
                <c:pt idx="147">
                  <c:v>0.10577391552330601</c:v>
                </c:pt>
                <c:pt idx="148">
                  <c:v>0.105782456444064</c:v>
                </c:pt>
                <c:pt idx="149">
                  <c:v>0.105790974113029</c:v>
                </c:pt>
                <c:pt idx="150">
                  <c:v>0.105799469188117</c:v>
                </c:pt>
                <c:pt idx="151">
                  <c:v>0.105807942320102</c:v>
                </c:pt>
                <c:pt idx="152">
                  <c:v>0.105816394152941</c:v>
                </c:pt>
                <c:pt idx="153">
                  <c:v>0.10582482532409</c:v>
                </c:pt>
                <c:pt idx="154">
                  <c:v>0.10583323646481201</c:v>
                </c:pt>
                <c:pt idx="155">
                  <c:v>0.105841628200482</c:v>
                </c:pt>
                <c:pt idx="156">
                  <c:v>0.105850001150887</c:v>
                </c:pt>
                <c:pt idx="157">
                  <c:v>0.105858355930516</c:v>
                </c:pt>
                <c:pt idx="158">
                  <c:v>0.105866693148851</c:v>
                </c:pt>
                <c:pt idx="159">
                  <c:v>0.105875013410654</c:v>
                </c:pt>
                <c:pt idx="160">
                  <c:v>0.10588331731624</c:v>
                </c:pt>
                <c:pt idx="161">
                  <c:v>0.105891605461765</c:v>
                </c:pt>
                <c:pt idx="162">
                  <c:v>0.10589987843948701</c:v>
                </c:pt>
                <c:pt idx="163">
                  <c:v>0.10590813683804701</c:v>
                </c:pt>
                <c:pt idx="164">
                  <c:v>0.10591638124273201</c:v>
                </c:pt>
                <c:pt idx="165">
                  <c:v>0.105924612235738</c:v>
                </c:pt>
                <c:pt idx="166">
                  <c:v>0.10593283039644</c:v>
                </c:pt>
                <c:pt idx="167">
                  <c:v>0.105941036301648</c:v>
                </c:pt>
                <c:pt idx="168">
                  <c:v>0.10594923052586901</c:v>
                </c:pt>
                <c:pt idx="169">
                  <c:v>0.105957413641566</c:v>
                </c:pt>
                <c:pt idx="170">
                  <c:v>0.105965586219415</c:v>
                </c:pt>
                <c:pt idx="171">
                  <c:v>0.105973748828566</c:v>
                </c:pt>
                <c:pt idx="172">
                  <c:v>0.10598190203689301</c:v>
                </c:pt>
                <c:pt idx="173">
                  <c:v>0.105990046411258</c:v>
                </c:pt>
                <c:pt idx="174">
                  <c:v>0.10599818251776701</c:v>
                </c:pt>
                <c:pt idx="175">
                  <c:v>0.106006310922025</c:v>
                </c:pt>
                <c:pt idx="176">
                  <c:v>0.106014432189397</c:v>
                </c:pt>
                <c:pt idx="177">
                  <c:v>0.106022546885271</c:v>
                </c:pt>
                <c:pt idx="178">
                  <c:v>0.10603065557531401</c:v>
                </c:pt>
                <c:pt idx="179">
                  <c:v>0.10603875882574</c:v>
                </c:pt>
                <c:pt idx="180">
                  <c:v>0.106046857203577</c:v>
                </c:pt>
                <c:pt idx="181">
                  <c:v>0.106054951276932</c:v>
                </c:pt>
                <c:pt idx="182">
                  <c:v>0.106063041615263</c:v>
                </c:pt>
                <c:pt idx="183">
                  <c:v>0.10607112878965499</c:v>
                </c:pt>
                <c:pt idx="184">
                  <c:v>0.106079213373101</c:v>
                </c:pt>
                <c:pt idx="185">
                  <c:v>0.106087295940776</c:v>
                </c:pt>
                <c:pt idx="186">
                  <c:v>0.10609537707033299</c:v>
                </c:pt>
                <c:pt idx="187">
                  <c:v>0.106103457342189</c:v>
                </c:pt>
                <c:pt idx="188">
                  <c:v>0.106111537339822</c:v>
                </c:pt>
                <c:pt idx="189">
                  <c:v>0.10611961765007601</c:v>
                </c:pt>
                <c:pt idx="190">
                  <c:v>0.106127698863465</c:v>
                </c:pt>
                <c:pt idx="191">
                  <c:v>0.10613578157449099</c:v>
                </c:pt>
                <c:pt idx="192">
                  <c:v>0.106143866381966</c:v>
                </c:pt>
                <c:pt idx="193">
                  <c:v>0.10615195388934</c:v>
                </c:pt>
                <c:pt idx="194">
                  <c:v>0.106160044705038</c:v>
                </c:pt>
                <c:pt idx="195">
                  <c:v>0.106168139442805</c:v>
                </c:pt>
                <c:pt idx="196">
                  <c:v>0.106176238722063</c:v>
                </c:pt>
                <c:pt idx="197">
                  <c:v>0.106184343168276</c:v>
                </c:pt>
                <c:pt idx="198">
                  <c:v>0.10619245341332301</c:v>
                </c:pt>
                <c:pt idx="199">
                  <c:v>0.106200570095885</c:v>
                </c:pt>
                <c:pt idx="200">
                  <c:v>0.10620869386184199</c:v>
                </c:pt>
                <c:pt idx="201">
                  <c:v>0.10621682536468401</c:v>
                </c:pt>
                <c:pt idx="202">
                  <c:v>0.106224965265935</c:v>
                </c:pt>
                <c:pt idx="203">
                  <c:v>0.106233114235588</c:v>
                </c:pt>
                <c:pt idx="204">
                  <c:v>0.10624127295256</c:v>
                </c:pt>
                <c:pt idx="205">
                  <c:v>0.10624944210515699</c:v>
                </c:pt>
                <c:pt idx="206">
                  <c:v>0.106257622391562</c:v>
                </c:pt>
                <c:pt idx="207">
                  <c:v>0.106265814520335</c:v>
                </c:pt>
                <c:pt idx="208">
                  <c:v>0.106274019210935</c:v>
                </c:pt>
                <c:pt idx="209">
                  <c:v>0.10628223719426</c:v>
                </c:pt>
                <c:pt idx="210">
                  <c:v>0.106290469213214</c:v>
                </c:pt>
                <c:pt idx="211">
                  <c:v>0.106298716023284</c:v>
                </c:pt>
                <c:pt idx="212">
                  <c:v>0.106306978393155</c:v>
                </c:pt>
                <c:pt idx="213">
                  <c:v>0.106315257105341</c:v>
                </c:pt>
                <c:pt idx="214">
                  <c:v>0.10632355295684801</c:v>
                </c:pt>
                <c:pt idx="215">
                  <c:v>0.10633186675985799</c:v>
                </c:pt>
                <c:pt idx="216">
                  <c:v>0.10634019934245301</c:v>
                </c:pt>
                <c:pt idx="217">
                  <c:v>0.106348551549366</c:v>
                </c:pt>
                <c:pt idx="218">
                  <c:v>0.106356924242761</c:v>
                </c:pt>
                <c:pt idx="219">
                  <c:v>0.10636531830306099</c:v>
                </c:pt>
                <c:pt idx="220">
                  <c:v>0.106373734629807</c:v>
                </c:pt>
                <c:pt idx="221">
                  <c:v>0.10638217414255299</c:v>
                </c:pt>
                <c:pt idx="222">
                  <c:v>0.106390637781818</c:v>
                </c:pt>
                <c:pt idx="223">
                  <c:v>0.10639912651007299</c:v>
                </c:pt>
                <c:pt idx="224">
                  <c:v>0.10640764131277999</c:v>
                </c:pt>
                <c:pt idx="225">
                  <c:v>0.10641618319948901</c:v>
                </c:pt>
                <c:pt idx="226">
                  <c:v>0.106424753204983</c:v>
                </c:pt>
                <c:pt idx="227">
                  <c:v>0.10643335239049</c:v>
                </c:pt>
                <c:pt idx="228">
                  <c:v>0.106441981844954</c:v>
                </c:pt>
                <c:pt idx="229">
                  <c:v>0.106450642686375</c:v>
                </c:pt>
                <c:pt idx="230">
                  <c:v>0.10645933606322799</c:v>
                </c:pt>
                <c:pt idx="231">
                  <c:v>0.10646806315594901</c:v>
                </c:pt>
                <c:pt idx="232">
                  <c:v>0.106476825178516</c:v>
                </c:pt>
                <c:pt idx="233">
                  <c:v>0.10648562338011</c:v>
                </c:pt>
                <c:pt idx="234">
                  <c:v>0.106494459046881</c:v>
                </c:pt>
                <c:pt idx="235">
                  <c:v>0.106503333503809</c:v>
                </c:pt>
                <c:pt idx="236">
                  <c:v>0.10651224811667701</c:v>
                </c:pt>
                <c:pt idx="237">
                  <c:v>0.106521204294171</c:v>
                </c:pt>
                <c:pt idx="238">
                  <c:v>0.106530203490093</c:v>
                </c:pt>
                <c:pt idx="239">
                  <c:v>0.10653924720572699</c:v>
                </c:pt>
                <c:pt idx="240">
                  <c:v>0.106548336992338</c:v>
                </c:pt>
                <c:pt idx="241">
                  <c:v>0.106557474453844</c:v>
                </c:pt>
                <c:pt idx="242">
                  <c:v>0.106566661249652</c:v>
                </c:pt>
                <c:pt idx="243">
                  <c:v>0.10657589909767901</c:v>
                </c:pt>
                <c:pt idx="244">
                  <c:v>0.10658518977758299</c:v>
                </c:pt>
                <c:pt idx="245">
                  <c:v>0.106594535134197</c:v>
                </c:pt>
                <c:pt idx="246">
                  <c:v>0.106603937081217</c:v>
                </c:pt>
                <c:pt idx="247">
                  <c:v>0.106613397605125</c:v>
                </c:pt>
                <c:pt idx="248">
                  <c:v>0.10662291876941001</c:v>
                </c:pt>
                <c:pt idx="249">
                  <c:v>0.106632502719071</c:v>
                </c:pt>
                <c:pt idx="250">
                  <c:v>0.10664215168546599</c:v>
                </c:pt>
                <c:pt idx="251">
                  <c:v>0.106651867991505</c:v>
                </c:pt>
                <c:pt idx="252">
                  <c:v>0.106661654057239</c:v>
                </c:pt>
                <c:pt idx="253">
                  <c:v>0.106671512405876</c:v>
                </c:pt>
                <c:pt idx="254">
                  <c:v>0.106681445670259</c:v>
                </c:pt>
                <c:pt idx="255">
                  <c:v>0.106691456599855</c:v>
                </c:pt>
                <c:pt idx="256">
                  <c:v>0.10670154806830701</c:v>
                </c:pt>
                <c:pt idx="257">
                  <c:v>0.106711723081597</c:v>
                </c:pt>
                <c:pt idx="258">
                  <c:v>0.106721984786882</c:v>
                </c:pt>
                <c:pt idx="259">
                  <c:v>0.106732336482082</c:v>
                </c:pt>
                <c:pt idx="260">
                  <c:v>0.10674278162628199</c:v>
                </c:pt>
                <c:pt idx="261">
                  <c:v>0.106753323851043</c:v>
                </c:pt>
                <c:pt idx="262">
                  <c:v>0.106763966972719</c:v>
                </c:pt>
                <c:pt idx="263">
                  <c:v>0.10677471500588499</c:v>
                </c:pt>
                <c:pt idx="264">
                  <c:v>0.10678557217800599</c:v>
                </c:pt>
                <c:pt idx="265">
                  <c:v>0.106796542945475</c:v>
                </c:pt>
                <c:pt idx="266">
                  <c:v>0.10680763201119001</c:v>
                </c:pt>
                <c:pt idx="267">
                  <c:v>0.106818844343851</c:v>
                </c:pt>
                <c:pt idx="268">
                  <c:v>0.106830185199162</c:v>
                </c:pt>
                <c:pt idx="269">
                  <c:v>0.1068416601432</c:v>
                </c:pt>
                <c:pt idx="270">
                  <c:v>0.106853275078199</c:v>
                </c:pt>
                <c:pt idx="271">
                  <c:v>0.10686503627105901</c:v>
                </c:pt>
                <c:pt idx="272">
                  <c:v>0.106876950384948</c:v>
                </c:pt>
                <c:pt idx="273">
                  <c:v>0.10688902451438199</c:v>
                </c:pt>
                <c:pt idx="274">
                  <c:v>0.106901266224276</c:v>
                </c:pt>
                <c:pt idx="275">
                  <c:v>0.106913683593506</c:v>
                </c:pt>
                <c:pt idx="276">
                  <c:v>0.106926285263621</c:v>
                </c:pt>
                <c:pt idx="277">
                  <c:v>0.106939080493455</c:v>
                </c:pt>
                <c:pt idx="278">
                  <c:v>0.10695207922051</c:v>
                </c:pt>
                <c:pt idx="279">
                  <c:v>0.10696529213014599</c:v>
                </c:pt>
                <c:pt idx="280">
                  <c:v>0.106978730733797</c:v>
                </c:pt>
                <c:pt idx="281">
                  <c:v>0.106992407457646</c:v>
                </c:pt>
                <c:pt idx="282">
                  <c:v>0.107006335743491</c:v>
                </c:pt>
                <c:pt idx="283">
                  <c:v>0.10702053016384699</c:v>
                </c:pt>
                <c:pt idx="284">
                  <c:v>0.107035006553762</c:v>
                </c:pt>
                <c:pt idx="285">
                  <c:v>0.107049782162317</c:v>
                </c:pt>
                <c:pt idx="286">
                  <c:v>0.10706487582742701</c:v>
                </c:pt>
                <c:pt idx="287">
                  <c:v>0.107080308178348</c:v>
                </c:pt>
                <c:pt idx="288">
                  <c:v>0.10709610187127599</c:v>
                </c:pt>
                <c:pt idx="289">
                  <c:v>0.10711228186470099</c:v>
                </c:pt>
                <c:pt idx="290">
                  <c:v>0.107128875742745</c:v>
                </c:pt>
                <c:pt idx="291">
                  <c:v>0.107145914096787</c:v>
                </c:pt>
                <c:pt idx="292">
                  <c:v>0.10716343097827</c:v>
                </c:pt>
                <c:pt idx="293">
                  <c:v>0.10718146443905199</c:v>
                </c:pt>
                <c:pt idx="294">
                  <c:v>0.107200057180087</c:v>
                </c:pt>
                <c:pt idx="295">
                  <c:v>0.10721925733519</c:v>
                </c:pt>
                <c:pt idx="296">
                  <c:v>0.107239119424452</c:v>
                </c:pt>
                <c:pt idx="297">
                  <c:v>0.10725970552248799</c:v>
                </c:pt>
                <c:pt idx="298">
                  <c:v>0.107281086701057</c:v>
                </c:pt>
                <c:pt idx="299">
                  <c:v>0.10730334482520799</c:v>
                </c:pt>
                <c:pt idx="300">
                  <c:v>0.107326574809414</c:v>
                </c:pt>
                <c:pt idx="301">
                  <c:v>0.10735088747820599</c:v>
                </c:pt>
                <c:pt idx="302">
                  <c:v>0.10737641322982</c:v>
                </c:pt>
                <c:pt idx="303">
                  <c:v>0.107403306778537</c:v>
                </c:pt>
                <c:pt idx="304">
                  <c:v>0.10743175336319</c:v>
                </c:pt>
                <c:pt idx="305">
                  <c:v>0.107461976972791</c:v>
                </c:pt>
                <c:pt idx="306">
                  <c:v>0.107494251381856</c:v>
                </c:pt>
                <c:pt idx="307">
                  <c:v>0.107528915147976</c:v>
                </c:pt>
                <c:pt idx="308">
                  <c:v>0.107566392263413</c:v>
                </c:pt>
                <c:pt idx="309">
                  <c:v>0.10760722096054399</c:v>
                </c:pt>
                <c:pt idx="310">
                  <c:v>0.107652094373539</c:v>
                </c:pt>
                <c:pt idx="311">
                  <c:v>0.107701918517204</c:v>
                </c:pt>
                <c:pt idx="312">
                  <c:v>0.107757895545197</c:v>
                </c:pt>
                <c:pt idx="313">
                  <c:v>0.107821643761701</c:v>
                </c:pt>
                <c:pt idx="314">
                  <c:v>0.107895371464266</c:v>
                </c:pt>
                <c:pt idx="315">
                  <c:v>0.107982136054144</c:v>
                </c:pt>
                <c:pt idx="316">
                  <c:v>0.108086279484475</c:v>
                </c:pt>
                <c:pt idx="317">
                  <c:v>0.10821441051713999</c:v>
                </c:pt>
                <c:pt idx="318">
                  <c:v>0.108378611684964</c:v>
                </c:pt>
                <c:pt idx="319">
                  <c:v>0.10851279142848901</c:v>
                </c:pt>
                <c:pt idx="320">
                  <c:v>0.108646878508965</c:v>
                </c:pt>
                <c:pt idx="321">
                  <c:v>0.108781836007877</c:v>
                </c:pt>
                <c:pt idx="322">
                  <c:v>0.108917703938839</c:v>
                </c:pt>
                <c:pt idx="323">
                  <c:v>0.109054545173906</c:v>
                </c:pt>
                <c:pt idx="324">
                  <c:v>0.109192417872054</c:v>
                </c:pt>
                <c:pt idx="325">
                  <c:v>0.109331376964383</c:v>
                </c:pt>
                <c:pt idx="326">
                  <c:v>0.10947147454287399</c:v>
                </c:pt>
                <c:pt idx="327">
                  <c:v>0.109612760241196</c:v>
                </c:pt>
                <c:pt idx="328">
                  <c:v>0.10975528157779101</c:v>
                </c:pt>
                <c:pt idx="329">
                  <c:v>0.109899084266184</c:v>
                </c:pt>
                <c:pt idx="330">
                  <c:v>0.110044212495958</c:v>
                </c:pt>
                <c:pt idx="331">
                  <c:v>0.11019070918751001</c:v>
                </c:pt>
                <c:pt idx="332">
                  <c:v>0.11033861622334599</c:v>
                </c:pt>
                <c:pt idx="333">
                  <c:v>0.110487974658393</c:v>
                </c:pt>
                <c:pt idx="334">
                  <c:v>0.110638824911563</c:v>
                </c:pt>
                <c:pt idx="335">
                  <c:v>0.110791206940568</c:v>
                </c:pt>
                <c:pt idx="336">
                  <c:v>0.11094516040180299</c:v>
                </c:pt>
                <c:pt idx="337">
                  <c:v>0.11110072479692901</c:v>
                </c:pt>
                <c:pt idx="338">
                  <c:v>0.111257939607629</c:v>
                </c:pt>
                <c:pt idx="339">
                  <c:v>0.111416844419904</c:v>
                </c:pt>
                <c:pt idx="340">
                  <c:v>0.111577479039088</c:v>
                </c:pt>
                <c:pt idx="341">
                  <c:v>0.111739883596728</c:v>
                </c:pt>
                <c:pt idx="342">
                  <c:v>0.111904098650297</c:v>
                </c:pt>
                <c:pt idx="343">
                  <c:v>0.11207016527668</c:v>
                </c:pt>
                <c:pt idx="344">
                  <c:v>0.112238125160255</c:v>
                </c:pt>
                <c:pt idx="345">
                  <c:v>0.11240802067632299</c:v>
                </c:pt>
                <c:pt idx="346">
                  <c:v>0.11257989497059701</c:v>
                </c:pt>
                <c:pt idx="347">
                  <c:v>0.112753792035371</c:v>
                </c:pt>
                <c:pt idx="348">
                  <c:v>0.112929756782956</c:v>
                </c:pt>
                <c:pt idx="349">
                  <c:v>0.113107835116922</c:v>
                </c:pt>
                <c:pt idx="350">
                  <c:v>0.113288074001635</c:v>
                </c:pt>
                <c:pt idx="351">
                  <c:v>0.113470521530551</c:v>
                </c:pt>
                <c:pt idx="352">
                  <c:v>0.113655226993682</c:v>
                </c:pt>
                <c:pt idx="353">
                  <c:v>0.113842240944644</c:v>
                </c:pt>
                <c:pt idx="354">
                  <c:v>0.114031615267637</c:v>
                </c:pt>
                <c:pt idx="355">
                  <c:v>0.11422340324472501</c:v>
                </c:pt>
                <c:pt idx="356">
                  <c:v>0.11441765962373</c:v>
                </c:pt>
                <c:pt idx="357">
                  <c:v>0.114614440687063</c:v>
                </c:pt>
                <c:pt idx="358">
                  <c:v>0.114813804321789</c:v>
                </c:pt>
                <c:pt idx="359">
                  <c:v>0.22425676384167301</c:v>
                </c:pt>
                <c:pt idx="360">
                  <c:v>0.30704288935609397</c:v>
                </c:pt>
                <c:pt idx="361">
                  <c:v>0.30834090817871301</c:v>
                </c:pt>
                <c:pt idx="362">
                  <c:v>0.30921577139060102</c:v>
                </c:pt>
                <c:pt idx="363">
                  <c:v>0.31017471350345399</c:v>
                </c:pt>
                <c:pt idx="364">
                  <c:v>0.31131883897321</c:v>
                </c:pt>
                <c:pt idx="365">
                  <c:v>0.31289797505880901</c:v>
                </c:pt>
                <c:pt idx="366">
                  <c:v>0.51289797505880896</c:v>
                </c:pt>
                <c:pt idx="367">
                  <c:v>0.51289797505880896</c:v>
                </c:pt>
              </c:numCache>
            </c:numRef>
          </c:xVal>
          <c:yVal>
            <c:numRef>
              <c:f>Implicit_Fracs!$BK$4:$BK$371</c:f>
              <c:numCache>
                <c:formatCode>General</c:formatCode>
                <c:ptCount val="36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67920"/>
        <c:axId val="412568312"/>
      </c:scatterChart>
      <c:scatterChart>
        <c:scatterStyle val="lineMarker"/>
        <c:varyColors val="0"/>
        <c:ser>
          <c:idx val="0"/>
          <c:order val="0"/>
          <c:tx>
            <c:strRef>
              <c:f>Implicit_Fracs!$BF$2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Implicit_Fracs!$C$4:$C$371</c:f>
              <c:numCache>
                <c:formatCode>General</c:formatCode>
                <c:ptCount val="368"/>
                <c:pt idx="0">
                  <c:v>6.5458908507104702E-2</c:v>
                </c:pt>
                <c:pt idx="1">
                  <c:v>0.10158646265419501</c:v>
                </c:pt>
                <c:pt idx="2">
                  <c:v>0.102060105178604</c:v>
                </c:pt>
                <c:pt idx="3">
                  <c:v>0.102354758409441</c:v>
                </c:pt>
                <c:pt idx="4">
                  <c:v>0.10257003610151801</c:v>
                </c:pt>
                <c:pt idx="5">
                  <c:v>0.102740146597483</c:v>
                </c:pt>
                <c:pt idx="6">
                  <c:v>0.10288102093448701</c:v>
                </c:pt>
                <c:pt idx="7">
                  <c:v>0.10300139565401099</c:v>
                </c:pt>
                <c:pt idx="8">
                  <c:v>0.10310658737638601</c:v>
                </c:pt>
                <c:pt idx="9">
                  <c:v>0.103200075337502</c:v>
                </c:pt>
                <c:pt idx="10">
                  <c:v>0.103284262204</c:v>
                </c:pt>
                <c:pt idx="11">
                  <c:v>0.103360877526633</c:v>
                </c:pt>
                <c:pt idx="12">
                  <c:v>0.103431208153653</c:v>
                </c:pt>
                <c:pt idx="13">
                  <c:v>0.103496237708407</c:v>
                </c:pt>
                <c:pt idx="14">
                  <c:v>0.103556735084609</c:v>
                </c:pt>
                <c:pt idx="15">
                  <c:v>0.103613312816801</c:v>
                </c:pt>
                <c:pt idx="16">
                  <c:v>0.103666466857375</c:v>
                </c:pt>
                <c:pt idx="17">
                  <c:v>0.10371660444741999</c:v>
                </c:pt>
                <c:pt idx="18">
                  <c:v>0.10376406411969299</c:v>
                </c:pt>
                <c:pt idx="19">
                  <c:v>0.10380913035858701</c:v>
                </c:pt>
                <c:pt idx="20">
                  <c:v>0.103852044544123</c:v>
                </c:pt>
                <c:pt idx="21">
                  <c:v>0.103893013256558</c:v>
                </c:pt>
                <c:pt idx="22">
                  <c:v>0.103932214670875</c:v>
                </c:pt>
                <c:pt idx="23">
                  <c:v>0.10396980354554</c:v>
                </c:pt>
                <c:pt idx="24">
                  <c:v>0.104005915161023</c:v>
                </c:pt>
                <c:pt idx="25">
                  <c:v>0.10404066846285701</c:v>
                </c:pt>
                <c:pt idx="26">
                  <c:v>0.104074168594671</c:v>
                </c:pt>
                <c:pt idx="27">
                  <c:v>0.10410650895807599</c:v>
                </c:pt>
                <c:pt idx="28">
                  <c:v>0.10413777290170501</c:v>
                </c:pt>
                <c:pt idx="29">
                  <c:v>0.104168035116796</c:v>
                </c:pt>
                <c:pt idx="30">
                  <c:v>0.104197362798492</c:v>
                </c:pt>
                <c:pt idx="31">
                  <c:v>0.104225816618547</c:v>
                </c:pt>
                <c:pt idx="32">
                  <c:v>0.104253451545067</c:v>
                </c:pt>
                <c:pt idx="33">
                  <c:v>0.104280317537286</c:v>
                </c:pt>
                <c:pt idx="34">
                  <c:v>0.10430646013757899</c:v>
                </c:pt>
                <c:pt idx="35">
                  <c:v>0.10433192097843901</c:v>
                </c:pt>
                <c:pt idx="36">
                  <c:v>0.104356738218675</c:v>
                </c:pt>
                <c:pt idx="37">
                  <c:v>0.10438094692038</c:v>
                </c:pt>
                <c:pt idx="38">
                  <c:v>0.104404579376061</c:v>
                </c:pt>
                <c:pt idx="39">
                  <c:v>0.10442766539470601</c:v>
                </c:pt>
                <c:pt idx="40">
                  <c:v>0.104450232550895</c:v>
                </c:pt>
                <c:pt idx="41">
                  <c:v>0.104472306403378</c:v>
                </c:pt>
                <c:pt idx="42">
                  <c:v>0.104493910687546</c:v>
                </c:pt>
                <c:pt idx="43">
                  <c:v>0.104515067485448</c:v>
                </c:pt>
                <c:pt idx="44">
                  <c:v>0.104535797376425</c:v>
                </c:pt>
                <c:pt idx="45">
                  <c:v>0.104556119570968</c:v>
                </c:pt>
                <c:pt idx="46">
                  <c:v>0.10457605202998201</c:v>
                </c:pt>
                <c:pt idx="47">
                  <c:v>0.10459561157132601</c:v>
                </c:pt>
                <c:pt idx="48">
                  <c:v>0.10461481396524</c:v>
                </c:pt>
                <c:pt idx="49">
                  <c:v>0.104633674020002</c:v>
                </c:pt>
                <c:pt idx="50">
                  <c:v>0.104652205659008</c:v>
                </c:pt>
                <c:pt idx="51">
                  <c:v>0.10467042199028</c:v>
                </c:pt>
                <c:pt idx="52">
                  <c:v>0.10468833536927501</c:v>
                </c:pt>
                <c:pt idx="53">
                  <c:v>0.104705957455764</c:v>
                </c:pt>
                <c:pt idx="54">
                  <c:v>0.104723299265432</c:v>
                </c:pt>
                <c:pt idx="55">
                  <c:v>0.10474037121678501</c:v>
                </c:pt>
                <c:pt idx="56">
                  <c:v>0.104757183173858</c:v>
                </c:pt>
                <c:pt idx="57">
                  <c:v>0.10477374448518</c:v>
                </c:pt>
                <c:pt idx="58">
                  <c:v>0.104790064019366</c:v>
                </c:pt>
                <c:pt idx="59">
                  <c:v>0.10480615019770299</c:v>
                </c:pt>
                <c:pt idx="60">
                  <c:v>0.104822011024007</c:v>
                </c:pt>
                <c:pt idx="61">
                  <c:v>0.10483765411203801</c:v>
                </c:pt>
                <c:pt idx="62">
                  <c:v>0.104853086710699</c:v>
                </c:pt>
                <c:pt idx="63">
                  <c:v>0.10486831572724099</c:v>
                </c:pt>
                <c:pt idx="64">
                  <c:v>0.104883347748643</c:v>
                </c:pt>
                <c:pt idx="65">
                  <c:v>0.104898189061358</c:v>
                </c:pt>
                <c:pt idx="66">
                  <c:v>0.104912845669559</c:v>
                </c:pt>
                <c:pt idx="67">
                  <c:v>0.10492732331202199</c:v>
                </c:pt>
                <c:pt idx="68">
                  <c:v>0.10494162747777</c:v>
                </c:pt>
                <c:pt idx="69">
                  <c:v>0.10495576342058401</c:v>
                </c:pt>
                <c:pt idx="70">
                  <c:v>0.104969736172476</c:v>
                </c:pt>
                <c:pt idx="71">
                  <c:v>0.104983550556215</c:v>
                </c:pt>
                <c:pt idx="72">
                  <c:v>0.104997211196988</c:v>
                </c:pt>
                <c:pt idx="73">
                  <c:v>0.105010722533251</c:v>
                </c:pt>
                <c:pt idx="74">
                  <c:v>0.10502408882686499</c:v>
                </c:pt>
                <c:pt idx="75">
                  <c:v>0.105037314172539</c:v>
                </c:pt>
                <c:pt idx="76">
                  <c:v>0.10505040250667</c:v>
                </c:pt>
                <c:pt idx="77">
                  <c:v>0.105063357615594</c:v>
                </c:pt>
                <c:pt idx="78">
                  <c:v>0.105076183143323</c:v>
                </c:pt>
                <c:pt idx="79">
                  <c:v>0.10508888259878001</c:v>
                </c:pt>
                <c:pt idx="80">
                  <c:v>0.105101459362598</c:v>
                </c:pt>
                <c:pt idx="81">
                  <c:v>0.10511391669348399</c:v>
                </c:pt>
                <c:pt idx="82">
                  <c:v>0.10512625773421</c:v>
                </c:pt>
                <c:pt idx="83">
                  <c:v>0.10513848551723599</c:v>
                </c:pt>
                <c:pt idx="84">
                  <c:v>0.10515060297000201</c:v>
                </c:pt>
                <c:pt idx="85">
                  <c:v>0.105162612919908</c:v>
                </c:pt>
                <c:pt idx="86">
                  <c:v>0.105174518099013</c:v>
                </c:pt>
                <c:pt idx="87">
                  <c:v>0.105186321148453</c:v>
                </c:pt>
                <c:pt idx="88">
                  <c:v>0.105198024622616</c:v>
                </c:pt>
                <c:pt idx="89">
                  <c:v>0.105209630993088</c:v>
                </c:pt>
                <c:pt idx="90">
                  <c:v>0.10522114265237301</c:v>
                </c:pt>
                <c:pt idx="91">
                  <c:v>0.105232561917411</c:v>
                </c:pt>
                <c:pt idx="92">
                  <c:v>0.105243891032912</c:v>
                </c:pt>
                <c:pt idx="93">
                  <c:v>0.105255132174505</c:v>
                </c:pt>
                <c:pt idx="94">
                  <c:v>0.10526628745172401</c:v>
                </c:pt>
                <c:pt idx="95">
                  <c:v>0.105277358910841</c:v>
                </c:pt>
                <c:pt idx="96">
                  <c:v>0.105288348537545</c:v>
                </c:pt>
                <c:pt idx="97">
                  <c:v>0.10529925825949001</c:v>
                </c:pt>
                <c:pt idx="98">
                  <c:v>0.105310089948715</c:v>
                </c:pt>
                <c:pt idx="99">
                  <c:v>0.10532084542394</c:v>
                </c:pt>
                <c:pt idx="100">
                  <c:v>0.105331526452749</c:v>
                </c:pt>
                <c:pt idx="101">
                  <c:v>0.10534213475366599</c:v>
                </c:pt>
                <c:pt idx="102">
                  <c:v>0.105352671998135</c:v>
                </c:pt>
                <c:pt idx="103">
                  <c:v>0.105363139812398</c:v>
                </c:pt>
                <c:pt idx="104">
                  <c:v>0.10537353977929</c:v>
                </c:pt>
                <c:pt idx="105">
                  <c:v>0.105383873439947</c:v>
                </c:pt>
                <c:pt idx="106">
                  <c:v>0.105394142295438</c:v>
                </c:pt>
                <c:pt idx="107">
                  <c:v>0.10540434780831399</c:v>
                </c:pt>
                <c:pt idx="108">
                  <c:v>0.1054144914041</c:v>
                </c:pt>
                <c:pt idx="109">
                  <c:v>0.105424574472708</c:v>
                </c:pt>
                <c:pt idx="110">
                  <c:v>0.10543459836979301</c:v>
                </c:pt>
                <c:pt idx="111">
                  <c:v>0.105444564418049</c:v>
                </c:pt>
                <c:pt idx="112">
                  <c:v>0.105454473908448</c:v>
                </c:pt>
                <c:pt idx="113">
                  <c:v>0.105464328101426</c:v>
                </c:pt>
                <c:pt idx="114">
                  <c:v>0.10547412822802001</c:v>
                </c:pt>
                <c:pt idx="115">
                  <c:v>0.10548387549095201</c:v>
                </c:pt>
                <c:pt idx="116">
                  <c:v>0.105493571065675</c:v>
                </c:pt>
                <c:pt idx="117">
                  <c:v>0.105503216101374</c:v>
                </c:pt>
                <c:pt idx="118">
                  <c:v>0.10551281172191999</c:v>
                </c:pt>
                <c:pt idx="119">
                  <c:v>0.10552235902679701</c:v>
                </c:pt>
                <c:pt idx="120">
                  <c:v>0.105531859091982</c:v>
                </c:pt>
                <c:pt idx="121">
                  <c:v>0.105541312970793</c:v>
                </c:pt>
                <c:pt idx="122">
                  <c:v>0.105550721694713</c:v>
                </c:pt>
                <c:pt idx="123">
                  <c:v>0.10556008627416701</c:v>
                </c:pt>
                <c:pt idx="124">
                  <c:v>0.105569407699282</c:v>
                </c:pt>
                <c:pt idx="125">
                  <c:v>0.105578686940613</c:v>
                </c:pt>
                <c:pt idx="126">
                  <c:v>0.10558792494984499</c:v>
                </c:pt>
                <c:pt idx="127">
                  <c:v>0.105597122660464</c:v>
                </c:pt>
                <c:pt idx="128">
                  <c:v>0.105606280988415</c:v>
                </c:pt>
                <c:pt idx="129">
                  <c:v>0.105615400832723</c:v>
                </c:pt>
                <c:pt idx="130">
                  <c:v>0.10562448307610101</c:v>
                </c:pt>
                <c:pt idx="131">
                  <c:v>0.105633528585537</c:v>
                </c:pt>
                <c:pt idx="132">
                  <c:v>0.105642538212856</c:v>
                </c:pt>
                <c:pt idx="133">
                  <c:v>0.10565151279527001</c:v>
                </c:pt>
                <c:pt idx="134">
                  <c:v>0.105660453155901</c:v>
                </c:pt>
                <c:pt idx="135">
                  <c:v>0.1056693601043</c:v>
                </c:pt>
                <c:pt idx="136">
                  <c:v>0.105678234436935</c:v>
                </c:pt>
                <c:pt idx="137">
                  <c:v>0.105687076937673</c:v>
                </c:pt>
                <c:pt idx="138">
                  <c:v>0.10569588837824601</c:v>
                </c:pt>
                <c:pt idx="139">
                  <c:v>0.105704669518702</c:v>
                </c:pt>
                <c:pt idx="140">
                  <c:v>0.105713421107842</c:v>
                </c:pt>
                <c:pt idx="141">
                  <c:v>0.105722143883642</c:v>
                </c:pt>
                <c:pt idx="142">
                  <c:v>0.10573083857367301</c:v>
                </c:pt>
                <c:pt idx="143">
                  <c:v>0.10573950589549699</c:v>
                </c:pt>
                <c:pt idx="144">
                  <c:v>0.105748146557059</c:v>
                </c:pt>
                <c:pt idx="145">
                  <c:v>0.105756761257069</c:v>
                </c:pt>
                <c:pt idx="146">
                  <c:v>0.105765350685371</c:v>
                </c:pt>
                <c:pt idx="147">
                  <c:v>0.10577391552330601</c:v>
                </c:pt>
                <c:pt idx="148">
                  <c:v>0.105782456444064</c:v>
                </c:pt>
                <c:pt idx="149">
                  <c:v>0.105790974113029</c:v>
                </c:pt>
                <c:pt idx="150">
                  <c:v>0.105799469188117</c:v>
                </c:pt>
                <c:pt idx="151">
                  <c:v>0.105807942320102</c:v>
                </c:pt>
                <c:pt idx="152">
                  <c:v>0.105816394152941</c:v>
                </c:pt>
                <c:pt idx="153">
                  <c:v>0.10582482532409</c:v>
                </c:pt>
                <c:pt idx="154">
                  <c:v>0.10583323646481201</c:v>
                </c:pt>
                <c:pt idx="155">
                  <c:v>0.105841628200482</c:v>
                </c:pt>
                <c:pt idx="156">
                  <c:v>0.105850001150887</c:v>
                </c:pt>
                <c:pt idx="157">
                  <c:v>0.105858355930516</c:v>
                </c:pt>
                <c:pt idx="158">
                  <c:v>0.105866693148851</c:v>
                </c:pt>
                <c:pt idx="159">
                  <c:v>0.105875013410654</c:v>
                </c:pt>
                <c:pt idx="160">
                  <c:v>0.10588331731624</c:v>
                </c:pt>
                <c:pt idx="161">
                  <c:v>0.105891605461765</c:v>
                </c:pt>
                <c:pt idx="162">
                  <c:v>0.10589987843948701</c:v>
                </c:pt>
                <c:pt idx="163">
                  <c:v>0.10590813683804701</c:v>
                </c:pt>
                <c:pt idx="164">
                  <c:v>0.10591638124273201</c:v>
                </c:pt>
                <c:pt idx="165">
                  <c:v>0.105924612235738</c:v>
                </c:pt>
                <c:pt idx="166">
                  <c:v>0.10593283039644</c:v>
                </c:pt>
                <c:pt idx="167">
                  <c:v>0.105941036301648</c:v>
                </c:pt>
                <c:pt idx="168">
                  <c:v>0.10594923052586901</c:v>
                </c:pt>
                <c:pt idx="169">
                  <c:v>0.105957413641566</c:v>
                </c:pt>
                <c:pt idx="170">
                  <c:v>0.105965586219415</c:v>
                </c:pt>
                <c:pt idx="171">
                  <c:v>0.105973748828566</c:v>
                </c:pt>
                <c:pt idx="172">
                  <c:v>0.10598190203689301</c:v>
                </c:pt>
                <c:pt idx="173">
                  <c:v>0.105990046411258</c:v>
                </c:pt>
                <c:pt idx="174">
                  <c:v>0.10599818251776701</c:v>
                </c:pt>
                <c:pt idx="175">
                  <c:v>0.106006310922025</c:v>
                </c:pt>
                <c:pt idx="176">
                  <c:v>0.106014432189397</c:v>
                </c:pt>
                <c:pt idx="177">
                  <c:v>0.106022546885271</c:v>
                </c:pt>
                <c:pt idx="178">
                  <c:v>0.10603065557531401</c:v>
                </c:pt>
                <c:pt idx="179">
                  <c:v>0.10603875882574</c:v>
                </c:pt>
                <c:pt idx="180">
                  <c:v>0.106046857203577</c:v>
                </c:pt>
                <c:pt idx="181">
                  <c:v>0.106054951276932</c:v>
                </c:pt>
                <c:pt idx="182">
                  <c:v>0.106063041615263</c:v>
                </c:pt>
                <c:pt idx="183">
                  <c:v>0.10607112878965499</c:v>
                </c:pt>
                <c:pt idx="184">
                  <c:v>0.106079213373101</c:v>
                </c:pt>
                <c:pt idx="185">
                  <c:v>0.106087295940776</c:v>
                </c:pt>
                <c:pt idx="186">
                  <c:v>0.10609537707033299</c:v>
                </c:pt>
                <c:pt idx="187">
                  <c:v>0.106103457342189</c:v>
                </c:pt>
                <c:pt idx="188">
                  <c:v>0.106111537339822</c:v>
                </c:pt>
                <c:pt idx="189">
                  <c:v>0.10611961765007601</c:v>
                </c:pt>
                <c:pt idx="190">
                  <c:v>0.106127698863465</c:v>
                </c:pt>
                <c:pt idx="191">
                  <c:v>0.10613578157449099</c:v>
                </c:pt>
                <c:pt idx="192">
                  <c:v>0.106143866381966</c:v>
                </c:pt>
                <c:pt idx="193">
                  <c:v>0.10615195388934</c:v>
                </c:pt>
                <c:pt idx="194">
                  <c:v>0.106160044705038</c:v>
                </c:pt>
                <c:pt idx="195">
                  <c:v>0.106168139442805</c:v>
                </c:pt>
                <c:pt idx="196">
                  <c:v>0.106176238722063</c:v>
                </c:pt>
                <c:pt idx="197">
                  <c:v>0.106184343168276</c:v>
                </c:pt>
                <c:pt idx="198">
                  <c:v>0.10619245341332301</c:v>
                </c:pt>
                <c:pt idx="199">
                  <c:v>0.106200570095885</c:v>
                </c:pt>
                <c:pt idx="200">
                  <c:v>0.10620869386184199</c:v>
                </c:pt>
                <c:pt idx="201">
                  <c:v>0.10621682536468401</c:v>
                </c:pt>
                <c:pt idx="202">
                  <c:v>0.106224965265935</c:v>
                </c:pt>
                <c:pt idx="203">
                  <c:v>0.106233114235588</c:v>
                </c:pt>
                <c:pt idx="204">
                  <c:v>0.10624127295256</c:v>
                </c:pt>
                <c:pt idx="205">
                  <c:v>0.10624944210515699</c:v>
                </c:pt>
                <c:pt idx="206">
                  <c:v>0.106257622391562</c:v>
                </c:pt>
                <c:pt idx="207">
                  <c:v>0.106265814520335</c:v>
                </c:pt>
                <c:pt idx="208">
                  <c:v>0.106274019210935</c:v>
                </c:pt>
                <c:pt idx="209">
                  <c:v>0.10628223719426</c:v>
                </c:pt>
                <c:pt idx="210">
                  <c:v>0.106290469213214</c:v>
                </c:pt>
                <c:pt idx="211">
                  <c:v>0.106298716023284</c:v>
                </c:pt>
                <c:pt idx="212">
                  <c:v>0.106306978393155</c:v>
                </c:pt>
                <c:pt idx="213">
                  <c:v>0.106315257105341</c:v>
                </c:pt>
                <c:pt idx="214">
                  <c:v>0.10632355295684801</c:v>
                </c:pt>
                <c:pt idx="215">
                  <c:v>0.10633186675985799</c:v>
                </c:pt>
                <c:pt idx="216">
                  <c:v>0.10634019934245301</c:v>
                </c:pt>
                <c:pt idx="217">
                  <c:v>0.106348551549366</c:v>
                </c:pt>
                <c:pt idx="218">
                  <c:v>0.106356924242761</c:v>
                </c:pt>
                <c:pt idx="219">
                  <c:v>0.10636531830306099</c:v>
                </c:pt>
                <c:pt idx="220">
                  <c:v>0.106373734629807</c:v>
                </c:pt>
                <c:pt idx="221">
                  <c:v>0.10638217414255299</c:v>
                </c:pt>
                <c:pt idx="222">
                  <c:v>0.106390637781818</c:v>
                </c:pt>
                <c:pt idx="223">
                  <c:v>0.10639912651007299</c:v>
                </c:pt>
                <c:pt idx="224">
                  <c:v>0.10640764131277999</c:v>
                </c:pt>
                <c:pt idx="225">
                  <c:v>0.10641618319948901</c:v>
                </c:pt>
                <c:pt idx="226">
                  <c:v>0.106424753204983</c:v>
                </c:pt>
                <c:pt idx="227">
                  <c:v>0.10643335239049</c:v>
                </c:pt>
                <c:pt idx="228">
                  <c:v>0.106441981844954</c:v>
                </c:pt>
                <c:pt idx="229">
                  <c:v>0.106450642686375</c:v>
                </c:pt>
                <c:pt idx="230">
                  <c:v>0.10645933606322799</c:v>
                </c:pt>
                <c:pt idx="231">
                  <c:v>0.10646806315594901</c:v>
                </c:pt>
                <c:pt idx="232">
                  <c:v>0.106476825178516</c:v>
                </c:pt>
                <c:pt idx="233">
                  <c:v>0.10648562338011</c:v>
                </c:pt>
                <c:pt idx="234">
                  <c:v>0.106494459046881</c:v>
                </c:pt>
                <c:pt idx="235">
                  <c:v>0.106503333503809</c:v>
                </c:pt>
                <c:pt idx="236">
                  <c:v>0.10651224811667701</c:v>
                </c:pt>
                <c:pt idx="237">
                  <c:v>0.106521204294171</c:v>
                </c:pt>
                <c:pt idx="238">
                  <c:v>0.106530203490093</c:v>
                </c:pt>
                <c:pt idx="239">
                  <c:v>0.10653924720572699</c:v>
                </c:pt>
                <c:pt idx="240">
                  <c:v>0.106548336992338</c:v>
                </c:pt>
                <c:pt idx="241">
                  <c:v>0.106557474453844</c:v>
                </c:pt>
                <c:pt idx="242">
                  <c:v>0.106566661249652</c:v>
                </c:pt>
                <c:pt idx="243">
                  <c:v>0.10657589909767901</c:v>
                </c:pt>
                <c:pt idx="244">
                  <c:v>0.10658518977758299</c:v>
                </c:pt>
                <c:pt idx="245">
                  <c:v>0.106594535134197</c:v>
                </c:pt>
                <c:pt idx="246">
                  <c:v>0.106603937081217</c:v>
                </c:pt>
                <c:pt idx="247">
                  <c:v>0.106613397605125</c:v>
                </c:pt>
                <c:pt idx="248">
                  <c:v>0.10662291876941001</c:v>
                </c:pt>
                <c:pt idx="249">
                  <c:v>0.106632502719071</c:v>
                </c:pt>
                <c:pt idx="250">
                  <c:v>0.10664215168546599</c:v>
                </c:pt>
                <c:pt idx="251">
                  <c:v>0.106651867991505</c:v>
                </c:pt>
                <c:pt idx="252">
                  <c:v>0.106661654057239</c:v>
                </c:pt>
                <c:pt idx="253">
                  <c:v>0.106671512405876</c:v>
                </c:pt>
                <c:pt idx="254">
                  <c:v>0.106681445670259</c:v>
                </c:pt>
                <c:pt idx="255">
                  <c:v>0.106691456599855</c:v>
                </c:pt>
                <c:pt idx="256">
                  <c:v>0.10670154806830701</c:v>
                </c:pt>
                <c:pt idx="257">
                  <c:v>0.106711723081597</c:v>
                </c:pt>
                <c:pt idx="258">
                  <c:v>0.106721984786882</c:v>
                </c:pt>
                <c:pt idx="259">
                  <c:v>0.106732336482082</c:v>
                </c:pt>
                <c:pt idx="260">
                  <c:v>0.10674278162628199</c:v>
                </c:pt>
                <c:pt idx="261">
                  <c:v>0.106753323851043</c:v>
                </c:pt>
                <c:pt idx="262">
                  <c:v>0.106763966972719</c:v>
                </c:pt>
                <c:pt idx="263">
                  <c:v>0.10677471500588499</c:v>
                </c:pt>
                <c:pt idx="264">
                  <c:v>0.10678557217800599</c:v>
                </c:pt>
                <c:pt idx="265">
                  <c:v>0.106796542945475</c:v>
                </c:pt>
                <c:pt idx="266">
                  <c:v>0.10680763201119001</c:v>
                </c:pt>
                <c:pt idx="267">
                  <c:v>0.106818844343851</c:v>
                </c:pt>
                <c:pt idx="268">
                  <c:v>0.106830185199162</c:v>
                </c:pt>
                <c:pt idx="269">
                  <c:v>0.1068416601432</c:v>
                </c:pt>
                <c:pt idx="270">
                  <c:v>0.106853275078199</c:v>
                </c:pt>
                <c:pt idx="271">
                  <c:v>0.10686503627105901</c:v>
                </c:pt>
                <c:pt idx="272">
                  <c:v>0.106876950384948</c:v>
                </c:pt>
                <c:pt idx="273">
                  <c:v>0.10688902451438199</c:v>
                </c:pt>
                <c:pt idx="274">
                  <c:v>0.106901266224276</c:v>
                </c:pt>
                <c:pt idx="275">
                  <c:v>0.106913683593506</c:v>
                </c:pt>
                <c:pt idx="276">
                  <c:v>0.106926285263621</c:v>
                </c:pt>
                <c:pt idx="277">
                  <c:v>0.106939080493455</c:v>
                </c:pt>
                <c:pt idx="278">
                  <c:v>0.10695207922051</c:v>
                </c:pt>
                <c:pt idx="279">
                  <c:v>0.10696529213014599</c:v>
                </c:pt>
                <c:pt idx="280">
                  <c:v>0.106978730733797</c:v>
                </c:pt>
                <c:pt idx="281">
                  <c:v>0.106992407457646</c:v>
                </c:pt>
                <c:pt idx="282">
                  <c:v>0.107006335743491</c:v>
                </c:pt>
                <c:pt idx="283">
                  <c:v>0.10702053016384699</c:v>
                </c:pt>
                <c:pt idx="284">
                  <c:v>0.107035006553762</c:v>
                </c:pt>
                <c:pt idx="285">
                  <c:v>0.107049782162317</c:v>
                </c:pt>
                <c:pt idx="286">
                  <c:v>0.10706487582742701</c:v>
                </c:pt>
                <c:pt idx="287">
                  <c:v>0.107080308178348</c:v>
                </c:pt>
                <c:pt idx="288">
                  <c:v>0.10709610187127599</c:v>
                </c:pt>
                <c:pt idx="289">
                  <c:v>0.10711228186470099</c:v>
                </c:pt>
                <c:pt idx="290">
                  <c:v>0.107128875742745</c:v>
                </c:pt>
                <c:pt idx="291">
                  <c:v>0.107145914096787</c:v>
                </c:pt>
                <c:pt idx="292">
                  <c:v>0.10716343097827</c:v>
                </c:pt>
                <c:pt idx="293">
                  <c:v>0.10718146443905199</c:v>
                </c:pt>
                <c:pt idx="294">
                  <c:v>0.107200057180087</c:v>
                </c:pt>
                <c:pt idx="295">
                  <c:v>0.10721925733519</c:v>
                </c:pt>
                <c:pt idx="296">
                  <c:v>0.107239119424452</c:v>
                </c:pt>
                <c:pt idx="297">
                  <c:v>0.10725970552248799</c:v>
                </c:pt>
                <c:pt idx="298">
                  <c:v>0.107281086701057</c:v>
                </c:pt>
                <c:pt idx="299">
                  <c:v>0.10730334482520799</c:v>
                </c:pt>
                <c:pt idx="300">
                  <c:v>0.107326574809414</c:v>
                </c:pt>
                <c:pt idx="301">
                  <c:v>0.10735088747820599</c:v>
                </c:pt>
                <c:pt idx="302">
                  <c:v>0.10737641322982</c:v>
                </c:pt>
                <c:pt idx="303">
                  <c:v>0.107403306778537</c:v>
                </c:pt>
                <c:pt idx="304">
                  <c:v>0.10743175336319</c:v>
                </c:pt>
                <c:pt idx="305">
                  <c:v>0.107461976972791</c:v>
                </c:pt>
                <c:pt idx="306">
                  <c:v>0.107494251381856</c:v>
                </c:pt>
                <c:pt idx="307">
                  <c:v>0.107528915147976</c:v>
                </c:pt>
                <c:pt idx="308">
                  <c:v>0.107566392263413</c:v>
                </c:pt>
                <c:pt idx="309">
                  <c:v>0.10760722096054399</c:v>
                </c:pt>
                <c:pt idx="310">
                  <c:v>0.107652094373539</c:v>
                </c:pt>
                <c:pt idx="311">
                  <c:v>0.107701918517204</c:v>
                </c:pt>
                <c:pt idx="312">
                  <c:v>0.107757895545197</c:v>
                </c:pt>
                <c:pt idx="313">
                  <c:v>0.107821643761701</c:v>
                </c:pt>
                <c:pt idx="314">
                  <c:v>0.107895371464266</c:v>
                </c:pt>
                <c:pt idx="315">
                  <c:v>0.107982136054144</c:v>
                </c:pt>
                <c:pt idx="316">
                  <c:v>0.108086279484475</c:v>
                </c:pt>
                <c:pt idx="317">
                  <c:v>0.10821441051713999</c:v>
                </c:pt>
                <c:pt idx="318">
                  <c:v>0.108378611684964</c:v>
                </c:pt>
                <c:pt idx="319">
                  <c:v>0.10851279142848901</c:v>
                </c:pt>
                <c:pt idx="320">
                  <c:v>0.108646878508965</c:v>
                </c:pt>
                <c:pt idx="321">
                  <c:v>0.108781836007877</c:v>
                </c:pt>
                <c:pt idx="322">
                  <c:v>0.108917703938839</c:v>
                </c:pt>
                <c:pt idx="323">
                  <c:v>0.109054545173906</c:v>
                </c:pt>
                <c:pt idx="324">
                  <c:v>0.109192417872054</c:v>
                </c:pt>
                <c:pt idx="325">
                  <c:v>0.109331376964383</c:v>
                </c:pt>
                <c:pt idx="326">
                  <c:v>0.10947147454287399</c:v>
                </c:pt>
                <c:pt idx="327">
                  <c:v>0.109612760241196</c:v>
                </c:pt>
                <c:pt idx="328">
                  <c:v>0.10975528157779101</c:v>
                </c:pt>
                <c:pt idx="329">
                  <c:v>0.109899084266184</c:v>
                </c:pt>
                <c:pt idx="330">
                  <c:v>0.110044212495958</c:v>
                </c:pt>
                <c:pt idx="331">
                  <c:v>0.11019070918751001</c:v>
                </c:pt>
                <c:pt idx="332">
                  <c:v>0.11033861622334599</c:v>
                </c:pt>
                <c:pt idx="333">
                  <c:v>0.110487974658393</c:v>
                </c:pt>
                <c:pt idx="334">
                  <c:v>0.110638824911563</c:v>
                </c:pt>
                <c:pt idx="335">
                  <c:v>0.110791206940568</c:v>
                </c:pt>
                <c:pt idx="336">
                  <c:v>0.11094516040180299</c:v>
                </c:pt>
                <c:pt idx="337">
                  <c:v>0.11110072479692901</c:v>
                </c:pt>
                <c:pt idx="338">
                  <c:v>0.111257939607629</c:v>
                </c:pt>
                <c:pt idx="339">
                  <c:v>0.111416844419904</c:v>
                </c:pt>
                <c:pt idx="340">
                  <c:v>0.111577479039088</c:v>
                </c:pt>
                <c:pt idx="341">
                  <c:v>0.111739883596728</c:v>
                </c:pt>
                <c:pt idx="342">
                  <c:v>0.111904098650297</c:v>
                </c:pt>
                <c:pt idx="343">
                  <c:v>0.11207016527668</c:v>
                </c:pt>
                <c:pt idx="344">
                  <c:v>0.112238125160255</c:v>
                </c:pt>
                <c:pt idx="345">
                  <c:v>0.11240802067632299</c:v>
                </c:pt>
                <c:pt idx="346">
                  <c:v>0.11257989497059701</c:v>
                </c:pt>
                <c:pt idx="347">
                  <c:v>0.112753792035371</c:v>
                </c:pt>
                <c:pt idx="348">
                  <c:v>0.112929756782956</c:v>
                </c:pt>
                <c:pt idx="349">
                  <c:v>0.113107835116922</c:v>
                </c:pt>
                <c:pt idx="350">
                  <c:v>0.113288074001635</c:v>
                </c:pt>
                <c:pt idx="351">
                  <c:v>0.113470521530551</c:v>
                </c:pt>
                <c:pt idx="352">
                  <c:v>0.113655226993682</c:v>
                </c:pt>
                <c:pt idx="353">
                  <c:v>0.113842240944644</c:v>
                </c:pt>
                <c:pt idx="354">
                  <c:v>0.114031615267637</c:v>
                </c:pt>
                <c:pt idx="355">
                  <c:v>0.11422340324472501</c:v>
                </c:pt>
                <c:pt idx="356">
                  <c:v>0.11441765962373</c:v>
                </c:pt>
                <c:pt idx="357">
                  <c:v>0.114614440687063</c:v>
                </c:pt>
                <c:pt idx="358">
                  <c:v>0.114813804321789</c:v>
                </c:pt>
                <c:pt idx="359">
                  <c:v>0.22425676384167301</c:v>
                </c:pt>
                <c:pt idx="360">
                  <c:v>0.30704288935609397</c:v>
                </c:pt>
                <c:pt idx="361">
                  <c:v>0.30834090817871301</c:v>
                </c:pt>
                <c:pt idx="362">
                  <c:v>0.30921577139060102</c:v>
                </c:pt>
                <c:pt idx="363">
                  <c:v>0.31017471350345399</c:v>
                </c:pt>
                <c:pt idx="364">
                  <c:v>0.31131883897321</c:v>
                </c:pt>
                <c:pt idx="365">
                  <c:v>0.31289797505880901</c:v>
                </c:pt>
                <c:pt idx="366">
                  <c:v>0.51289797505880896</c:v>
                </c:pt>
                <c:pt idx="367">
                  <c:v>0.51289797505880896</c:v>
                </c:pt>
              </c:numCache>
            </c:numRef>
          </c:xVal>
          <c:yVal>
            <c:numRef>
              <c:f>Implicit_Fracs!$BF$4:$BF$371</c:f>
              <c:numCache>
                <c:formatCode>General</c:formatCode>
                <c:ptCount val="368"/>
                <c:pt idx="0">
                  <c:v>1.6E-2</c:v>
                </c:pt>
                <c:pt idx="1">
                  <c:v>1.6E-2</c:v>
                </c:pt>
                <c:pt idx="2">
                  <c:v>1.6E-2</c:v>
                </c:pt>
                <c:pt idx="3">
                  <c:v>1.6E-2</c:v>
                </c:pt>
                <c:pt idx="4">
                  <c:v>1.6E-2</c:v>
                </c:pt>
                <c:pt idx="5">
                  <c:v>1.6E-2</c:v>
                </c:pt>
                <c:pt idx="6">
                  <c:v>1.6E-2</c:v>
                </c:pt>
                <c:pt idx="7">
                  <c:v>1.6E-2</c:v>
                </c:pt>
                <c:pt idx="8">
                  <c:v>1.6E-2</c:v>
                </c:pt>
                <c:pt idx="9">
                  <c:v>1.6E-2</c:v>
                </c:pt>
                <c:pt idx="10">
                  <c:v>1.6E-2</c:v>
                </c:pt>
                <c:pt idx="11">
                  <c:v>1.6E-2</c:v>
                </c:pt>
                <c:pt idx="12">
                  <c:v>1.6E-2</c:v>
                </c:pt>
                <c:pt idx="13">
                  <c:v>1.6E-2</c:v>
                </c:pt>
                <c:pt idx="14">
                  <c:v>1.6E-2</c:v>
                </c:pt>
                <c:pt idx="15">
                  <c:v>1.6E-2</c:v>
                </c:pt>
                <c:pt idx="16">
                  <c:v>1.6E-2</c:v>
                </c:pt>
                <c:pt idx="17">
                  <c:v>1.6E-2</c:v>
                </c:pt>
                <c:pt idx="18">
                  <c:v>1.6E-2</c:v>
                </c:pt>
                <c:pt idx="19">
                  <c:v>1.6E-2</c:v>
                </c:pt>
                <c:pt idx="20">
                  <c:v>1.6E-2</c:v>
                </c:pt>
                <c:pt idx="21">
                  <c:v>1.6E-2</c:v>
                </c:pt>
                <c:pt idx="22">
                  <c:v>1.6E-2</c:v>
                </c:pt>
                <c:pt idx="23">
                  <c:v>1.6E-2</c:v>
                </c:pt>
                <c:pt idx="24">
                  <c:v>1.6E-2</c:v>
                </c:pt>
                <c:pt idx="25">
                  <c:v>1.6E-2</c:v>
                </c:pt>
                <c:pt idx="26">
                  <c:v>1.6E-2</c:v>
                </c:pt>
                <c:pt idx="27">
                  <c:v>1.6E-2</c:v>
                </c:pt>
                <c:pt idx="28">
                  <c:v>1.6E-2</c:v>
                </c:pt>
                <c:pt idx="29">
                  <c:v>1.6E-2</c:v>
                </c:pt>
                <c:pt idx="30">
                  <c:v>1.6E-2</c:v>
                </c:pt>
                <c:pt idx="31">
                  <c:v>1.6E-2</c:v>
                </c:pt>
                <c:pt idx="32">
                  <c:v>1.6E-2</c:v>
                </c:pt>
                <c:pt idx="33">
                  <c:v>1.6E-2</c:v>
                </c:pt>
                <c:pt idx="34">
                  <c:v>1.6E-2</c:v>
                </c:pt>
                <c:pt idx="35">
                  <c:v>1.6E-2</c:v>
                </c:pt>
                <c:pt idx="36">
                  <c:v>1.6E-2</c:v>
                </c:pt>
                <c:pt idx="37">
                  <c:v>1.6E-2</c:v>
                </c:pt>
                <c:pt idx="38">
                  <c:v>1.6E-2</c:v>
                </c:pt>
                <c:pt idx="39">
                  <c:v>1.6E-2</c:v>
                </c:pt>
                <c:pt idx="40">
                  <c:v>1.6E-2</c:v>
                </c:pt>
                <c:pt idx="41">
                  <c:v>1.6E-2</c:v>
                </c:pt>
                <c:pt idx="42">
                  <c:v>1.6E-2</c:v>
                </c:pt>
                <c:pt idx="43">
                  <c:v>1.6E-2</c:v>
                </c:pt>
                <c:pt idx="44">
                  <c:v>1.6E-2</c:v>
                </c:pt>
                <c:pt idx="45">
                  <c:v>1.6E-2</c:v>
                </c:pt>
                <c:pt idx="46">
                  <c:v>1.6E-2</c:v>
                </c:pt>
                <c:pt idx="47">
                  <c:v>1.6E-2</c:v>
                </c:pt>
                <c:pt idx="48">
                  <c:v>1.6E-2</c:v>
                </c:pt>
                <c:pt idx="49">
                  <c:v>1.6E-2</c:v>
                </c:pt>
                <c:pt idx="50">
                  <c:v>1.6E-2</c:v>
                </c:pt>
                <c:pt idx="51">
                  <c:v>1.6E-2</c:v>
                </c:pt>
                <c:pt idx="52">
                  <c:v>1.6E-2</c:v>
                </c:pt>
                <c:pt idx="53">
                  <c:v>1.6E-2</c:v>
                </c:pt>
                <c:pt idx="54">
                  <c:v>1.6E-2</c:v>
                </c:pt>
                <c:pt idx="55">
                  <c:v>1.6E-2</c:v>
                </c:pt>
                <c:pt idx="56">
                  <c:v>1.6E-2</c:v>
                </c:pt>
                <c:pt idx="57">
                  <c:v>1.6E-2</c:v>
                </c:pt>
                <c:pt idx="58">
                  <c:v>1.6E-2</c:v>
                </c:pt>
                <c:pt idx="59">
                  <c:v>1.6E-2</c:v>
                </c:pt>
                <c:pt idx="60">
                  <c:v>1.6E-2</c:v>
                </c:pt>
                <c:pt idx="61">
                  <c:v>1.6E-2</c:v>
                </c:pt>
                <c:pt idx="62">
                  <c:v>1.6E-2</c:v>
                </c:pt>
                <c:pt idx="63">
                  <c:v>1.6E-2</c:v>
                </c:pt>
                <c:pt idx="64">
                  <c:v>1.6E-2</c:v>
                </c:pt>
                <c:pt idx="65">
                  <c:v>1.6E-2</c:v>
                </c:pt>
                <c:pt idx="66">
                  <c:v>1.6E-2</c:v>
                </c:pt>
                <c:pt idx="67">
                  <c:v>1.6E-2</c:v>
                </c:pt>
                <c:pt idx="68">
                  <c:v>1.6E-2</c:v>
                </c:pt>
                <c:pt idx="69">
                  <c:v>1.6E-2</c:v>
                </c:pt>
                <c:pt idx="70">
                  <c:v>1.6E-2</c:v>
                </c:pt>
                <c:pt idx="71">
                  <c:v>1.6E-2</c:v>
                </c:pt>
                <c:pt idx="72">
                  <c:v>1.6E-2</c:v>
                </c:pt>
                <c:pt idx="73">
                  <c:v>1.6E-2</c:v>
                </c:pt>
                <c:pt idx="74">
                  <c:v>1.6E-2</c:v>
                </c:pt>
                <c:pt idx="75">
                  <c:v>1.6E-2</c:v>
                </c:pt>
                <c:pt idx="76">
                  <c:v>1.6E-2</c:v>
                </c:pt>
                <c:pt idx="77">
                  <c:v>1.6E-2</c:v>
                </c:pt>
                <c:pt idx="78">
                  <c:v>1.6E-2</c:v>
                </c:pt>
                <c:pt idx="79">
                  <c:v>1.6E-2</c:v>
                </c:pt>
                <c:pt idx="80">
                  <c:v>1.6E-2</c:v>
                </c:pt>
                <c:pt idx="81">
                  <c:v>1.6E-2</c:v>
                </c:pt>
                <c:pt idx="82">
                  <c:v>1.6E-2</c:v>
                </c:pt>
                <c:pt idx="83">
                  <c:v>1.6E-2</c:v>
                </c:pt>
                <c:pt idx="84">
                  <c:v>1.6E-2</c:v>
                </c:pt>
                <c:pt idx="85">
                  <c:v>1.6E-2</c:v>
                </c:pt>
                <c:pt idx="86">
                  <c:v>1.6E-2</c:v>
                </c:pt>
                <c:pt idx="87">
                  <c:v>1.6E-2</c:v>
                </c:pt>
                <c:pt idx="88">
                  <c:v>1.6E-2</c:v>
                </c:pt>
                <c:pt idx="89">
                  <c:v>1.6E-2</c:v>
                </c:pt>
                <c:pt idx="90">
                  <c:v>1.6E-2</c:v>
                </c:pt>
                <c:pt idx="91">
                  <c:v>1.6E-2</c:v>
                </c:pt>
                <c:pt idx="92">
                  <c:v>1.6E-2</c:v>
                </c:pt>
                <c:pt idx="93">
                  <c:v>1.6E-2</c:v>
                </c:pt>
                <c:pt idx="94">
                  <c:v>1.6E-2</c:v>
                </c:pt>
                <c:pt idx="95">
                  <c:v>1.6E-2</c:v>
                </c:pt>
                <c:pt idx="96">
                  <c:v>1.6E-2</c:v>
                </c:pt>
                <c:pt idx="97">
                  <c:v>1.6E-2</c:v>
                </c:pt>
                <c:pt idx="98">
                  <c:v>1.6E-2</c:v>
                </c:pt>
                <c:pt idx="99">
                  <c:v>1.6E-2</c:v>
                </c:pt>
                <c:pt idx="100">
                  <c:v>1.6E-2</c:v>
                </c:pt>
                <c:pt idx="101">
                  <c:v>1.6E-2</c:v>
                </c:pt>
                <c:pt idx="102">
                  <c:v>1.6E-2</c:v>
                </c:pt>
                <c:pt idx="103">
                  <c:v>1.6E-2</c:v>
                </c:pt>
                <c:pt idx="104">
                  <c:v>1.6E-2</c:v>
                </c:pt>
                <c:pt idx="105">
                  <c:v>1.6E-2</c:v>
                </c:pt>
                <c:pt idx="106">
                  <c:v>1.6E-2</c:v>
                </c:pt>
                <c:pt idx="107">
                  <c:v>1.6E-2</c:v>
                </c:pt>
                <c:pt idx="108">
                  <c:v>1.6E-2</c:v>
                </c:pt>
                <c:pt idx="109">
                  <c:v>1.6E-2</c:v>
                </c:pt>
                <c:pt idx="110">
                  <c:v>1.6E-2</c:v>
                </c:pt>
                <c:pt idx="111">
                  <c:v>1.6E-2</c:v>
                </c:pt>
                <c:pt idx="112">
                  <c:v>1.6E-2</c:v>
                </c:pt>
                <c:pt idx="113">
                  <c:v>1.6E-2</c:v>
                </c:pt>
                <c:pt idx="114">
                  <c:v>1.6E-2</c:v>
                </c:pt>
                <c:pt idx="115">
                  <c:v>1.6E-2</c:v>
                </c:pt>
                <c:pt idx="116">
                  <c:v>1.6E-2</c:v>
                </c:pt>
                <c:pt idx="117">
                  <c:v>1.6E-2</c:v>
                </c:pt>
                <c:pt idx="118">
                  <c:v>1.6E-2</c:v>
                </c:pt>
                <c:pt idx="119">
                  <c:v>1.6E-2</c:v>
                </c:pt>
                <c:pt idx="120">
                  <c:v>1.6E-2</c:v>
                </c:pt>
                <c:pt idx="121">
                  <c:v>1.6E-2</c:v>
                </c:pt>
                <c:pt idx="122">
                  <c:v>1.6E-2</c:v>
                </c:pt>
                <c:pt idx="123">
                  <c:v>1.6E-2</c:v>
                </c:pt>
                <c:pt idx="124">
                  <c:v>1.6E-2</c:v>
                </c:pt>
                <c:pt idx="125">
                  <c:v>1.6E-2</c:v>
                </c:pt>
                <c:pt idx="126">
                  <c:v>1.6E-2</c:v>
                </c:pt>
                <c:pt idx="127">
                  <c:v>1.6E-2</c:v>
                </c:pt>
                <c:pt idx="128">
                  <c:v>1.6E-2</c:v>
                </c:pt>
                <c:pt idx="129">
                  <c:v>1.6E-2</c:v>
                </c:pt>
                <c:pt idx="130">
                  <c:v>1.6E-2</c:v>
                </c:pt>
                <c:pt idx="131">
                  <c:v>1.6E-2</c:v>
                </c:pt>
                <c:pt idx="132">
                  <c:v>1.6E-2</c:v>
                </c:pt>
                <c:pt idx="133">
                  <c:v>1.6E-2</c:v>
                </c:pt>
                <c:pt idx="134">
                  <c:v>1.6E-2</c:v>
                </c:pt>
                <c:pt idx="135">
                  <c:v>1.6E-2</c:v>
                </c:pt>
                <c:pt idx="136">
                  <c:v>1.6E-2</c:v>
                </c:pt>
                <c:pt idx="137">
                  <c:v>1.6E-2</c:v>
                </c:pt>
                <c:pt idx="138">
                  <c:v>1.6E-2</c:v>
                </c:pt>
                <c:pt idx="139">
                  <c:v>1.6E-2</c:v>
                </c:pt>
                <c:pt idx="140">
                  <c:v>1.6E-2</c:v>
                </c:pt>
                <c:pt idx="141">
                  <c:v>1.6E-2</c:v>
                </c:pt>
                <c:pt idx="142">
                  <c:v>1.6E-2</c:v>
                </c:pt>
                <c:pt idx="143">
                  <c:v>1.6E-2</c:v>
                </c:pt>
                <c:pt idx="144">
                  <c:v>1.6E-2</c:v>
                </c:pt>
                <c:pt idx="145">
                  <c:v>1.6E-2</c:v>
                </c:pt>
                <c:pt idx="146">
                  <c:v>1.6E-2</c:v>
                </c:pt>
                <c:pt idx="147">
                  <c:v>1.6E-2</c:v>
                </c:pt>
                <c:pt idx="148">
                  <c:v>1.6E-2</c:v>
                </c:pt>
                <c:pt idx="149">
                  <c:v>1.6E-2</c:v>
                </c:pt>
                <c:pt idx="150">
                  <c:v>1.6E-2</c:v>
                </c:pt>
                <c:pt idx="151">
                  <c:v>1.6E-2</c:v>
                </c:pt>
                <c:pt idx="152">
                  <c:v>1.6E-2</c:v>
                </c:pt>
                <c:pt idx="153">
                  <c:v>1.6E-2</c:v>
                </c:pt>
                <c:pt idx="154">
                  <c:v>1.6E-2</c:v>
                </c:pt>
                <c:pt idx="155">
                  <c:v>1.6E-2</c:v>
                </c:pt>
                <c:pt idx="156">
                  <c:v>1.6E-2</c:v>
                </c:pt>
                <c:pt idx="157">
                  <c:v>1.6E-2</c:v>
                </c:pt>
                <c:pt idx="158">
                  <c:v>1.6E-2</c:v>
                </c:pt>
                <c:pt idx="159">
                  <c:v>1.6E-2</c:v>
                </c:pt>
                <c:pt idx="160">
                  <c:v>1.6E-2</c:v>
                </c:pt>
                <c:pt idx="161">
                  <c:v>1.6E-2</c:v>
                </c:pt>
                <c:pt idx="162">
                  <c:v>1.6E-2</c:v>
                </c:pt>
                <c:pt idx="163">
                  <c:v>1.6E-2</c:v>
                </c:pt>
                <c:pt idx="164">
                  <c:v>1.6E-2</c:v>
                </c:pt>
                <c:pt idx="165">
                  <c:v>1.6E-2</c:v>
                </c:pt>
                <c:pt idx="166">
                  <c:v>1.6E-2</c:v>
                </c:pt>
                <c:pt idx="167">
                  <c:v>1.6E-2</c:v>
                </c:pt>
                <c:pt idx="168">
                  <c:v>1.6E-2</c:v>
                </c:pt>
                <c:pt idx="169">
                  <c:v>1.6E-2</c:v>
                </c:pt>
                <c:pt idx="170">
                  <c:v>1.6E-2</c:v>
                </c:pt>
                <c:pt idx="171">
                  <c:v>1.6E-2</c:v>
                </c:pt>
                <c:pt idx="172">
                  <c:v>1.6E-2</c:v>
                </c:pt>
                <c:pt idx="173">
                  <c:v>1.6E-2</c:v>
                </c:pt>
                <c:pt idx="174">
                  <c:v>1.6E-2</c:v>
                </c:pt>
                <c:pt idx="175">
                  <c:v>1.6E-2</c:v>
                </c:pt>
                <c:pt idx="176">
                  <c:v>1.6E-2</c:v>
                </c:pt>
                <c:pt idx="177">
                  <c:v>1.6E-2</c:v>
                </c:pt>
                <c:pt idx="178">
                  <c:v>1.6E-2</c:v>
                </c:pt>
                <c:pt idx="179">
                  <c:v>1.6E-2</c:v>
                </c:pt>
                <c:pt idx="180">
                  <c:v>1.6E-2</c:v>
                </c:pt>
                <c:pt idx="181">
                  <c:v>1.6E-2</c:v>
                </c:pt>
                <c:pt idx="182">
                  <c:v>1.6E-2</c:v>
                </c:pt>
                <c:pt idx="183">
                  <c:v>1.6E-2</c:v>
                </c:pt>
                <c:pt idx="184">
                  <c:v>1.6E-2</c:v>
                </c:pt>
                <c:pt idx="185">
                  <c:v>1.6E-2</c:v>
                </c:pt>
                <c:pt idx="186">
                  <c:v>1.6E-2</c:v>
                </c:pt>
                <c:pt idx="187">
                  <c:v>1.6E-2</c:v>
                </c:pt>
                <c:pt idx="188">
                  <c:v>1.6E-2</c:v>
                </c:pt>
                <c:pt idx="189">
                  <c:v>1.6E-2</c:v>
                </c:pt>
                <c:pt idx="190">
                  <c:v>1.6E-2</c:v>
                </c:pt>
                <c:pt idx="191">
                  <c:v>1.6E-2</c:v>
                </c:pt>
                <c:pt idx="192">
                  <c:v>1.6E-2</c:v>
                </c:pt>
                <c:pt idx="193">
                  <c:v>1.6E-2</c:v>
                </c:pt>
                <c:pt idx="194">
                  <c:v>1.6E-2</c:v>
                </c:pt>
                <c:pt idx="195">
                  <c:v>1.6E-2</c:v>
                </c:pt>
                <c:pt idx="196">
                  <c:v>1.6E-2</c:v>
                </c:pt>
                <c:pt idx="197">
                  <c:v>1.6E-2</c:v>
                </c:pt>
                <c:pt idx="198">
                  <c:v>1.6E-2</c:v>
                </c:pt>
                <c:pt idx="199">
                  <c:v>1.6E-2</c:v>
                </c:pt>
                <c:pt idx="200">
                  <c:v>1.6E-2</c:v>
                </c:pt>
                <c:pt idx="201">
                  <c:v>1.6E-2</c:v>
                </c:pt>
                <c:pt idx="202">
                  <c:v>1.6E-2</c:v>
                </c:pt>
                <c:pt idx="203">
                  <c:v>1.6E-2</c:v>
                </c:pt>
                <c:pt idx="204">
                  <c:v>1.6E-2</c:v>
                </c:pt>
                <c:pt idx="205">
                  <c:v>1.6E-2</c:v>
                </c:pt>
                <c:pt idx="206">
                  <c:v>1.6E-2</c:v>
                </c:pt>
                <c:pt idx="207">
                  <c:v>1.6E-2</c:v>
                </c:pt>
                <c:pt idx="208">
                  <c:v>1.6E-2</c:v>
                </c:pt>
                <c:pt idx="209">
                  <c:v>1.6E-2</c:v>
                </c:pt>
                <c:pt idx="210">
                  <c:v>1.6E-2</c:v>
                </c:pt>
                <c:pt idx="211">
                  <c:v>1.6E-2</c:v>
                </c:pt>
                <c:pt idx="212">
                  <c:v>1.6E-2</c:v>
                </c:pt>
                <c:pt idx="213">
                  <c:v>1.6E-2</c:v>
                </c:pt>
                <c:pt idx="214">
                  <c:v>1.6E-2</c:v>
                </c:pt>
                <c:pt idx="215">
                  <c:v>1.6E-2</c:v>
                </c:pt>
                <c:pt idx="216">
                  <c:v>1.6E-2</c:v>
                </c:pt>
                <c:pt idx="217">
                  <c:v>1.6E-2</c:v>
                </c:pt>
                <c:pt idx="218">
                  <c:v>1.6E-2</c:v>
                </c:pt>
                <c:pt idx="219">
                  <c:v>1.6E-2</c:v>
                </c:pt>
                <c:pt idx="220">
                  <c:v>1.6E-2</c:v>
                </c:pt>
                <c:pt idx="221">
                  <c:v>1.6E-2</c:v>
                </c:pt>
                <c:pt idx="222">
                  <c:v>1.6E-2</c:v>
                </c:pt>
                <c:pt idx="223">
                  <c:v>1.6E-2</c:v>
                </c:pt>
                <c:pt idx="224">
                  <c:v>1.6E-2</c:v>
                </c:pt>
                <c:pt idx="225">
                  <c:v>1.6E-2</c:v>
                </c:pt>
                <c:pt idx="226">
                  <c:v>1.6E-2</c:v>
                </c:pt>
                <c:pt idx="227">
                  <c:v>1.6E-2</c:v>
                </c:pt>
                <c:pt idx="228">
                  <c:v>1.6E-2</c:v>
                </c:pt>
                <c:pt idx="229">
                  <c:v>1.6E-2</c:v>
                </c:pt>
                <c:pt idx="230">
                  <c:v>1.6E-2</c:v>
                </c:pt>
                <c:pt idx="231">
                  <c:v>1.6E-2</c:v>
                </c:pt>
                <c:pt idx="232">
                  <c:v>1.6E-2</c:v>
                </c:pt>
                <c:pt idx="233">
                  <c:v>1.6E-2</c:v>
                </c:pt>
                <c:pt idx="234">
                  <c:v>1.6E-2</c:v>
                </c:pt>
                <c:pt idx="235">
                  <c:v>1.6E-2</c:v>
                </c:pt>
                <c:pt idx="236">
                  <c:v>1.6E-2</c:v>
                </c:pt>
                <c:pt idx="237">
                  <c:v>1.6E-2</c:v>
                </c:pt>
                <c:pt idx="238">
                  <c:v>1.6E-2</c:v>
                </c:pt>
                <c:pt idx="239">
                  <c:v>1.6E-2</c:v>
                </c:pt>
                <c:pt idx="240">
                  <c:v>1.6E-2</c:v>
                </c:pt>
                <c:pt idx="241">
                  <c:v>1.6E-2</c:v>
                </c:pt>
                <c:pt idx="242">
                  <c:v>1.6E-2</c:v>
                </c:pt>
                <c:pt idx="243">
                  <c:v>1.6E-2</c:v>
                </c:pt>
                <c:pt idx="244">
                  <c:v>1.6E-2</c:v>
                </c:pt>
                <c:pt idx="245">
                  <c:v>1.6E-2</c:v>
                </c:pt>
                <c:pt idx="246">
                  <c:v>1.6E-2</c:v>
                </c:pt>
                <c:pt idx="247">
                  <c:v>1.6E-2</c:v>
                </c:pt>
                <c:pt idx="248">
                  <c:v>1.6E-2</c:v>
                </c:pt>
                <c:pt idx="249">
                  <c:v>1.6E-2</c:v>
                </c:pt>
                <c:pt idx="250">
                  <c:v>1.6E-2</c:v>
                </c:pt>
                <c:pt idx="251">
                  <c:v>1.6E-2</c:v>
                </c:pt>
                <c:pt idx="252">
                  <c:v>1.6E-2</c:v>
                </c:pt>
                <c:pt idx="253">
                  <c:v>1.6E-2</c:v>
                </c:pt>
                <c:pt idx="254">
                  <c:v>1.6E-2</c:v>
                </c:pt>
                <c:pt idx="255">
                  <c:v>1.6E-2</c:v>
                </c:pt>
                <c:pt idx="256">
                  <c:v>1.6E-2</c:v>
                </c:pt>
                <c:pt idx="257">
                  <c:v>1.6E-2</c:v>
                </c:pt>
                <c:pt idx="258">
                  <c:v>1.6E-2</c:v>
                </c:pt>
                <c:pt idx="259">
                  <c:v>1.6E-2</c:v>
                </c:pt>
                <c:pt idx="260">
                  <c:v>1.6E-2</c:v>
                </c:pt>
                <c:pt idx="261">
                  <c:v>1.6E-2</c:v>
                </c:pt>
                <c:pt idx="262">
                  <c:v>1.6E-2</c:v>
                </c:pt>
                <c:pt idx="263">
                  <c:v>1.6E-2</c:v>
                </c:pt>
                <c:pt idx="264">
                  <c:v>1.6E-2</c:v>
                </c:pt>
                <c:pt idx="265">
                  <c:v>1.6E-2</c:v>
                </c:pt>
                <c:pt idx="266">
                  <c:v>1.6E-2</c:v>
                </c:pt>
                <c:pt idx="267">
                  <c:v>1.6E-2</c:v>
                </c:pt>
                <c:pt idx="268">
                  <c:v>1.6E-2</c:v>
                </c:pt>
                <c:pt idx="269">
                  <c:v>1.6E-2</c:v>
                </c:pt>
                <c:pt idx="270">
                  <c:v>1.6E-2</c:v>
                </c:pt>
                <c:pt idx="271">
                  <c:v>1.6E-2</c:v>
                </c:pt>
                <c:pt idx="272">
                  <c:v>1.6E-2</c:v>
                </c:pt>
                <c:pt idx="273">
                  <c:v>1.6E-2</c:v>
                </c:pt>
                <c:pt idx="274">
                  <c:v>1.6E-2</c:v>
                </c:pt>
                <c:pt idx="275">
                  <c:v>1.6E-2</c:v>
                </c:pt>
                <c:pt idx="276">
                  <c:v>1.6E-2</c:v>
                </c:pt>
                <c:pt idx="277">
                  <c:v>1.6E-2</c:v>
                </c:pt>
                <c:pt idx="278">
                  <c:v>1.6E-2</c:v>
                </c:pt>
                <c:pt idx="279">
                  <c:v>1.6E-2</c:v>
                </c:pt>
                <c:pt idx="280">
                  <c:v>1.6E-2</c:v>
                </c:pt>
                <c:pt idx="281">
                  <c:v>1.6E-2</c:v>
                </c:pt>
                <c:pt idx="282">
                  <c:v>1.6E-2</c:v>
                </c:pt>
                <c:pt idx="283">
                  <c:v>1.6E-2</c:v>
                </c:pt>
                <c:pt idx="284">
                  <c:v>1.6E-2</c:v>
                </c:pt>
                <c:pt idx="285">
                  <c:v>1.6E-2</c:v>
                </c:pt>
                <c:pt idx="286">
                  <c:v>1.6E-2</c:v>
                </c:pt>
                <c:pt idx="287">
                  <c:v>1.6E-2</c:v>
                </c:pt>
                <c:pt idx="288">
                  <c:v>1.6E-2</c:v>
                </c:pt>
                <c:pt idx="289">
                  <c:v>1.6E-2</c:v>
                </c:pt>
                <c:pt idx="290">
                  <c:v>1.6E-2</c:v>
                </c:pt>
                <c:pt idx="291">
                  <c:v>1.6E-2</c:v>
                </c:pt>
                <c:pt idx="292">
                  <c:v>1.6E-2</c:v>
                </c:pt>
                <c:pt idx="293">
                  <c:v>1.6E-2</c:v>
                </c:pt>
                <c:pt idx="294">
                  <c:v>1.6E-2</c:v>
                </c:pt>
                <c:pt idx="295">
                  <c:v>1.6E-2</c:v>
                </c:pt>
                <c:pt idx="296">
                  <c:v>1.6E-2</c:v>
                </c:pt>
                <c:pt idx="297">
                  <c:v>1.6E-2</c:v>
                </c:pt>
                <c:pt idx="298">
                  <c:v>1.6E-2</c:v>
                </c:pt>
                <c:pt idx="299">
                  <c:v>1.6E-2</c:v>
                </c:pt>
                <c:pt idx="300">
                  <c:v>1.6E-2</c:v>
                </c:pt>
                <c:pt idx="301">
                  <c:v>1.6E-2</c:v>
                </c:pt>
                <c:pt idx="302">
                  <c:v>1.6E-2</c:v>
                </c:pt>
                <c:pt idx="303">
                  <c:v>1.6E-2</c:v>
                </c:pt>
                <c:pt idx="304">
                  <c:v>1.6E-2</c:v>
                </c:pt>
                <c:pt idx="305">
                  <c:v>1.6E-2</c:v>
                </c:pt>
                <c:pt idx="306">
                  <c:v>1.6E-2</c:v>
                </c:pt>
                <c:pt idx="307">
                  <c:v>1.6E-2</c:v>
                </c:pt>
                <c:pt idx="308">
                  <c:v>1.6E-2</c:v>
                </c:pt>
                <c:pt idx="309">
                  <c:v>1.6E-2</c:v>
                </c:pt>
                <c:pt idx="310">
                  <c:v>1.6E-2</c:v>
                </c:pt>
                <c:pt idx="311">
                  <c:v>1.6E-2</c:v>
                </c:pt>
                <c:pt idx="312">
                  <c:v>1.6E-2</c:v>
                </c:pt>
                <c:pt idx="313">
                  <c:v>1.6E-2</c:v>
                </c:pt>
                <c:pt idx="314">
                  <c:v>1.6E-2</c:v>
                </c:pt>
                <c:pt idx="315">
                  <c:v>1.6E-2</c:v>
                </c:pt>
                <c:pt idx="316">
                  <c:v>1.6E-2</c:v>
                </c:pt>
                <c:pt idx="317">
                  <c:v>1.6E-2</c:v>
                </c:pt>
                <c:pt idx="318">
                  <c:v>1.6E-2</c:v>
                </c:pt>
                <c:pt idx="319">
                  <c:v>1.6E-2</c:v>
                </c:pt>
                <c:pt idx="320">
                  <c:v>1.6E-2</c:v>
                </c:pt>
                <c:pt idx="321">
                  <c:v>1.6E-2</c:v>
                </c:pt>
                <c:pt idx="322">
                  <c:v>1.6E-2</c:v>
                </c:pt>
                <c:pt idx="323">
                  <c:v>1.6E-2</c:v>
                </c:pt>
                <c:pt idx="324">
                  <c:v>1.6E-2</c:v>
                </c:pt>
                <c:pt idx="325">
                  <c:v>1.6E-2</c:v>
                </c:pt>
                <c:pt idx="326">
                  <c:v>1.6E-2</c:v>
                </c:pt>
                <c:pt idx="327">
                  <c:v>1.6E-2</c:v>
                </c:pt>
                <c:pt idx="328">
                  <c:v>1.6E-2</c:v>
                </c:pt>
                <c:pt idx="329">
                  <c:v>1.6E-2</c:v>
                </c:pt>
                <c:pt idx="330">
                  <c:v>1.6E-2</c:v>
                </c:pt>
                <c:pt idx="331">
                  <c:v>1.6E-2</c:v>
                </c:pt>
                <c:pt idx="332">
                  <c:v>1.6E-2</c:v>
                </c:pt>
                <c:pt idx="333">
                  <c:v>1.6E-2</c:v>
                </c:pt>
                <c:pt idx="334">
                  <c:v>1.6E-2</c:v>
                </c:pt>
                <c:pt idx="335">
                  <c:v>1.6E-2</c:v>
                </c:pt>
                <c:pt idx="336">
                  <c:v>1.6E-2</c:v>
                </c:pt>
                <c:pt idx="337">
                  <c:v>1.6E-2</c:v>
                </c:pt>
                <c:pt idx="338">
                  <c:v>1.6E-2</c:v>
                </c:pt>
                <c:pt idx="339">
                  <c:v>1.6E-2</c:v>
                </c:pt>
                <c:pt idx="340">
                  <c:v>1.6E-2</c:v>
                </c:pt>
                <c:pt idx="341">
                  <c:v>1.6E-2</c:v>
                </c:pt>
                <c:pt idx="342">
                  <c:v>1.6E-2</c:v>
                </c:pt>
                <c:pt idx="343">
                  <c:v>1.6E-2</c:v>
                </c:pt>
                <c:pt idx="344">
                  <c:v>1.6E-2</c:v>
                </c:pt>
                <c:pt idx="345">
                  <c:v>1.6E-2</c:v>
                </c:pt>
                <c:pt idx="346">
                  <c:v>1.6E-2</c:v>
                </c:pt>
                <c:pt idx="347">
                  <c:v>1.6E-2</c:v>
                </c:pt>
                <c:pt idx="348">
                  <c:v>1.6E-2</c:v>
                </c:pt>
                <c:pt idx="349">
                  <c:v>1.6E-2</c:v>
                </c:pt>
                <c:pt idx="350">
                  <c:v>1.6E-2</c:v>
                </c:pt>
                <c:pt idx="351">
                  <c:v>1.6E-2</c:v>
                </c:pt>
                <c:pt idx="352">
                  <c:v>1.6E-2</c:v>
                </c:pt>
                <c:pt idx="353">
                  <c:v>1.6E-2</c:v>
                </c:pt>
                <c:pt idx="354">
                  <c:v>1.6E-2</c:v>
                </c:pt>
                <c:pt idx="355">
                  <c:v>1.6E-2</c:v>
                </c:pt>
                <c:pt idx="356">
                  <c:v>1.6E-2</c:v>
                </c:pt>
                <c:pt idx="357">
                  <c:v>1.6E-2</c:v>
                </c:pt>
                <c:pt idx="358">
                  <c:v>1.6E-2</c:v>
                </c:pt>
                <c:pt idx="359">
                  <c:v>1.6E-2</c:v>
                </c:pt>
                <c:pt idx="360">
                  <c:v>1.6E-2</c:v>
                </c:pt>
                <c:pt idx="361">
                  <c:v>1.6E-2</c:v>
                </c:pt>
                <c:pt idx="362">
                  <c:v>1.6E-2</c:v>
                </c:pt>
                <c:pt idx="363">
                  <c:v>1.6E-2</c:v>
                </c:pt>
                <c:pt idx="364">
                  <c:v>1.6E-2</c:v>
                </c:pt>
                <c:pt idx="365">
                  <c:v>1.6E-2</c:v>
                </c:pt>
                <c:pt idx="366">
                  <c:v>1.6E-2</c:v>
                </c:pt>
                <c:pt idx="367">
                  <c:v>1.6E-2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91-429B-A3ED-EA119F4F2CB0}"/>
            </c:ext>
          </c:extLst>
        </c:ser>
        <c:ser>
          <c:idx val="1"/>
          <c:order val="1"/>
          <c:tx>
            <c:strRef>
              <c:f>Implicit_Fracs!$BG$2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Implicit_Fracs!$C$4:$C$371</c:f>
              <c:numCache>
                <c:formatCode>General</c:formatCode>
                <c:ptCount val="368"/>
                <c:pt idx="0">
                  <c:v>6.5458908507104702E-2</c:v>
                </c:pt>
                <c:pt idx="1">
                  <c:v>0.10158646265419501</c:v>
                </c:pt>
                <c:pt idx="2">
                  <c:v>0.102060105178604</c:v>
                </c:pt>
                <c:pt idx="3">
                  <c:v>0.102354758409441</c:v>
                </c:pt>
                <c:pt idx="4">
                  <c:v>0.10257003610151801</c:v>
                </c:pt>
                <c:pt idx="5">
                  <c:v>0.102740146597483</c:v>
                </c:pt>
                <c:pt idx="6">
                  <c:v>0.10288102093448701</c:v>
                </c:pt>
                <c:pt idx="7">
                  <c:v>0.10300139565401099</c:v>
                </c:pt>
                <c:pt idx="8">
                  <c:v>0.10310658737638601</c:v>
                </c:pt>
                <c:pt idx="9">
                  <c:v>0.103200075337502</c:v>
                </c:pt>
                <c:pt idx="10">
                  <c:v>0.103284262204</c:v>
                </c:pt>
                <c:pt idx="11">
                  <c:v>0.103360877526633</c:v>
                </c:pt>
                <c:pt idx="12">
                  <c:v>0.103431208153653</c:v>
                </c:pt>
                <c:pt idx="13">
                  <c:v>0.103496237708407</c:v>
                </c:pt>
                <c:pt idx="14">
                  <c:v>0.103556735084609</c:v>
                </c:pt>
                <c:pt idx="15">
                  <c:v>0.103613312816801</c:v>
                </c:pt>
                <c:pt idx="16">
                  <c:v>0.103666466857375</c:v>
                </c:pt>
                <c:pt idx="17">
                  <c:v>0.10371660444741999</c:v>
                </c:pt>
                <c:pt idx="18">
                  <c:v>0.10376406411969299</c:v>
                </c:pt>
                <c:pt idx="19">
                  <c:v>0.10380913035858701</c:v>
                </c:pt>
                <c:pt idx="20">
                  <c:v>0.103852044544123</c:v>
                </c:pt>
                <c:pt idx="21">
                  <c:v>0.103893013256558</c:v>
                </c:pt>
                <c:pt idx="22">
                  <c:v>0.103932214670875</c:v>
                </c:pt>
                <c:pt idx="23">
                  <c:v>0.10396980354554</c:v>
                </c:pt>
                <c:pt idx="24">
                  <c:v>0.104005915161023</c:v>
                </c:pt>
                <c:pt idx="25">
                  <c:v>0.10404066846285701</c:v>
                </c:pt>
                <c:pt idx="26">
                  <c:v>0.104074168594671</c:v>
                </c:pt>
                <c:pt idx="27">
                  <c:v>0.10410650895807599</c:v>
                </c:pt>
                <c:pt idx="28">
                  <c:v>0.10413777290170501</c:v>
                </c:pt>
                <c:pt idx="29">
                  <c:v>0.104168035116796</c:v>
                </c:pt>
                <c:pt idx="30">
                  <c:v>0.104197362798492</c:v>
                </c:pt>
                <c:pt idx="31">
                  <c:v>0.104225816618547</c:v>
                </c:pt>
                <c:pt idx="32">
                  <c:v>0.104253451545067</c:v>
                </c:pt>
                <c:pt idx="33">
                  <c:v>0.104280317537286</c:v>
                </c:pt>
                <c:pt idx="34">
                  <c:v>0.10430646013757899</c:v>
                </c:pt>
                <c:pt idx="35">
                  <c:v>0.10433192097843901</c:v>
                </c:pt>
                <c:pt idx="36">
                  <c:v>0.104356738218675</c:v>
                </c:pt>
                <c:pt idx="37">
                  <c:v>0.10438094692038</c:v>
                </c:pt>
                <c:pt idx="38">
                  <c:v>0.104404579376061</c:v>
                </c:pt>
                <c:pt idx="39">
                  <c:v>0.10442766539470601</c:v>
                </c:pt>
                <c:pt idx="40">
                  <c:v>0.104450232550895</c:v>
                </c:pt>
                <c:pt idx="41">
                  <c:v>0.104472306403378</c:v>
                </c:pt>
                <c:pt idx="42">
                  <c:v>0.104493910687546</c:v>
                </c:pt>
                <c:pt idx="43">
                  <c:v>0.104515067485448</c:v>
                </c:pt>
                <c:pt idx="44">
                  <c:v>0.104535797376425</c:v>
                </c:pt>
                <c:pt idx="45">
                  <c:v>0.104556119570968</c:v>
                </c:pt>
                <c:pt idx="46">
                  <c:v>0.10457605202998201</c:v>
                </c:pt>
                <c:pt idx="47">
                  <c:v>0.10459561157132601</c:v>
                </c:pt>
                <c:pt idx="48">
                  <c:v>0.10461481396524</c:v>
                </c:pt>
                <c:pt idx="49">
                  <c:v>0.104633674020002</c:v>
                </c:pt>
                <c:pt idx="50">
                  <c:v>0.104652205659008</c:v>
                </c:pt>
                <c:pt idx="51">
                  <c:v>0.10467042199028</c:v>
                </c:pt>
                <c:pt idx="52">
                  <c:v>0.10468833536927501</c:v>
                </c:pt>
                <c:pt idx="53">
                  <c:v>0.104705957455764</c:v>
                </c:pt>
                <c:pt idx="54">
                  <c:v>0.104723299265432</c:v>
                </c:pt>
                <c:pt idx="55">
                  <c:v>0.10474037121678501</c:v>
                </c:pt>
                <c:pt idx="56">
                  <c:v>0.104757183173858</c:v>
                </c:pt>
                <c:pt idx="57">
                  <c:v>0.10477374448518</c:v>
                </c:pt>
                <c:pt idx="58">
                  <c:v>0.104790064019366</c:v>
                </c:pt>
                <c:pt idx="59">
                  <c:v>0.10480615019770299</c:v>
                </c:pt>
                <c:pt idx="60">
                  <c:v>0.104822011024007</c:v>
                </c:pt>
                <c:pt idx="61">
                  <c:v>0.10483765411203801</c:v>
                </c:pt>
                <c:pt idx="62">
                  <c:v>0.104853086710699</c:v>
                </c:pt>
                <c:pt idx="63">
                  <c:v>0.10486831572724099</c:v>
                </c:pt>
                <c:pt idx="64">
                  <c:v>0.104883347748643</c:v>
                </c:pt>
                <c:pt idx="65">
                  <c:v>0.104898189061358</c:v>
                </c:pt>
                <c:pt idx="66">
                  <c:v>0.104912845669559</c:v>
                </c:pt>
                <c:pt idx="67">
                  <c:v>0.10492732331202199</c:v>
                </c:pt>
                <c:pt idx="68">
                  <c:v>0.10494162747777</c:v>
                </c:pt>
                <c:pt idx="69">
                  <c:v>0.10495576342058401</c:v>
                </c:pt>
                <c:pt idx="70">
                  <c:v>0.104969736172476</c:v>
                </c:pt>
                <c:pt idx="71">
                  <c:v>0.104983550556215</c:v>
                </c:pt>
                <c:pt idx="72">
                  <c:v>0.104997211196988</c:v>
                </c:pt>
                <c:pt idx="73">
                  <c:v>0.105010722533251</c:v>
                </c:pt>
                <c:pt idx="74">
                  <c:v>0.10502408882686499</c:v>
                </c:pt>
                <c:pt idx="75">
                  <c:v>0.105037314172539</c:v>
                </c:pt>
                <c:pt idx="76">
                  <c:v>0.10505040250667</c:v>
                </c:pt>
                <c:pt idx="77">
                  <c:v>0.105063357615594</c:v>
                </c:pt>
                <c:pt idx="78">
                  <c:v>0.105076183143323</c:v>
                </c:pt>
                <c:pt idx="79">
                  <c:v>0.10508888259878001</c:v>
                </c:pt>
                <c:pt idx="80">
                  <c:v>0.105101459362598</c:v>
                </c:pt>
                <c:pt idx="81">
                  <c:v>0.10511391669348399</c:v>
                </c:pt>
                <c:pt idx="82">
                  <c:v>0.10512625773421</c:v>
                </c:pt>
                <c:pt idx="83">
                  <c:v>0.10513848551723599</c:v>
                </c:pt>
                <c:pt idx="84">
                  <c:v>0.10515060297000201</c:v>
                </c:pt>
                <c:pt idx="85">
                  <c:v>0.105162612919908</c:v>
                </c:pt>
                <c:pt idx="86">
                  <c:v>0.105174518099013</c:v>
                </c:pt>
                <c:pt idx="87">
                  <c:v>0.105186321148453</c:v>
                </c:pt>
                <c:pt idx="88">
                  <c:v>0.105198024622616</c:v>
                </c:pt>
                <c:pt idx="89">
                  <c:v>0.105209630993088</c:v>
                </c:pt>
                <c:pt idx="90">
                  <c:v>0.10522114265237301</c:v>
                </c:pt>
                <c:pt idx="91">
                  <c:v>0.105232561917411</c:v>
                </c:pt>
                <c:pt idx="92">
                  <c:v>0.105243891032912</c:v>
                </c:pt>
                <c:pt idx="93">
                  <c:v>0.105255132174505</c:v>
                </c:pt>
                <c:pt idx="94">
                  <c:v>0.10526628745172401</c:v>
                </c:pt>
                <c:pt idx="95">
                  <c:v>0.105277358910841</c:v>
                </c:pt>
                <c:pt idx="96">
                  <c:v>0.105288348537545</c:v>
                </c:pt>
                <c:pt idx="97">
                  <c:v>0.10529925825949001</c:v>
                </c:pt>
                <c:pt idx="98">
                  <c:v>0.105310089948715</c:v>
                </c:pt>
                <c:pt idx="99">
                  <c:v>0.10532084542394</c:v>
                </c:pt>
                <c:pt idx="100">
                  <c:v>0.105331526452749</c:v>
                </c:pt>
                <c:pt idx="101">
                  <c:v>0.10534213475366599</c:v>
                </c:pt>
                <c:pt idx="102">
                  <c:v>0.105352671998135</c:v>
                </c:pt>
                <c:pt idx="103">
                  <c:v>0.105363139812398</c:v>
                </c:pt>
                <c:pt idx="104">
                  <c:v>0.10537353977929</c:v>
                </c:pt>
                <c:pt idx="105">
                  <c:v>0.105383873439947</c:v>
                </c:pt>
                <c:pt idx="106">
                  <c:v>0.105394142295438</c:v>
                </c:pt>
                <c:pt idx="107">
                  <c:v>0.10540434780831399</c:v>
                </c:pt>
                <c:pt idx="108">
                  <c:v>0.1054144914041</c:v>
                </c:pt>
                <c:pt idx="109">
                  <c:v>0.105424574472708</c:v>
                </c:pt>
                <c:pt idx="110">
                  <c:v>0.10543459836979301</c:v>
                </c:pt>
                <c:pt idx="111">
                  <c:v>0.105444564418049</c:v>
                </c:pt>
                <c:pt idx="112">
                  <c:v>0.105454473908448</c:v>
                </c:pt>
                <c:pt idx="113">
                  <c:v>0.105464328101426</c:v>
                </c:pt>
                <c:pt idx="114">
                  <c:v>0.10547412822802001</c:v>
                </c:pt>
                <c:pt idx="115">
                  <c:v>0.10548387549095201</c:v>
                </c:pt>
                <c:pt idx="116">
                  <c:v>0.105493571065675</c:v>
                </c:pt>
                <c:pt idx="117">
                  <c:v>0.105503216101374</c:v>
                </c:pt>
                <c:pt idx="118">
                  <c:v>0.10551281172191999</c:v>
                </c:pt>
                <c:pt idx="119">
                  <c:v>0.10552235902679701</c:v>
                </c:pt>
                <c:pt idx="120">
                  <c:v>0.105531859091982</c:v>
                </c:pt>
                <c:pt idx="121">
                  <c:v>0.105541312970793</c:v>
                </c:pt>
                <c:pt idx="122">
                  <c:v>0.105550721694713</c:v>
                </c:pt>
                <c:pt idx="123">
                  <c:v>0.10556008627416701</c:v>
                </c:pt>
                <c:pt idx="124">
                  <c:v>0.105569407699282</c:v>
                </c:pt>
                <c:pt idx="125">
                  <c:v>0.105578686940613</c:v>
                </c:pt>
                <c:pt idx="126">
                  <c:v>0.10558792494984499</c:v>
                </c:pt>
                <c:pt idx="127">
                  <c:v>0.105597122660464</c:v>
                </c:pt>
                <c:pt idx="128">
                  <c:v>0.105606280988415</c:v>
                </c:pt>
                <c:pt idx="129">
                  <c:v>0.105615400832723</c:v>
                </c:pt>
                <c:pt idx="130">
                  <c:v>0.10562448307610101</c:v>
                </c:pt>
                <c:pt idx="131">
                  <c:v>0.105633528585537</c:v>
                </c:pt>
                <c:pt idx="132">
                  <c:v>0.105642538212856</c:v>
                </c:pt>
                <c:pt idx="133">
                  <c:v>0.10565151279527001</c:v>
                </c:pt>
                <c:pt idx="134">
                  <c:v>0.105660453155901</c:v>
                </c:pt>
                <c:pt idx="135">
                  <c:v>0.1056693601043</c:v>
                </c:pt>
                <c:pt idx="136">
                  <c:v>0.105678234436935</c:v>
                </c:pt>
                <c:pt idx="137">
                  <c:v>0.105687076937673</c:v>
                </c:pt>
                <c:pt idx="138">
                  <c:v>0.10569588837824601</c:v>
                </c:pt>
                <c:pt idx="139">
                  <c:v>0.105704669518702</c:v>
                </c:pt>
                <c:pt idx="140">
                  <c:v>0.105713421107842</c:v>
                </c:pt>
                <c:pt idx="141">
                  <c:v>0.105722143883642</c:v>
                </c:pt>
                <c:pt idx="142">
                  <c:v>0.10573083857367301</c:v>
                </c:pt>
                <c:pt idx="143">
                  <c:v>0.10573950589549699</c:v>
                </c:pt>
                <c:pt idx="144">
                  <c:v>0.105748146557059</c:v>
                </c:pt>
                <c:pt idx="145">
                  <c:v>0.105756761257069</c:v>
                </c:pt>
                <c:pt idx="146">
                  <c:v>0.105765350685371</c:v>
                </c:pt>
                <c:pt idx="147">
                  <c:v>0.10577391552330601</c:v>
                </c:pt>
                <c:pt idx="148">
                  <c:v>0.105782456444064</c:v>
                </c:pt>
                <c:pt idx="149">
                  <c:v>0.105790974113029</c:v>
                </c:pt>
                <c:pt idx="150">
                  <c:v>0.105799469188117</c:v>
                </c:pt>
                <c:pt idx="151">
                  <c:v>0.105807942320102</c:v>
                </c:pt>
                <c:pt idx="152">
                  <c:v>0.105816394152941</c:v>
                </c:pt>
                <c:pt idx="153">
                  <c:v>0.10582482532409</c:v>
                </c:pt>
                <c:pt idx="154">
                  <c:v>0.10583323646481201</c:v>
                </c:pt>
                <c:pt idx="155">
                  <c:v>0.105841628200482</c:v>
                </c:pt>
                <c:pt idx="156">
                  <c:v>0.105850001150887</c:v>
                </c:pt>
                <c:pt idx="157">
                  <c:v>0.105858355930516</c:v>
                </c:pt>
                <c:pt idx="158">
                  <c:v>0.105866693148851</c:v>
                </c:pt>
                <c:pt idx="159">
                  <c:v>0.105875013410654</c:v>
                </c:pt>
                <c:pt idx="160">
                  <c:v>0.10588331731624</c:v>
                </c:pt>
                <c:pt idx="161">
                  <c:v>0.105891605461765</c:v>
                </c:pt>
                <c:pt idx="162">
                  <c:v>0.10589987843948701</c:v>
                </c:pt>
                <c:pt idx="163">
                  <c:v>0.10590813683804701</c:v>
                </c:pt>
                <c:pt idx="164">
                  <c:v>0.10591638124273201</c:v>
                </c:pt>
                <c:pt idx="165">
                  <c:v>0.105924612235738</c:v>
                </c:pt>
                <c:pt idx="166">
                  <c:v>0.10593283039644</c:v>
                </c:pt>
                <c:pt idx="167">
                  <c:v>0.105941036301648</c:v>
                </c:pt>
                <c:pt idx="168">
                  <c:v>0.10594923052586901</c:v>
                </c:pt>
                <c:pt idx="169">
                  <c:v>0.105957413641566</c:v>
                </c:pt>
                <c:pt idx="170">
                  <c:v>0.105965586219415</c:v>
                </c:pt>
                <c:pt idx="171">
                  <c:v>0.105973748828566</c:v>
                </c:pt>
                <c:pt idx="172">
                  <c:v>0.10598190203689301</c:v>
                </c:pt>
                <c:pt idx="173">
                  <c:v>0.105990046411258</c:v>
                </c:pt>
                <c:pt idx="174">
                  <c:v>0.10599818251776701</c:v>
                </c:pt>
                <c:pt idx="175">
                  <c:v>0.106006310922025</c:v>
                </c:pt>
                <c:pt idx="176">
                  <c:v>0.106014432189397</c:v>
                </c:pt>
                <c:pt idx="177">
                  <c:v>0.106022546885271</c:v>
                </c:pt>
                <c:pt idx="178">
                  <c:v>0.10603065557531401</c:v>
                </c:pt>
                <c:pt idx="179">
                  <c:v>0.10603875882574</c:v>
                </c:pt>
                <c:pt idx="180">
                  <c:v>0.106046857203577</c:v>
                </c:pt>
                <c:pt idx="181">
                  <c:v>0.106054951276932</c:v>
                </c:pt>
                <c:pt idx="182">
                  <c:v>0.106063041615263</c:v>
                </c:pt>
                <c:pt idx="183">
                  <c:v>0.10607112878965499</c:v>
                </c:pt>
                <c:pt idx="184">
                  <c:v>0.106079213373101</c:v>
                </c:pt>
                <c:pt idx="185">
                  <c:v>0.106087295940776</c:v>
                </c:pt>
                <c:pt idx="186">
                  <c:v>0.10609537707033299</c:v>
                </c:pt>
                <c:pt idx="187">
                  <c:v>0.106103457342189</c:v>
                </c:pt>
                <c:pt idx="188">
                  <c:v>0.106111537339822</c:v>
                </c:pt>
                <c:pt idx="189">
                  <c:v>0.10611961765007601</c:v>
                </c:pt>
                <c:pt idx="190">
                  <c:v>0.106127698863465</c:v>
                </c:pt>
                <c:pt idx="191">
                  <c:v>0.10613578157449099</c:v>
                </c:pt>
                <c:pt idx="192">
                  <c:v>0.106143866381966</c:v>
                </c:pt>
                <c:pt idx="193">
                  <c:v>0.10615195388934</c:v>
                </c:pt>
                <c:pt idx="194">
                  <c:v>0.106160044705038</c:v>
                </c:pt>
                <c:pt idx="195">
                  <c:v>0.106168139442805</c:v>
                </c:pt>
                <c:pt idx="196">
                  <c:v>0.106176238722063</c:v>
                </c:pt>
                <c:pt idx="197">
                  <c:v>0.106184343168276</c:v>
                </c:pt>
                <c:pt idx="198">
                  <c:v>0.10619245341332301</c:v>
                </c:pt>
                <c:pt idx="199">
                  <c:v>0.106200570095885</c:v>
                </c:pt>
                <c:pt idx="200">
                  <c:v>0.10620869386184199</c:v>
                </c:pt>
                <c:pt idx="201">
                  <c:v>0.10621682536468401</c:v>
                </c:pt>
                <c:pt idx="202">
                  <c:v>0.106224965265935</c:v>
                </c:pt>
                <c:pt idx="203">
                  <c:v>0.106233114235588</c:v>
                </c:pt>
                <c:pt idx="204">
                  <c:v>0.10624127295256</c:v>
                </c:pt>
                <c:pt idx="205">
                  <c:v>0.10624944210515699</c:v>
                </c:pt>
                <c:pt idx="206">
                  <c:v>0.106257622391562</c:v>
                </c:pt>
                <c:pt idx="207">
                  <c:v>0.106265814520335</c:v>
                </c:pt>
                <c:pt idx="208">
                  <c:v>0.106274019210935</c:v>
                </c:pt>
                <c:pt idx="209">
                  <c:v>0.10628223719426</c:v>
                </c:pt>
                <c:pt idx="210">
                  <c:v>0.106290469213214</c:v>
                </c:pt>
                <c:pt idx="211">
                  <c:v>0.106298716023284</c:v>
                </c:pt>
                <c:pt idx="212">
                  <c:v>0.106306978393155</c:v>
                </c:pt>
                <c:pt idx="213">
                  <c:v>0.106315257105341</c:v>
                </c:pt>
                <c:pt idx="214">
                  <c:v>0.10632355295684801</c:v>
                </c:pt>
                <c:pt idx="215">
                  <c:v>0.10633186675985799</c:v>
                </c:pt>
                <c:pt idx="216">
                  <c:v>0.10634019934245301</c:v>
                </c:pt>
                <c:pt idx="217">
                  <c:v>0.106348551549366</c:v>
                </c:pt>
                <c:pt idx="218">
                  <c:v>0.106356924242761</c:v>
                </c:pt>
                <c:pt idx="219">
                  <c:v>0.10636531830306099</c:v>
                </c:pt>
                <c:pt idx="220">
                  <c:v>0.106373734629807</c:v>
                </c:pt>
                <c:pt idx="221">
                  <c:v>0.10638217414255299</c:v>
                </c:pt>
                <c:pt idx="222">
                  <c:v>0.106390637781818</c:v>
                </c:pt>
                <c:pt idx="223">
                  <c:v>0.10639912651007299</c:v>
                </c:pt>
                <c:pt idx="224">
                  <c:v>0.10640764131277999</c:v>
                </c:pt>
                <c:pt idx="225">
                  <c:v>0.10641618319948901</c:v>
                </c:pt>
                <c:pt idx="226">
                  <c:v>0.106424753204983</c:v>
                </c:pt>
                <c:pt idx="227">
                  <c:v>0.10643335239049</c:v>
                </c:pt>
                <c:pt idx="228">
                  <c:v>0.106441981844954</c:v>
                </c:pt>
                <c:pt idx="229">
                  <c:v>0.106450642686375</c:v>
                </c:pt>
                <c:pt idx="230">
                  <c:v>0.10645933606322799</c:v>
                </c:pt>
                <c:pt idx="231">
                  <c:v>0.10646806315594901</c:v>
                </c:pt>
                <c:pt idx="232">
                  <c:v>0.106476825178516</c:v>
                </c:pt>
                <c:pt idx="233">
                  <c:v>0.10648562338011</c:v>
                </c:pt>
                <c:pt idx="234">
                  <c:v>0.106494459046881</c:v>
                </c:pt>
                <c:pt idx="235">
                  <c:v>0.106503333503809</c:v>
                </c:pt>
                <c:pt idx="236">
                  <c:v>0.10651224811667701</c:v>
                </c:pt>
                <c:pt idx="237">
                  <c:v>0.106521204294171</c:v>
                </c:pt>
                <c:pt idx="238">
                  <c:v>0.106530203490093</c:v>
                </c:pt>
                <c:pt idx="239">
                  <c:v>0.10653924720572699</c:v>
                </c:pt>
                <c:pt idx="240">
                  <c:v>0.106548336992338</c:v>
                </c:pt>
                <c:pt idx="241">
                  <c:v>0.106557474453844</c:v>
                </c:pt>
                <c:pt idx="242">
                  <c:v>0.106566661249652</c:v>
                </c:pt>
                <c:pt idx="243">
                  <c:v>0.10657589909767901</c:v>
                </c:pt>
                <c:pt idx="244">
                  <c:v>0.10658518977758299</c:v>
                </c:pt>
                <c:pt idx="245">
                  <c:v>0.106594535134197</c:v>
                </c:pt>
                <c:pt idx="246">
                  <c:v>0.106603937081217</c:v>
                </c:pt>
                <c:pt idx="247">
                  <c:v>0.106613397605125</c:v>
                </c:pt>
                <c:pt idx="248">
                  <c:v>0.10662291876941001</c:v>
                </c:pt>
                <c:pt idx="249">
                  <c:v>0.106632502719071</c:v>
                </c:pt>
                <c:pt idx="250">
                  <c:v>0.10664215168546599</c:v>
                </c:pt>
                <c:pt idx="251">
                  <c:v>0.106651867991505</c:v>
                </c:pt>
                <c:pt idx="252">
                  <c:v>0.106661654057239</c:v>
                </c:pt>
                <c:pt idx="253">
                  <c:v>0.106671512405876</c:v>
                </c:pt>
                <c:pt idx="254">
                  <c:v>0.106681445670259</c:v>
                </c:pt>
                <c:pt idx="255">
                  <c:v>0.106691456599855</c:v>
                </c:pt>
                <c:pt idx="256">
                  <c:v>0.10670154806830701</c:v>
                </c:pt>
                <c:pt idx="257">
                  <c:v>0.106711723081597</c:v>
                </c:pt>
                <c:pt idx="258">
                  <c:v>0.106721984786882</c:v>
                </c:pt>
                <c:pt idx="259">
                  <c:v>0.106732336482082</c:v>
                </c:pt>
                <c:pt idx="260">
                  <c:v>0.10674278162628199</c:v>
                </c:pt>
                <c:pt idx="261">
                  <c:v>0.106753323851043</c:v>
                </c:pt>
                <c:pt idx="262">
                  <c:v>0.106763966972719</c:v>
                </c:pt>
                <c:pt idx="263">
                  <c:v>0.10677471500588499</c:v>
                </c:pt>
                <c:pt idx="264">
                  <c:v>0.10678557217800599</c:v>
                </c:pt>
                <c:pt idx="265">
                  <c:v>0.106796542945475</c:v>
                </c:pt>
                <c:pt idx="266">
                  <c:v>0.10680763201119001</c:v>
                </c:pt>
                <c:pt idx="267">
                  <c:v>0.106818844343851</c:v>
                </c:pt>
                <c:pt idx="268">
                  <c:v>0.106830185199162</c:v>
                </c:pt>
                <c:pt idx="269">
                  <c:v>0.1068416601432</c:v>
                </c:pt>
                <c:pt idx="270">
                  <c:v>0.106853275078199</c:v>
                </c:pt>
                <c:pt idx="271">
                  <c:v>0.10686503627105901</c:v>
                </c:pt>
                <c:pt idx="272">
                  <c:v>0.106876950384948</c:v>
                </c:pt>
                <c:pt idx="273">
                  <c:v>0.10688902451438199</c:v>
                </c:pt>
                <c:pt idx="274">
                  <c:v>0.106901266224276</c:v>
                </c:pt>
                <c:pt idx="275">
                  <c:v>0.106913683593506</c:v>
                </c:pt>
                <c:pt idx="276">
                  <c:v>0.106926285263621</c:v>
                </c:pt>
                <c:pt idx="277">
                  <c:v>0.106939080493455</c:v>
                </c:pt>
                <c:pt idx="278">
                  <c:v>0.10695207922051</c:v>
                </c:pt>
                <c:pt idx="279">
                  <c:v>0.10696529213014599</c:v>
                </c:pt>
                <c:pt idx="280">
                  <c:v>0.106978730733797</c:v>
                </c:pt>
                <c:pt idx="281">
                  <c:v>0.106992407457646</c:v>
                </c:pt>
                <c:pt idx="282">
                  <c:v>0.107006335743491</c:v>
                </c:pt>
                <c:pt idx="283">
                  <c:v>0.10702053016384699</c:v>
                </c:pt>
                <c:pt idx="284">
                  <c:v>0.107035006553762</c:v>
                </c:pt>
                <c:pt idx="285">
                  <c:v>0.107049782162317</c:v>
                </c:pt>
                <c:pt idx="286">
                  <c:v>0.10706487582742701</c:v>
                </c:pt>
                <c:pt idx="287">
                  <c:v>0.107080308178348</c:v>
                </c:pt>
                <c:pt idx="288">
                  <c:v>0.10709610187127599</c:v>
                </c:pt>
                <c:pt idx="289">
                  <c:v>0.10711228186470099</c:v>
                </c:pt>
                <c:pt idx="290">
                  <c:v>0.107128875742745</c:v>
                </c:pt>
                <c:pt idx="291">
                  <c:v>0.107145914096787</c:v>
                </c:pt>
                <c:pt idx="292">
                  <c:v>0.10716343097827</c:v>
                </c:pt>
                <c:pt idx="293">
                  <c:v>0.10718146443905199</c:v>
                </c:pt>
                <c:pt idx="294">
                  <c:v>0.107200057180087</c:v>
                </c:pt>
                <c:pt idx="295">
                  <c:v>0.10721925733519</c:v>
                </c:pt>
                <c:pt idx="296">
                  <c:v>0.107239119424452</c:v>
                </c:pt>
                <c:pt idx="297">
                  <c:v>0.10725970552248799</c:v>
                </c:pt>
                <c:pt idx="298">
                  <c:v>0.107281086701057</c:v>
                </c:pt>
                <c:pt idx="299">
                  <c:v>0.10730334482520799</c:v>
                </c:pt>
                <c:pt idx="300">
                  <c:v>0.107326574809414</c:v>
                </c:pt>
                <c:pt idx="301">
                  <c:v>0.10735088747820599</c:v>
                </c:pt>
                <c:pt idx="302">
                  <c:v>0.10737641322982</c:v>
                </c:pt>
                <c:pt idx="303">
                  <c:v>0.107403306778537</c:v>
                </c:pt>
                <c:pt idx="304">
                  <c:v>0.10743175336319</c:v>
                </c:pt>
                <c:pt idx="305">
                  <c:v>0.107461976972791</c:v>
                </c:pt>
                <c:pt idx="306">
                  <c:v>0.107494251381856</c:v>
                </c:pt>
                <c:pt idx="307">
                  <c:v>0.107528915147976</c:v>
                </c:pt>
                <c:pt idx="308">
                  <c:v>0.107566392263413</c:v>
                </c:pt>
                <c:pt idx="309">
                  <c:v>0.10760722096054399</c:v>
                </c:pt>
                <c:pt idx="310">
                  <c:v>0.107652094373539</c:v>
                </c:pt>
                <c:pt idx="311">
                  <c:v>0.107701918517204</c:v>
                </c:pt>
                <c:pt idx="312">
                  <c:v>0.107757895545197</c:v>
                </c:pt>
                <c:pt idx="313">
                  <c:v>0.107821643761701</c:v>
                </c:pt>
                <c:pt idx="314">
                  <c:v>0.107895371464266</c:v>
                </c:pt>
                <c:pt idx="315">
                  <c:v>0.107982136054144</c:v>
                </c:pt>
                <c:pt idx="316">
                  <c:v>0.108086279484475</c:v>
                </c:pt>
                <c:pt idx="317">
                  <c:v>0.10821441051713999</c:v>
                </c:pt>
                <c:pt idx="318">
                  <c:v>0.108378611684964</c:v>
                </c:pt>
                <c:pt idx="319">
                  <c:v>0.10851279142848901</c:v>
                </c:pt>
                <c:pt idx="320">
                  <c:v>0.108646878508965</c:v>
                </c:pt>
                <c:pt idx="321">
                  <c:v>0.108781836007877</c:v>
                </c:pt>
                <c:pt idx="322">
                  <c:v>0.108917703938839</c:v>
                </c:pt>
                <c:pt idx="323">
                  <c:v>0.109054545173906</c:v>
                </c:pt>
                <c:pt idx="324">
                  <c:v>0.109192417872054</c:v>
                </c:pt>
                <c:pt idx="325">
                  <c:v>0.109331376964383</c:v>
                </c:pt>
                <c:pt idx="326">
                  <c:v>0.10947147454287399</c:v>
                </c:pt>
                <c:pt idx="327">
                  <c:v>0.109612760241196</c:v>
                </c:pt>
                <c:pt idx="328">
                  <c:v>0.10975528157779101</c:v>
                </c:pt>
                <c:pt idx="329">
                  <c:v>0.109899084266184</c:v>
                </c:pt>
                <c:pt idx="330">
                  <c:v>0.110044212495958</c:v>
                </c:pt>
                <c:pt idx="331">
                  <c:v>0.11019070918751001</c:v>
                </c:pt>
                <c:pt idx="332">
                  <c:v>0.11033861622334599</c:v>
                </c:pt>
                <c:pt idx="333">
                  <c:v>0.110487974658393</c:v>
                </c:pt>
                <c:pt idx="334">
                  <c:v>0.110638824911563</c:v>
                </c:pt>
                <c:pt idx="335">
                  <c:v>0.110791206940568</c:v>
                </c:pt>
                <c:pt idx="336">
                  <c:v>0.11094516040180299</c:v>
                </c:pt>
                <c:pt idx="337">
                  <c:v>0.11110072479692901</c:v>
                </c:pt>
                <c:pt idx="338">
                  <c:v>0.111257939607629</c:v>
                </c:pt>
                <c:pt idx="339">
                  <c:v>0.111416844419904</c:v>
                </c:pt>
                <c:pt idx="340">
                  <c:v>0.111577479039088</c:v>
                </c:pt>
                <c:pt idx="341">
                  <c:v>0.111739883596728</c:v>
                </c:pt>
                <c:pt idx="342">
                  <c:v>0.111904098650297</c:v>
                </c:pt>
                <c:pt idx="343">
                  <c:v>0.11207016527668</c:v>
                </c:pt>
                <c:pt idx="344">
                  <c:v>0.112238125160255</c:v>
                </c:pt>
                <c:pt idx="345">
                  <c:v>0.11240802067632299</c:v>
                </c:pt>
                <c:pt idx="346">
                  <c:v>0.11257989497059701</c:v>
                </c:pt>
                <c:pt idx="347">
                  <c:v>0.112753792035371</c:v>
                </c:pt>
                <c:pt idx="348">
                  <c:v>0.112929756782956</c:v>
                </c:pt>
                <c:pt idx="349">
                  <c:v>0.113107835116922</c:v>
                </c:pt>
                <c:pt idx="350">
                  <c:v>0.113288074001635</c:v>
                </c:pt>
                <c:pt idx="351">
                  <c:v>0.113470521530551</c:v>
                </c:pt>
                <c:pt idx="352">
                  <c:v>0.113655226993682</c:v>
                </c:pt>
                <c:pt idx="353">
                  <c:v>0.113842240944644</c:v>
                </c:pt>
                <c:pt idx="354">
                  <c:v>0.114031615267637</c:v>
                </c:pt>
                <c:pt idx="355">
                  <c:v>0.11422340324472501</c:v>
                </c:pt>
                <c:pt idx="356">
                  <c:v>0.11441765962373</c:v>
                </c:pt>
                <c:pt idx="357">
                  <c:v>0.114614440687063</c:v>
                </c:pt>
                <c:pt idx="358">
                  <c:v>0.114813804321789</c:v>
                </c:pt>
                <c:pt idx="359">
                  <c:v>0.22425676384167301</c:v>
                </c:pt>
                <c:pt idx="360">
                  <c:v>0.30704288935609397</c:v>
                </c:pt>
                <c:pt idx="361">
                  <c:v>0.30834090817871301</c:v>
                </c:pt>
                <c:pt idx="362">
                  <c:v>0.30921577139060102</c:v>
                </c:pt>
                <c:pt idx="363">
                  <c:v>0.31017471350345399</c:v>
                </c:pt>
                <c:pt idx="364">
                  <c:v>0.31131883897321</c:v>
                </c:pt>
                <c:pt idx="365">
                  <c:v>0.31289797505880901</c:v>
                </c:pt>
                <c:pt idx="366">
                  <c:v>0.51289797505880896</c:v>
                </c:pt>
                <c:pt idx="367">
                  <c:v>0.51289797505880896</c:v>
                </c:pt>
              </c:numCache>
            </c:numRef>
          </c:xVal>
          <c:yVal>
            <c:numRef>
              <c:f>Implicit_Fracs!$BG$4:$BG$371</c:f>
              <c:numCache>
                <c:formatCode>General</c:formatCode>
                <c:ptCount val="3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491-429B-A3ED-EA119F4F2CB0}"/>
            </c:ext>
          </c:extLst>
        </c:ser>
        <c:ser>
          <c:idx val="2"/>
          <c:order val="2"/>
          <c:tx>
            <c:strRef>
              <c:f>Implicit_Fracs!$BH$2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Implicit_Fracs!$C$4:$C$371</c:f>
              <c:numCache>
                <c:formatCode>General</c:formatCode>
                <c:ptCount val="368"/>
                <c:pt idx="0">
                  <c:v>6.5458908507104702E-2</c:v>
                </c:pt>
                <c:pt idx="1">
                  <c:v>0.10158646265419501</c:v>
                </c:pt>
                <c:pt idx="2">
                  <c:v>0.102060105178604</c:v>
                </c:pt>
                <c:pt idx="3">
                  <c:v>0.102354758409441</c:v>
                </c:pt>
                <c:pt idx="4">
                  <c:v>0.10257003610151801</c:v>
                </c:pt>
                <c:pt idx="5">
                  <c:v>0.102740146597483</c:v>
                </c:pt>
                <c:pt idx="6">
                  <c:v>0.10288102093448701</c:v>
                </c:pt>
                <c:pt idx="7">
                  <c:v>0.10300139565401099</c:v>
                </c:pt>
                <c:pt idx="8">
                  <c:v>0.10310658737638601</c:v>
                </c:pt>
                <c:pt idx="9">
                  <c:v>0.103200075337502</c:v>
                </c:pt>
                <c:pt idx="10">
                  <c:v>0.103284262204</c:v>
                </c:pt>
                <c:pt idx="11">
                  <c:v>0.103360877526633</c:v>
                </c:pt>
                <c:pt idx="12">
                  <c:v>0.103431208153653</c:v>
                </c:pt>
                <c:pt idx="13">
                  <c:v>0.103496237708407</c:v>
                </c:pt>
                <c:pt idx="14">
                  <c:v>0.103556735084609</c:v>
                </c:pt>
                <c:pt idx="15">
                  <c:v>0.103613312816801</c:v>
                </c:pt>
                <c:pt idx="16">
                  <c:v>0.103666466857375</c:v>
                </c:pt>
                <c:pt idx="17">
                  <c:v>0.10371660444741999</c:v>
                </c:pt>
                <c:pt idx="18">
                  <c:v>0.10376406411969299</c:v>
                </c:pt>
                <c:pt idx="19">
                  <c:v>0.10380913035858701</c:v>
                </c:pt>
                <c:pt idx="20">
                  <c:v>0.103852044544123</c:v>
                </c:pt>
                <c:pt idx="21">
                  <c:v>0.103893013256558</c:v>
                </c:pt>
                <c:pt idx="22">
                  <c:v>0.103932214670875</c:v>
                </c:pt>
                <c:pt idx="23">
                  <c:v>0.10396980354554</c:v>
                </c:pt>
                <c:pt idx="24">
                  <c:v>0.104005915161023</c:v>
                </c:pt>
                <c:pt idx="25">
                  <c:v>0.10404066846285701</c:v>
                </c:pt>
                <c:pt idx="26">
                  <c:v>0.104074168594671</c:v>
                </c:pt>
                <c:pt idx="27">
                  <c:v>0.10410650895807599</c:v>
                </c:pt>
                <c:pt idx="28">
                  <c:v>0.10413777290170501</c:v>
                </c:pt>
                <c:pt idx="29">
                  <c:v>0.104168035116796</c:v>
                </c:pt>
                <c:pt idx="30">
                  <c:v>0.104197362798492</c:v>
                </c:pt>
                <c:pt idx="31">
                  <c:v>0.104225816618547</c:v>
                </c:pt>
                <c:pt idx="32">
                  <c:v>0.104253451545067</c:v>
                </c:pt>
                <c:pt idx="33">
                  <c:v>0.104280317537286</c:v>
                </c:pt>
                <c:pt idx="34">
                  <c:v>0.10430646013757899</c:v>
                </c:pt>
                <c:pt idx="35">
                  <c:v>0.10433192097843901</c:v>
                </c:pt>
                <c:pt idx="36">
                  <c:v>0.104356738218675</c:v>
                </c:pt>
                <c:pt idx="37">
                  <c:v>0.10438094692038</c:v>
                </c:pt>
                <c:pt idx="38">
                  <c:v>0.104404579376061</c:v>
                </c:pt>
                <c:pt idx="39">
                  <c:v>0.10442766539470601</c:v>
                </c:pt>
                <c:pt idx="40">
                  <c:v>0.104450232550895</c:v>
                </c:pt>
                <c:pt idx="41">
                  <c:v>0.104472306403378</c:v>
                </c:pt>
                <c:pt idx="42">
                  <c:v>0.104493910687546</c:v>
                </c:pt>
                <c:pt idx="43">
                  <c:v>0.104515067485448</c:v>
                </c:pt>
                <c:pt idx="44">
                  <c:v>0.104535797376425</c:v>
                </c:pt>
                <c:pt idx="45">
                  <c:v>0.104556119570968</c:v>
                </c:pt>
                <c:pt idx="46">
                  <c:v>0.10457605202998201</c:v>
                </c:pt>
                <c:pt idx="47">
                  <c:v>0.10459561157132601</c:v>
                </c:pt>
                <c:pt idx="48">
                  <c:v>0.10461481396524</c:v>
                </c:pt>
                <c:pt idx="49">
                  <c:v>0.104633674020002</c:v>
                </c:pt>
                <c:pt idx="50">
                  <c:v>0.104652205659008</c:v>
                </c:pt>
                <c:pt idx="51">
                  <c:v>0.10467042199028</c:v>
                </c:pt>
                <c:pt idx="52">
                  <c:v>0.10468833536927501</c:v>
                </c:pt>
                <c:pt idx="53">
                  <c:v>0.104705957455764</c:v>
                </c:pt>
                <c:pt idx="54">
                  <c:v>0.104723299265432</c:v>
                </c:pt>
                <c:pt idx="55">
                  <c:v>0.10474037121678501</c:v>
                </c:pt>
                <c:pt idx="56">
                  <c:v>0.104757183173858</c:v>
                </c:pt>
                <c:pt idx="57">
                  <c:v>0.10477374448518</c:v>
                </c:pt>
                <c:pt idx="58">
                  <c:v>0.104790064019366</c:v>
                </c:pt>
                <c:pt idx="59">
                  <c:v>0.10480615019770299</c:v>
                </c:pt>
                <c:pt idx="60">
                  <c:v>0.104822011024007</c:v>
                </c:pt>
                <c:pt idx="61">
                  <c:v>0.10483765411203801</c:v>
                </c:pt>
                <c:pt idx="62">
                  <c:v>0.104853086710699</c:v>
                </c:pt>
                <c:pt idx="63">
                  <c:v>0.10486831572724099</c:v>
                </c:pt>
                <c:pt idx="64">
                  <c:v>0.104883347748643</c:v>
                </c:pt>
                <c:pt idx="65">
                  <c:v>0.104898189061358</c:v>
                </c:pt>
                <c:pt idx="66">
                  <c:v>0.104912845669559</c:v>
                </c:pt>
                <c:pt idx="67">
                  <c:v>0.10492732331202199</c:v>
                </c:pt>
                <c:pt idx="68">
                  <c:v>0.10494162747777</c:v>
                </c:pt>
                <c:pt idx="69">
                  <c:v>0.10495576342058401</c:v>
                </c:pt>
                <c:pt idx="70">
                  <c:v>0.104969736172476</c:v>
                </c:pt>
                <c:pt idx="71">
                  <c:v>0.104983550556215</c:v>
                </c:pt>
                <c:pt idx="72">
                  <c:v>0.104997211196988</c:v>
                </c:pt>
                <c:pt idx="73">
                  <c:v>0.105010722533251</c:v>
                </c:pt>
                <c:pt idx="74">
                  <c:v>0.10502408882686499</c:v>
                </c:pt>
                <c:pt idx="75">
                  <c:v>0.105037314172539</c:v>
                </c:pt>
                <c:pt idx="76">
                  <c:v>0.10505040250667</c:v>
                </c:pt>
                <c:pt idx="77">
                  <c:v>0.105063357615594</c:v>
                </c:pt>
                <c:pt idx="78">
                  <c:v>0.105076183143323</c:v>
                </c:pt>
                <c:pt idx="79">
                  <c:v>0.10508888259878001</c:v>
                </c:pt>
                <c:pt idx="80">
                  <c:v>0.105101459362598</c:v>
                </c:pt>
                <c:pt idx="81">
                  <c:v>0.10511391669348399</c:v>
                </c:pt>
                <c:pt idx="82">
                  <c:v>0.10512625773421</c:v>
                </c:pt>
                <c:pt idx="83">
                  <c:v>0.10513848551723599</c:v>
                </c:pt>
                <c:pt idx="84">
                  <c:v>0.10515060297000201</c:v>
                </c:pt>
                <c:pt idx="85">
                  <c:v>0.105162612919908</c:v>
                </c:pt>
                <c:pt idx="86">
                  <c:v>0.105174518099013</c:v>
                </c:pt>
                <c:pt idx="87">
                  <c:v>0.105186321148453</c:v>
                </c:pt>
                <c:pt idx="88">
                  <c:v>0.105198024622616</c:v>
                </c:pt>
                <c:pt idx="89">
                  <c:v>0.105209630993088</c:v>
                </c:pt>
                <c:pt idx="90">
                  <c:v>0.10522114265237301</c:v>
                </c:pt>
                <c:pt idx="91">
                  <c:v>0.105232561917411</c:v>
                </c:pt>
                <c:pt idx="92">
                  <c:v>0.105243891032912</c:v>
                </c:pt>
                <c:pt idx="93">
                  <c:v>0.105255132174505</c:v>
                </c:pt>
                <c:pt idx="94">
                  <c:v>0.10526628745172401</c:v>
                </c:pt>
                <c:pt idx="95">
                  <c:v>0.105277358910841</c:v>
                </c:pt>
                <c:pt idx="96">
                  <c:v>0.105288348537545</c:v>
                </c:pt>
                <c:pt idx="97">
                  <c:v>0.10529925825949001</c:v>
                </c:pt>
                <c:pt idx="98">
                  <c:v>0.105310089948715</c:v>
                </c:pt>
                <c:pt idx="99">
                  <c:v>0.10532084542394</c:v>
                </c:pt>
                <c:pt idx="100">
                  <c:v>0.105331526452749</c:v>
                </c:pt>
                <c:pt idx="101">
                  <c:v>0.10534213475366599</c:v>
                </c:pt>
                <c:pt idx="102">
                  <c:v>0.105352671998135</c:v>
                </c:pt>
                <c:pt idx="103">
                  <c:v>0.105363139812398</c:v>
                </c:pt>
                <c:pt idx="104">
                  <c:v>0.10537353977929</c:v>
                </c:pt>
                <c:pt idx="105">
                  <c:v>0.105383873439947</c:v>
                </c:pt>
                <c:pt idx="106">
                  <c:v>0.105394142295438</c:v>
                </c:pt>
                <c:pt idx="107">
                  <c:v>0.10540434780831399</c:v>
                </c:pt>
                <c:pt idx="108">
                  <c:v>0.1054144914041</c:v>
                </c:pt>
                <c:pt idx="109">
                  <c:v>0.105424574472708</c:v>
                </c:pt>
                <c:pt idx="110">
                  <c:v>0.10543459836979301</c:v>
                </c:pt>
                <c:pt idx="111">
                  <c:v>0.105444564418049</c:v>
                </c:pt>
                <c:pt idx="112">
                  <c:v>0.105454473908448</c:v>
                </c:pt>
                <c:pt idx="113">
                  <c:v>0.105464328101426</c:v>
                </c:pt>
                <c:pt idx="114">
                  <c:v>0.10547412822802001</c:v>
                </c:pt>
                <c:pt idx="115">
                  <c:v>0.10548387549095201</c:v>
                </c:pt>
                <c:pt idx="116">
                  <c:v>0.105493571065675</c:v>
                </c:pt>
                <c:pt idx="117">
                  <c:v>0.105503216101374</c:v>
                </c:pt>
                <c:pt idx="118">
                  <c:v>0.10551281172191999</c:v>
                </c:pt>
                <c:pt idx="119">
                  <c:v>0.10552235902679701</c:v>
                </c:pt>
                <c:pt idx="120">
                  <c:v>0.105531859091982</c:v>
                </c:pt>
                <c:pt idx="121">
                  <c:v>0.105541312970793</c:v>
                </c:pt>
                <c:pt idx="122">
                  <c:v>0.105550721694713</c:v>
                </c:pt>
                <c:pt idx="123">
                  <c:v>0.10556008627416701</c:v>
                </c:pt>
                <c:pt idx="124">
                  <c:v>0.105569407699282</c:v>
                </c:pt>
                <c:pt idx="125">
                  <c:v>0.105578686940613</c:v>
                </c:pt>
                <c:pt idx="126">
                  <c:v>0.10558792494984499</c:v>
                </c:pt>
                <c:pt idx="127">
                  <c:v>0.105597122660464</c:v>
                </c:pt>
                <c:pt idx="128">
                  <c:v>0.105606280988415</c:v>
                </c:pt>
                <c:pt idx="129">
                  <c:v>0.105615400832723</c:v>
                </c:pt>
                <c:pt idx="130">
                  <c:v>0.10562448307610101</c:v>
                </c:pt>
                <c:pt idx="131">
                  <c:v>0.105633528585537</c:v>
                </c:pt>
                <c:pt idx="132">
                  <c:v>0.105642538212856</c:v>
                </c:pt>
                <c:pt idx="133">
                  <c:v>0.10565151279527001</c:v>
                </c:pt>
                <c:pt idx="134">
                  <c:v>0.105660453155901</c:v>
                </c:pt>
                <c:pt idx="135">
                  <c:v>0.1056693601043</c:v>
                </c:pt>
                <c:pt idx="136">
                  <c:v>0.105678234436935</c:v>
                </c:pt>
                <c:pt idx="137">
                  <c:v>0.105687076937673</c:v>
                </c:pt>
                <c:pt idx="138">
                  <c:v>0.10569588837824601</c:v>
                </c:pt>
                <c:pt idx="139">
                  <c:v>0.105704669518702</c:v>
                </c:pt>
                <c:pt idx="140">
                  <c:v>0.105713421107842</c:v>
                </c:pt>
                <c:pt idx="141">
                  <c:v>0.105722143883642</c:v>
                </c:pt>
                <c:pt idx="142">
                  <c:v>0.10573083857367301</c:v>
                </c:pt>
                <c:pt idx="143">
                  <c:v>0.10573950589549699</c:v>
                </c:pt>
                <c:pt idx="144">
                  <c:v>0.105748146557059</c:v>
                </c:pt>
                <c:pt idx="145">
                  <c:v>0.105756761257069</c:v>
                </c:pt>
                <c:pt idx="146">
                  <c:v>0.105765350685371</c:v>
                </c:pt>
                <c:pt idx="147">
                  <c:v>0.10577391552330601</c:v>
                </c:pt>
                <c:pt idx="148">
                  <c:v>0.105782456444064</c:v>
                </c:pt>
                <c:pt idx="149">
                  <c:v>0.105790974113029</c:v>
                </c:pt>
                <c:pt idx="150">
                  <c:v>0.105799469188117</c:v>
                </c:pt>
                <c:pt idx="151">
                  <c:v>0.105807942320102</c:v>
                </c:pt>
                <c:pt idx="152">
                  <c:v>0.105816394152941</c:v>
                </c:pt>
                <c:pt idx="153">
                  <c:v>0.10582482532409</c:v>
                </c:pt>
                <c:pt idx="154">
                  <c:v>0.10583323646481201</c:v>
                </c:pt>
                <c:pt idx="155">
                  <c:v>0.105841628200482</c:v>
                </c:pt>
                <c:pt idx="156">
                  <c:v>0.105850001150887</c:v>
                </c:pt>
                <c:pt idx="157">
                  <c:v>0.105858355930516</c:v>
                </c:pt>
                <c:pt idx="158">
                  <c:v>0.105866693148851</c:v>
                </c:pt>
                <c:pt idx="159">
                  <c:v>0.105875013410654</c:v>
                </c:pt>
                <c:pt idx="160">
                  <c:v>0.10588331731624</c:v>
                </c:pt>
                <c:pt idx="161">
                  <c:v>0.105891605461765</c:v>
                </c:pt>
                <c:pt idx="162">
                  <c:v>0.10589987843948701</c:v>
                </c:pt>
                <c:pt idx="163">
                  <c:v>0.10590813683804701</c:v>
                </c:pt>
                <c:pt idx="164">
                  <c:v>0.10591638124273201</c:v>
                </c:pt>
                <c:pt idx="165">
                  <c:v>0.105924612235738</c:v>
                </c:pt>
                <c:pt idx="166">
                  <c:v>0.10593283039644</c:v>
                </c:pt>
                <c:pt idx="167">
                  <c:v>0.105941036301648</c:v>
                </c:pt>
                <c:pt idx="168">
                  <c:v>0.10594923052586901</c:v>
                </c:pt>
                <c:pt idx="169">
                  <c:v>0.105957413641566</c:v>
                </c:pt>
                <c:pt idx="170">
                  <c:v>0.105965586219415</c:v>
                </c:pt>
                <c:pt idx="171">
                  <c:v>0.105973748828566</c:v>
                </c:pt>
                <c:pt idx="172">
                  <c:v>0.10598190203689301</c:v>
                </c:pt>
                <c:pt idx="173">
                  <c:v>0.105990046411258</c:v>
                </c:pt>
                <c:pt idx="174">
                  <c:v>0.10599818251776701</c:v>
                </c:pt>
                <c:pt idx="175">
                  <c:v>0.106006310922025</c:v>
                </c:pt>
                <c:pt idx="176">
                  <c:v>0.106014432189397</c:v>
                </c:pt>
                <c:pt idx="177">
                  <c:v>0.106022546885271</c:v>
                </c:pt>
                <c:pt idx="178">
                  <c:v>0.10603065557531401</c:v>
                </c:pt>
                <c:pt idx="179">
                  <c:v>0.10603875882574</c:v>
                </c:pt>
                <c:pt idx="180">
                  <c:v>0.106046857203577</c:v>
                </c:pt>
                <c:pt idx="181">
                  <c:v>0.106054951276932</c:v>
                </c:pt>
                <c:pt idx="182">
                  <c:v>0.106063041615263</c:v>
                </c:pt>
                <c:pt idx="183">
                  <c:v>0.10607112878965499</c:v>
                </c:pt>
                <c:pt idx="184">
                  <c:v>0.106079213373101</c:v>
                </c:pt>
                <c:pt idx="185">
                  <c:v>0.106087295940776</c:v>
                </c:pt>
                <c:pt idx="186">
                  <c:v>0.10609537707033299</c:v>
                </c:pt>
                <c:pt idx="187">
                  <c:v>0.106103457342189</c:v>
                </c:pt>
                <c:pt idx="188">
                  <c:v>0.106111537339822</c:v>
                </c:pt>
                <c:pt idx="189">
                  <c:v>0.10611961765007601</c:v>
                </c:pt>
                <c:pt idx="190">
                  <c:v>0.106127698863465</c:v>
                </c:pt>
                <c:pt idx="191">
                  <c:v>0.10613578157449099</c:v>
                </c:pt>
                <c:pt idx="192">
                  <c:v>0.106143866381966</c:v>
                </c:pt>
                <c:pt idx="193">
                  <c:v>0.10615195388934</c:v>
                </c:pt>
                <c:pt idx="194">
                  <c:v>0.106160044705038</c:v>
                </c:pt>
                <c:pt idx="195">
                  <c:v>0.106168139442805</c:v>
                </c:pt>
                <c:pt idx="196">
                  <c:v>0.106176238722063</c:v>
                </c:pt>
                <c:pt idx="197">
                  <c:v>0.106184343168276</c:v>
                </c:pt>
                <c:pt idx="198">
                  <c:v>0.10619245341332301</c:v>
                </c:pt>
                <c:pt idx="199">
                  <c:v>0.106200570095885</c:v>
                </c:pt>
                <c:pt idx="200">
                  <c:v>0.10620869386184199</c:v>
                </c:pt>
                <c:pt idx="201">
                  <c:v>0.10621682536468401</c:v>
                </c:pt>
                <c:pt idx="202">
                  <c:v>0.106224965265935</c:v>
                </c:pt>
                <c:pt idx="203">
                  <c:v>0.106233114235588</c:v>
                </c:pt>
                <c:pt idx="204">
                  <c:v>0.10624127295256</c:v>
                </c:pt>
                <c:pt idx="205">
                  <c:v>0.10624944210515699</c:v>
                </c:pt>
                <c:pt idx="206">
                  <c:v>0.106257622391562</c:v>
                </c:pt>
                <c:pt idx="207">
                  <c:v>0.106265814520335</c:v>
                </c:pt>
                <c:pt idx="208">
                  <c:v>0.106274019210935</c:v>
                </c:pt>
                <c:pt idx="209">
                  <c:v>0.10628223719426</c:v>
                </c:pt>
                <c:pt idx="210">
                  <c:v>0.106290469213214</c:v>
                </c:pt>
                <c:pt idx="211">
                  <c:v>0.106298716023284</c:v>
                </c:pt>
                <c:pt idx="212">
                  <c:v>0.106306978393155</c:v>
                </c:pt>
                <c:pt idx="213">
                  <c:v>0.106315257105341</c:v>
                </c:pt>
                <c:pt idx="214">
                  <c:v>0.10632355295684801</c:v>
                </c:pt>
                <c:pt idx="215">
                  <c:v>0.10633186675985799</c:v>
                </c:pt>
                <c:pt idx="216">
                  <c:v>0.10634019934245301</c:v>
                </c:pt>
                <c:pt idx="217">
                  <c:v>0.106348551549366</c:v>
                </c:pt>
                <c:pt idx="218">
                  <c:v>0.106356924242761</c:v>
                </c:pt>
                <c:pt idx="219">
                  <c:v>0.10636531830306099</c:v>
                </c:pt>
                <c:pt idx="220">
                  <c:v>0.106373734629807</c:v>
                </c:pt>
                <c:pt idx="221">
                  <c:v>0.10638217414255299</c:v>
                </c:pt>
                <c:pt idx="222">
                  <c:v>0.106390637781818</c:v>
                </c:pt>
                <c:pt idx="223">
                  <c:v>0.10639912651007299</c:v>
                </c:pt>
                <c:pt idx="224">
                  <c:v>0.10640764131277999</c:v>
                </c:pt>
                <c:pt idx="225">
                  <c:v>0.10641618319948901</c:v>
                </c:pt>
                <c:pt idx="226">
                  <c:v>0.106424753204983</c:v>
                </c:pt>
                <c:pt idx="227">
                  <c:v>0.10643335239049</c:v>
                </c:pt>
                <c:pt idx="228">
                  <c:v>0.106441981844954</c:v>
                </c:pt>
                <c:pt idx="229">
                  <c:v>0.106450642686375</c:v>
                </c:pt>
                <c:pt idx="230">
                  <c:v>0.10645933606322799</c:v>
                </c:pt>
                <c:pt idx="231">
                  <c:v>0.10646806315594901</c:v>
                </c:pt>
                <c:pt idx="232">
                  <c:v>0.106476825178516</c:v>
                </c:pt>
                <c:pt idx="233">
                  <c:v>0.10648562338011</c:v>
                </c:pt>
                <c:pt idx="234">
                  <c:v>0.106494459046881</c:v>
                </c:pt>
                <c:pt idx="235">
                  <c:v>0.106503333503809</c:v>
                </c:pt>
                <c:pt idx="236">
                  <c:v>0.10651224811667701</c:v>
                </c:pt>
                <c:pt idx="237">
                  <c:v>0.106521204294171</c:v>
                </c:pt>
                <c:pt idx="238">
                  <c:v>0.106530203490093</c:v>
                </c:pt>
                <c:pt idx="239">
                  <c:v>0.10653924720572699</c:v>
                </c:pt>
                <c:pt idx="240">
                  <c:v>0.106548336992338</c:v>
                </c:pt>
                <c:pt idx="241">
                  <c:v>0.106557474453844</c:v>
                </c:pt>
                <c:pt idx="242">
                  <c:v>0.106566661249652</c:v>
                </c:pt>
                <c:pt idx="243">
                  <c:v>0.10657589909767901</c:v>
                </c:pt>
                <c:pt idx="244">
                  <c:v>0.10658518977758299</c:v>
                </c:pt>
                <c:pt idx="245">
                  <c:v>0.106594535134197</c:v>
                </c:pt>
                <c:pt idx="246">
                  <c:v>0.106603937081217</c:v>
                </c:pt>
                <c:pt idx="247">
                  <c:v>0.106613397605125</c:v>
                </c:pt>
                <c:pt idx="248">
                  <c:v>0.10662291876941001</c:v>
                </c:pt>
                <c:pt idx="249">
                  <c:v>0.106632502719071</c:v>
                </c:pt>
                <c:pt idx="250">
                  <c:v>0.10664215168546599</c:v>
                </c:pt>
                <c:pt idx="251">
                  <c:v>0.106651867991505</c:v>
                </c:pt>
                <c:pt idx="252">
                  <c:v>0.106661654057239</c:v>
                </c:pt>
                <c:pt idx="253">
                  <c:v>0.106671512405876</c:v>
                </c:pt>
                <c:pt idx="254">
                  <c:v>0.106681445670259</c:v>
                </c:pt>
                <c:pt idx="255">
                  <c:v>0.106691456599855</c:v>
                </c:pt>
                <c:pt idx="256">
                  <c:v>0.10670154806830701</c:v>
                </c:pt>
                <c:pt idx="257">
                  <c:v>0.106711723081597</c:v>
                </c:pt>
                <c:pt idx="258">
                  <c:v>0.106721984786882</c:v>
                </c:pt>
                <c:pt idx="259">
                  <c:v>0.106732336482082</c:v>
                </c:pt>
                <c:pt idx="260">
                  <c:v>0.10674278162628199</c:v>
                </c:pt>
                <c:pt idx="261">
                  <c:v>0.106753323851043</c:v>
                </c:pt>
                <c:pt idx="262">
                  <c:v>0.106763966972719</c:v>
                </c:pt>
                <c:pt idx="263">
                  <c:v>0.10677471500588499</c:v>
                </c:pt>
                <c:pt idx="264">
                  <c:v>0.10678557217800599</c:v>
                </c:pt>
                <c:pt idx="265">
                  <c:v>0.106796542945475</c:v>
                </c:pt>
                <c:pt idx="266">
                  <c:v>0.10680763201119001</c:v>
                </c:pt>
                <c:pt idx="267">
                  <c:v>0.106818844343851</c:v>
                </c:pt>
                <c:pt idx="268">
                  <c:v>0.106830185199162</c:v>
                </c:pt>
                <c:pt idx="269">
                  <c:v>0.1068416601432</c:v>
                </c:pt>
                <c:pt idx="270">
                  <c:v>0.106853275078199</c:v>
                </c:pt>
                <c:pt idx="271">
                  <c:v>0.10686503627105901</c:v>
                </c:pt>
                <c:pt idx="272">
                  <c:v>0.106876950384948</c:v>
                </c:pt>
                <c:pt idx="273">
                  <c:v>0.10688902451438199</c:v>
                </c:pt>
                <c:pt idx="274">
                  <c:v>0.106901266224276</c:v>
                </c:pt>
                <c:pt idx="275">
                  <c:v>0.106913683593506</c:v>
                </c:pt>
                <c:pt idx="276">
                  <c:v>0.106926285263621</c:v>
                </c:pt>
                <c:pt idx="277">
                  <c:v>0.106939080493455</c:v>
                </c:pt>
                <c:pt idx="278">
                  <c:v>0.10695207922051</c:v>
                </c:pt>
                <c:pt idx="279">
                  <c:v>0.10696529213014599</c:v>
                </c:pt>
                <c:pt idx="280">
                  <c:v>0.106978730733797</c:v>
                </c:pt>
                <c:pt idx="281">
                  <c:v>0.106992407457646</c:v>
                </c:pt>
                <c:pt idx="282">
                  <c:v>0.107006335743491</c:v>
                </c:pt>
                <c:pt idx="283">
                  <c:v>0.10702053016384699</c:v>
                </c:pt>
                <c:pt idx="284">
                  <c:v>0.107035006553762</c:v>
                </c:pt>
                <c:pt idx="285">
                  <c:v>0.107049782162317</c:v>
                </c:pt>
                <c:pt idx="286">
                  <c:v>0.10706487582742701</c:v>
                </c:pt>
                <c:pt idx="287">
                  <c:v>0.107080308178348</c:v>
                </c:pt>
                <c:pt idx="288">
                  <c:v>0.10709610187127599</c:v>
                </c:pt>
                <c:pt idx="289">
                  <c:v>0.10711228186470099</c:v>
                </c:pt>
                <c:pt idx="290">
                  <c:v>0.107128875742745</c:v>
                </c:pt>
                <c:pt idx="291">
                  <c:v>0.107145914096787</c:v>
                </c:pt>
                <c:pt idx="292">
                  <c:v>0.10716343097827</c:v>
                </c:pt>
                <c:pt idx="293">
                  <c:v>0.10718146443905199</c:v>
                </c:pt>
                <c:pt idx="294">
                  <c:v>0.107200057180087</c:v>
                </c:pt>
                <c:pt idx="295">
                  <c:v>0.10721925733519</c:v>
                </c:pt>
                <c:pt idx="296">
                  <c:v>0.107239119424452</c:v>
                </c:pt>
                <c:pt idx="297">
                  <c:v>0.10725970552248799</c:v>
                </c:pt>
                <c:pt idx="298">
                  <c:v>0.107281086701057</c:v>
                </c:pt>
                <c:pt idx="299">
                  <c:v>0.10730334482520799</c:v>
                </c:pt>
                <c:pt idx="300">
                  <c:v>0.107326574809414</c:v>
                </c:pt>
                <c:pt idx="301">
                  <c:v>0.10735088747820599</c:v>
                </c:pt>
                <c:pt idx="302">
                  <c:v>0.10737641322982</c:v>
                </c:pt>
                <c:pt idx="303">
                  <c:v>0.107403306778537</c:v>
                </c:pt>
                <c:pt idx="304">
                  <c:v>0.10743175336319</c:v>
                </c:pt>
                <c:pt idx="305">
                  <c:v>0.107461976972791</c:v>
                </c:pt>
                <c:pt idx="306">
                  <c:v>0.107494251381856</c:v>
                </c:pt>
                <c:pt idx="307">
                  <c:v>0.107528915147976</c:v>
                </c:pt>
                <c:pt idx="308">
                  <c:v>0.107566392263413</c:v>
                </c:pt>
                <c:pt idx="309">
                  <c:v>0.10760722096054399</c:v>
                </c:pt>
                <c:pt idx="310">
                  <c:v>0.107652094373539</c:v>
                </c:pt>
                <c:pt idx="311">
                  <c:v>0.107701918517204</c:v>
                </c:pt>
                <c:pt idx="312">
                  <c:v>0.107757895545197</c:v>
                </c:pt>
                <c:pt idx="313">
                  <c:v>0.107821643761701</c:v>
                </c:pt>
                <c:pt idx="314">
                  <c:v>0.107895371464266</c:v>
                </c:pt>
                <c:pt idx="315">
                  <c:v>0.107982136054144</c:v>
                </c:pt>
                <c:pt idx="316">
                  <c:v>0.108086279484475</c:v>
                </c:pt>
                <c:pt idx="317">
                  <c:v>0.10821441051713999</c:v>
                </c:pt>
                <c:pt idx="318">
                  <c:v>0.108378611684964</c:v>
                </c:pt>
                <c:pt idx="319">
                  <c:v>0.10851279142848901</c:v>
                </c:pt>
                <c:pt idx="320">
                  <c:v>0.108646878508965</c:v>
                </c:pt>
                <c:pt idx="321">
                  <c:v>0.108781836007877</c:v>
                </c:pt>
                <c:pt idx="322">
                  <c:v>0.108917703938839</c:v>
                </c:pt>
                <c:pt idx="323">
                  <c:v>0.109054545173906</c:v>
                </c:pt>
                <c:pt idx="324">
                  <c:v>0.109192417872054</c:v>
                </c:pt>
                <c:pt idx="325">
                  <c:v>0.109331376964383</c:v>
                </c:pt>
                <c:pt idx="326">
                  <c:v>0.10947147454287399</c:v>
                </c:pt>
                <c:pt idx="327">
                  <c:v>0.109612760241196</c:v>
                </c:pt>
                <c:pt idx="328">
                  <c:v>0.10975528157779101</c:v>
                </c:pt>
                <c:pt idx="329">
                  <c:v>0.109899084266184</c:v>
                </c:pt>
                <c:pt idx="330">
                  <c:v>0.110044212495958</c:v>
                </c:pt>
                <c:pt idx="331">
                  <c:v>0.11019070918751001</c:v>
                </c:pt>
                <c:pt idx="332">
                  <c:v>0.11033861622334599</c:v>
                </c:pt>
                <c:pt idx="333">
                  <c:v>0.110487974658393</c:v>
                </c:pt>
                <c:pt idx="334">
                  <c:v>0.110638824911563</c:v>
                </c:pt>
                <c:pt idx="335">
                  <c:v>0.110791206940568</c:v>
                </c:pt>
                <c:pt idx="336">
                  <c:v>0.11094516040180299</c:v>
                </c:pt>
                <c:pt idx="337">
                  <c:v>0.11110072479692901</c:v>
                </c:pt>
                <c:pt idx="338">
                  <c:v>0.111257939607629</c:v>
                </c:pt>
                <c:pt idx="339">
                  <c:v>0.111416844419904</c:v>
                </c:pt>
                <c:pt idx="340">
                  <c:v>0.111577479039088</c:v>
                </c:pt>
                <c:pt idx="341">
                  <c:v>0.111739883596728</c:v>
                </c:pt>
                <c:pt idx="342">
                  <c:v>0.111904098650297</c:v>
                </c:pt>
                <c:pt idx="343">
                  <c:v>0.11207016527668</c:v>
                </c:pt>
                <c:pt idx="344">
                  <c:v>0.112238125160255</c:v>
                </c:pt>
                <c:pt idx="345">
                  <c:v>0.11240802067632299</c:v>
                </c:pt>
                <c:pt idx="346">
                  <c:v>0.11257989497059701</c:v>
                </c:pt>
                <c:pt idx="347">
                  <c:v>0.112753792035371</c:v>
                </c:pt>
                <c:pt idx="348">
                  <c:v>0.112929756782956</c:v>
                </c:pt>
                <c:pt idx="349">
                  <c:v>0.113107835116922</c:v>
                </c:pt>
                <c:pt idx="350">
                  <c:v>0.113288074001635</c:v>
                </c:pt>
                <c:pt idx="351">
                  <c:v>0.113470521530551</c:v>
                </c:pt>
                <c:pt idx="352">
                  <c:v>0.113655226993682</c:v>
                </c:pt>
                <c:pt idx="353">
                  <c:v>0.113842240944644</c:v>
                </c:pt>
                <c:pt idx="354">
                  <c:v>0.114031615267637</c:v>
                </c:pt>
                <c:pt idx="355">
                  <c:v>0.11422340324472501</c:v>
                </c:pt>
                <c:pt idx="356">
                  <c:v>0.11441765962373</c:v>
                </c:pt>
                <c:pt idx="357">
                  <c:v>0.114614440687063</c:v>
                </c:pt>
                <c:pt idx="358">
                  <c:v>0.114813804321789</c:v>
                </c:pt>
                <c:pt idx="359">
                  <c:v>0.22425676384167301</c:v>
                </c:pt>
                <c:pt idx="360">
                  <c:v>0.30704288935609397</c:v>
                </c:pt>
                <c:pt idx="361">
                  <c:v>0.30834090817871301</c:v>
                </c:pt>
                <c:pt idx="362">
                  <c:v>0.30921577139060102</c:v>
                </c:pt>
                <c:pt idx="363">
                  <c:v>0.31017471350345399</c:v>
                </c:pt>
                <c:pt idx="364">
                  <c:v>0.31131883897321</c:v>
                </c:pt>
                <c:pt idx="365">
                  <c:v>0.31289797505880901</c:v>
                </c:pt>
                <c:pt idx="366">
                  <c:v>0.51289797505880896</c:v>
                </c:pt>
                <c:pt idx="367">
                  <c:v>0.51289797505880896</c:v>
                </c:pt>
              </c:numCache>
            </c:numRef>
          </c:xVal>
          <c:yVal>
            <c:numRef>
              <c:f>Implicit_Fracs!$BH$4:$BH$371</c:f>
              <c:numCache>
                <c:formatCode>General</c:formatCode>
                <c:ptCount val="3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5368"/>
        <c:axId val="412569096"/>
      </c:scatterChart>
      <c:valAx>
        <c:axId val="412567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8312"/>
        <c:crosses val="autoZero"/>
        <c:crossBetween val="midCat"/>
      </c:valAx>
      <c:valAx>
        <c:axId val="412568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7920"/>
        <c:crosses val="autoZero"/>
        <c:crossBetween val="midCat"/>
      </c:valAx>
      <c:valAx>
        <c:axId val="41256909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5368"/>
        <c:crosses val="max"/>
        <c:crossBetween val="midCat"/>
      </c:valAx>
      <c:valAx>
        <c:axId val="4125753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569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Implicit_Fracs!$A$434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Implicit_Fracs!$B$430:$V$430</c:f>
              <c:numCache>
                <c:formatCode>General</c:formatCode>
                <c:ptCount val="21"/>
                <c:pt idx="0">
                  <c:v>0</c:v>
                </c:pt>
                <c:pt idx="1">
                  <c:v>0.25955190384466498</c:v>
                </c:pt>
                <c:pt idx="2">
                  <c:v>0.58647099847871997</c:v>
                </c:pt>
                <c:pt idx="3">
                  <c:v>0.99824256652821797</c:v>
                </c:pt>
                <c:pt idx="4">
                  <c:v>1.51689022901407</c:v>
                </c:pt>
                <c:pt idx="5">
                  <c:v>2.1701538797227</c:v>
                </c:pt>
                <c:pt idx="6">
                  <c:v>2.9929733546852799</c:v>
                </c:pt>
                <c:pt idx="7">
                  <c:v>4.02935719089486</c:v>
                </c:pt>
                <c:pt idx="8">
                  <c:v>5.3347364249064801</c:v>
                </c:pt>
                <c:pt idx="9">
                  <c:v>6.9789293243451</c:v>
                </c:pt>
                <c:pt idx="10">
                  <c:v>9.0498756211208899</c:v>
                </c:pt>
                <c:pt idx="11">
                  <c:v>11.658339971984899</c:v>
                </c:pt>
                <c:pt idx="12">
                  <c:v>14.9438362112266</c:v>
                </c:pt>
                <c:pt idx="13">
                  <c:v>19.082089254437999</c:v>
                </c:pt>
                <c:pt idx="14">
                  <c:v>24.294433753605801</c:v>
                </c:pt>
                <c:pt idx="15">
                  <c:v>30.859652191026999</c:v>
                </c:pt>
                <c:pt idx="16">
                  <c:v>39.128885573036897</c:v>
                </c:pt>
                <c:pt idx="17">
                  <c:v>49.544414222683301</c:v>
                </c:pt>
                <c:pt idx="18">
                  <c:v>62.663313162894099</c:v>
                </c:pt>
                <c:pt idx="19">
                  <c:v>79.187247299382406</c:v>
                </c:pt>
                <c:pt idx="20">
                  <c:v>100</c:v>
                </c:pt>
              </c:numCache>
            </c:numRef>
          </c:xVal>
          <c:yVal>
            <c:numRef>
              <c:f>Implicit_Fracs!$B$434:$V$434</c:f>
              <c:numCache>
                <c:formatCode>General</c:formatCode>
                <c:ptCount val="21"/>
                <c:pt idx="0">
                  <c:v>0.90328533170113623</c:v>
                </c:pt>
                <c:pt idx="1">
                  <c:v>0.9016484399836584</c:v>
                </c:pt>
                <c:pt idx="2">
                  <c:v>0.89716114848317774</c:v>
                </c:pt>
                <c:pt idx="3">
                  <c:v>0.890259766231561</c:v>
                </c:pt>
                <c:pt idx="4">
                  <c:v>0.88905574246013197</c:v>
                </c:pt>
                <c:pt idx="5">
                  <c:v>0.886842976021191</c:v>
                </c:pt>
                <c:pt idx="6">
                  <c:v>0.88299861434002003</c:v>
                </c:pt>
                <c:pt idx="7">
                  <c:v>0.87658902239880099</c:v>
                </c:pt>
                <c:pt idx="8">
                  <c:v>0.86626101131076605</c:v>
                </c:pt>
                <c:pt idx="9">
                  <c:v>0.85013566315259403</c:v>
                </c:pt>
                <c:pt idx="10">
                  <c:v>0.825755143142056</c:v>
                </c:pt>
                <c:pt idx="11">
                  <c:v>0.79016177456814896</c:v>
                </c:pt>
                <c:pt idx="12">
                  <c:v>0.74023987980723804</c:v>
                </c:pt>
                <c:pt idx="13">
                  <c:v>0.67343022533264096</c:v>
                </c:pt>
                <c:pt idx="14">
                  <c:v>0.58886325328290001</c:v>
                </c:pt>
                <c:pt idx="15">
                  <c:v>0.48864109058538502</c:v>
                </c:pt>
                <c:pt idx="16">
                  <c:v>0.37902146850452001</c:v>
                </c:pt>
                <c:pt idx="17">
                  <c:v>0.26953810871578998</c:v>
                </c:pt>
                <c:pt idx="18">
                  <c:v>0.17137680324288901</c:v>
                </c:pt>
                <c:pt idx="19">
                  <c:v>9.4284885630153401E-2</c:v>
                </c:pt>
                <c:pt idx="20">
                  <c:v>4.2955679734821998E-2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209-4EE4-970A-58D84AA9C73D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Explicit_DFN!$AD$2:$AD$2500</c:f>
              <c:numCache>
                <c:formatCode>General</c:formatCode>
                <c:ptCount val="2499"/>
                <c:pt idx="0">
                  <c:v>113.900031120774</c:v>
                </c:pt>
                <c:pt idx="1">
                  <c:v>98.075151828604604</c:v>
                </c:pt>
                <c:pt idx="2">
                  <c:v>92.862048963624105</c:v>
                </c:pt>
                <c:pt idx="3">
                  <c:v>80.493714181398104</c:v>
                </c:pt>
                <c:pt idx="4">
                  <c:v>79.936830407160798</c:v>
                </c:pt>
                <c:pt idx="5">
                  <c:v>79.367849137378798</c:v>
                </c:pt>
                <c:pt idx="6">
                  <c:v>79.092201405217907</c:v>
                </c:pt>
                <c:pt idx="7">
                  <c:v>64.478096988370694</c:v>
                </c:pt>
                <c:pt idx="8">
                  <c:v>58.315035339594601</c:v>
                </c:pt>
                <c:pt idx="9">
                  <c:v>54.054910899007098</c:v>
                </c:pt>
                <c:pt idx="10">
                  <c:v>50.6368648588466</c:v>
                </c:pt>
                <c:pt idx="11">
                  <c:v>50.133009329470603</c:v>
                </c:pt>
                <c:pt idx="12">
                  <c:v>42.104500743596603</c:v>
                </c:pt>
                <c:pt idx="13">
                  <c:v>39.230220016872302</c:v>
                </c:pt>
                <c:pt idx="14">
                  <c:v>37.258512216756898</c:v>
                </c:pt>
                <c:pt idx="15">
                  <c:v>37.197318769046802</c:v>
                </c:pt>
                <c:pt idx="16">
                  <c:v>36.450056993502898</c:v>
                </c:pt>
                <c:pt idx="17">
                  <c:v>35.890107903752202</c:v>
                </c:pt>
                <c:pt idx="18">
                  <c:v>35.6853625086368</c:v>
                </c:pt>
                <c:pt idx="19">
                  <c:v>33.986686583976002</c:v>
                </c:pt>
                <c:pt idx="20">
                  <c:v>32.5780532788363</c:v>
                </c:pt>
                <c:pt idx="21">
                  <c:v>30.9928104310933</c:v>
                </c:pt>
                <c:pt idx="22">
                  <c:v>28.127339082538398</c:v>
                </c:pt>
                <c:pt idx="23">
                  <c:v>27.946252757705199</c:v>
                </c:pt>
                <c:pt idx="24">
                  <c:v>27.457821475228702</c:v>
                </c:pt>
                <c:pt idx="25">
                  <c:v>27.3994681968653</c:v>
                </c:pt>
                <c:pt idx="26">
                  <c:v>26.678861013809001</c:v>
                </c:pt>
                <c:pt idx="27">
                  <c:v>25.9208367556338</c:v>
                </c:pt>
                <c:pt idx="28">
                  <c:v>24.466375807807001</c:v>
                </c:pt>
                <c:pt idx="29">
                  <c:v>24.202801393943702</c:v>
                </c:pt>
                <c:pt idx="30">
                  <c:v>23.5024796038727</c:v>
                </c:pt>
                <c:pt idx="31">
                  <c:v>23.3470164083996</c:v>
                </c:pt>
                <c:pt idx="32">
                  <c:v>23.1135037913531</c:v>
                </c:pt>
                <c:pt idx="33">
                  <c:v>17.745376347857601</c:v>
                </c:pt>
                <c:pt idx="34">
                  <c:v>16.840982190907798</c:v>
                </c:pt>
                <c:pt idx="35">
                  <c:v>16.441441943761099</c:v>
                </c:pt>
                <c:pt idx="36">
                  <c:v>15.2536257639527</c:v>
                </c:pt>
                <c:pt idx="37">
                  <c:v>14.5249838684219</c:v>
                </c:pt>
                <c:pt idx="38">
                  <c:v>14.1413379993375</c:v>
                </c:pt>
                <c:pt idx="39">
                  <c:v>13.668253553090601</c:v>
                </c:pt>
                <c:pt idx="40">
                  <c:v>12.838072935484499</c:v>
                </c:pt>
                <c:pt idx="41">
                  <c:v>12.5787446917082</c:v>
                </c:pt>
                <c:pt idx="42">
                  <c:v>12.41477286676</c:v>
                </c:pt>
                <c:pt idx="43">
                  <c:v>10.911736768060001</c:v>
                </c:pt>
                <c:pt idx="44">
                  <c:v>10.8503356679453</c:v>
                </c:pt>
                <c:pt idx="45">
                  <c:v>10.4337367846638</c:v>
                </c:pt>
                <c:pt idx="46">
                  <c:v>8.0326661018975898</c:v>
                </c:pt>
                <c:pt idx="47">
                  <c:v>7.5031661641803398</c:v>
                </c:pt>
                <c:pt idx="48">
                  <c:v>7.4997698675126401</c:v>
                </c:pt>
                <c:pt idx="49">
                  <c:v>7.4492885263948203</c:v>
                </c:pt>
                <c:pt idx="50">
                  <c:v>7.0856372122880202</c:v>
                </c:pt>
                <c:pt idx="51">
                  <c:v>6.3668927385294598</c:v>
                </c:pt>
                <c:pt idx="52">
                  <c:v>4.7723169877532996</c:v>
                </c:pt>
                <c:pt idx="53">
                  <c:v>4.3821198538689297</c:v>
                </c:pt>
                <c:pt idx="54">
                  <c:v>3.4267292235536102</c:v>
                </c:pt>
                <c:pt idx="55">
                  <c:v>3.3441004717678999</c:v>
                </c:pt>
                <c:pt idx="56">
                  <c:v>1.4812922494186</c:v>
                </c:pt>
                <c:pt idx="57">
                  <c:v>0.95229015391693395</c:v>
                </c:pt>
                <c:pt idx="58">
                  <c:v>0.95229015391693395</c:v>
                </c:pt>
                <c:pt idx="59">
                  <c:v>0.95229015391693395</c:v>
                </c:pt>
                <c:pt idx="60">
                  <c:v>0.95229015391693395</c:v>
                </c:pt>
                <c:pt idx="61">
                  <c:v>0.95229015391693395</c:v>
                </c:pt>
                <c:pt idx="62">
                  <c:v>0.95229015391693395</c:v>
                </c:pt>
                <c:pt idx="63">
                  <c:v>0.95229015391693395</c:v>
                </c:pt>
                <c:pt idx="64">
                  <c:v>0.95229015391693395</c:v>
                </c:pt>
                <c:pt idx="65">
                  <c:v>0.95229015391693395</c:v>
                </c:pt>
                <c:pt idx="66">
                  <c:v>0.95229015391693395</c:v>
                </c:pt>
                <c:pt idx="67">
                  <c:v>0.95229015391693395</c:v>
                </c:pt>
                <c:pt idx="68">
                  <c:v>0.67926530188766798</c:v>
                </c:pt>
                <c:pt idx="69">
                  <c:v>0.60695277804013903</c:v>
                </c:pt>
                <c:pt idx="70">
                  <c:v>0.57127151395803799</c:v>
                </c:pt>
                <c:pt idx="71">
                  <c:v>0.25369247488420399</c:v>
                </c:pt>
                <c:pt idx="72">
                  <c:v>0.25369247488420399</c:v>
                </c:pt>
                <c:pt idx="73">
                  <c:v>0.23006436041948999</c:v>
                </c:pt>
                <c:pt idx="74">
                  <c:v>0.17260279593088501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xVal>
          <c:yVal>
            <c:numRef>
              <c:f>Explicit_DFN!$AM$2:$AM$2500</c:f>
              <c:numCache>
                <c:formatCode>General</c:formatCode>
                <c:ptCount val="2499"/>
                <c:pt idx="0">
                  <c:v>7.1187519450483752E-2</c:v>
                </c:pt>
                <c:pt idx="1">
                  <c:v>0.13248448934336163</c:v>
                </c:pt>
                <c:pt idx="2">
                  <c:v>0.19052326994562668</c:v>
                </c:pt>
                <c:pt idx="3">
                  <c:v>0.24083184130900048</c:v>
                </c:pt>
                <c:pt idx="4">
                  <c:v>0.29079236031347599</c:v>
                </c:pt>
                <c:pt idx="5">
                  <c:v>0.34039726602433773</c:v>
                </c:pt>
                <c:pt idx="6">
                  <c:v>0.38982989190259892</c:v>
                </c:pt>
                <c:pt idx="7">
                  <c:v>0.43012870252033059</c:v>
                </c:pt>
                <c:pt idx="8">
                  <c:v>0.46657559960757722</c:v>
                </c:pt>
                <c:pt idx="9">
                  <c:v>0.50035991891945664</c:v>
                </c:pt>
                <c:pt idx="10">
                  <c:v>0.5320079594562358</c:v>
                </c:pt>
                <c:pt idx="11">
                  <c:v>0.56334109028715496</c:v>
                </c:pt>
                <c:pt idx="12">
                  <c:v>0.58965640325190283</c:v>
                </c:pt>
                <c:pt idx="13">
                  <c:v>0.61417529076244803</c:v>
                </c:pt>
                <c:pt idx="14">
                  <c:v>0.63746186089792112</c:v>
                </c:pt>
                <c:pt idx="15">
                  <c:v>0.66071018512857538</c:v>
                </c:pt>
                <c:pt idx="16">
                  <c:v>0.68349147074951466</c:v>
                </c:pt>
                <c:pt idx="17">
                  <c:v>0.70592278818935983</c:v>
                </c:pt>
                <c:pt idx="18">
                  <c:v>0.72822613975725781</c:v>
                </c:pt>
                <c:pt idx="19">
                  <c:v>0.74946781887224279</c:v>
                </c:pt>
                <c:pt idx="20">
                  <c:v>0.76982910217151546</c:v>
                </c:pt>
                <c:pt idx="21">
                  <c:v>0.78919960869094874</c:v>
                </c:pt>
                <c:pt idx="22">
                  <c:v>0.80677919561753519</c:v>
                </c:pt>
                <c:pt idx="23">
                  <c:v>0.82424560359110099</c:v>
                </c:pt>
                <c:pt idx="24">
                  <c:v>0.84140674201311894</c:v>
                </c:pt>
                <c:pt idx="25">
                  <c:v>0.8585314096361597</c:v>
                </c:pt>
                <c:pt idx="26">
                  <c:v>0.87520569776979029</c:v>
                </c:pt>
                <c:pt idx="27">
                  <c:v>0.89140622074206144</c:v>
                </c:pt>
                <c:pt idx="28">
                  <c:v>0.90669770562194085</c:v>
                </c:pt>
                <c:pt idx="29">
                  <c:v>0.9218244564931557</c:v>
                </c:pt>
                <c:pt idx="30">
                  <c:v>0.93651350624557617</c:v>
                </c:pt>
                <c:pt idx="31">
                  <c:v>0.95110539150082596</c:v>
                </c:pt>
                <c:pt idx="32">
                  <c:v>0.96555133137042159</c:v>
                </c:pt>
                <c:pt idx="33">
                  <c:v>0.97664219158783261</c:v>
                </c:pt>
                <c:pt idx="34">
                  <c:v>0.98716780545714999</c:v>
                </c:pt>
                <c:pt idx="35">
                  <c:v>0.99744370667200066</c:v>
                </c:pt>
                <c:pt idx="36">
                  <c:v>1.0069772227744711</c:v>
                </c:pt>
                <c:pt idx="37">
                  <c:v>1.0160553376922348</c:v>
                </c:pt>
                <c:pt idx="38">
                  <c:v>1.0248936739418206</c:v>
                </c:pt>
                <c:pt idx="39">
                  <c:v>1.0334363324125022</c:v>
                </c:pt>
                <c:pt idx="40">
                  <c:v>1.04146012799718</c:v>
                </c:pt>
                <c:pt idx="41">
                  <c:v>1.0493218434294977</c:v>
                </c:pt>
                <c:pt idx="42">
                  <c:v>1.0570810764712228</c:v>
                </c:pt>
                <c:pt idx="43">
                  <c:v>1.0639009119512604</c:v>
                </c:pt>
                <c:pt idx="44">
                  <c:v>1.0706823717437262</c:v>
                </c:pt>
                <c:pt idx="45">
                  <c:v>1.0772034572341411</c:v>
                </c:pt>
                <c:pt idx="46">
                  <c:v>1.0822238735478271</c:v>
                </c:pt>
                <c:pt idx="47">
                  <c:v>1.0869133524004397</c:v>
                </c:pt>
                <c:pt idx="48">
                  <c:v>1.0916007085676351</c:v>
                </c:pt>
                <c:pt idx="49">
                  <c:v>1.0962565138966318</c:v>
                </c:pt>
                <c:pt idx="50">
                  <c:v>1.1006850371543118</c:v>
                </c:pt>
                <c:pt idx="51">
                  <c:v>1.1046643451158926</c:v>
                </c:pt>
                <c:pt idx="52">
                  <c:v>1.1076470432332384</c:v>
                </c:pt>
                <c:pt idx="53">
                  <c:v>1.1103858681419065</c:v>
                </c:pt>
                <c:pt idx="54">
                  <c:v>1.1125275739066276</c:v>
                </c:pt>
                <c:pt idx="55">
                  <c:v>1.1146176367014826</c:v>
                </c:pt>
                <c:pt idx="56">
                  <c:v>1.1155434443573693</c:v>
                </c:pt>
                <c:pt idx="57">
                  <c:v>1.1161386257035675</c:v>
                </c:pt>
                <c:pt idx="58">
                  <c:v>1.1167338070497657</c:v>
                </c:pt>
                <c:pt idx="59">
                  <c:v>1.1173289883959638</c:v>
                </c:pt>
                <c:pt idx="60">
                  <c:v>1.117924169742162</c:v>
                </c:pt>
                <c:pt idx="61">
                  <c:v>1.1185193510883602</c:v>
                </c:pt>
                <c:pt idx="62">
                  <c:v>1.1191145324345584</c:v>
                </c:pt>
                <c:pt idx="63">
                  <c:v>1.1197097137807566</c:v>
                </c:pt>
                <c:pt idx="64">
                  <c:v>1.1203048951269547</c:v>
                </c:pt>
                <c:pt idx="65">
                  <c:v>1.1209000764731529</c:v>
                </c:pt>
                <c:pt idx="66">
                  <c:v>1.1214952578193511</c:v>
                </c:pt>
                <c:pt idx="67">
                  <c:v>1.1220904391655493</c:v>
                </c:pt>
                <c:pt idx="68">
                  <c:v>1.1225149799792291</c:v>
                </c:pt>
                <c:pt idx="69">
                  <c:v>1.1228943254655042</c:v>
                </c:pt>
                <c:pt idx="70">
                  <c:v>1.1232513701617279</c:v>
                </c:pt>
                <c:pt idx="71">
                  <c:v>1.1234099279585306</c:v>
                </c:pt>
                <c:pt idx="72">
                  <c:v>1.1235684857553332</c:v>
                </c:pt>
                <c:pt idx="73">
                  <c:v>1.1237122759805953</c:v>
                </c:pt>
                <c:pt idx="74">
                  <c:v>1.123820152728052</c:v>
                </c:pt>
                <c:pt idx="75">
                  <c:v>1.123820152728052</c:v>
                </c:pt>
                <c:pt idx="76">
                  <c:v>1.123820152728052</c:v>
                </c:pt>
                <c:pt idx="77">
                  <c:v>1.123820152728052</c:v>
                </c:pt>
                <c:pt idx="78">
                  <c:v>1.123820152728052</c:v>
                </c:pt>
                <c:pt idx="79">
                  <c:v>1.123820152728052</c:v>
                </c:pt>
                <c:pt idx="80">
                  <c:v>1.123820152728052</c:v>
                </c:pt>
                <c:pt idx="81">
                  <c:v>1.123820152728052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209-4EE4-970A-58D84AA9C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0080"/>
        <c:axId val="736554784"/>
      </c:scatterChart>
      <c:scatterChart>
        <c:scatterStyle val="lineMarker"/>
        <c:varyColors val="0"/>
        <c:ser>
          <c:idx val="0"/>
          <c:order val="0"/>
          <c:tx>
            <c:strRef>
              <c:f>Implicit_Fracs!$A$432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Implicit_Fracs!$B$430:$V$430</c:f>
              <c:numCache>
                <c:formatCode>General</c:formatCode>
                <c:ptCount val="21"/>
                <c:pt idx="0">
                  <c:v>0</c:v>
                </c:pt>
                <c:pt idx="1">
                  <c:v>0.25955190384466498</c:v>
                </c:pt>
                <c:pt idx="2">
                  <c:v>0.58647099847871997</c:v>
                </c:pt>
                <c:pt idx="3">
                  <c:v>0.99824256652821797</c:v>
                </c:pt>
                <c:pt idx="4">
                  <c:v>1.51689022901407</c:v>
                </c:pt>
                <c:pt idx="5">
                  <c:v>2.1701538797227</c:v>
                </c:pt>
                <c:pt idx="6">
                  <c:v>2.9929733546852799</c:v>
                </c:pt>
                <c:pt idx="7">
                  <c:v>4.02935719089486</c:v>
                </c:pt>
                <c:pt idx="8">
                  <c:v>5.3347364249064801</c:v>
                </c:pt>
                <c:pt idx="9">
                  <c:v>6.9789293243451</c:v>
                </c:pt>
                <c:pt idx="10">
                  <c:v>9.0498756211208899</c:v>
                </c:pt>
                <c:pt idx="11">
                  <c:v>11.658339971984899</c:v>
                </c:pt>
                <c:pt idx="12">
                  <c:v>14.9438362112266</c:v>
                </c:pt>
                <c:pt idx="13">
                  <c:v>19.082089254437999</c:v>
                </c:pt>
                <c:pt idx="14">
                  <c:v>24.294433753605801</c:v>
                </c:pt>
                <c:pt idx="15">
                  <c:v>30.859652191026999</c:v>
                </c:pt>
                <c:pt idx="16">
                  <c:v>39.128885573036897</c:v>
                </c:pt>
                <c:pt idx="17">
                  <c:v>49.544414222683301</c:v>
                </c:pt>
                <c:pt idx="18">
                  <c:v>62.663313162894099</c:v>
                </c:pt>
                <c:pt idx="19">
                  <c:v>79.187247299382406</c:v>
                </c:pt>
                <c:pt idx="20">
                  <c:v>100</c:v>
                </c:pt>
              </c:numCache>
            </c:numRef>
          </c:xVal>
          <c:yVal>
            <c:numRef>
              <c:f>Implicit_Fracs!$B$432:$V$432</c:f>
              <c:numCache>
                <c:formatCode>General</c:formatCode>
                <c:ptCount val="21"/>
                <c:pt idx="0">
                  <c:v>6.1096757422665002E-2</c:v>
                </c:pt>
                <c:pt idx="1">
                  <c:v>5.7767860047015E-2</c:v>
                </c:pt>
                <c:pt idx="2">
                  <c:v>4.6607427413345517E-2</c:v>
                </c:pt>
                <c:pt idx="3">
                  <c:v>4.15722545136935E-2</c:v>
                </c:pt>
                <c:pt idx="4">
                  <c:v>4.0614857658106303E-2</c:v>
                </c:pt>
                <c:pt idx="5">
                  <c:v>3.9414242534745701E-2</c:v>
                </c:pt>
                <c:pt idx="6">
                  <c:v>3.7924286346480901E-2</c:v>
                </c:pt>
                <c:pt idx="7">
                  <c:v>3.6097308185273798E-2</c:v>
                </c:pt>
                <c:pt idx="8">
                  <c:v>3.3888928889717201E-2</c:v>
                </c:pt>
                <c:pt idx="9">
                  <c:v>3.12658485675405E-2</c:v>
                </c:pt>
                <c:pt idx="10">
                  <c:v>2.8217679022317099E-2</c:v>
                </c:pt>
                <c:pt idx="11">
                  <c:v>2.47711552996083E-2</c:v>
                </c:pt>
                <c:pt idx="12">
                  <c:v>2.10054302815301E-2</c:v>
                </c:pt>
                <c:pt idx="13">
                  <c:v>1.7061779902055998E-2</c:v>
                </c:pt>
                <c:pt idx="14">
                  <c:v>1.31416851780636E-2</c:v>
                </c:pt>
                <c:pt idx="15">
                  <c:v>9.4830885717232093E-3</c:v>
                </c:pt>
                <c:pt idx="16">
                  <c:v>6.3177980761045501E-3</c:v>
                </c:pt>
                <c:pt idx="17">
                  <c:v>3.81574753506283E-3</c:v>
                </c:pt>
                <c:pt idx="18">
                  <c:v>2.0396261263858299E-3</c:v>
                </c:pt>
                <c:pt idx="19">
                  <c:v>9.3324134491552899E-4</c:v>
                </c:pt>
                <c:pt idx="20">
                  <c:v>3.4873344047975098E-4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09-4EE4-970A-58D84AA9C73D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Explicit_DFN!$AD$2:$AD$2500</c:f>
              <c:numCache>
                <c:formatCode>General</c:formatCode>
                <c:ptCount val="2499"/>
                <c:pt idx="0">
                  <c:v>113.900031120774</c:v>
                </c:pt>
                <c:pt idx="1">
                  <c:v>98.075151828604604</c:v>
                </c:pt>
                <c:pt idx="2">
                  <c:v>92.862048963624105</c:v>
                </c:pt>
                <c:pt idx="3">
                  <c:v>80.493714181398104</c:v>
                </c:pt>
                <c:pt idx="4">
                  <c:v>79.936830407160798</c:v>
                </c:pt>
                <c:pt idx="5">
                  <c:v>79.367849137378798</c:v>
                </c:pt>
                <c:pt idx="6">
                  <c:v>79.092201405217907</c:v>
                </c:pt>
                <c:pt idx="7">
                  <c:v>64.478096988370694</c:v>
                </c:pt>
                <c:pt idx="8">
                  <c:v>58.315035339594601</c:v>
                </c:pt>
                <c:pt idx="9">
                  <c:v>54.054910899007098</c:v>
                </c:pt>
                <c:pt idx="10">
                  <c:v>50.6368648588466</c:v>
                </c:pt>
                <c:pt idx="11">
                  <c:v>50.133009329470603</c:v>
                </c:pt>
                <c:pt idx="12">
                  <c:v>42.104500743596603</c:v>
                </c:pt>
                <c:pt idx="13">
                  <c:v>39.230220016872302</c:v>
                </c:pt>
                <c:pt idx="14">
                  <c:v>37.258512216756898</c:v>
                </c:pt>
                <c:pt idx="15">
                  <c:v>37.197318769046802</c:v>
                </c:pt>
                <c:pt idx="16">
                  <c:v>36.450056993502898</c:v>
                </c:pt>
                <c:pt idx="17">
                  <c:v>35.890107903752202</c:v>
                </c:pt>
                <c:pt idx="18">
                  <c:v>35.6853625086368</c:v>
                </c:pt>
                <c:pt idx="19">
                  <c:v>33.986686583976002</c:v>
                </c:pt>
                <c:pt idx="20">
                  <c:v>32.5780532788363</c:v>
                </c:pt>
                <c:pt idx="21">
                  <c:v>30.9928104310933</c:v>
                </c:pt>
                <c:pt idx="22">
                  <c:v>28.127339082538398</c:v>
                </c:pt>
                <c:pt idx="23">
                  <c:v>27.946252757705199</c:v>
                </c:pt>
                <c:pt idx="24">
                  <c:v>27.457821475228702</c:v>
                </c:pt>
                <c:pt idx="25">
                  <c:v>27.3994681968653</c:v>
                </c:pt>
                <c:pt idx="26">
                  <c:v>26.678861013809001</c:v>
                </c:pt>
                <c:pt idx="27">
                  <c:v>25.9208367556338</c:v>
                </c:pt>
                <c:pt idx="28">
                  <c:v>24.466375807807001</c:v>
                </c:pt>
                <c:pt idx="29">
                  <c:v>24.202801393943702</c:v>
                </c:pt>
                <c:pt idx="30">
                  <c:v>23.5024796038727</c:v>
                </c:pt>
                <c:pt idx="31">
                  <c:v>23.3470164083996</c:v>
                </c:pt>
                <c:pt idx="32">
                  <c:v>23.1135037913531</c:v>
                </c:pt>
                <c:pt idx="33">
                  <c:v>17.745376347857601</c:v>
                </c:pt>
                <c:pt idx="34">
                  <c:v>16.840982190907798</c:v>
                </c:pt>
                <c:pt idx="35">
                  <c:v>16.441441943761099</c:v>
                </c:pt>
                <c:pt idx="36">
                  <c:v>15.2536257639527</c:v>
                </c:pt>
                <c:pt idx="37">
                  <c:v>14.5249838684219</c:v>
                </c:pt>
                <c:pt idx="38">
                  <c:v>14.1413379993375</c:v>
                </c:pt>
                <c:pt idx="39">
                  <c:v>13.668253553090601</c:v>
                </c:pt>
                <c:pt idx="40">
                  <c:v>12.838072935484499</c:v>
                </c:pt>
                <c:pt idx="41">
                  <c:v>12.5787446917082</c:v>
                </c:pt>
                <c:pt idx="42">
                  <c:v>12.41477286676</c:v>
                </c:pt>
                <c:pt idx="43">
                  <c:v>10.911736768060001</c:v>
                </c:pt>
                <c:pt idx="44">
                  <c:v>10.8503356679453</c:v>
                </c:pt>
                <c:pt idx="45">
                  <c:v>10.4337367846638</c:v>
                </c:pt>
                <c:pt idx="46">
                  <c:v>8.0326661018975898</c:v>
                </c:pt>
                <c:pt idx="47">
                  <c:v>7.5031661641803398</c:v>
                </c:pt>
                <c:pt idx="48">
                  <c:v>7.4997698675126401</c:v>
                </c:pt>
                <c:pt idx="49">
                  <c:v>7.4492885263948203</c:v>
                </c:pt>
                <c:pt idx="50">
                  <c:v>7.0856372122880202</c:v>
                </c:pt>
                <c:pt idx="51">
                  <c:v>6.3668927385294598</c:v>
                </c:pt>
                <c:pt idx="52">
                  <c:v>4.7723169877532996</c:v>
                </c:pt>
                <c:pt idx="53">
                  <c:v>4.3821198538689297</c:v>
                </c:pt>
                <c:pt idx="54">
                  <c:v>3.4267292235536102</c:v>
                </c:pt>
                <c:pt idx="55">
                  <c:v>3.3441004717678999</c:v>
                </c:pt>
                <c:pt idx="56">
                  <c:v>1.4812922494186</c:v>
                </c:pt>
                <c:pt idx="57">
                  <c:v>0.95229015391693395</c:v>
                </c:pt>
                <c:pt idx="58">
                  <c:v>0.95229015391693395</c:v>
                </c:pt>
                <c:pt idx="59">
                  <c:v>0.95229015391693395</c:v>
                </c:pt>
                <c:pt idx="60">
                  <c:v>0.95229015391693395</c:v>
                </c:pt>
                <c:pt idx="61">
                  <c:v>0.95229015391693395</c:v>
                </c:pt>
                <c:pt idx="62">
                  <c:v>0.95229015391693395</c:v>
                </c:pt>
                <c:pt idx="63">
                  <c:v>0.95229015391693395</c:v>
                </c:pt>
                <c:pt idx="64">
                  <c:v>0.95229015391693395</c:v>
                </c:pt>
                <c:pt idx="65">
                  <c:v>0.95229015391693395</c:v>
                </c:pt>
                <c:pt idx="66">
                  <c:v>0.95229015391693395</c:v>
                </c:pt>
                <c:pt idx="67">
                  <c:v>0.95229015391693395</c:v>
                </c:pt>
                <c:pt idx="68">
                  <c:v>0.67926530188766798</c:v>
                </c:pt>
                <c:pt idx="69">
                  <c:v>0.60695277804013903</c:v>
                </c:pt>
                <c:pt idx="70">
                  <c:v>0.57127151395803799</c:v>
                </c:pt>
                <c:pt idx="71">
                  <c:v>0.25369247488420399</c:v>
                </c:pt>
                <c:pt idx="72">
                  <c:v>0.25369247488420399</c:v>
                </c:pt>
                <c:pt idx="73">
                  <c:v>0.23006436041948999</c:v>
                </c:pt>
                <c:pt idx="74">
                  <c:v>0.17260279593088501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xVal>
          <c:yVal>
            <c:numRef>
              <c:f>Explicit_DFN!$AK$2:$AK$2500</c:f>
              <c:numCache>
                <c:formatCode>General</c:formatCode>
                <c:ptCount val="2499"/>
                <c:pt idx="0">
                  <c:v>6.2500000000000001E-4</c:v>
                </c:pt>
                <c:pt idx="1">
                  <c:v>1.25E-3</c:v>
                </c:pt>
                <c:pt idx="2">
                  <c:v>1.8749999999999999E-3</c:v>
                </c:pt>
                <c:pt idx="3">
                  <c:v>2.5000000000000001E-3</c:v>
                </c:pt>
                <c:pt idx="4">
                  <c:v>3.1250000000000002E-3</c:v>
                </c:pt>
                <c:pt idx="5">
                  <c:v>3.7499999999999999E-3</c:v>
                </c:pt>
                <c:pt idx="6">
                  <c:v>4.3750000000000004E-3</c:v>
                </c:pt>
                <c:pt idx="7">
                  <c:v>5.0000000000000001E-3</c:v>
                </c:pt>
                <c:pt idx="8">
                  <c:v>5.6249999999999998E-3</c:v>
                </c:pt>
                <c:pt idx="9">
                  <c:v>6.2500000000000003E-3</c:v>
                </c:pt>
                <c:pt idx="10">
                  <c:v>6.875E-3</c:v>
                </c:pt>
                <c:pt idx="11">
                  <c:v>7.4999999999999997E-3</c:v>
                </c:pt>
                <c:pt idx="12">
                  <c:v>8.1250000000000003E-3</c:v>
                </c:pt>
                <c:pt idx="13">
                  <c:v>8.7500000000000008E-3</c:v>
                </c:pt>
                <c:pt idx="14">
                  <c:v>9.3749999999999997E-3</c:v>
                </c:pt>
                <c:pt idx="15">
                  <c:v>0.01</c:v>
                </c:pt>
                <c:pt idx="16">
                  <c:v>1.0625000000000001E-2</c:v>
                </c:pt>
                <c:pt idx="17">
                  <c:v>1.125E-2</c:v>
                </c:pt>
                <c:pt idx="18">
                  <c:v>1.1875E-2</c:v>
                </c:pt>
                <c:pt idx="19">
                  <c:v>1.2500000000000001E-2</c:v>
                </c:pt>
                <c:pt idx="20">
                  <c:v>1.3125E-2</c:v>
                </c:pt>
                <c:pt idx="21">
                  <c:v>1.375E-2</c:v>
                </c:pt>
                <c:pt idx="22">
                  <c:v>1.4375000000000001E-2</c:v>
                </c:pt>
                <c:pt idx="23">
                  <c:v>1.4999999999999999E-2</c:v>
                </c:pt>
                <c:pt idx="24">
                  <c:v>1.5625E-2</c:v>
                </c:pt>
                <c:pt idx="25">
                  <c:v>1.6250000000000001E-2</c:v>
                </c:pt>
                <c:pt idx="26">
                  <c:v>1.6875000000000001E-2</c:v>
                </c:pt>
                <c:pt idx="27">
                  <c:v>1.7500000000000002E-2</c:v>
                </c:pt>
                <c:pt idx="28">
                  <c:v>1.8124999999999999E-2</c:v>
                </c:pt>
                <c:pt idx="29">
                  <c:v>1.8749999999999999E-2</c:v>
                </c:pt>
                <c:pt idx="30">
                  <c:v>1.9375E-2</c:v>
                </c:pt>
                <c:pt idx="31">
                  <c:v>0.02</c:v>
                </c:pt>
                <c:pt idx="32">
                  <c:v>2.0625000000000001E-2</c:v>
                </c:pt>
                <c:pt idx="33">
                  <c:v>2.1250000000000002E-2</c:v>
                </c:pt>
                <c:pt idx="34">
                  <c:v>2.1874999999999999E-2</c:v>
                </c:pt>
                <c:pt idx="35">
                  <c:v>2.2499999999999999E-2</c:v>
                </c:pt>
                <c:pt idx="36">
                  <c:v>2.3125E-2</c:v>
                </c:pt>
                <c:pt idx="37">
                  <c:v>2.375E-2</c:v>
                </c:pt>
                <c:pt idx="38">
                  <c:v>2.4375000000000001E-2</c:v>
                </c:pt>
                <c:pt idx="39">
                  <c:v>2.5000000000000001E-2</c:v>
                </c:pt>
                <c:pt idx="40">
                  <c:v>2.5624999999999998E-2</c:v>
                </c:pt>
                <c:pt idx="41">
                  <c:v>2.6249999999999999E-2</c:v>
                </c:pt>
                <c:pt idx="42">
                  <c:v>2.6875E-2</c:v>
                </c:pt>
                <c:pt idx="43">
                  <c:v>2.75E-2</c:v>
                </c:pt>
                <c:pt idx="44">
                  <c:v>2.8125000000000001E-2</c:v>
                </c:pt>
                <c:pt idx="45">
                  <c:v>2.8750000000000001E-2</c:v>
                </c:pt>
                <c:pt idx="46">
                  <c:v>2.9374999999999998E-2</c:v>
                </c:pt>
                <c:pt idx="47">
                  <c:v>0.03</c:v>
                </c:pt>
                <c:pt idx="48">
                  <c:v>3.0624999999999999E-2</c:v>
                </c:pt>
                <c:pt idx="49">
                  <c:v>3.125E-2</c:v>
                </c:pt>
                <c:pt idx="50">
                  <c:v>3.1875000000000001E-2</c:v>
                </c:pt>
                <c:pt idx="51">
                  <c:v>3.2500000000000001E-2</c:v>
                </c:pt>
                <c:pt idx="52">
                  <c:v>3.3125000000000002E-2</c:v>
                </c:pt>
                <c:pt idx="53">
                  <c:v>3.3750000000000002E-2</c:v>
                </c:pt>
                <c:pt idx="54">
                  <c:v>3.4375000000000003E-2</c:v>
                </c:pt>
                <c:pt idx="55">
                  <c:v>3.5000000000000003E-2</c:v>
                </c:pt>
                <c:pt idx="56">
                  <c:v>3.5624999999999997E-2</c:v>
                </c:pt>
                <c:pt idx="57">
                  <c:v>3.6249999999999998E-2</c:v>
                </c:pt>
                <c:pt idx="58">
                  <c:v>3.6874999999999998E-2</c:v>
                </c:pt>
                <c:pt idx="59">
                  <c:v>3.7499999999999999E-2</c:v>
                </c:pt>
                <c:pt idx="60">
                  <c:v>3.8124999999999999E-2</c:v>
                </c:pt>
                <c:pt idx="61">
                  <c:v>3.875E-2</c:v>
                </c:pt>
                <c:pt idx="62">
                  <c:v>3.9375E-2</c:v>
                </c:pt>
                <c:pt idx="63">
                  <c:v>0.04</c:v>
                </c:pt>
                <c:pt idx="64">
                  <c:v>4.0625000000000001E-2</c:v>
                </c:pt>
                <c:pt idx="65">
                  <c:v>4.1250000000000002E-2</c:v>
                </c:pt>
                <c:pt idx="66">
                  <c:v>4.1875000000000002E-2</c:v>
                </c:pt>
                <c:pt idx="67">
                  <c:v>4.2500000000000003E-2</c:v>
                </c:pt>
                <c:pt idx="68">
                  <c:v>4.3124999999999997E-2</c:v>
                </c:pt>
                <c:pt idx="69">
                  <c:v>4.3749999999999997E-2</c:v>
                </c:pt>
                <c:pt idx="70">
                  <c:v>4.4374999999999998E-2</c:v>
                </c:pt>
                <c:pt idx="71">
                  <c:v>4.4999999999999998E-2</c:v>
                </c:pt>
                <c:pt idx="72">
                  <c:v>4.5624999999999999E-2</c:v>
                </c:pt>
                <c:pt idx="73">
                  <c:v>4.6249999999999999E-2</c:v>
                </c:pt>
                <c:pt idx="74">
                  <c:v>4.6875E-2</c:v>
                </c:pt>
                <c:pt idx="75">
                  <c:v>4.7500000000000001E-2</c:v>
                </c:pt>
                <c:pt idx="76">
                  <c:v>4.8125000000000001E-2</c:v>
                </c:pt>
                <c:pt idx="77">
                  <c:v>4.8750000000000002E-2</c:v>
                </c:pt>
                <c:pt idx="78">
                  <c:v>4.9375000000000002E-2</c:v>
                </c:pt>
                <c:pt idx="79">
                  <c:v>0.05</c:v>
                </c:pt>
                <c:pt idx="80">
                  <c:v>5.0625000000000003E-2</c:v>
                </c:pt>
                <c:pt idx="81">
                  <c:v>5.1249999999999997E-2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209-4EE4-970A-58D84AA9C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3608"/>
        <c:axId val="736551256"/>
      </c:scatterChart>
      <c:valAx>
        <c:axId val="736550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4784"/>
        <c:crosses val="autoZero"/>
        <c:crossBetween val="midCat"/>
      </c:valAx>
      <c:valAx>
        <c:axId val="7365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0080"/>
        <c:crosses val="autoZero"/>
        <c:crossBetween val="midCat"/>
      </c:valAx>
      <c:valAx>
        <c:axId val="73655125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3608"/>
        <c:crosses val="max"/>
        <c:crossBetween val="midCat"/>
      </c:valAx>
      <c:valAx>
        <c:axId val="7365536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6551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Implicit_Fracs!$A$445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Implicit_Fracs!$B$441:$V$441</c:f>
              <c:numCache>
                <c:formatCode>General</c:formatCode>
                <c:ptCount val="21"/>
                <c:pt idx="0">
                  <c:v>0</c:v>
                </c:pt>
                <c:pt idx="1">
                  <c:v>0.25955190384466498</c:v>
                </c:pt>
                <c:pt idx="2">
                  <c:v>0.58647099847871997</c:v>
                </c:pt>
                <c:pt idx="3">
                  <c:v>0.99824256652821797</c:v>
                </c:pt>
                <c:pt idx="4">
                  <c:v>1.51689022901407</c:v>
                </c:pt>
                <c:pt idx="5">
                  <c:v>2.1701538797227</c:v>
                </c:pt>
                <c:pt idx="6">
                  <c:v>2.9929733546852799</c:v>
                </c:pt>
                <c:pt idx="7">
                  <c:v>4.02935719089486</c:v>
                </c:pt>
                <c:pt idx="8">
                  <c:v>5.3347364249064801</c:v>
                </c:pt>
                <c:pt idx="9">
                  <c:v>6.9789293243451</c:v>
                </c:pt>
                <c:pt idx="10">
                  <c:v>9.0498756211208899</c:v>
                </c:pt>
                <c:pt idx="11">
                  <c:v>11.658339971984899</c:v>
                </c:pt>
                <c:pt idx="12">
                  <c:v>14.9438362112266</c:v>
                </c:pt>
                <c:pt idx="13">
                  <c:v>19.082089254437999</c:v>
                </c:pt>
                <c:pt idx="14">
                  <c:v>24.294433753605801</c:v>
                </c:pt>
                <c:pt idx="15">
                  <c:v>30.859652191026999</c:v>
                </c:pt>
                <c:pt idx="16">
                  <c:v>39.128885573036897</c:v>
                </c:pt>
                <c:pt idx="17">
                  <c:v>49.544414222683301</c:v>
                </c:pt>
                <c:pt idx="18">
                  <c:v>62.663313162894099</c:v>
                </c:pt>
                <c:pt idx="19">
                  <c:v>79.187247299382406</c:v>
                </c:pt>
                <c:pt idx="20">
                  <c:v>100</c:v>
                </c:pt>
              </c:numCache>
            </c:numRef>
          </c:xVal>
          <c:yVal>
            <c:numRef>
              <c:f>Implicit_Fracs!$B$445:$V$445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4-4E83-86D8-5FF3676747D3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Explicit_DFN!$AQ$2:$AQ$2500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Explicit_DFN!$AZ$2:$AZ$2500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5568"/>
        <c:axId val="736546552"/>
      </c:scatterChart>
      <c:scatterChart>
        <c:scatterStyle val="lineMarker"/>
        <c:varyColors val="0"/>
        <c:ser>
          <c:idx val="0"/>
          <c:order val="0"/>
          <c:tx>
            <c:strRef>
              <c:f>Implicit_Fracs!$A$443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Implicit_Fracs!$B$441:$V$441</c:f>
              <c:numCache>
                <c:formatCode>General</c:formatCode>
                <c:ptCount val="21"/>
                <c:pt idx="0">
                  <c:v>0</c:v>
                </c:pt>
                <c:pt idx="1">
                  <c:v>0.25955190384466498</c:v>
                </c:pt>
                <c:pt idx="2">
                  <c:v>0.58647099847871997</c:v>
                </c:pt>
                <c:pt idx="3">
                  <c:v>0.99824256652821797</c:v>
                </c:pt>
                <c:pt idx="4">
                  <c:v>1.51689022901407</c:v>
                </c:pt>
                <c:pt idx="5">
                  <c:v>2.1701538797227</c:v>
                </c:pt>
                <c:pt idx="6">
                  <c:v>2.9929733546852799</c:v>
                </c:pt>
                <c:pt idx="7">
                  <c:v>4.02935719089486</c:v>
                </c:pt>
                <c:pt idx="8">
                  <c:v>5.3347364249064801</c:v>
                </c:pt>
                <c:pt idx="9">
                  <c:v>6.9789293243451</c:v>
                </c:pt>
                <c:pt idx="10">
                  <c:v>9.0498756211208899</c:v>
                </c:pt>
                <c:pt idx="11">
                  <c:v>11.658339971984899</c:v>
                </c:pt>
                <c:pt idx="12">
                  <c:v>14.9438362112266</c:v>
                </c:pt>
                <c:pt idx="13">
                  <c:v>19.082089254437999</c:v>
                </c:pt>
                <c:pt idx="14">
                  <c:v>24.294433753605801</c:v>
                </c:pt>
                <c:pt idx="15">
                  <c:v>30.859652191026999</c:v>
                </c:pt>
                <c:pt idx="16">
                  <c:v>39.128885573036897</c:v>
                </c:pt>
                <c:pt idx="17">
                  <c:v>49.544414222683301</c:v>
                </c:pt>
                <c:pt idx="18">
                  <c:v>62.663313162894099</c:v>
                </c:pt>
                <c:pt idx="19">
                  <c:v>79.187247299382406</c:v>
                </c:pt>
                <c:pt idx="20">
                  <c:v>100</c:v>
                </c:pt>
              </c:numCache>
            </c:numRef>
          </c:xVal>
          <c:yVal>
            <c:numRef>
              <c:f>Implicit_Fracs!$B$443:$V$443</c:f>
              <c:numCache>
                <c:formatCode>General</c:formatCode>
                <c:ptCount val="21"/>
                <c:pt idx="0">
                  <c:v>3.2000000000000001E-2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24-4E83-86D8-5FF3676747D3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Explicit_DFN!$AQ$2:$AQ$2500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Explicit_DFN!$AX$2:$AX$2500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3216"/>
        <c:axId val="736551648"/>
      </c:scatterChart>
      <c:valAx>
        <c:axId val="73655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6552"/>
        <c:crosses val="autoZero"/>
        <c:crossBetween val="midCat"/>
      </c:valAx>
      <c:valAx>
        <c:axId val="736546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5568"/>
        <c:crosses val="autoZero"/>
        <c:crossBetween val="midCat"/>
      </c:valAx>
      <c:valAx>
        <c:axId val="736551648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3216"/>
        <c:crosses val="max"/>
        <c:crossBetween val="midCat"/>
      </c:valAx>
      <c:valAx>
        <c:axId val="7365532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6551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Node types: Set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Implicit_Fracs!$A$435</c:f>
              <c:strCache>
                <c:ptCount val="1"/>
                <c:pt idx="0">
                  <c:v>Proportion of active tips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Implicit_Fracs!$B$430:$V$430</c:f>
              <c:numCache>
                <c:formatCode>General</c:formatCode>
                <c:ptCount val="21"/>
                <c:pt idx="0">
                  <c:v>0</c:v>
                </c:pt>
                <c:pt idx="1">
                  <c:v>0.25955190384466498</c:v>
                </c:pt>
                <c:pt idx="2">
                  <c:v>0.58647099847871997</c:v>
                </c:pt>
                <c:pt idx="3">
                  <c:v>0.99824256652821797</c:v>
                </c:pt>
                <c:pt idx="4">
                  <c:v>1.51689022901407</c:v>
                </c:pt>
                <c:pt idx="5">
                  <c:v>2.1701538797227</c:v>
                </c:pt>
                <c:pt idx="6">
                  <c:v>2.9929733546852799</c:v>
                </c:pt>
                <c:pt idx="7">
                  <c:v>4.02935719089486</c:v>
                </c:pt>
                <c:pt idx="8">
                  <c:v>5.3347364249064801</c:v>
                </c:pt>
                <c:pt idx="9">
                  <c:v>6.9789293243451</c:v>
                </c:pt>
                <c:pt idx="10">
                  <c:v>9.0498756211208899</c:v>
                </c:pt>
                <c:pt idx="11">
                  <c:v>11.658339971984899</c:v>
                </c:pt>
                <c:pt idx="12">
                  <c:v>14.9438362112266</c:v>
                </c:pt>
                <c:pt idx="13">
                  <c:v>19.082089254437999</c:v>
                </c:pt>
                <c:pt idx="14">
                  <c:v>24.294433753605801</c:v>
                </c:pt>
                <c:pt idx="15">
                  <c:v>30.859652191026999</c:v>
                </c:pt>
                <c:pt idx="16">
                  <c:v>39.128885573036897</c:v>
                </c:pt>
                <c:pt idx="17">
                  <c:v>49.544414222683301</c:v>
                </c:pt>
                <c:pt idx="18">
                  <c:v>62.663313162894099</c:v>
                </c:pt>
                <c:pt idx="19">
                  <c:v>79.187247299382406</c:v>
                </c:pt>
                <c:pt idx="20">
                  <c:v>100</c:v>
                </c:pt>
              </c:numCache>
            </c:numRef>
          </c:xVal>
          <c:yVal>
            <c:numRef>
              <c:f>Implicit_Fracs!$B$435:$V$435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8F-4069-80D6-1958CA8612F5}"/>
            </c:ext>
          </c:extLst>
        </c:ser>
        <c:ser>
          <c:idx val="1"/>
          <c:order val="1"/>
          <c:tx>
            <c:strRef>
              <c:f>Implicit_Fracs!$A$436</c:f>
              <c:strCache>
                <c:ptCount val="1"/>
                <c:pt idx="0">
                  <c:v>Proportion of non-connected tips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Implicit_Fracs!$B$430:$V$430</c:f>
              <c:numCache>
                <c:formatCode>General</c:formatCode>
                <c:ptCount val="21"/>
                <c:pt idx="0">
                  <c:v>0</c:v>
                </c:pt>
                <c:pt idx="1">
                  <c:v>0.25955190384466498</c:v>
                </c:pt>
                <c:pt idx="2">
                  <c:v>0.58647099847871997</c:v>
                </c:pt>
                <c:pt idx="3">
                  <c:v>0.99824256652821797</c:v>
                </c:pt>
                <c:pt idx="4">
                  <c:v>1.51689022901407</c:v>
                </c:pt>
                <c:pt idx="5">
                  <c:v>2.1701538797227</c:v>
                </c:pt>
                <c:pt idx="6">
                  <c:v>2.9929733546852799</c:v>
                </c:pt>
                <c:pt idx="7">
                  <c:v>4.02935719089486</c:v>
                </c:pt>
                <c:pt idx="8">
                  <c:v>5.3347364249064801</c:v>
                </c:pt>
                <c:pt idx="9">
                  <c:v>6.9789293243451</c:v>
                </c:pt>
                <c:pt idx="10">
                  <c:v>9.0498756211208899</c:v>
                </c:pt>
                <c:pt idx="11">
                  <c:v>11.658339971984899</c:v>
                </c:pt>
                <c:pt idx="12">
                  <c:v>14.9438362112266</c:v>
                </c:pt>
                <c:pt idx="13">
                  <c:v>19.082089254437999</c:v>
                </c:pt>
                <c:pt idx="14">
                  <c:v>24.294433753605801</c:v>
                </c:pt>
                <c:pt idx="15">
                  <c:v>30.859652191026999</c:v>
                </c:pt>
                <c:pt idx="16">
                  <c:v>39.128885573036897</c:v>
                </c:pt>
                <c:pt idx="17">
                  <c:v>49.544414222683301</c:v>
                </c:pt>
                <c:pt idx="18">
                  <c:v>62.663313162894099</c:v>
                </c:pt>
                <c:pt idx="19">
                  <c:v>79.187247299382406</c:v>
                </c:pt>
                <c:pt idx="20">
                  <c:v>100</c:v>
                </c:pt>
              </c:numCache>
            </c:numRef>
          </c:xVal>
          <c:yVal>
            <c:numRef>
              <c:f>Implicit_Fracs!$B$436:$V$436</c:f>
              <c:numCache>
                <c:formatCode>General</c:formatCode>
                <c:ptCount val="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28F-4069-80D6-1958CA861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46160"/>
        <c:axId val="736557528"/>
      </c:scatterChart>
      <c:valAx>
        <c:axId val="736546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7528"/>
        <c:crosses val="autoZero"/>
        <c:crossBetween val="midCat"/>
      </c:valAx>
      <c:valAx>
        <c:axId val="73655752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Proportion of total fracture tips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6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Node types: Set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Implicit_Fracs!$A$446</c:f>
              <c:strCache>
                <c:ptCount val="1"/>
                <c:pt idx="0">
                  <c:v>Proportion of active tips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Implicit_Fracs!$B$441:$V$441</c:f>
              <c:numCache>
                <c:formatCode>General</c:formatCode>
                <c:ptCount val="21"/>
                <c:pt idx="0">
                  <c:v>0</c:v>
                </c:pt>
                <c:pt idx="1">
                  <c:v>0.25955190384466498</c:v>
                </c:pt>
                <c:pt idx="2">
                  <c:v>0.58647099847871997</c:v>
                </c:pt>
                <c:pt idx="3">
                  <c:v>0.99824256652821797</c:v>
                </c:pt>
                <c:pt idx="4">
                  <c:v>1.51689022901407</c:v>
                </c:pt>
                <c:pt idx="5">
                  <c:v>2.1701538797227</c:v>
                </c:pt>
                <c:pt idx="6">
                  <c:v>2.9929733546852799</c:v>
                </c:pt>
                <c:pt idx="7">
                  <c:v>4.02935719089486</c:v>
                </c:pt>
                <c:pt idx="8">
                  <c:v>5.3347364249064801</c:v>
                </c:pt>
                <c:pt idx="9">
                  <c:v>6.9789293243451</c:v>
                </c:pt>
                <c:pt idx="10">
                  <c:v>9.0498756211208899</c:v>
                </c:pt>
                <c:pt idx="11">
                  <c:v>11.658339971984899</c:v>
                </c:pt>
                <c:pt idx="12">
                  <c:v>14.9438362112266</c:v>
                </c:pt>
                <c:pt idx="13">
                  <c:v>19.082089254437999</c:v>
                </c:pt>
                <c:pt idx="14">
                  <c:v>24.294433753605801</c:v>
                </c:pt>
                <c:pt idx="15">
                  <c:v>30.859652191026999</c:v>
                </c:pt>
                <c:pt idx="16">
                  <c:v>39.128885573036897</c:v>
                </c:pt>
                <c:pt idx="17">
                  <c:v>49.544414222683301</c:v>
                </c:pt>
                <c:pt idx="18">
                  <c:v>62.663313162894099</c:v>
                </c:pt>
                <c:pt idx="19">
                  <c:v>79.187247299382406</c:v>
                </c:pt>
                <c:pt idx="20">
                  <c:v>100</c:v>
                </c:pt>
              </c:numCache>
            </c:numRef>
          </c:xVal>
          <c:yVal>
            <c:numRef>
              <c:f>Implicit_Fracs!$B$446:$V$446</c:f>
              <c:numCache>
                <c:formatCode>General</c:formatCode>
                <c:ptCount val="2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AD-4D7D-880F-221AD7D6888E}"/>
            </c:ext>
          </c:extLst>
        </c:ser>
        <c:ser>
          <c:idx val="1"/>
          <c:order val="1"/>
          <c:tx>
            <c:strRef>
              <c:f>Implicit_Fracs!$A$447</c:f>
              <c:strCache>
                <c:ptCount val="1"/>
                <c:pt idx="0">
                  <c:v>Proportion of non-connected tips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Implicit_Fracs!$B$441:$V$441</c:f>
              <c:numCache>
                <c:formatCode>General</c:formatCode>
                <c:ptCount val="21"/>
                <c:pt idx="0">
                  <c:v>0</c:v>
                </c:pt>
                <c:pt idx="1">
                  <c:v>0.25955190384466498</c:v>
                </c:pt>
                <c:pt idx="2">
                  <c:v>0.58647099847871997</c:v>
                </c:pt>
                <c:pt idx="3">
                  <c:v>0.99824256652821797</c:v>
                </c:pt>
                <c:pt idx="4">
                  <c:v>1.51689022901407</c:v>
                </c:pt>
                <c:pt idx="5">
                  <c:v>2.1701538797227</c:v>
                </c:pt>
                <c:pt idx="6">
                  <c:v>2.9929733546852799</c:v>
                </c:pt>
                <c:pt idx="7">
                  <c:v>4.02935719089486</c:v>
                </c:pt>
                <c:pt idx="8">
                  <c:v>5.3347364249064801</c:v>
                </c:pt>
                <c:pt idx="9">
                  <c:v>6.9789293243451</c:v>
                </c:pt>
                <c:pt idx="10">
                  <c:v>9.0498756211208899</c:v>
                </c:pt>
                <c:pt idx="11">
                  <c:v>11.658339971984899</c:v>
                </c:pt>
                <c:pt idx="12">
                  <c:v>14.9438362112266</c:v>
                </c:pt>
                <c:pt idx="13">
                  <c:v>19.082089254437999</c:v>
                </c:pt>
                <c:pt idx="14">
                  <c:v>24.294433753605801</c:v>
                </c:pt>
                <c:pt idx="15">
                  <c:v>30.859652191026999</c:v>
                </c:pt>
                <c:pt idx="16">
                  <c:v>39.128885573036897</c:v>
                </c:pt>
                <c:pt idx="17">
                  <c:v>49.544414222683301</c:v>
                </c:pt>
                <c:pt idx="18">
                  <c:v>62.663313162894099</c:v>
                </c:pt>
                <c:pt idx="19">
                  <c:v>79.187247299382406</c:v>
                </c:pt>
                <c:pt idx="20">
                  <c:v>100</c:v>
                </c:pt>
              </c:numCache>
            </c:numRef>
          </c:xVal>
          <c:yVal>
            <c:numRef>
              <c:f>Implicit_Fracs!$B$447:$V$447</c:f>
              <c:numCache>
                <c:formatCode>General</c:formatCode>
                <c:ptCount val="2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AD-4D7D-880F-221AD7D68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46944"/>
        <c:axId val="736547336"/>
      </c:scatterChart>
      <c:valAx>
        <c:axId val="736546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7336"/>
        <c:crosses val="autoZero"/>
        <c:crossBetween val="midCat"/>
      </c:valAx>
      <c:valAx>
        <c:axId val="73654733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Proportion of total fracture tips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6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4"/>
          <c:order val="0"/>
          <c:tx>
            <c:strRef>
              <c:f>Implicit_Fracs!$F$1</c:f>
              <c:strCache>
                <c:ptCount val="1"/>
                <c:pt idx="0">
                  <c:v>Total ehmin</c:v>
                </c:pt>
              </c:strCache>
            </c:strRef>
          </c:tx>
          <c:marker>
            <c:symbol val="none"/>
          </c:marker>
          <c:xVal>
            <c:numRef>
              <c:f>Implicit_Fracs!$C$4:$C$371</c:f>
              <c:numCache>
                <c:formatCode>General</c:formatCode>
                <c:ptCount val="368"/>
                <c:pt idx="0">
                  <c:v>6.5458908507104702E-2</c:v>
                </c:pt>
                <c:pt idx="1">
                  <c:v>0.10158646265419501</c:v>
                </c:pt>
                <c:pt idx="2">
                  <c:v>0.102060105178604</c:v>
                </c:pt>
                <c:pt idx="3">
                  <c:v>0.102354758409441</c:v>
                </c:pt>
                <c:pt idx="4">
                  <c:v>0.10257003610151801</c:v>
                </c:pt>
                <c:pt idx="5">
                  <c:v>0.102740146597483</c:v>
                </c:pt>
                <c:pt idx="6">
                  <c:v>0.10288102093448701</c:v>
                </c:pt>
                <c:pt idx="7">
                  <c:v>0.10300139565401099</c:v>
                </c:pt>
                <c:pt idx="8">
                  <c:v>0.10310658737638601</c:v>
                </c:pt>
                <c:pt idx="9">
                  <c:v>0.103200075337502</c:v>
                </c:pt>
                <c:pt idx="10">
                  <c:v>0.103284262204</c:v>
                </c:pt>
                <c:pt idx="11">
                  <c:v>0.103360877526633</c:v>
                </c:pt>
                <c:pt idx="12">
                  <c:v>0.103431208153653</c:v>
                </c:pt>
                <c:pt idx="13">
                  <c:v>0.103496237708407</c:v>
                </c:pt>
                <c:pt idx="14">
                  <c:v>0.103556735084609</c:v>
                </c:pt>
                <c:pt idx="15">
                  <c:v>0.103613312816801</c:v>
                </c:pt>
                <c:pt idx="16">
                  <c:v>0.103666466857375</c:v>
                </c:pt>
                <c:pt idx="17">
                  <c:v>0.10371660444741999</c:v>
                </c:pt>
                <c:pt idx="18">
                  <c:v>0.10376406411969299</c:v>
                </c:pt>
                <c:pt idx="19">
                  <c:v>0.10380913035858701</c:v>
                </c:pt>
                <c:pt idx="20">
                  <c:v>0.103852044544123</c:v>
                </c:pt>
                <c:pt idx="21">
                  <c:v>0.103893013256558</c:v>
                </c:pt>
                <c:pt idx="22">
                  <c:v>0.103932214670875</c:v>
                </c:pt>
                <c:pt idx="23">
                  <c:v>0.10396980354554</c:v>
                </c:pt>
                <c:pt idx="24">
                  <c:v>0.104005915161023</c:v>
                </c:pt>
                <c:pt idx="25">
                  <c:v>0.10404066846285701</c:v>
                </c:pt>
                <c:pt idx="26">
                  <c:v>0.104074168594671</c:v>
                </c:pt>
                <c:pt idx="27">
                  <c:v>0.10410650895807599</c:v>
                </c:pt>
                <c:pt idx="28">
                  <c:v>0.10413777290170501</c:v>
                </c:pt>
                <c:pt idx="29">
                  <c:v>0.104168035116796</c:v>
                </c:pt>
                <c:pt idx="30">
                  <c:v>0.104197362798492</c:v>
                </c:pt>
                <c:pt idx="31">
                  <c:v>0.104225816618547</c:v>
                </c:pt>
                <c:pt idx="32">
                  <c:v>0.104253451545067</c:v>
                </c:pt>
                <c:pt idx="33">
                  <c:v>0.104280317537286</c:v>
                </c:pt>
                <c:pt idx="34">
                  <c:v>0.10430646013757899</c:v>
                </c:pt>
                <c:pt idx="35">
                  <c:v>0.10433192097843901</c:v>
                </c:pt>
                <c:pt idx="36">
                  <c:v>0.104356738218675</c:v>
                </c:pt>
                <c:pt idx="37">
                  <c:v>0.10438094692038</c:v>
                </c:pt>
                <c:pt idx="38">
                  <c:v>0.104404579376061</c:v>
                </c:pt>
                <c:pt idx="39">
                  <c:v>0.10442766539470601</c:v>
                </c:pt>
                <c:pt idx="40">
                  <c:v>0.104450232550895</c:v>
                </c:pt>
                <c:pt idx="41">
                  <c:v>0.104472306403378</c:v>
                </c:pt>
                <c:pt idx="42">
                  <c:v>0.104493910687546</c:v>
                </c:pt>
                <c:pt idx="43">
                  <c:v>0.104515067485448</c:v>
                </c:pt>
                <c:pt idx="44">
                  <c:v>0.104535797376425</c:v>
                </c:pt>
                <c:pt idx="45">
                  <c:v>0.104556119570968</c:v>
                </c:pt>
                <c:pt idx="46">
                  <c:v>0.10457605202998201</c:v>
                </c:pt>
                <c:pt idx="47">
                  <c:v>0.10459561157132601</c:v>
                </c:pt>
                <c:pt idx="48">
                  <c:v>0.10461481396524</c:v>
                </c:pt>
                <c:pt idx="49">
                  <c:v>0.104633674020002</c:v>
                </c:pt>
                <c:pt idx="50">
                  <c:v>0.104652205659008</c:v>
                </c:pt>
                <c:pt idx="51">
                  <c:v>0.10467042199028</c:v>
                </c:pt>
                <c:pt idx="52">
                  <c:v>0.10468833536927501</c:v>
                </c:pt>
                <c:pt idx="53">
                  <c:v>0.104705957455764</c:v>
                </c:pt>
                <c:pt idx="54">
                  <c:v>0.104723299265432</c:v>
                </c:pt>
                <c:pt idx="55">
                  <c:v>0.10474037121678501</c:v>
                </c:pt>
                <c:pt idx="56">
                  <c:v>0.104757183173858</c:v>
                </c:pt>
                <c:pt idx="57">
                  <c:v>0.10477374448518</c:v>
                </c:pt>
                <c:pt idx="58">
                  <c:v>0.104790064019366</c:v>
                </c:pt>
                <c:pt idx="59">
                  <c:v>0.10480615019770299</c:v>
                </c:pt>
                <c:pt idx="60">
                  <c:v>0.104822011024007</c:v>
                </c:pt>
                <c:pt idx="61">
                  <c:v>0.10483765411203801</c:v>
                </c:pt>
                <c:pt idx="62">
                  <c:v>0.104853086710699</c:v>
                </c:pt>
                <c:pt idx="63">
                  <c:v>0.10486831572724099</c:v>
                </c:pt>
                <c:pt idx="64">
                  <c:v>0.104883347748643</c:v>
                </c:pt>
                <c:pt idx="65">
                  <c:v>0.104898189061358</c:v>
                </c:pt>
                <c:pt idx="66">
                  <c:v>0.104912845669559</c:v>
                </c:pt>
                <c:pt idx="67">
                  <c:v>0.10492732331202199</c:v>
                </c:pt>
                <c:pt idx="68">
                  <c:v>0.10494162747777</c:v>
                </c:pt>
                <c:pt idx="69">
                  <c:v>0.10495576342058401</c:v>
                </c:pt>
                <c:pt idx="70">
                  <c:v>0.104969736172476</c:v>
                </c:pt>
                <c:pt idx="71">
                  <c:v>0.104983550556215</c:v>
                </c:pt>
                <c:pt idx="72">
                  <c:v>0.104997211196988</c:v>
                </c:pt>
                <c:pt idx="73">
                  <c:v>0.105010722533251</c:v>
                </c:pt>
                <c:pt idx="74">
                  <c:v>0.10502408882686499</c:v>
                </c:pt>
                <c:pt idx="75">
                  <c:v>0.105037314172539</c:v>
                </c:pt>
                <c:pt idx="76">
                  <c:v>0.10505040250667</c:v>
                </c:pt>
                <c:pt idx="77">
                  <c:v>0.105063357615594</c:v>
                </c:pt>
                <c:pt idx="78">
                  <c:v>0.105076183143323</c:v>
                </c:pt>
                <c:pt idx="79">
                  <c:v>0.10508888259878001</c:v>
                </c:pt>
                <c:pt idx="80">
                  <c:v>0.105101459362598</c:v>
                </c:pt>
                <c:pt idx="81">
                  <c:v>0.10511391669348399</c:v>
                </c:pt>
                <c:pt idx="82">
                  <c:v>0.10512625773421</c:v>
                </c:pt>
                <c:pt idx="83">
                  <c:v>0.10513848551723599</c:v>
                </c:pt>
                <c:pt idx="84">
                  <c:v>0.10515060297000201</c:v>
                </c:pt>
                <c:pt idx="85">
                  <c:v>0.105162612919908</c:v>
                </c:pt>
                <c:pt idx="86">
                  <c:v>0.105174518099013</c:v>
                </c:pt>
                <c:pt idx="87">
                  <c:v>0.105186321148453</c:v>
                </c:pt>
                <c:pt idx="88">
                  <c:v>0.105198024622616</c:v>
                </c:pt>
                <c:pt idx="89">
                  <c:v>0.105209630993088</c:v>
                </c:pt>
                <c:pt idx="90">
                  <c:v>0.10522114265237301</c:v>
                </c:pt>
                <c:pt idx="91">
                  <c:v>0.105232561917411</c:v>
                </c:pt>
                <c:pt idx="92">
                  <c:v>0.105243891032912</c:v>
                </c:pt>
                <c:pt idx="93">
                  <c:v>0.105255132174505</c:v>
                </c:pt>
                <c:pt idx="94">
                  <c:v>0.10526628745172401</c:v>
                </c:pt>
                <c:pt idx="95">
                  <c:v>0.105277358910841</c:v>
                </c:pt>
                <c:pt idx="96">
                  <c:v>0.105288348537545</c:v>
                </c:pt>
                <c:pt idx="97">
                  <c:v>0.10529925825949001</c:v>
                </c:pt>
                <c:pt idx="98">
                  <c:v>0.105310089948715</c:v>
                </c:pt>
                <c:pt idx="99">
                  <c:v>0.10532084542394</c:v>
                </c:pt>
                <c:pt idx="100">
                  <c:v>0.105331526452749</c:v>
                </c:pt>
                <c:pt idx="101">
                  <c:v>0.10534213475366599</c:v>
                </c:pt>
                <c:pt idx="102">
                  <c:v>0.105352671998135</c:v>
                </c:pt>
                <c:pt idx="103">
                  <c:v>0.105363139812398</c:v>
                </c:pt>
                <c:pt idx="104">
                  <c:v>0.10537353977929</c:v>
                </c:pt>
                <c:pt idx="105">
                  <c:v>0.105383873439947</c:v>
                </c:pt>
                <c:pt idx="106">
                  <c:v>0.105394142295438</c:v>
                </c:pt>
                <c:pt idx="107">
                  <c:v>0.10540434780831399</c:v>
                </c:pt>
                <c:pt idx="108">
                  <c:v>0.1054144914041</c:v>
                </c:pt>
                <c:pt idx="109">
                  <c:v>0.105424574472708</c:v>
                </c:pt>
                <c:pt idx="110">
                  <c:v>0.10543459836979301</c:v>
                </c:pt>
                <c:pt idx="111">
                  <c:v>0.105444564418049</c:v>
                </c:pt>
                <c:pt idx="112">
                  <c:v>0.105454473908448</c:v>
                </c:pt>
                <c:pt idx="113">
                  <c:v>0.105464328101426</c:v>
                </c:pt>
                <c:pt idx="114">
                  <c:v>0.10547412822802001</c:v>
                </c:pt>
                <c:pt idx="115">
                  <c:v>0.10548387549095201</c:v>
                </c:pt>
                <c:pt idx="116">
                  <c:v>0.105493571065675</c:v>
                </c:pt>
                <c:pt idx="117">
                  <c:v>0.105503216101374</c:v>
                </c:pt>
                <c:pt idx="118">
                  <c:v>0.10551281172191999</c:v>
                </c:pt>
                <c:pt idx="119">
                  <c:v>0.10552235902679701</c:v>
                </c:pt>
                <c:pt idx="120">
                  <c:v>0.105531859091982</c:v>
                </c:pt>
                <c:pt idx="121">
                  <c:v>0.105541312970793</c:v>
                </c:pt>
                <c:pt idx="122">
                  <c:v>0.105550721694713</c:v>
                </c:pt>
                <c:pt idx="123">
                  <c:v>0.10556008627416701</c:v>
                </c:pt>
                <c:pt idx="124">
                  <c:v>0.105569407699282</c:v>
                </c:pt>
                <c:pt idx="125">
                  <c:v>0.105578686940613</c:v>
                </c:pt>
                <c:pt idx="126">
                  <c:v>0.10558792494984499</c:v>
                </c:pt>
                <c:pt idx="127">
                  <c:v>0.105597122660464</c:v>
                </c:pt>
                <c:pt idx="128">
                  <c:v>0.105606280988415</c:v>
                </c:pt>
                <c:pt idx="129">
                  <c:v>0.105615400832723</c:v>
                </c:pt>
                <c:pt idx="130">
                  <c:v>0.10562448307610101</c:v>
                </c:pt>
                <c:pt idx="131">
                  <c:v>0.105633528585537</c:v>
                </c:pt>
                <c:pt idx="132">
                  <c:v>0.105642538212856</c:v>
                </c:pt>
                <c:pt idx="133">
                  <c:v>0.10565151279527001</c:v>
                </c:pt>
                <c:pt idx="134">
                  <c:v>0.105660453155901</c:v>
                </c:pt>
                <c:pt idx="135">
                  <c:v>0.1056693601043</c:v>
                </c:pt>
                <c:pt idx="136">
                  <c:v>0.105678234436935</c:v>
                </c:pt>
                <c:pt idx="137">
                  <c:v>0.105687076937673</c:v>
                </c:pt>
                <c:pt idx="138">
                  <c:v>0.10569588837824601</c:v>
                </c:pt>
                <c:pt idx="139">
                  <c:v>0.105704669518702</c:v>
                </c:pt>
                <c:pt idx="140">
                  <c:v>0.105713421107842</c:v>
                </c:pt>
                <c:pt idx="141">
                  <c:v>0.105722143883642</c:v>
                </c:pt>
                <c:pt idx="142">
                  <c:v>0.10573083857367301</c:v>
                </c:pt>
                <c:pt idx="143">
                  <c:v>0.10573950589549699</c:v>
                </c:pt>
                <c:pt idx="144">
                  <c:v>0.105748146557059</c:v>
                </c:pt>
                <c:pt idx="145">
                  <c:v>0.105756761257069</c:v>
                </c:pt>
                <c:pt idx="146">
                  <c:v>0.105765350685371</c:v>
                </c:pt>
                <c:pt idx="147">
                  <c:v>0.10577391552330601</c:v>
                </c:pt>
                <c:pt idx="148">
                  <c:v>0.105782456444064</c:v>
                </c:pt>
                <c:pt idx="149">
                  <c:v>0.105790974113029</c:v>
                </c:pt>
                <c:pt idx="150">
                  <c:v>0.105799469188117</c:v>
                </c:pt>
                <c:pt idx="151">
                  <c:v>0.105807942320102</c:v>
                </c:pt>
                <c:pt idx="152">
                  <c:v>0.105816394152941</c:v>
                </c:pt>
                <c:pt idx="153">
                  <c:v>0.10582482532409</c:v>
                </c:pt>
                <c:pt idx="154">
                  <c:v>0.10583323646481201</c:v>
                </c:pt>
                <c:pt idx="155">
                  <c:v>0.105841628200482</c:v>
                </c:pt>
                <c:pt idx="156">
                  <c:v>0.105850001150887</c:v>
                </c:pt>
                <c:pt idx="157">
                  <c:v>0.105858355930516</c:v>
                </c:pt>
                <c:pt idx="158">
                  <c:v>0.105866693148851</c:v>
                </c:pt>
                <c:pt idx="159">
                  <c:v>0.105875013410654</c:v>
                </c:pt>
                <c:pt idx="160">
                  <c:v>0.10588331731624</c:v>
                </c:pt>
                <c:pt idx="161">
                  <c:v>0.105891605461765</c:v>
                </c:pt>
                <c:pt idx="162">
                  <c:v>0.10589987843948701</c:v>
                </c:pt>
                <c:pt idx="163">
                  <c:v>0.10590813683804701</c:v>
                </c:pt>
                <c:pt idx="164">
                  <c:v>0.10591638124273201</c:v>
                </c:pt>
                <c:pt idx="165">
                  <c:v>0.105924612235738</c:v>
                </c:pt>
                <c:pt idx="166">
                  <c:v>0.10593283039644</c:v>
                </c:pt>
                <c:pt idx="167">
                  <c:v>0.105941036301648</c:v>
                </c:pt>
                <c:pt idx="168">
                  <c:v>0.10594923052586901</c:v>
                </c:pt>
                <c:pt idx="169">
                  <c:v>0.105957413641566</c:v>
                </c:pt>
                <c:pt idx="170">
                  <c:v>0.105965586219415</c:v>
                </c:pt>
                <c:pt idx="171">
                  <c:v>0.105973748828566</c:v>
                </c:pt>
                <c:pt idx="172">
                  <c:v>0.10598190203689301</c:v>
                </c:pt>
                <c:pt idx="173">
                  <c:v>0.105990046411258</c:v>
                </c:pt>
                <c:pt idx="174">
                  <c:v>0.10599818251776701</c:v>
                </c:pt>
                <c:pt idx="175">
                  <c:v>0.106006310922025</c:v>
                </c:pt>
                <c:pt idx="176">
                  <c:v>0.106014432189397</c:v>
                </c:pt>
                <c:pt idx="177">
                  <c:v>0.106022546885271</c:v>
                </c:pt>
                <c:pt idx="178">
                  <c:v>0.10603065557531401</c:v>
                </c:pt>
                <c:pt idx="179">
                  <c:v>0.10603875882574</c:v>
                </c:pt>
                <c:pt idx="180">
                  <c:v>0.106046857203577</c:v>
                </c:pt>
                <c:pt idx="181">
                  <c:v>0.106054951276932</c:v>
                </c:pt>
                <c:pt idx="182">
                  <c:v>0.106063041615263</c:v>
                </c:pt>
                <c:pt idx="183">
                  <c:v>0.10607112878965499</c:v>
                </c:pt>
                <c:pt idx="184">
                  <c:v>0.106079213373101</c:v>
                </c:pt>
                <c:pt idx="185">
                  <c:v>0.106087295940776</c:v>
                </c:pt>
                <c:pt idx="186">
                  <c:v>0.10609537707033299</c:v>
                </c:pt>
                <c:pt idx="187">
                  <c:v>0.106103457342189</c:v>
                </c:pt>
                <c:pt idx="188">
                  <c:v>0.106111537339822</c:v>
                </c:pt>
                <c:pt idx="189">
                  <c:v>0.10611961765007601</c:v>
                </c:pt>
                <c:pt idx="190">
                  <c:v>0.106127698863465</c:v>
                </c:pt>
                <c:pt idx="191">
                  <c:v>0.10613578157449099</c:v>
                </c:pt>
                <c:pt idx="192">
                  <c:v>0.106143866381966</c:v>
                </c:pt>
                <c:pt idx="193">
                  <c:v>0.10615195388934</c:v>
                </c:pt>
                <c:pt idx="194">
                  <c:v>0.106160044705038</c:v>
                </c:pt>
                <c:pt idx="195">
                  <c:v>0.106168139442805</c:v>
                </c:pt>
                <c:pt idx="196">
                  <c:v>0.106176238722063</c:v>
                </c:pt>
                <c:pt idx="197">
                  <c:v>0.106184343168276</c:v>
                </c:pt>
                <c:pt idx="198">
                  <c:v>0.10619245341332301</c:v>
                </c:pt>
                <c:pt idx="199">
                  <c:v>0.106200570095885</c:v>
                </c:pt>
                <c:pt idx="200">
                  <c:v>0.10620869386184199</c:v>
                </c:pt>
                <c:pt idx="201">
                  <c:v>0.10621682536468401</c:v>
                </c:pt>
                <c:pt idx="202">
                  <c:v>0.106224965265935</c:v>
                </c:pt>
                <c:pt idx="203">
                  <c:v>0.106233114235588</c:v>
                </c:pt>
                <c:pt idx="204">
                  <c:v>0.10624127295256</c:v>
                </c:pt>
                <c:pt idx="205">
                  <c:v>0.10624944210515699</c:v>
                </c:pt>
                <c:pt idx="206">
                  <c:v>0.106257622391562</c:v>
                </c:pt>
                <c:pt idx="207">
                  <c:v>0.106265814520335</c:v>
                </c:pt>
                <c:pt idx="208">
                  <c:v>0.106274019210935</c:v>
                </c:pt>
                <c:pt idx="209">
                  <c:v>0.10628223719426</c:v>
                </c:pt>
                <c:pt idx="210">
                  <c:v>0.106290469213214</c:v>
                </c:pt>
                <c:pt idx="211">
                  <c:v>0.106298716023284</c:v>
                </c:pt>
                <c:pt idx="212">
                  <c:v>0.106306978393155</c:v>
                </c:pt>
                <c:pt idx="213">
                  <c:v>0.106315257105341</c:v>
                </c:pt>
                <c:pt idx="214">
                  <c:v>0.10632355295684801</c:v>
                </c:pt>
                <c:pt idx="215">
                  <c:v>0.10633186675985799</c:v>
                </c:pt>
                <c:pt idx="216">
                  <c:v>0.10634019934245301</c:v>
                </c:pt>
                <c:pt idx="217">
                  <c:v>0.106348551549366</c:v>
                </c:pt>
                <c:pt idx="218">
                  <c:v>0.106356924242761</c:v>
                </c:pt>
                <c:pt idx="219">
                  <c:v>0.10636531830306099</c:v>
                </c:pt>
                <c:pt idx="220">
                  <c:v>0.106373734629807</c:v>
                </c:pt>
                <c:pt idx="221">
                  <c:v>0.10638217414255299</c:v>
                </c:pt>
                <c:pt idx="222">
                  <c:v>0.106390637781818</c:v>
                </c:pt>
                <c:pt idx="223">
                  <c:v>0.10639912651007299</c:v>
                </c:pt>
                <c:pt idx="224">
                  <c:v>0.10640764131277999</c:v>
                </c:pt>
                <c:pt idx="225">
                  <c:v>0.10641618319948901</c:v>
                </c:pt>
                <c:pt idx="226">
                  <c:v>0.106424753204983</c:v>
                </c:pt>
                <c:pt idx="227">
                  <c:v>0.10643335239049</c:v>
                </c:pt>
                <c:pt idx="228">
                  <c:v>0.106441981844954</c:v>
                </c:pt>
                <c:pt idx="229">
                  <c:v>0.106450642686375</c:v>
                </c:pt>
                <c:pt idx="230">
                  <c:v>0.10645933606322799</c:v>
                </c:pt>
                <c:pt idx="231">
                  <c:v>0.10646806315594901</c:v>
                </c:pt>
                <c:pt idx="232">
                  <c:v>0.106476825178516</c:v>
                </c:pt>
                <c:pt idx="233">
                  <c:v>0.10648562338011</c:v>
                </c:pt>
                <c:pt idx="234">
                  <c:v>0.106494459046881</c:v>
                </c:pt>
                <c:pt idx="235">
                  <c:v>0.106503333503809</c:v>
                </c:pt>
                <c:pt idx="236">
                  <c:v>0.10651224811667701</c:v>
                </c:pt>
                <c:pt idx="237">
                  <c:v>0.106521204294171</c:v>
                </c:pt>
                <c:pt idx="238">
                  <c:v>0.106530203490093</c:v>
                </c:pt>
                <c:pt idx="239">
                  <c:v>0.10653924720572699</c:v>
                </c:pt>
                <c:pt idx="240">
                  <c:v>0.106548336992338</c:v>
                </c:pt>
                <c:pt idx="241">
                  <c:v>0.106557474453844</c:v>
                </c:pt>
                <c:pt idx="242">
                  <c:v>0.106566661249652</c:v>
                </c:pt>
                <c:pt idx="243">
                  <c:v>0.10657589909767901</c:v>
                </c:pt>
                <c:pt idx="244">
                  <c:v>0.10658518977758299</c:v>
                </c:pt>
                <c:pt idx="245">
                  <c:v>0.106594535134197</c:v>
                </c:pt>
                <c:pt idx="246">
                  <c:v>0.106603937081217</c:v>
                </c:pt>
                <c:pt idx="247">
                  <c:v>0.106613397605125</c:v>
                </c:pt>
                <c:pt idx="248">
                  <c:v>0.10662291876941001</c:v>
                </c:pt>
                <c:pt idx="249">
                  <c:v>0.106632502719071</c:v>
                </c:pt>
                <c:pt idx="250">
                  <c:v>0.10664215168546599</c:v>
                </c:pt>
                <c:pt idx="251">
                  <c:v>0.106651867991505</c:v>
                </c:pt>
                <c:pt idx="252">
                  <c:v>0.106661654057239</c:v>
                </c:pt>
                <c:pt idx="253">
                  <c:v>0.106671512405876</c:v>
                </c:pt>
                <c:pt idx="254">
                  <c:v>0.106681445670259</c:v>
                </c:pt>
                <c:pt idx="255">
                  <c:v>0.106691456599855</c:v>
                </c:pt>
                <c:pt idx="256">
                  <c:v>0.10670154806830701</c:v>
                </c:pt>
                <c:pt idx="257">
                  <c:v>0.106711723081597</c:v>
                </c:pt>
                <c:pt idx="258">
                  <c:v>0.106721984786882</c:v>
                </c:pt>
                <c:pt idx="259">
                  <c:v>0.106732336482082</c:v>
                </c:pt>
                <c:pt idx="260">
                  <c:v>0.10674278162628199</c:v>
                </c:pt>
                <c:pt idx="261">
                  <c:v>0.106753323851043</c:v>
                </c:pt>
                <c:pt idx="262">
                  <c:v>0.106763966972719</c:v>
                </c:pt>
                <c:pt idx="263">
                  <c:v>0.10677471500588499</c:v>
                </c:pt>
                <c:pt idx="264">
                  <c:v>0.10678557217800599</c:v>
                </c:pt>
                <c:pt idx="265">
                  <c:v>0.106796542945475</c:v>
                </c:pt>
                <c:pt idx="266">
                  <c:v>0.10680763201119001</c:v>
                </c:pt>
                <c:pt idx="267">
                  <c:v>0.106818844343851</c:v>
                </c:pt>
                <c:pt idx="268">
                  <c:v>0.106830185199162</c:v>
                </c:pt>
                <c:pt idx="269">
                  <c:v>0.1068416601432</c:v>
                </c:pt>
                <c:pt idx="270">
                  <c:v>0.106853275078199</c:v>
                </c:pt>
                <c:pt idx="271">
                  <c:v>0.10686503627105901</c:v>
                </c:pt>
                <c:pt idx="272">
                  <c:v>0.106876950384948</c:v>
                </c:pt>
                <c:pt idx="273">
                  <c:v>0.10688902451438199</c:v>
                </c:pt>
                <c:pt idx="274">
                  <c:v>0.106901266224276</c:v>
                </c:pt>
                <c:pt idx="275">
                  <c:v>0.106913683593506</c:v>
                </c:pt>
                <c:pt idx="276">
                  <c:v>0.106926285263621</c:v>
                </c:pt>
                <c:pt idx="277">
                  <c:v>0.106939080493455</c:v>
                </c:pt>
                <c:pt idx="278">
                  <c:v>0.10695207922051</c:v>
                </c:pt>
                <c:pt idx="279">
                  <c:v>0.10696529213014599</c:v>
                </c:pt>
                <c:pt idx="280">
                  <c:v>0.106978730733797</c:v>
                </c:pt>
                <c:pt idx="281">
                  <c:v>0.106992407457646</c:v>
                </c:pt>
                <c:pt idx="282">
                  <c:v>0.107006335743491</c:v>
                </c:pt>
                <c:pt idx="283">
                  <c:v>0.10702053016384699</c:v>
                </c:pt>
                <c:pt idx="284">
                  <c:v>0.107035006553762</c:v>
                </c:pt>
                <c:pt idx="285">
                  <c:v>0.107049782162317</c:v>
                </c:pt>
                <c:pt idx="286">
                  <c:v>0.10706487582742701</c:v>
                </c:pt>
                <c:pt idx="287">
                  <c:v>0.107080308178348</c:v>
                </c:pt>
                <c:pt idx="288">
                  <c:v>0.10709610187127599</c:v>
                </c:pt>
                <c:pt idx="289">
                  <c:v>0.10711228186470099</c:v>
                </c:pt>
                <c:pt idx="290">
                  <c:v>0.107128875742745</c:v>
                </c:pt>
                <c:pt idx="291">
                  <c:v>0.107145914096787</c:v>
                </c:pt>
                <c:pt idx="292">
                  <c:v>0.10716343097827</c:v>
                </c:pt>
                <c:pt idx="293">
                  <c:v>0.10718146443905199</c:v>
                </c:pt>
                <c:pt idx="294">
                  <c:v>0.107200057180087</c:v>
                </c:pt>
                <c:pt idx="295">
                  <c:v>0.10721925733519</c:v>
                </c:pt>
                <c:pt idx="296">
                  <c:v>0.107239119424452</c:v>
                </c:pt>
                <c:pt idx="297">
                  <c:v>0.10725970552248799</c:v>
                </c:pt>
                <c:pt idx="298">
                  <c:v>0.107281086701057</c:v>
                </c:pt>
                <c:pt idx="299">
                  <c:v>0.10730334482520799</c:v>
                </c:pt>
                <c:pt idx="300">
                  <c:v>0.107326574809414</c:v>
                </c:pt>
                <c:pt idx="301">
                  <c:v>0.10735088747820599</c:v>
                </c:pt>
                <c:pt idx="302">
                  <c:v>0.10737641322982</c:v>
                </c:pt>
                <c:pt idx="303">
                  <c:v>0.107403306778537</c:v>
                </c:pt>
                <c:pt idx="304">
                  <c:v>0.10743175336319</c:v>
                </c:pt>
                <c:pt idx="305">
                  <c:v>0.107461976972791</c:v>
                </c:pt>
                <c:pt idx="306">
                  <c:v>0.107494251381856</c:v>
                </c:pt>
                <c:pt idx="307">
                  <c:v>0.107528915147976</c:v>
                </c:pt>
                <c:pt idx="308">
                  <c:v>0.107566392263413</c:v>
                </c:pt>
                <c:pt idx="309">
                  <c:v>0.10760722096054399</c:v>
                </c:pt>
                <c:pt idx="310">
                  <c:v>0.107652094373539</c:v>
                </c:pt>
                <c:pt idx="311">
                  <c:v>0.107701918517204</c:v>
                </c:pt>
                <c:pt idx="312">
                  <c:v>0.107757895545197</c:v>
                </c:pt>
                <c:pt idx="313">
                  <c:v>0.107821643761701</c:v>
                </c:pt>
                <c:pt idx="314">
                  <c:v>0.107895371464266</c:v>
                </c:pt>
                <c:pt idx="315">
                  <c:v>0.107982136054144</c:v>
                </c:pt>
                <c:pt idx="316">
                  <c:v>0.108086279484475</c:v>
                </c:pt>
                <c:pt idx="317">
                  <c:v>0.10821441051713999</c:v>
                </c:pt>
                <c:pt idx="318">
                  <c:v>0.108378611684964</c:v>
                </c:pt>
                <c:pt idx="319">
                  <c:v>0.10851279142848901</c:v>
                </c:pt>
                <c:pt idx="320">
                  <c:v>0.108646878508965</c:v>
                </c:pt>
                <c:pt idx="321">
                  <c:v>0.108781836007877</c:v>
                </c:pt>
                <c:pt idx="322">
                  <c:v>0.108917703938839</c:v>
                </c:pt>
                <c:pt idx="323">
                  <c:v>0.109054545173906</c:v>
                </c:pt>
                <c:pt idx="324">
                  <c:v>0.109192417872054</c:v>
                </c:pt>
                <c:pt idx="325">
                  <c:v>0.109331376964383</c:v>
                </c:pt>
                <c:pt idx="326">
                  <c:v>0.10947147454287399</c:v>
                </c:pt>
                <c:pt idx="327">
                  <c:v>0.109612760241196</c:v>
                </c:pt>
                <c:pt idx="328">
                  <c:v>0.10975528157779101</c:v>
                </c:pt>
                <c:pt idx="329">
                  <c:v>0.109899084266184</c:v>
                </c:pt>
                <c:pt idx="330">
                  <c:v>0.110044212495958</c:v>
                </c:pt>
                <c:pt idx="331">
                  <c:v>0.11019070918751001</c:v>
                </c:pt>
                <c:pt idx="332">
                  <c:v>0.11033861622334599</c:v>
                </c:pt>
                <c:pt idx="333">
                  <c:v>0.110487974658393</c:v>
                </c:pt>
                <c:pt idx="334">
                  <c:v>0.110638824911563</c:v>
                </c:pt>
                <c:pt idx="335">
                  <c:v>0.110791206940568</c:v>
                </c:pt>
                <c:pt idx="336">
                  <c:v>0.11094516040180299</c:v>
                </c:pt>
                <c:pt idx="337">
                  <c:v>0.11110072479692901</c:v>
                </c:pt>
                <c:pt idx="338">
                  <c:v>0.111257939607629</c:v>
                </c:pt>
                <c:pt idx="339">
                  <c:v>0.111416844419904</c:v>
                </c:pt>
                <c:pt idx="340">
                  <c:v>0.111577479039088</c:v>
                </c:pt>
                <c:pt idx="341">
                  <c:v>0.111739883596728</c:v>
                </c:pt>
                <c:pt idx="342">
                  <c:v>0.111904098650297</c:v>
                </c:pt>
                <c:pt idx="343">
                  <c:v>0.11207016527668</c:v>
                </c:pt>
                <c:pt idx="344">
                  <c:v>0.112238125160255</c:v>
                </c:pt>
                <c:pt idx="345">
                  <c:v>0.11240802067632299</c:v>
                </c:pt>
                <c:pt idx="346">
                  <c:v>0.11257989497059701</c:v>
                </c:pt>
                <c:pt idx="347">
                  <c:v>0.112753792035371</c:v>
                </c:pt>
                <c:pt idx="348">
                  <c:v>0.112929756782956</c:v>
                </c:pt>
                <c:pt idx="349">
                  <c:v>0.113107835116922</c:v>
                </c:pt>
                <c:pt idx="350">
                  <c:v>0.113288074001635</c:v>
                </c:pt>
                <c:pt idx="351">
                  <c:v>0.113470521530551</c:v>
                </c:pt>
                <c:pt idx="352">
                  <c:v>0.113655226993682</c:v>
                </c:pt>
                <c:pt idx="353">
                  <c:v>0.113842240944644</c:v>
                </c:pt>
                <c:pt idx="354">
                  <c:v>0.114031615267637</c:v>
                </c:pt>
                <c:pt idx="355">
                  <c:v>0.11422340324472501</c:v>
                </c:pt>
                <c:pt idx="356">
                  <c:v>0.11441765962373</c:v>
                </c:pt>
                <c:pt idx="357">
                  <c:v>0.114614440687063</c:v>
                </c:pt>
                <c:pt idx="358">
                  <c:v>0.114813804321789</c:v>
                </c:pt>
                <c:pt idx="359">
                  <c:v>0.22425676384167301</c:v>
                </c:pt>
                <c:pt idx="360">
                  <c:v>0.30704288935609397</c:v>
                </c:pt>
                <c:pt idx="361">
                  <c:v>0.30834090817871301</c:v>
                </c:pt>
                <c:pt idx="362">
                  <c:v>0.30921577139060102</c:v>
                </c:pt>
                <c:pt idx="363">
                  <c:v>0.31017471350345399</c:v>
                </c:pt>
                <c:pt idx="364">
                  <c:v>0.31131883897321</c:v>
                </c:pt>
                <c:pt idx="365">
                  <c:v>0.31289797505880901</c:v>
                </c:pt>
                <c:pt idx="366">
                  <c:v>0.51289797505880896</c:v>
                </c:pt>
                <c:pt idx="367">
                  <c:v>0.51289797505880896</c:v>
                </c:pt>
              </c:numCache>
            </c:numRef>
          </c:xVal>
          <c:yVal>
            <c:numRef>
              <c:f>Implicit_Fracs!$F$4:$F$371</c:f>
              <c:numCache>
                <c:formatCode>General</c:formatCode>
                <c:ptCount val="368"/>
                <c:pt idx="0">
                  <c:v>-6.5458908507104701E-4</c:v>
                </c:pt>
                <c:pt idx="1">
                  <c:v>-1.0158646265419501E-3</c:v>
                </c:pt>
                <c:pt idx="2">
                  <c:v>-1.02060105178604E-3</c:v>
                </c:pt>
                <c:pt idx="3">
                  <c:v>-1.0235475840944101E-3</c:v>
                </c:pt>
                <c:pt idx="4">
                  <c:v>-1.02570036101518E-3</c:v>
                </c:pt>
                <c:pt idx="5">
                  <c:v>-1.02740146597483E-3</c:v>
                </c:pt>
                <c:pt idx="6">
                  <c:v>-1.02881020934487E-3</c:v>
                </c:pt>
                <c:pt idx="7">
                  <c:v>-1.0300139565401099E-3</c:v>
                </c:pt>
                <c:pt idx="8">
                  <c:v>-1.0310658737638599E-3</c:v>
                </c:pt>
                <c:pt idx="9">
                  <c:v>-1.0320007533750201E-3</c:v>
                </c:pt>
                <c:pt idx="10">
                  <c:v>-1.03284262204E-3</c:v>
                </c:pt>
                <c:pt idx="11">
                  <c:v>-1.03360877526633E-3</c:v>
                </c:pt>
                <c:pt idx="12">
                  <c:v>-1.03431208153653E-3</c:v>
                </c:pt>
                <c:pt idx="13">
                  <c:v>-1.0349623770840701E-3</c:v>
                </c:pt>
                <c:pt idx="14">
                  <c:v>-1.0355673508460901E-3</c:v>
                </c:pt>
                <c:pt idx="15">
                  <c:v>-1.0361331281680099E-3</c:v>
                </c:pt>
                <c:pt idx="16">
                  <c:v>-1.03666466857375E-3</c:v>
                </c:pt>
                <c:pt idx="17">
                  <c:v>-1.0371660444742001E-3</c:v>
                </c:pt>
                <c:pt idx="18">
                  <c:v>-1.03764064119693E-3</c:v>
                </c:pt>
                <c:pt idx="19">
                  <c:v>-1.0380913035858701E-3</c:v>
                </c:pt>
                <c:pt idx="20">
                  <c:v>-1.0385204454412299E-3</c:v>
                </c:pt>
                <c:pt idx="21">
                  <c:v>-1.03893013256558E-3</c:v>
                </c:pt>
                <c:pt idx="22">
                  <c:v>-1.03932214670875E-3</c:v>
                </c:pt>
                <c:pt idx="23">
                  <c:v>-1.0396980354553901E-3</c:v>
                </c:pt>
                <c:pt idx="24">
                  <c:v>-1.0400591516102301E-3</c:v>
                </c:pt>
                <c:pt idx="25">
                  <c:v>-1.04040668462857E-3</c:v>
                </c:pt>
                <c:pt idx="26">
                  <c:v>-1.04074168594671E-3</c:v>
                </c:pt>
                <c:pt idx="27">
                  <c:v>-1.04106508958076E-3</c:v>
                </c:pt>
                <c:pt idx="28">
                  <c:v>-1.0413777290170501E-3</c:v>
                </c:pt>
                <c:pt idx="29">
                  <c:v>-1.0416803511679601E-3</c:v>
                </c:pt>
                <c:pt idx="30">
                  <c:v>-1.04197362798492E-3</c:v>
                </c:pt>
                <c:pt idx="31">
                  <c:v>-1.04225816618547E-3</c:v>
                </c:pt>
                <c:pt idx="32">
                  <c:v>-1.0425345154506699E-3</c:v>
                </c:pt>
                <c:pt idx="33">
                  <c:v>-1.04280317537286E-3</c:v>
                </c:pt>
                <c:pt idx="34">
                  <c:v>-1.0430646013757901E-3</c:v>
                </c:pt>
                <c:pt idx="35">
                  <c:v>-1.04331920978439E-3</c:v>
                </c:pt>
                <c:pt idx="36">
                  <c:v>-1.0435673821867499E-3</c:v>
                </c:pt>
                <c:pt idx="37">
                  <c:v>-1.0438094692038001E-3</c:v>
                </c:pt>
                <c:pt idx="38">
                  <c:v>-1.0440457937606099E-3</c:v>
                </c:pt>
                <c:pt idx="39">
                  <c:v>-1.0442766539470599E-3</c:v>
                </c:pt>
                <c:pt idx="40">
                  <c:v>-1.04450232550895E-3</c:v>
                </c:pt>
                <c:pt idx="41">
                  <c:v>-1.04472306403378E-3</c:v>
                </c:pt>
                <c:pt idx="42">
                  <c:v>-1.04493910687546E-3</c:v>
                </c:pt>
                <c:pt idx="43">
                  <c:v>-1.0451506748544799E-3</c:v>
                </c:pt>
                <c:pt idx="44">
                  <c:v>-1.04535797376425E-3</c:v>
                </c:pt>
                <c:pt idx="45">
                  <c:v>-1.04556119570968E-3</c:v>
                </c:pt>
                <c:pt idx="46">
                  <c:v>-1.0457605202998199E-3</c:v>
                </c:pt>
                <c:pt idx="47">
                  <c:v>-1.0459561157132599E-3</c:v>
                </c:pt>
                <c:pt idx="48">
                  <c:v>-1.0461481396524001E-3</c:v>
                </c:pt>
                <c:pt idx="49">
                  <c:v>-1.0463367402000199E-3</c:v>
                </c:pt>
                <c:pt idx="50">
                  <c:v>-1.0465220565900801E-3</c:v>
                </c:pt>
                <c:pt idx="51">
                  <c:v>-1.0467042199028E-3</c:v>
                </c:pt>
                <c:pt idx="52">
                  <c:v>-1.04688335369275E-3</c:v>
                </c:pt>
                <c:pt idx="53">
                  <c:v>-1.0470595745576401E-3</c:v>
                </c:pt>
                <c:pt idx="54">
                  <c:v>-1.04723299265432E-3</c:v>
                </c:pt>
                <c:pt idx="55">
                  <c:v>-1.04740371216785E-3</c:v>
                </c:pt>
                <c:pt idx="56">
                  <c:v>-1.0475718317385801E-3</c:v>
                </c:pt>
                <c:pt idx="57">
                  <c:v>-1.0477374448517999E-3</c:v>
                </c:pt>
                <c:pt idx="58">
                  <c:v>-1.0479006401936601E-3</c:v>
                </c:pt>
                <c:pt idx="59">
                  <c:v>-1.0480615019770299E-3</c:v>
                </c:pt>
                <c:pt idx="60">
                  <c:v>-1.04822011024007E-3</c:v>
                </c:pt>
                <c:pt idx="61">
                  <c:v>-1.04837654112037E-3</c:v>
                </c:pt>
                <c:pt idx="62">
                  <c:v>-1.0485308671069899E-3</c:v>
                </c:pt>
                <c:pt idx="63">
                  <c:v>-1.0486831572724101E-3</c:v>
                </c:pt>
                <c:pt idx="64">
                  <c:v>-1.0488334774864301E-3</c:v>
                </c:pt>
                <c:pt idx="65">
                  <c:v>-1.0489818906135799E-3</c:v>
                </c:pt>
                <c:pt idx="66">
                  <c:v>-1.0491284566955901E-3</c:v>
                </c:pt>
                <c:pt idx="67">
                  <c:v>-1.04927323312022E-3</c:v>
                </c:pt>
                <c:pt idx="68">
                  <c:v>-1.0494162747777E-3</c:v>
                </c:pt>
                <c:pt idx="69">
                  <c:v>-1.04955763420584E-3</c:v>
                </c:pt>
                <c:pt idx="70">
                  <c:v>-1.04969736172476E-3</c:v>
                </c:pt>
                <c:pt idx="71">
                  <c:v>-1.0498355055621499E-3</c:v>
                </c:pt>
                <c:pt idx="72">
                  <c:v>-1.0499721119698799E-3</c:v>
                </c:pt>
                <c:pt idx="73">
                  <c:v>-1.05010722533251E-3</c:v>
                </c:pt>
                <c:pt idx="74">
                  <c:v>-1.0502408882686401E-3</c:v>
                </c:pt>
                <c:pt idx="75">
                  <c:v>-1.0503731417253899E-3</c:v>
                </c:pt>
                <c:pt idx="76">
                  <c:v>-1.0505040250667001E-3</c:v>
                </c:pt>
                <c:pt idx="77">
                  <c:v>-1.0506335761559401E-3</c:v>
                </c:pt>
                <c:pt idx="78">
                  <c:v>-1.0507618314332301E-3</c:v>
                </c:pt>
                <c:pt idx="79">
                  <c:v>-1.0508888259877999E-3</c:v>
                </c:pt>
                <c:pt idx="80">
                  <c:v>-1.05101459362598E-3</c:v>
                </c:pt>
                <c:pt idx="81">
                  <c:v>-1.0511391669348401E-3</c:v>
                </c:pt>
                <c:pt idx="82">
                  <c:v>-1.0512625773421E-3</c:v>
                </c:pt>
                <c:pt idx="83">
                  <c:v>-1.0513848551723601E-3</c:v>
                </c:pt>
                <c:pt idx="84">
                  <c:v>-1.05150602970002E-3</c:v>
                </c:pt>
                <c:pt idx="85">
                  <c:v>-1.05162612919908E-3</c:v>
                </c:pt>
                <c:pt idx="86">
                  <c:v>-1.05174518099013E-3</c:v>
                </c:pt>
                <c:pt idx="87">
                  <c:v>-1.0518632114845301E-3</c:v>
                </c:pt>
                <c:pt idx="88">
                  <c:v>-1.05198024622616E-3</c:v>
                </c:pt>
                <c:pt idx="89">
                  <c:v>-1.05209630993088E-3</c:v>
                </c:pt>
                <c:pt idx="90">
                  <c:v>-1.0522114265237299E-3</c:v>
                </c:pt>
                <c:pt idx="91">
                  <c:v>-1.05232561917411E-3</c:v>
                </c:pt>
                <c:pt idx="92">
                  <c:v>-1.05243891032912E-3</c:v>
                </c:pt>
                <c:pt idx="93">
                  <c:v>-1.05255132174505E-3</c:v>
                </c:pt>
                <c:pt idx="94">
                  <c:v>-1.0526628745172401E-3</c:v>
                </c:pt>
                <c:pt idx="95">
                  <c:v>-1.05277358910841E-3</c:v>
                </c:pt>
                <c:pt idx="96">
                  <c:v>-1.05288348537545E-3</c:v>
                </c:pt>
                <c:pt idx="97">
                  <c:v>-1.0529925825949E-3</c:v>
                </c:pt>
                <c:pt idx="98">
                  <c:v>-1.0531008994871501E-3</c:v>
                </c:pt>
                <c:pt idx="99">
                  <c:v>-1.0532084542393999E-3</c:v>
                </c:pt>
                <c:pt idx="100">
                  <c:v>-1.05331526452749E-3</c:v>
                </c:pt>
                <c:pt idx="101">
                  <c:v>-1.05342134753666E-3</c:v>
                </c:pt>
                <c:pt idx="102">
                  <c:v>-1.0535267199813501E-3</c:v>
                </c:pt>
                <c:pt idx="103">
                  <c:v>-1.0536313981239799E-3</c:v>
                </c:pt>
                <c:pt idx="104">
                  <c:v>-1.0537353977929001E-3</c:v>
                </c:pt>
                <c:pt idx="105">
                  <c:v>-1.0538387343994699E-3</c:v>
                </c:pt>
                <c:pt idx="106">
                  <c:v>-1.0539414229543799E-3</c:v>
                </c:pt>
                <c:pt idx="107">
                  <c:v>-1.0540434780831401E-3</c:v>
                </c:pt>
                <c:pt idx="108">
                  <c:v>-1.0541449140409999E-3</c:v>
                </c:pt>
                <c:pt idx="109">
                  <c:v>-1.05424574472708E-3</c:v>
                </c:pt>
                <c:pt idx="110">
                  <c:v>-1.0543459836979299E-3</c:v>
                </c:pt>
                <c:pt idx="111">
                  <c:v>-1.05444564418049E-3</c:v>
                </c:pt>
                <c:pt idx="112">
                  <c:v>-1.05454473908448E-3</c:v>
                </c:pt>
                <c:pt idx="113">
                  <c:v>-1.0546432810142599E-3</c:v>
                </c:pt>
                <c:pt idx="114">
                  <c:v>-1.0547412822802E-3</c:v>
                </c:pt>
                <c:pt idx="115">
                  <c:v>-1.0548387549095201E-3</c:v>
                </c:pt>
                <c:pt idx="116">
                  <c:v>-1.0549357106567499E-3</c:v>
                </c:pt>
                <c:pt idx="117">
                  <c:v>-1.0550321610137399E-3</c:v>
                </c:pt>
                <c:pt idx="118">
                  <c:v>-1.0551281172192001E-3</c:v>
                </c:pt>
                <c:pt idx="119">
                  <c:v>-1.05522359026797E-3</c:v>
                </c:pt>
                <c:pt idx="120">
                  <c:v>-1.05531859091982E-3</c:v>
                </c:pt>
                <c:pt idx="121">
                  <c:v>-1.05541312970793E-3</c:v>
                </c:pt>
                <c:pt idx="122">
                  <c:v>-1.05550721694713E-3</c:v>
                </c:pt>
                <c:pt idx="123">
                  <c:v>-1.0556008627416701E-3</c:v>
                </c:pt>
                <c:pt idx="124">
                  <c:v>-1.0556940769928199E-3</c:v>
                </c:pt>
                <c:pt idx="125">
                  <c:v>-1.05578686940613E-3</c:v>
                </c:pt>
                <c:pt idx="126">
                  <c:v>-1.0558792494984499E-3</c:v>
                </c:pt>
                <c:pt idx="127">
                  <c:v>-1.0559712266046399E-3</c:v>
                </c:pt>
                <c:pt idx="128">
                  <c:v>-1.05606280988415E-3</c:v>
                </c:pt>
                <c:pt idx="129">
                  <c:v>-1.0561540083272301E-3</c:v>
                </c:pt>
                <c:pt idx="130">
                  <c:v>-1.0562448307610099E-3</c:v>
                </c:pt>
                <c:pt idx="131">
                  <c:v>-1.05633528585537E-3</c:v>
                </c:pt>
                <c:pt idx="132">
                  <c:v>-1.0564253821285601E-3</c:v>
                </c:pt>
                <c:pt idx="133">
                  <c:v>-1.0565151279526999E-3</c:v>
                </c:pt>
                <c:pt idx="134">
                  <c:v>-1.05660453155901E-3</c:v>
                </c:pt>
                <c:pt idx="135">
                  <c:v>-1.0566936010429999E-3</c:v>
                </c:pt>
                <c:pt idx="136">
                  <c:v>-1.0567823443693499E-3</c:v>
                </c:pt>
                <c:pt idx="137">
                  <c:v>-1.05687076937673E-3</c:v>
                </c:pt>
                <c:pt idx="138">
                  <c:v>-1.05695888378246E-3</c:v>
                </c:pt>
                <c:pt idx="139">
                  <c:v>-1.05704669518702E-3</c:v>
                </c:pt>
                <c:pt idx="140">
                  <c:v>-1.0571342110784201E-3</c:v>
                </c:pt>
                <c:pt idx="141">
                  <c:v>-1.05722143883642E-3</c:v>
                </c:pt>
                <c:pt idx="142">
                  <c:v>-1.05730838573673E-3</c:v>
                </c:pt>
                <c:pt idx="143">
                  <c:v>-1.0573950589549701E-3</c:v>
                </c:pt>
                <c:pt idx="144">
                  <c:v>-1.05748146557059E-3</c:v>
                </c:pt>
                <c:pt idx="145">
                  <c:v>-1.0575676125706901E-3</c:v>
                </c:pt>
                <c:pt idx="146">
                  <c:v>-1.05765350685371E-3</c:v>
                </c:pt>
                <c:pt idx="147">
                  <c:v>-1.05773915523305E-3</c:v>
                </c:pt>
                <c:pt idx="148">
                  <c:v>-1.05782456444064E-3</c:v>
                </c:pt>
                <c:pt idx="149">
                  <c:v>-1.0579097411302901E-3</c:v>
                </c:pt>
                <c:pt idx="150">
                  <c:v>-1.05799469188117E-3</c:v>
                </c:pt>
                <c:pt idx="151">
                  <c:v>-1.05807942320102E-3</c:v>
                </c:pt>
                <c:pt idx="152">
                  <c:v>-1.05816394152941E-3</c:v>
                </c:pt>
                <c:pt idx="153">
                  <c:v>-1.0582482532409E-3</c:v>
                </c:pt>
                <c:pt idx="154">
                  <c:v>-1.05833236464812E-3</c:v>
                </c:pt>
                <c:pt idx="155">
                  <c:v>-1.0584162820048201E-3</c:v>
                </c:pt>
                <c:pt idx="156">
                  <c:v>-1.05850001150887E-3</c:v>
                </c:pt>
                <c:pt idx="157">
                  <c:v>-1.05858355930516E-3</c:v>
                </c:pt>
                <c:pt idx="158">
                  <c:v>-1.05866693148851E-3</c:v>
                </c:pt>
                <c:pt idx="159">
                  <c:v>-1.0587501341065399E-3</c:v>
                </c:pt>
                <c:pt idx="160">
                  <c:v>-1.0588331731623999E-3</c:v>
                </c:pt>
                <c:pt idx="161">
                  <c:v>-1.0589160546176501E-3</c:v>
                </c:pt>
                <c:pt idx="162">
                  <c:v>-1.05899878439487E-3</c:v>
                </c:pt>
                <c:pt idx="163">
                  <c:v>-1.0590813683804699E-3</c:v>
                </c:pt>
                <c:pt idx="164">
                  <c:v>-1.05916381242732E-3</c:v>
                </c:pt>
                <c:pt idx="165">
                  <c:v>-1.0592461223573801E-3</c:v>
                </c:pt>
                <c:pt idx="166">
                  <c:v>-1.0593283039644001E-3</c:v>
                </c:pt>
                <c:pt idx="167">
                  <c:v>-1.0594103630164799E-3</c:v>
                </c:pt>
                <c:pt idx="168">
                  <c:v>-1.0594923052586901E-3</c:v>
                </c:pt>
                <c:pt idx="169">
                  <c:v>-1.05957413641566E-3</c:v>
                </c:pt>
                <c:pt idx="170">
                  <c:v>-1.0596558621941499E-3</c:v>
                </c:pt>
                <c:pt idx="171">
                  <c:v>-1.05973748828566E-3</c:v>
                </c:pt>
                <c:pt idx="172">
                  <c:v>-1.0598190203689301E-3</c:v>
                </c:pt>
                <c:pt idx="173">
                  <c:v>-1.0599004641125901E-3</c:v>
                </c:pt>
                <c:pt idx="174">
                  <c:v>-1.0599818251776701E-3</c:v>
                </c:pt>
                <c:pt idx="175">
                  <c:v>-1.06006310922025E-3</c:v>
                </c:pt>
                <c:pt idx="176">
                  <c:v>-1.0601443218939701E-3</c:v>
                </c:pt>
                <c:pt idx="177">
                  <c:v>-1.0602254688527101E-3</c:v>
                </c:pt>
                <c:pt idx="178">
                  <c:v>-1.0603065557531399E-3</c:v>
                </c:pt>
                <c:pt idx="179">
                  <c:v>-1.0603875882573999E-3</c:v>
                </c:pt>
                <c:pt idx="180">
                  <c:v>-1.0604685720357701E-3</c:v>
                </c:pt>
                <c:pt idx="181">
                  <c:v>-1.0605495127693201E-3</c:v>
                </c:pt>
                <c:pt idx="182">
                  <c:v>-1.0606304161526301E-3</c:v>
                </c:pt>
                <c:pt idx="183">
                  <c:v>-1.0607112878965499E-3</c:v>
                </c:pt>
                <c:pt idx="184">
                  <c:v>-1.0607921337310101E-3</c:v>
                </c:pt>
                <c:pt idx="185">
                  <c:v>-1.0608729594077601E-3</c:v>
                </c:pt>
                <c:pt idx="186">
                  <c:v>-1.06095377070334E-3</c:v>
                </c:pt>
                <c:pt idx="187">
                  <c:v>-1.06103457342189E-3</c:v>
                </c:pt>
                <c:pt idx="188">
                  <c:v>-1.06111537339822E-3</c:v>
                </c:pt>
                <c:pt idx="189">
                  <c:v>-1.0611961765007599E-3</c:v>
                </c:pt>
                <c:pt idx="190">
                  <c:v>-1.0612769886346499E-3</c:v>
                </c:pt>
                <c:pt idx="191">
                  <c:v>-1.06135781574491E-3</c:v>
                </c:pt>
                <c:pt idx="192">
                  <c:v>-1.0614386638196701E-3</c:v>
                </c:pt>
                <c:pt idx="193">
                  <c:v>-1.0615195388934101E-3</c:v>
                </c:pt>
                <c:pt idx="194">
                  <c:v>-1.06160044705038E-3</c:v>
                </c:pt>
                <c:pt idx="195">
                  <c:v>-1.06168139442805E-3</c:v>
                </c:pt>
                <c:pt idx="196">
                  <c:v>-1.0617623872206301E-3</c:v>
                </c:pt>
                <c:pt idx="197">
                  <c:v>-1.0618434316827601E-3</c:v>
                </c:pt>
                <c:pt idx="198">
                  <c:v>-1.0619245341332399E-3</c:v>
                </c:pt>
                <c:pt idx="199">
                  <c:v>-1.06200570095885E-3</c:v>
                </c:pt>
                <c:pt idx="200">
                  <c:v>-1.06208693861842E-3</c:v>
                </c:pt>
                <c:pt idx="201">
                  <c:v>-1.0621682536468399E-3</c:v>
                </c:pt>
                <c:pt idx="202">
                  <c:v>-1.0622496526593501E-3</c:v>
                </c:pt>
                <c:pt idx="203">
                  <c:v>-1.06233114235588E-3</c:v>
                </c:pt>
                <c:pt idx="204">
                  <c:v>-1.0624127295256001E-3</c:v>
                </c:pt>
                <c:pt idx="205">
                  <c:v>-1.0624944210515699E-3</c:v>
                </c:pt>
                <c:pt idx="206">
                  <c:v>-1.06257622391562E-3</c:v>
                </c:pt>
                <c:pt idx="207">
                  <c:v>-1.06265814520335E-3</c:v>
                </c:pt>
                <c:pt idx="208">
                  <c:v>-1.0627401921093501E-3</c:v>
                </c:pt>
                <c:pt idx="209">
                  <c:v>-1.0628223719425999E-3</c:v>
                </c:pt>
                <c:pt idx="210">
                  <c:v>-1.0629046921321399E-3</c:v>
                </c:pt>
                <c:pt idx="211">
                  <c:v>-1.0629871602328401E-3</c:v>
                </c:pt>
                <c:pt idx="212">
                  <c:v>-1.0630697839315499E-3</c:v>
                </c:pt>
                <c:pt idx="213">
                  <c:v>-1.06315257105341E-3</c:v>
                </c:pt>
                <c:pt idx="214">
                  <c:v>-1.06323552956848E-3</c:v>
                </c:pt>
                <c:pt idx="215">
                  <c:v>-1.0633186675985801E-3</c:v>
                </c:pt>
                <c:pt idx="216">
                  <c:v>-1.06340199342453E-3</c:v>
                </c:pt>
                <c:pt idx="217">
                  <c:v>-1.06348551549366E-3</c:v>
                </c:pt>
                <c:pt idx="218">
                  <c:v>-1.06356924242761E-3</c:v>
                </c:pt>
                <c:pt idx="219">
                  <c:v>-1.0636531830306101E-3</c:v>
                </c:pt>
                <c:pt idx="220">
                  <c:v>-1.06373734629807E-3</c:v>
                </c:pt>
                <c:pt idx="221">
                  <c:v>-1.0638217414255301E-3</c:v>
                </c:pt>
                <c:pt idx="222">
                  <c:v>-1.0639063778181801E-3</c:v>
                </c:pt>
                <c:pt idx="223">
                  <c:v>-1.06399126510073E-3</c:v>
                </c:pt>
                <c:pt idx="224">
                  <c:v>-1.0640764131277999E-3</c:v>
                </c:pt>
                <c:pt idx="225">
                  <c:v>-1.06416183199489E-3</c:v>
                </c:pt>
                <c:pt idx="226">
                  <c:v>-1.0642475320498299E-3</c:v>
                </c:pt>
                <c:pt idx="227">
                  <c:v>-1.0643335239048999E-3</c:v>
                </c:pt>
                <c:pt idx="228">
                  <c:v>-1.06441981844954E-3</c:v>
                </c:pt>
                <c:pt idx="229">
                  <c:v>-1.0645064268637501E-3</c:v>
                </c:pt>
                <c:pt idx="230">
                  <c:v>-1.0645933606322801E-3</c:v>
                </c:pt>
                <c:pt idx="231">
                  <c:v>-1.06468063155949E-3</c:v>
                </c:pt>
                <c:pt idx="232">
                  <c:v>-1.06476825178516E-3</c:v>
                </c:pt>
                <c:pt idx="233">
                  <c:v>-1.0648562338011001E-3</c:v>
                </c:pt>
                <c:pt idx="234">
                  <c:v>-1.0649445904688101E-3</c:v>
                </c:pt>
                <c:pt idx="235">
                  <c:v>-1.0650333350380901E-3</c:v>
                </c:pt>
                <c:pt idx="236">
                  <c:v>-1.06512248116677E-3</c:v>
                </c:pt>
                <c:pt idx="237">
                  <c:v>-1.0652120429417099E-3</c:v>
                </c:pt>
                <c:pt idx="238">
                  <c:v>-1.06530203490093E-3</c:v>
                </c:pt>
                <c:pt idx="239">
                  <c:v>-1.0653924720572599E-3</c:v>
                </c:pt>
                <c:pt idx="240">
                  <c:v>-1.06548336992338E-3</c:v>
                </c:pt>
                <c:pt idx="241">
                  <c:v>-1.0655747445384399E-3</c:v>
                </c:pt>
                <c:pt idx="242">
                  <c:v>-1.0656666124965199E-3</c:v>
                </c:pt>
                <c:pt idx="243">
                  <c:v>-1.06575899097679E-3</c:v>
                </c:pt>
                <c:pt idx="244">
                  <c:v>-1.0658518977758301E-3</c:v>
                </c:pt>
                <c:pt idx="245">
                  <c:v>-1.0659453513419701E-3</c:v>
                </c:pt>
                <c:pt idx="246">
                  <c:v>-1.06603937081217E-3</c:v>
                </c:pt>
                <c:pt idx="247">
                  <c:v>-1.0661339760512499E-3</c:v>
                </c:pt>
                <c:pt idx="248">
                  <c:v>-1.06622918769409E-3</c:v>
                </c:pt>
                <c:pt idx="249">
                  <c:v>-1.0663250271907101E-3</c:v>
                </c:pt>
                <c:pt idx="250">
                  <c:v>-1.0664215168546601E-3</c:v>
                </c:pt>
                <c:pt idx="251">
                  <c:v>-1.0665186799150501E-3</c:v>
                </c:pt>
                <c:pt idx="252">
                  <c:v>-1.0666165405723901E-3</c:v>
                </c:pt>
                <c:pt idx="253">
                  <c:v>-1.06671512405876E-3</c:v>
                </c:pt>
                <c:pt idx="254">
                  <c:v>-1.06681445670258E-3</c:v>
                </c:pt>
                <c:pt idx="255">
                  <c:v>-1.0669145659985501E-3</c:v>
                </c:pt>
                <c:pt idx="256">
                  <c:v>-1.0670154806830701E-3</c:v>
                </c:pt>
                <c:pt idx="257">
                  <c:v>-1.0671172308159701E-3</c:v>
                </c:pt>
                <c:pt idx="258">
                  <c:v>-1.06721984786882E-3</c:v>
                </c:pt>
                <c:pt idx="259">
                  <c:v>-1.0673233648208201E-3</c:v>
                </c:pt>
                <c:pt idx="260">
                  <c:v>-1.0674278162628201E-3</c:v>
                </c:pt>
                <c:pt idx="261">
                  <c:v>-1.06753323851043E-3</c:v>
                </c:pt>
                <c:pt idx="262">
                  <c:v>-1.0676396697271899E-3</c:v>
                </c:pt>
                <c:pt idx="263">
                  <c:v>-1.0677471500588501E-3</c:v>
                </c:pt>
                <c:pt idx="264">
                  <c:v>-1.0678557217800599E-3</c:v>
                </c:pt>
                <c:pt idx="265">
                  <c:v>-1.0679654294547499E-3</c:v>
                </c:pt>
                <c:pt idx="266">
                  <c:v>-1.0680763201118999E-3</c:v>
                </c:pt>
                <c:pt idx="267">
                  <c:v>-1.06818844343851E-3</c:v>
                </c:pt>
                <c:pt idx="268">
                  <c:v>-1.0683018519916201E-3</c:v>
                </c:pt>
                <c:pt idx="269">
                  <c:v>-1.0684166014320001E-3</c:v>
                </c:pt>
                <c:pt idx="270">
                  <c:v>-1.0685327507819801E-3</c:v>
                </c:pt>
                <c:pt idx="271">
                  <c:v>-1.0686503627105901E-3</c:v>
                </c:pt>
                <c:pt idx="272">
                  <c:v>-1.0687695038494799E-3</c:v>
                </c:pt>
                <c:pt idx="273">
                  <c:v>-1.06889024514382E-3</c:v>
                </c:pt>
                <c:pt idx="274">
                  <c:v>-1.06901266224276E-3</c:v>
                </c:pt>
                <c:pt idx="275">
                  <c:v>-1.0691368359350599E-3</c:v>
                </c:pt>
                <c:pt idx="276">
                  <c:v>-1.06926285263621E-3</c:v>
                </c:pt>
                <c:pt idx="277">
                  <c:v>-1.0693908049345499E-3</c:v>
                </c:pt>
                <c:pt idx="278">
                  <c:v>-1.0695207922050999E-3</c:v>
                </c:pt>
                <c:pt idx="279">
                  <c:v>-1.06965292130146E-3</c:v>
                </c:pt>
                <c:pt idx="280">
                  <c:v>-1.06978730733797E-3</c:v>
                </c:pt>
                <c:pt idx="281">
                  <c:v>-1.0699240745764599E-3</c:v>
                </c:pt>
                <c:pt idx="282">
                  <c:v>-1.07006335743491E-3</c:v>
                </c:pt>
                <c:pt idx="283">
                  <c:v>-1.0702053016384699E-3</c:v>
                </c:pt>
                <c:pt idx="284">
                  <c:v>-1.0703500655376199E-3</c:v>
                </c:pt>
                <c:pt idx="285">
                  <c:v>-1.07049782162317E-3</c:v>
                </c:pt>
                <c:pt idx="286">
                  <c:v>-1.07064875827427E-3</c:v>
                </c:pt>
                <c:pt idx="287">
                  <c:v>-1.0708030817834801E-3</c:v>
                </c:pt>
                <c:pt idx="288">
                  <c:v>-1.0709610187127599E-3</c:v>
                </c:pt>
                <c:pt idx="289">
                  <c:v>-1.0711228186470101E-3</c:v>
                </c:pt>
                <c:pt idx="290">
                  <c:v>-1.0712887574274501E-3</c:v>
                </c:pt>
                <c:pt idx="291">
                  <c:v>-1.0714591409678701E-3</c:v>
                </c:pt>
                <c:pt idx="292">
                  <c:v>-1.0716343097827001E-3</c:v>
                </c:pt>
                <c:pt idx="293">
                  <c:v>-1.0718146443905101E-3</c:v>
                </c:pt>
                <c:pt idx="294">
                  <c:v>-1.0720005718008699E-3</c:v>
                </c:pt>
                <c:pt idx="295">
                  <c:v>-1.0721925733519001E-3</c:v>
                </c:pt>
                <c:pt idx="296">
                  <c:v>-1.07239119424452E-3</c:v>
                </c:pt>
                <c:pt idx="297">
                  <c:v>-1.07259705522488E-3</c:v>
                </c:pt>
                <c:pt idx="298">
                  <c:v>-1.0728108670105701E-3</c:v>
                </c:pt>
                <c:pt idx="299">
                  <c:v>-1.0730334482520799E-3</c:v>
                </c:pt>
                <c:pt idx="300">
                  <c:v>-1.0732657480941399E-3</c:v>
                </c:pt>
                <c:pt idx="301">
                  <c:v>-1.0735088747820601E-3</c:v>
                </c:pt>
                <c:pt idx="302">
                  <c:v>-1.0737641322982E-3</c:v>
                </c:pt>
                <c:pt idx="303">
                  <c:v>-1.07403306778537E-3</c:v>
                </c:pt>
                <c:pt idx="304">
                  <c:v>-1.0743175336318999E-3</c:v>
                </c:pt>
                <c:pt idx="305">
                  <c:v>-1.0746197697279101E-3</c:v>
                </c:pt>
                <c:pt idx="306">
                  <c:v>-1.0749425138185599E-3</c:v>
                </c:pt>
                <c:pt idx="307">
                  <c:v>-1.07528915147976E-3</c:v>
                </c:pt>
                <c:pt idx="308">
                  <c:v>-1.07566392263413E-3</c:v>
                </c:pt>
                <c:pt idx="309">
                  <c:v>-1.07607220960544E-3</c:v>
                </c:pt>
                <c:pt idx="310">
                  <c:v>-1.07652094373539E-3</c:v>
                </c:pt>
                <c:pt idx="311">
                  <c:v>-1.0770191851720401E-3</c:v>
                </c:pt>
                <c:pt idx="312">
                  <c:v>-1.07757895545197E-3</c:v>
                </c:pt>
                <c:pt idx="313">
                  <c:v>-1.078216437617E-3</c:v>
                </c:pt>
                <c:pt idx="314">
                  <c:v>-1.0789537146426601E-3</c:v>
                </c:pt>
                <c:pt idx="315">
                  <c:v>-1.07982136054143E-3</c:v>
                </c:pt>
                <c:pt idx="316">
                  <c:v>-1.0808627948447501E-3</c:v>
                </c:pt>
                <c:pt idx="317">
                  <c:v>-1.0821441051714E-3</c:v>
                </c:pt>
                <c:pt idx="318">
                  <c:v>-1.08378611684964E-3</c:v>
                </c:pt>
                <c:pt idx="319">
                  <c:v>-1.08512791428489E-3</c:v>
                </c:pt>
                <c:pt idx="320">
                  <c:v>-1.0864687850896499E-3</c:v>
                </c:pt>
                <c:pt idx="321">
                  <c:v>-1.0878183600787699E-3</c:v>
                </c:pt>
                <c:pt idx="322">
                  <c:v>-1.0891770393883799E-3</c:v>
                </c:pt>
                <c:pt idx="323">
                  <c:v>-1.0905454517390601E-3</c:v>
                </c:pt>
                <c:pt idx="324">
                  <c:v>-1.0919241787205401E-3</c:v>
                </c:pt>
                <c:pt idx="325">
                  <c:v>-1.0933137696438301E-3</c:v>
                </c:pt>
                <c:pt idx="326">
                  <c:v>-1.0947147454287401E-3</c:v>
                </c:pt>
                <c:pt idx="327">
                  <c:v>-1.0961276024119601E-3</c:v>
                </c:pt>
                <c:pt idx="328">
                  <c:v>-1.09755281577791E-3</c:v>
                </c:pt>
                <c:pt idx="329">
                  <c:v>-1.09899084266184E-3</c:v>
                </c:pt>
                <c:pt idx="330">
                  <c:v>-1.1004421249595801E-3</c:v>
                </c:pt>
                <c:pt idx="331">
                  <c:v>-1.1019070918751E-3</c:v>
                </c:pt>
                <c:pt idx="332">
                  <c:v>-1.10338616223346E-3</c:v>
                </c:pt>
                <c:pt idx="333">
                  <c:v>-1.1048797465839299E-3</c:v>
                </c:pt>
                <c:pt idx="334">
                  <c:v>-1.1063882491156201E-3</c:v>
                </c:pt>
                <c:pt idx="335">
                  <c:v>-1.10791206940567E-3</c:v>
                </c:pt>
                <c:pt idx="336">
                  <c:v>-1.1094516040180301E-3</c:v>
                </c:pt>
                <c:pt idx="337">
                  <c:v>-1.1110072479692801E-3</c:v>
                </c:pt>
                <c:pt idx="338">
                  <c:v>-1.1125793960762901E-3</c:v>
                </c:pt>
                <c:pt idx="339">
                  <c:v>-1.11416844419903E-3</c:v>
                </c:pt>
                <c:pt idx="340">
                  <c:v>-1.1157747903908801E-3</c:v>
                </c:pt>
                <c:pt idx="341">
                  <c:v>-1.1173988359672799E-3</c:v>
                </c:pt>
                <c:pt idx="342">
                  <c:v>-1.11904098650297E-3</c:v>
                </c:pt>
                <c:pt idx="343">
                  <c:v>-1.1207016527668E-3</c:v>
                </c:pt>
                <c:pt idx="344">
                  <c:v>-1.12238125160255E-3</c:v>
                </c:pt>
                <c:pt idx="345">
                  <c:v>-1.12408020676322E-3</c:v>
                </c:pt>
                <c:pt idx="346">
                  <c:v>-1.12579894970597E-3</c:v>
                </c:pt>
                <c:pt idx="347">
                  <c:v>-1.12753792035371E-3</c:v>
                </c:pt>
                <c:pt idx="348">
                  <c:v>-1.1292975678295601E-3</c:v>
                </c:pt>
                <c:pt idx="349">
                  <c:v>-1.13107835116922E-3</c:v>
                </c:pt>
                <c:pt idx="350">
                  <c:v>-1.13288074001635E-3</c:v>
                </c:pt>
                <c:pt idx="351">
                  <c:v>-1.1347052153054999E-3</c:v>
                </c:pt>
                <c:pt idx="352">
                  <c:v>-1.13655226993682E-3</c:v>
                </c:pt>
                <c:pt idx="353">
                  <c:v>-1.1384224094464399E-3</c:v>
                </c:pt>
                <c:pt idx="354">
                  <c:v>-1.14031615267637E-3</c:v>
                </c:pt>
                <c:pt idx="355">
                  <c:v>-1.14223403244725E-3</c:v>
                </c:pt>
                <c:pt idx="356">
                  <c:v>-1.1441765962373E-3</c:v>
                </c:pt>
                <c:pt idx="357">
                  <c:v>-1.1461444068706201E-3</c:v>
                </c:pt>
                <c:pt idx="358">
                  <c:v>-1.1481380432178899E-3</c:v>
                </c:pt>
                <c:pt idx="359">
                  <c:v>-2.2425676384167301E-3</c:v>
                </c:pt>
                <c:pt idx="360">
                  <c:v>-3.0704288935609401E-3</c:v>
                </c:pt>
                <c:pt idx="361">
                  <c:v>-3.0834090817871301E-3</c:v>
                </c:pt>
                <c:pt idx="362">
                  <c:v>-3.0921577139060102E-3</c:v>
                </c:pt>
                <c:pt idx="363">
                  <c:v>-3.1017471350345402E-3</c:v>
                </c:pt>
                <c:pt idx="364">
                  <c:v>-3.1131883897321001E-3</c:v>
                </c:pt>
                <c:pt idx="365">
                  <c:v>-3.12897975058809E-3</c:v>
                </c:pt>
                <c:pt idx="366">
                  <c:v>-5.1289797505880896E-3</c:v>
                </c:pt>
                <c:pt idx="367">
                  <c:v>-5.1289797505880896E-3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F17-4E86-8435-030297F544E3}"/>
            </c:ext>
          </c:extLst>
        </c:ser>
        <c:ser>
          <c:idx val="5"/>
          <c:order val="1"/>
          <c:tx>
            <c:strRef>
              <c:f>Implicit_Fracs!$G$1</c:f>
              <c:strCache>
                <c:ptCount val="1"/>
                <c:pt idx="0">
                  <c:v>Total ehmax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Implicit_Fracs!$C$4:$C$371</c:f>
              <c:numCache>
                <c:formatCode>General</c:formatCode>
                <c:ptCount val="368"/>
                <c:pt idx="0">
                  <c:v>6.5458908507104702E-2</c:v>
                </c:pt>
                <c:pt idx="1">
                  <c:v>0.10158646265419501</c:v>
                </c:pt>
                <c:pt idx="2">
                  <c:v>0.102060105178604</c:v>
                </c:pt>
                <c:pt idx="3">
                  <c:v>0.102354758409441</c:v>
                </c:pt>
                <c:pt idx="4">
                  <c:v>0.10257003610151801</c:v>
                </c:pt>
                <c:pt idx="5">
                  <c:v>0.102740146597483</c:v>
                </c:pt>
                <c:pt idx="6">
                  <c:v>0.10288102093448701</c:v>
                </c:pt>
                <c:pt idx="7">
                  <c:v>0.10300139565401099</c:v>
                </c:pt>
                <c:pt idx="8">
                  <c:v>0.10310658737638601</c:v>
                </c:pt>
                <c:pt idx="9">
                  <c:v>0.103200075337502</c:v>
                </c:pt>
                <c:pt idx="10">
                  <c:v>0.103284262204</c:v>
                </c:pt>
                <c:pt idx="11">
                  <c:v>0.103360877526633</c:v>
                </c:pt>
                <c:pt idx="12">
                  <c:v>0.103431208153653</c:v>
                </c:pt>
                <c:pt idx="13">
                  <c:v>0.103496237708407</c:v>
                </c:pt>
                <c:pt idx="14">
                  <c:v>0.103556735084609</c:v>
                </c:pt>
                <c:pt idx="15">
                  <c:v>0.103613312816801</c:v>
                </c:pt>
                <c:pt idx="16">
                  <c:v>0.103666466857375</c:v>
                </c:pt>
                <c:pt idx="17">
                  <c:v>0.10371660444741999</c:v>
                </c:pt>
                <c:pt idx="18">
                  <c:v>0.10376406411969299</c:v>
                </c:pt>
                <c:pt idx="19">
                  <c:v>0.10380913035858701</c:v>
                </c:pt>
                <c:pt idx="20">
                  <c:v>0.103852044544123</c:v>
                </c:pt>
                <c:pt idx="21">
                  <c:v>0.103893013256558</c:v>
                </c:pt>
                <c:pt idx="22">
                  <c:v>0.103932214670875</c:v>
                </c:pt>
                <c:pt idx="23">
                  <c:v>0.10396980354554</c:v>
                </c:pt>
                <c:pt idx="24">
                  <c:v>0.104005915161023</c:v>
                </c:pt>
                <c:pt idx="25">
                  <c:v>0.10404066846285701</c:v>
                </c:pt>
                <c:pt idx="26">
                  <c:v>0.104074168594671</c:v>
                </c:pt>
                <c:pt idx="27">
                  <c:v>0.10410650895807599</c:v>
                </c:pt>
                <c:pt idx="28">
                  <c:v>0.10413777290170501</c:v>
                </c:pt>
                <c:pt idx="29">
                  <c:v>0.104168035116796</c:v>
                </c:pt>
                <c:pt idx="30">
                  <c:v>0.104197362798492</c:v>
                </c:pt>
                <c:pt idx="31">
                  <c:v>0.104225816618547</c:v>
                </c:pt>
                <c:pt idx="32">
                  <c:v>0.104253451545067</c:v>
                </c:pt>
                <c:pt idx="33">
                  <c:v>0.104280317537286</c:v>
                </c:pt>
                <c:pt idx="34">
                  <c:v>0.10430646013757899</c:v>
                </c:pt>
                <c:pt idx="35">
                  <c:v>0.10433192097843901</c:v>
                </c:pt>
                <c:pt idx="36">
                  <c:v>0.104356738218675</c:v>
                </c:pt>
                <c:pt idx="37">
                  <c:v>0.10438094692038</c:v>
                </c:pt>
                <c:pt idx="38">
                  <c:v>0.104404579376061</c:v>
                </c:pt>
                <c:pt idx="39">
                  <c:v>0.10442766539470601</c:v>
                </c:pt>
                <c:pt idx="40">
                  <c:v>0.104450232550895</c:v>
                </c:pt>
                <c:pt idx="41">
                  <c:v>0.104472306403378</c:v>
                </c:pt>
                <c:pt idx="42">
                  <c:v>0.104493910687546</c:v>
                </c:pt>
                <c:pt idx="43">
                  <c:v>0.104515067485448</c:v>
                </c:pt>
                <c:pt idx="44">
                  <c:v>0.104535797376425</c:v>
                </c:pt>
                <c:pt idx="45">
                  <c:v>0.104556119570968</c:v>
                </c:pt>
                <c:pt idx="46">
                  <c:v>0.10457605202998201</c:v>
                </c:pt>
                <c:pt idx="47">
                  <c:v>0.10459561157132601</c:v>
                </c:pt>
                <c:pt idx="48">
                  <c:v>0.10461481396524</c:v>
                </c:pt>
                <c:pt idx="49">
                  <c:v>0.104633674020002</c:v>
                </c:pt>
                <c:pt idx="50">
                  <c:v>0.104652205659008</c:v>
                </c:pt>
                <c:pt idx="51">
                  <c:v>0.10467042199028</c:v>
                </c:pt>
                <c:pt idx="52">
                  <c:v>0.10468833536927501</c:v>
                </c:pt>
                <c:pt idx="53">
                  <c:v>0.104705957455764</c:v>
                </c:pt>
                <c:pt idx="54">
                  <c:v>0.104723299265432</c:v>
                </c:pt>
                <c:pt idx="55">
                  <c:v>0.10474037121678501</c:v>
                </c:pt>
                <c:pt idx="56">
                  <c:v>0.104757183173858</c:v>
                </c:pt>
                <c:pt idx="57">
                  <c:v>0.10477374448518</c:v>
                </c:pt>
                <c:pt idx="58">
                  <c:v>0.104790064019366</c:v>
                </c:pt>
                <c:pt idx="59">
                  <c:v>0.10480615019770299</c:v>
                </c:pt>
                <c:pt idx="60">
                  <c:v>0.104822011024007</c:v>
                </c:pt>
                <c:pt idx="61">
                  <c:v>0.10483765411203801</c:v>
                </c:pt>
                <c:pt idx="62">
                  <c:v>0.104853086710699</c:v>
                </c:pt>
                <c:pt idx="63">
                  <c:v>0.10486831572724099</c:v>
                </c:pt>
                <c:pt idx="64">
                  <c:v>0.104883347748643</c:v>
                </c:pt>
                <c:pt idx="65">
                  <c:v>0.104898189061358</c:v>
                </c:pt>
                <c:pt idx="66">
                  <c:v>0.104912845669559</c:v>
                </c:pt>
                <c:pt idx="67">
                  <c:v>0.10492732331202199</c:v>
                </c:pt>
                <c:pt idx="68">
                  <c:v>0.10494162747777</c:v>
                </c:pt>
                <c:pt idx="69">
                  <c:v>0.10495576342058401</c:v>
                </c:pt>
                <c:pt idx="70">
                  <c:v>0.104969736172476</c:v>
                </c:pt>
                <c:pt idx="71">
                  <c:v>0.104983550556215</c:v>
                </c:pt>
                <c:pt idx="72">
                  <c:v>0.104997211196988</c:v>
                </c:pt>
                <c:pt idx="73">
                  <c:v>0.105010722533251</c:v>
                </c:pt>
                <c:pt idx="74">
                  <c:v>0.10502408882686499</c:v>
                </c:pt>
                <c:pt idx="75">
                  <c:v>0.105037314172539</c:v>
                </c:pt>
                <c:pt idx="76">
                  <c:v>0.10505040250667</c:v>
                </c:pt>
                <c:pt idx="77">
                  <c:v>0.105063357615594</c:v>
                </c:pt>
                <c:pt idx="78">
                  <c:v>0.105076183143323</c:v>
                </c:pt>
                <c:pt idx="79">
                  <c:v>0.10508888259878001</c:v>
                </c:pt>
                <c:pt idx="80">
                  <c:v>0.105101459362598</c:v>
                </c:pt>
                <c:pt idx="81">
                  <c:v>0.10511391669348399</c:v>
                </c:pt>
                <c:pt idx="82">
                  <c:v>0.10512625773421</c:v>
                </c:pt>
                <c:pt idx="83">
                  <c:v>0.10513848551723599</c:v>
                </c:pt>
                <c:pt idx="84">
                  <c:v>0.10515060297000201</c:v>
                </c:pt>
                <c:pt idx="85">
                  <c:v>0.105162612919908</c:v>
                </c:pt>
                <c:pt idx="86">
                  <c:v>0.105174518099013</c:v>
                </c:pt>
                <c:pt idx="87">
                  <c:v>0.105186321148453</c:v>
                </c:pt>
                <c:pt idx="88">
                  <c:v>0.105198024622616</c:v>
                </c:pt>
                <c:pt idx="89">
                  <c:v>0.105209630993088</c:v>
                </c:pt>
                <c:pt idx="90">
                  <c:v>0.10522114265237301</c:v>
                </c:pt>
                <c:pt idx="91">
                  <c:v>0.105232561917411</c:v>
                </c:pt>
                <c:pt idx="92">
                  <c:v>0.105243891032912</c:v>
                </c:pt>
                <c:pt idx="93">
                  <c:v>0.105255132174505</c:v>
                </c:pt>
                <c:pt idx="94">
                  <c:v>0.10526628745172401</c:v>
                </c:pt>
                <c:pt idx="95">
                  <c:v>0.105277358910841</c:v>
                </c:pt>
                <c:pt idx="96">
                  <c:v>0.105288348537545</c:v>
                </c:pt>
                <c:pt idx="97">
                  <c:v>0.10529925825949001</c:v>
                </c:pt>
                <c:pt idx="98">
                  <c:v>0.105310089948715</c:v>
                </c:pt>
                <c:pt idx="99">
                  <c:v>0.10532084542394</c:v>
                </c:pt>
                <c:pt idx="100">
                  <c:v>0.105331526452749</c:v>
                </c:pt>
                <c:pt idx="101">
                  <c:v>0.10534213475366599</c:v>
                </c:pt>
                <c:pt idx="102">
                  <c:v>0.105352671998135</c:v>
                </c:pt>
                <c:pt idx="103">
                  <c:v>0.105363139812398</c:v>
                </c:pt>
                <c:pt idx="104">
                  <c:v>0.10537353977929</c:v>
                </c:pt>
                <c:pt idx="105">
                  <c:v>0.105383873439947</c:v>
                </c:pt>
                <c:pt idx="106">
                  <c:v>0.105394142295438</c:v>
                </c:pt>
                <c:pt idx="107">
                  <c:v>0.10540434780831399</c:v>
                </c:pt>
                <c:pt idx="108">
                  <c:v>0.1054144914041</c:v>
                </c:pt>
                <c:pt idx="109">
                  <c:v>0.105424574472708</c:v>
                </c:pt>
                <c:pt idx="110">
                  <c:v>0.10543459836979301</c:v>
                </c:pt>
                <c:pt idx="111">
                  <c:v>0.105444564418049</c:v>
                </c:pt>
                <c:pt idx="112">
                  <c:v>0.105454473908448</c:v>
                </c:pt>
                <c:pt idx="113">
                  <c:v>0.105464328101426</c:v>
                </c:pt>
                <c:pt idx="114">
                  <c:v>0.10547412822802001</c:v>
                </c:pt>
                <c:pt idx="115">
                  <c:v>0.10548387549095201</c:v>
                </c:pt>
                <c:pt idx="116">
                  <c:v>0.105493571065675</c:v>
                </c:pt>
                <c:pt idx="117">
                  <c:v>0.105503216101374</c:v>
                </c:pt>
                <c:pt idx="118">
                  <c:v>0.10551281172191999</c:v>
                </c:pt>
                <c:pt idx="119">
                  <c:v>0.10552235902679701</c:v>
                </c:pt>
                <c:pt idx="120">
                  <c:v>0.105531859091982</c:v>
                </c:pt>
                <c:pt idx="121">
                  <c:v>0.105541312970793</c:v>
                </c:pt>
                <c:pt idx="122">
                  <c:v>0.105550721694713</c:v>
                </c:pt>
                <c:pt idx="123">
                  <c:v>0.10556008627416701</c:v>
                </c:pt>
                <c:pt idx="124">
                  <c:v>0.105569407699282</c:v>
                </c:pt>
                <c:pt idx="125">
                  <c:v>0.105578686940613</c:v>
                </c:pt>
                <c:pt idx="126">
                  <c:v>0.10558792494984499</c:v>
                </c:pt>
                <c:pt idx="127">
                  <c:v>0.105597122660464</c:v>
                </c:pt>
                <c:pt idx="128">
                  <c:v>0.105606280988415</c:v>
                </c:pt>
                <c:pt idx="129">
                  <c:v>0.105615400832723</c:v>
                </c:pt>
                <c:pt idx="130">
                  <c:v>0.10562448307610101</c:v>
                </c:pt>
                <c:pt idx="131">
                  <c:v>0.105633528585537</c:v>
                </c:pt>
                <c:pt idx="132">
                  <c:v>0.105642538212856</c:v>
                </c:pt>
                <c:pt idx="133">
                  <c:v>0.10565151279527001</c:v>
                </c:pt>
                <c:pt idx="134">
                  <c:v>0.105660453155901</c:v>
                </c:pt>
                <c:pt idx="135">
                  <c:v>0.1056693601043</c:v>
                </c:pt>
                <c:pt idx="136">
                  <c:v>0.105678234436935</c:v>
                </c:pt>
                <c:pt idx="137">
                  <c:v>0.105687076937673</c:v>
                </c:pt>
                <c:pt idx="138">
                  <c:v>0.10569588837824601</c:v>
                </c:pt>
                <c:pt idx="139">
                  <c:v>0.105704669518702</c:v>
                </c:pt>
                <c:pt idx="140">
                  <c:v>0.105713421107842</c:v>
                </c:pt>
                <c:pt idx="141">
                  <c:v>0.105722143883642</c:v>
                </c:pt>
                <c:pt idx="142">
                  <c:v>0.10573083857367301</c:v>
                </c:pt>
                <c:pt idx="143">
                  <c:v>0.10573950589549699</c:v>
                </c:pt>
                <c:pt idx="144">
                  <c:v>0.105748146557059</c:v>
                </c:pt>
                <c:pt idx="145">
                  <c:v>0.105756761257069</c:v>
                </c:pt>
                <c:pt idx="146">
                  <c:v>0.105765350685371</c:v>
                </c:pt>
                <c:pt idx="147">
                  <c:v>0.10577391552330601</c:v>
                </c:pt>
                <c:pt idx="148">
                  <c:v>0.105782456444064</c:v>
                </c:pt>
                <c:pt idx="149">
                  <c:v>0.105790974113029</c:v>
                </c:pt>
                <c:pt idx="150">
                  <c:v>0.105799469188117</c:v>
                </c:pt>
                <c:pt idx="151">
                  <c:v>0.105807942320102</c:v>
                </c:pt>
                <c:pt idx="152">
                  <c:v>0.105816394152941</c:v>
                </c:pt>
                <c:pt idx="153">
                  <c:v>0.10582482532409</c:v>
                </c:pt>
                <c:pt idx="154">
                  <c:v>0.10583323646481201</c:v>
                </c:pt>
                <c:pt idx="155">
                  <c:v>0.105841628200482</c:v>
                </c:pt>
                <c:pt idx="156">
                  <c:v>0.105850001150887</c:v>
                </c:pt>
                <c:pt idx="157">
                  <c:v>0.105858355930516</c:v>
                </c:pt>
                <c:pt idx="158">
                  <c:v>0.105866693148851</c:v>
                </c:pt>
                <c:pt idx="159">
                  <c:v>0.105875013410654</c:v>
                </c:pt>
                <c:pt idx="160">
                  <c:v>0.10588331731624</c:v>
                </c:pt>
                <c:pt idx="161">
                  <c:v>0.105891605461765</c:v>
                </c:pt>
                <c:pt idx="162">
                  <c:v>0.10589987843948701</c:v>
                </c:pt>
                <c:pt idx="163">
                  <c:v>0.10590813683804701</c:v>
                </c:pt>
                <c:pt idx="164">
                  <c:v>0.10591638124273201</c:v>
                </c:pt>
                <c:pt idx="165">
                  <c:v>0.105924612235738</c:v>
                </c:pt>
                <c:pt idx="166">
                  <c:v>0.10593283039644</c:v>
                </c:pt>
                <c:pt idx="167">
                  <c:v>0.105941036301648</c:v>
                </c:pt>
                <c:pt idx="168">
                  <c:v>0.10594923052586901</c:v>
                </c:pt>
                <c:pt idx="169">
                  <c:v>0.105957413641566</c:v>
                </c:pt>
                <c:pt idx="170">
                  <c:v>0.105965586219415</c:v>
                </c:pt>
                <c:pt idx="171">
                  <c:v>0.105973748828566</c:v>
                </c:pt>
                <c:pt idx="172">
                  <c:v>0.10598190203689301</c:v>
                </c:pt>
                <c:pt idx="173">
                  <c:v>0.105990046411258</c:v>
                </c:pt>
                <c:pt idx="174">
                  <c:v>0.10599818251776701</c:v>
                </c:pt>
                <c:pt idx="175">
                  <c:v>0.106006310922025</c:v>
                </c:pt>
                <c:pt idx="176">
                  <c:v>0.106014432189397</c:v>
                </c:pt>
                <c:pt idx="177">
                  <c:v>0.106022546885271</c:v>
                </c:pt>
                <c:pt idx="178">
                  <c:v>0.10603065557531401</c:v>
                </c:pt>
                <c:pt idx="179">
                  <c:v>0.10603875882574</c:v>
                </c:pt>
                <c:pt idx="180">
                  <c:v>0.106046857203577</c:v>
                </c:pt>
                <c:pt idx="181">
                  <c:v>0.106054951276932</c:v>
                </c:pt>
                <c:pt idx="182">
                  <c:v>0.106063041615263</c:v>
                </c:pt>
                <c:pt idx="183">
                  <c:v>0.10607112878965499</c:v>
                </c:pt>
                <c:pt idx="184">
                  <c:v>0.106079213373101</c:v>
                </c:pt>
                <c:pt idx="185">
                  <c:v>0.106087295940776</c:v>
                </c:pt>
                <c:pt idx="186">
                  <c:v>0.10609537707033299</c:v>
                </c:pt>
                <c:pt idx="187">
                  <c:v>0.106103457342189</c:v>
                </c:pt>
                <c:pt idx="188">
                  <c:v>0.106111537339822</c:v>
                </c:pt>
                <c:pt idx="189">
                  <c:v>0.10611961765007601</c:v>
                </c:pt>
                <c:pt idx="190">
                  <c:v>0.106127698863465</c:v>
                </c:pt>
                <c:pt idx="191">
                  <c:v>0.10613578157449099</c:v>
                </c:pt>
                <c:pt idx="192">
                  <c:v>0.106143866381966</c:v>
                </c:pt>
                <c:pt idx="193">
                  <c:v>0.10615195388934</c:v>
                </c:pt>
                <c:pt idx="194">
                  <c:v>0.106160044705038</c:v>
                </c:pt>
                <c:pt idx="195">
                  <c:v>0.106168139442805</c:v>
                </c:pt>
                <c:pt idx="196">
                  <c:v>0.106176238722063</c:v>
                </c:pt>
                <c:pt idx="197">
                  <c:v>0.106184343168276</c:v>
                </c:pt>
                <c:pt idx="198">
                  <c:v>0.10619245341332301</c:v>
                </c:pt>
                <c:pt idx="199">
                  <c:v>0.106200570095885</c:v>
                </c:pt>
                <c:pt idx="200">
                  <c:v>0.10620869386184199</c:v>
                </c:pt>
                <c:pt idx="201">
                  <c:v>0.10621682536468401</c:v>
                </c:pt>
                <c:pt idx="202">
                  <c:v>0.106224965265935</c:v>
                </c:pt>
                <c:pt idx="203">
                  <c:v>0.106233114235588</c:v>
                </c:pt>
                <c:pt idx="204">
                  <c:v>0.10624127295256</c:v>
                </c:pt>
                <c:pt idx="205">
                  <c:v>0.10624944210515699</c:v>
                </c:pt>
                <c:pt idx="206">
                  <c:v>0.106257622391562</c:v>
                </c:pt>
                <c:pt idx="207">
                  <c:v>0.106265814520335</c:v>
                </c:pt>
                <c:pt idx="208">
                  <c:v>0.106274019210935</c:v>
                </c:pt>
                <c:pt idx="209">
                  <c:v>0.10628223719426</c:v>
                </c:pt>
                <c:pt idx="210">
                  <c:v>0.106290469213214</c:v>
                </c:pt>
                <c:pt idx="211">
                  <c:v>0.106298716023284</c:v>
                </c:pt>
                <c:pt idx="212">
                  <c:v>0.106306978393155</c:v>
                </c:pt>
                <c:pt idx="213">
                  <c:v>0.106315257105341</c:v>
                </c:pt>
                <c:pt idx="214">
                  <c:v>0.10632355295684801</c:v>
                </c:pt>
                <c:pt idx="215">
                  <c:v>0.10633186675985799</c:v>
                </c:pt>
                <c:pt idx="216">
                  <c:v>0.10634019934245301</c:v>
                </c:pt>
                <c:pt idx="217">
                  <c:v>0.106348551549366</c:v>
                </c:pt>
                <c:pt idx="218">
                  <c:v>0.106356924242761</c:v>
                </c:pt>
                <c:pt idx="219">
                  <c:v>0.10636531830306099</c:v>
                </c:pt>
                <c:pt idx="220">
                  <c:v>0.106373734629807</c:v>
                </c:pt>
                <c:pt idx="221">
                  <c:v>0.10638217414255299</c:v>
                </c:pt>
                <c:pt idx="222">
                  <c:v>0.106390637781818</c:v>
                </c:pt>
                <c:pt idx="223">
                  <c:v>0.10639912651007299</c:v>
                </c:pt>
                <c:pt idx="224">
                  <c:v>0.10640764131277999</c:v>
                </c:pt>
                <c:pt idx="225">
                  <c:v>0.10641618319948901</c:v>
                </c:pt>
                <c:pt idx="226">
                  <c:v>0.106424753204983</c:v>
                </c:pt>
                <c:pt idx="227">
                  <c:v>0.10643335239049</c:v>
                </c:pt>
                <c:pt idx="228">
                  <c:v>0.106441981844954</c:v>
                </c:pt>
                <c:pt idx="229">
                  <c:v>0.106450642686375</c:v>
                </c:pt>
                <c:pt idx="230">
                  <c:v>0.10645933606322799</c:v>
                </c:pt>
                <c:pt idx="231">
                  <c:v>0.10646806315594901</c:v>
                </c:pt>
                <c:pt idx="232">
                  <c:v>0.106476825178516</c:v>
                </c:pt>
                <c:pt idx="233">
                  <c:v>0.10648562338011</c:v>
                </c:pt>
                <c:pt idx="234">
                  <c:v>0.106494459046881</c:v>
                </c:pt>
                <c:pt idx="235">
                  <c:v>0.106503333503809</c:v>
                </c:pt>
                <c:pt idx="236">
                  <c:v>0.10651224811667701</c:v>
                </c:pt>
                <c:pt idx="237">
                  <c:v>0.106521204294171</c:v>
                </c:pt>
                <c:pt idx="238">
                  <c:v>0.106530203490093</c:v>
                </c:pt>
                <c:pt idx="239">
                  <c:v>0.10653924720572699</c:v>
                </c:pt>
                <c:pt idx="240">
                  <c:v>0.106548336992338</c:v>
                </c:pt>
                <c:pt idx="241">
                  <c:v>0.106557474453844</c:v>
                </c:pt>
                <c:pt idx="242">
                  <c:v>0.106566661249652</c:v>
                </c:pt>
                <c:pt idx="243">
                  <c:v>0.10657589909767901</c:v>
                </c:pt>
                <c:pt idx="244">
                  <c:v>0.10658518977758299</c:v>
                </c:pt>
                <c:pt idx="245">
                  <c:v>0.106594535134197</c:v>
                </c:pt>
                <c:pt idx="246">
                  <c:v>0.106603937081217</c:v>
                </c:pt>
                <c:pt idx="247">
                  <c:v>0.106613397605125</c:v>
                </c:pt>
                <c:pt idx="248">
                  <c:v>0.10662291876941001</c:v>
                </c:pt>
                <c:pt idx="249">
                  <c:v>0.106632502719071</c:v>
                </c:pt>
                <c:pt idx="250">
                  <c:v>0.10664215168546599</c:v>
                </c:pt>
                <c:pt idx="251">
                  <c:v>0.106651867991505</c:v>
                </c:pt>
                <c:pt idx="252">
                  <c:v>0.106661654057239</c:v>
                </c:pt>
                <c:pt idx="253">
                  <c:v>0.106671512405876</c:v>
                </c:pt>
                <c:pt idx="254">
                  <c:v>0.106681445670259</c:v>
                </c:pt>
                <c:pt idx="255">
                  <c:v>0.106691456599855</c:v>
                </c:pt>
                <c:pt idx="256">
                  <c:v>0.10670154806830701</c:v>
                </c:pt>
                <c:pt idx="257">
                  <c:v>0.106711723081597</c:v>
                </c:pt>
                <c:pt idx="258">
                  <c:v>0.106721984786882</c:v>
                </c:pt>
                <c:pt idx="259">
                  <c:v>0.106732336482082</c:v>
                </c:pt>
                <c:pt idx="260">
                  <c:v>0.10674278162628199</c:v>
                </c:pt>
                <c:pt idx="261">
                  <c:v>0.106753323851043</c:v>
                </c:pt>
                <c:pt idx="262">
                  <c:v>0.106763966972719</c:v>
                </c:pt>
                <c:pt idx="263">
                  <c:v>0.10677471500588499</c:v>
                </c:pt>
                <c:pt idx="264">
                  <c:v>0.10678557217800599</c:v>
                </c:pt>
                <c:pt idx="265">
                  <c:v>0.106796542945475</c:v>
                </c:pt>
                <c:pt idx="266">
                  <c:v>0.10680763201119001</c:v>
                </c:pt>
                <c:pt idx="267">
                  <c:v>0.106818844343851</c:v>
                </c:pt>
                <c:pt idx="268">
                  <c:v>0.106830185199162</c:v>
                </c:pt>
                <c:pt idx="269">
                  <c:v>0.1068416601432</c:v>
                </c:pt>
                <c:pt idx="270">
                  <c:v>0.106853275078199</c:v>
                </c:pt>
                <c:pt idx="271">
                  <c:v>0.10686503627105901</c:v>
                </c:pt>
                <c:pt idx="272">
                  <c:v>0.106876950384948</c:v>
                </c:pt>
                <c:pt idx="273">
                  <c:v>0.10688902451438199</c:v>
                </c:pt>
                <c:pt idx="274">
                  <c:v>0.106901266224276</c:v>
                </c:pt>
                <c:pt idx="275">
                  <c:v>0.106913683593506</c:v>
                </c:pt>
                <c:pt idx="276">
                  <c:v>0.106926285263621</c:v>
                </c:pt>
                <c:pt idx="277">
                  <c:v>0.106939080493455</c:v>
                </c:pt>
                <c:pt idx="278">
                  <c:v>0.10695207922051</c:v>
                </c:pt>
                <c:pt idx="279">
                  <c:v>0.10696529213014599</c:v>
                </c:pt>
                <c:pt idx="280">
                  <c:v>0.106978730733797</c:v>
                </c:pt>
                <c:pt idx="281">
                  <c:v>0.106992407457646</c:v>
                </c:pt>
                <c:pt idx="282">
                  <c:v>0.107006335743491</c:v>
                </c:pt>
                <c:pt idx="283">
                  <c:v>0.10702053016384699</c:v>
                </c:pt>
                <c:pt idx="284">
                  <c:v>0.107035006553762</c:v>
                </c:pt>
                <c:pt idx="285">
                  <c:v>0.107049782162317</c:v>
                </c:pt>
                <c:pt idx="286">
                  <c:v>0.10706487582742701</c:v>
                </c:pt>
                <c:pt idx="287">
                  <c:v>0.107080308178348</c:v>
                </c:pt>
                <c:pt idx="288">
                  <c:v>0.10709610187127599</c:v>
                </c:pt>
                <c:pt idx="289">
                  <c:v>0.10711228186470099</c:v>
                </c:pt>
                <c:pt idx="290">
                  <c:v>0.107128875742745</c:v>
                </c:pt>
                <c:pt idx="291">
                  <c:v>0.107145914096787</c:v>
                </c:pt>
                <c:pt idx="292">
                  <c:v>0.10716343097827</c:v>
                </c:pt>
                <c:pt idx="293">
                  <c:v>0.10718146443905199</c:v>
                </c:pt>
                <c:pt idx="294">
                  <c:v>0.107200057180087</c:v>
                </c:pt>
                <c:pt idx="295">
                  <c:v>0.10721925733519</c:v>
                </c:pt>
                <c:pt idx="296">
                  <c:v>0.107239119424452</c:v>
                </c:pt>
                <c:pt idx="297">
                  <c:v>0.10725970552248799</c:v>
                </c:pt>
                <c:pt idx="298">
                  <c:v>0.107281086701057</c:v>
                </c:pt>
                <c:pt idx="299">
                  <c:v>0.10730334482520799</c:v>
                </c:pt>
                <c:pt idx="300">
                  <c:v>0.107326574809414</c:v>
                </c:pt>
                <c:pt idx="301">
                  <c:v>0.10735088747820599</c:v>
                </c:pt>
                <c:pt idx="302">
                  <c:v>0.10737641322982</c:v>
                </c:pt>
                <c:pt idx="303">
                  <c:v>0.107403306778537</c:v>
                </c:pt>
                <c:pt idx="304">
                  <c:v>0.10743175336319</c:v>
                </c:pt>
                <c:pt idx="305">
                  <c:v>0.107461976972791</c:v>
                </c:pt>
                <c:pt idx="306">
                  <c:v>0.107494251381856</c:v>
                </c:pt>
                <c:pt idx="307">
                  <c:v>0.107528915147976</c:v>
                </c:pt>
                <c:pt idx="308">
                  <c:v>0.107566392263413</c:v>
                </c:pt>
                <c:pt idx="309">
                  <c:v>0.10760722096054399</c:v>
                </c:pt>
                <c:pt idx="310">
                  <c:v>0.107652094373539</c:v>
                </c:pt>
                <c:pt idx="311">
                  <c:v>0.107701918517204</c:v>
                </c:pt>
                <c:pt idx="312">
                  <c:v>0.107757895545197</c:v>
                </c:pt>
                <c:pt idx="313">
                  <c:v>0.107821643761701</c:v>
                </c:pt>
                <c:pt idx="314">
                  <c:v>0.107895371464266</c:v>
                </c:pt>
                <c:pt idx="315">
                  <c:v>0.107982136054144</c:v>
                </c:pt>
                <c:pt idx="316">
                  <c:v>0.108086279484475</c:v>
                </c:pt>
                <c:pt idx="317">
                  <c:v>0.10821441051713999</c:v>
                </c:pt>
                <c:pt idx="318">
                  <c:v>0.108378611684964</c:v>
                </c:pt>
                <c:pt idx="319">
                  <c:v>0.10851279142848901</c:v>
                </c:pt>
                <c:pt idx="320">
                  <c:v>0.108646878508965</c:v>
                </c:pt>
                <c:pt idx="321">
                  <c:v>0.108781836007877</c:v>
                </c:pt>
                <c:pt idx="322">
                  <c:v>0.108917703938839</c:v>
                </c:pt>
                <c:pt idx="323">
                  <c:v>0.109054545173906</c:v>
                </c:pt>
                <c:pt idx="324">
                  <c:v>0.109192417872054</c:v>
                </c:pt>
                <c:pt idx="325">
                  <c:v>0.109331376964383</c:v>
                </c:pt>
                <c:pt idx="326">
                  <c:v>0.10947147454287399</c:v>
                </c:pt>
                <c:pt idx="327">
                  <c:v>0.109612760241196</c:v>
                </c:pt>
                <c:pt idx="328">
                  <c:v>0.10975528157779101</c:v>
                </c:pt>
                <c:pt idx="329">
                  <c:v>0.109899084266184</c:v>
                </c:pt>
                <c:pt idx="330">
                  <c:v>0.110044212495958</c:v>
                </c:pt>
                <c:pt idx="331">
                  <c:v>0.11019070918751001</c:v>
                </c:pt>
                <c:pt idx="332">
                  <c:v>0.11033861622334599</c:v>
                </c:pt>
                <c:pt idx="333">
                  <c:v>0.110487974658393</c:v>
                </c:pt>
                <c:pt idx="334">
                  <c:v>0.110638824911563</c:v>
                </c:pt>
                <c:pt idx="335">
                  <c:v>0.110791206940568</c:v>
                </c:pt>
                <c:pt idx="336">
                  <c:v>0.11094516040180299</c:v>
                </c:pt>
                <c:pt idx="337">
                  <c:v>0.11110072479692901</c:v>
                </c:pt>
                <c:pt idx="338">
                  <c:v>0.111257939607629</c:v>
                </c:pt>
                <c:pt idx="339">
                  <c:v>0.111416844419904</c:v>
                </c:pt>
                <c:pt idx="340">
                  <c:v>0.111577479039088</c:v>
                </c:pt>
                <c:pt idx="341">
                  <c:v>0.111739883596728</c:v>
                </c:pt>
                <c:pt idx="342">
                  <c:v>0.111904098650297</c:v>
                </c:pt>
                <c:pt idx="343">
                  <c:v>0.11207016527668</c:v>
                </c:pt>
                <c:pt idx="344">
                  <c:v>0.112238125160255</c:v>
                </c:pt>
                <c:pt idx="345">
                  <c:v>0.11240802067632299</c:v>
                </c:pt>
                <c:pt idx="346">
                  <c:v>0.11257989497059701</c:v>
                </c:pt>
                <c:pt idx="347">
                  <c:v>0.112753792035371</c:v>
                </c:pt>
                <c:pt idx="348">
                  <c:v>0.112929756782956</c:v>
                </c:pt>
                <c:pt idx="349">
                  <c:v>0.113107835116922</c:v>
                </c:pt>
                <c:pt idx="350">
                  <c:v>0.113288074001635</c:v>
                </c:pt>
                <c:pt idx="351">
                  <c:v>0.113470521530551</c:v>
                </c:pt>
                <c:pt idx="352">
                  <c:v>0.113655226993682</c:v>
                </c:pt>
                <c:pt idx="353">
                  <c:v>0.113842240944644</c:v>
                </c:pt>
                <c:pt idx="354">
                  <c:v>0.114031615267637</c:v>
                </c:pt>
                <c:pt idx="355">
                  <c:v>0.11422340324472501</c:v>
                </c:pt>
                <c:pt idx="356">
                  <c:v>0.11441765962373</c:v>
                </c:pt>
                <c:pt idx="357">
                  <c:v>0.114614440687063</c:v>
                </c:pt>
                <c:pt idx="358">
                  <c:v>0.114813804321789</c:v>
                </c:pt>
                <c:pt idx="359">
                  <c:v>0.22425676384167301</c:v>
                </c:pt>
                <c:pt idx="360">
                  <c:v>0.30704288935609397</c:v>
                </c:pt>
                <c:pt idx="361">
                  <c:v>0.30834090817871301</c:v>
                </c:pt>
                <c:pt idx="362">
                  <c:v>0.30921577139060102</c:v>
                </c:pt>
                <c:pt idx="363">
                  <c:v>0.31017471350345399</c:v>
                </c:pt>
                <c:pt idx="364">
                  <c:v>0.31131883897321</c:v>
                </c:pt>
                <c:pt idx="365">
                  <c:v>0.31289797505880901</c:v>
                </c:pt>
                <c:pt idx="366">
                  <c:v>0.51289797505880896</c:v>
                </c:pt>
                <c:pt idx="367">
                  <c:v>0.51289797505880896</c:v>
                </c:pt>
              </c:numCache>
            </c:numRef>
          </c:xVal>
          <c:yVal>
            <c:numRef>
              <c:f>Implicit_Fracs!$G$4:$G$371</c:f>
              <c:numCache>
                <c:formatCode>General</c:formatCode>
                <c:ptCount val="368"/>
                <c:pt idx="0" formatCode="0.00E+00">
                  <c:v>5.4210108624275198E-20</c:v>
                </c:pt>
                <c:pt idx="1">
                  <c:v>0</c:v>
                </c:pt>
                <c:pt idx="2">
                  <c:v>0</c:v>
                </c:pt>
                <c:pt idx="3" formatCode="0.00E+00">
                  <c:v>1.0842021724855E-19</c:v>
                </c:pt>
                <c:pt idx="4">
                  <c:v>0</c:v>
                </c:pt>
                <c:pt idx="5" formatCode="0.00E+00">
                  <c:v>1.0842021724855E-19</c:v>
                </c:pt>
                <c:pt idx="6" formatCode="0.00E+00">
                  <c:v>1.0842021724855E-19</c:v>
                </c:pt>
                <c:pt idx="7" formatCode="0.00E+00">
                  <c:v>1.0842021724855E-19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 formatCode="0.00E+00">
                  <c:v>1.0842021724855E-19</c:v>
                </c:pt>
                <c:pt idx="14">
                  <c:v>0</c:v>
                </c:pt>
                <c:pt idx="15" formatCode="0.00E+00">
                  <c:v>1.0842021724855E-19</c:v>
                </c:pt>
                <c:pt idx="16">
                  <c:v>0</c:v>
                </c:pt>
                <c:pt idx="17" formatCode="0.00E+00">
                  <c:v>1.0842021724855E-19</c:v>
                </c:pt>
                <c:pt idx="18">
                  <c:v>0</c:v>
                </c:pt>
                <c:pt idx="19" formatCode="0.00E+00">
                  <c:v>1.0842021724855E-19</c:v>
                </c:pt>
                <c:pt idx="20" formatCode="0.00E+00">
                  <c:v>1.0842021724855E-19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 formatCode="0.00E+00">
                  <c:v>1.0842021724855E-19</c:v>
                </c:pt>
                <c:pt idx="25">
                  <c:v>0</c:v>
                </c:pt>
                <c:pt idx="26">
                  <c:v>0</c:v>
                </c:pt>
                <c:pt idx="27" formatCode="0.00E+00">
                  <c:v>1.0842021724855E-19</c:v>
                </c:pt>
                <c:pt idx="28" formatCode="0.00E+00">
                  <c:v>1.0842021724855E-19</c:v>
                </c:pt>
                <c:pt idx="29">
                  <c:v>0</c:v>
                </c:pt>
                <c:pt idx="30" formatCode="0.00E+00">
                  <c:v>1.0842021724855E-19</c:v>
                </c:pt>
                <c:pt idx="31">
                  <c:v>0</c:v>
                </c:pt>
                <c:pt idx="32" formatCode="0.00E+00">
                  <c:v>1.0842021724855E-19</c:v>
                </c:pt>
                <c:pt idx="33" formatCode="0.00E+00">
                  <c:v>1.0842021724855E-19</c:v>
                </c:pt>
                <c:pt idx="34">
                  <c:v>0</c:v>
                </c:pt>
                <c:pt idx="35">
                  <c:v>0</c:v>
                </c:pt>
                <c:pt idx="36" formatCode="0.00E+00">
                  <c:v>1.0842021724855E-19</c:v>
                </c:pt>
                <c:pt idx="37">
                  <c:v>0</c:v>
                </c:pt>
                <c:pt idx="38">
                  <c:v>0</c:v>
                </c:pt>
                <c:pt idx="39" formatCode="0.00E+00">
                  <c:v>1.0842021724855E-19</c:v>
                </c:pt>
                <c:pt idx="40">
                  <c:v>0</c:v>
                </c:pt>
                <c:pt idx="41" formatCode="0.00E+00">
                  <c:v>1.0842021724855E-19</c:v>
                </c:pt>
                <c:pt idx="42" formatCode="0.00E+00">
                  <c:v>1.0842021724855E-19</c:v>
                </c:pt>
                <c:pt idx="43">
                  <c:v>0</c:v>
                </c:pt>
                <c:pt idx="44">
                  <c:v>0</c:v>
                </c:pt>
                <c:pt idx="45" formatCode="0.00E+00">
                  <c:v>1.0842021724855E-19</c:v>
                </c:pt>
                <c:pt idx="46">
                  <c:v>0</c:v>
                </c:pt>
                <c:pt idx="47">
                  <c:v>0</c:v>
                </c:pt>
                <c:pt idx="48" formatCode="0.00E+00">
                  <c:v>1.0842021724855E-19</c:v>
                </c:pt>
                <c:pt idx="49" formatCode="0.00E+00">
                  <c:v>1.0842021724855E-19</c:v>
                </c:pt>
                <c:pt idx="50" formatCode="0.00E+00">
                  <c:v>1.0842021724855E-19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 formatCode="0.00E+00">
                  <c:v>1.0842021724855E-19</c:v>
                </c:pt>
                <c:pt idx="56">
                  <c:v>0</c:v>
                </c:pt>
                <c:pt idx="57">
                  <c:v>0</c:v>
                </c:pt>
                <c:pt idx="58" formatCode="0.00E+00">
                  <c:v>1.0842021724855E-19</c:v>
                </c:pt>
                <c:pt idx="59">
                  <c:v>0</c:v>
                </c:pt>
                <c:pt idx="60">
                  <c:v>0</c:v>
                </c:pt>
                <c:pt idx="61" formatCode="0.00E+00">
                  <c:v>1.0842021724855E-19</c:v>
                </c:pt>
                <c:pt idx="62" formatCode="0.00E+00">
                  <c:v>1.0842021724855E-19</c:v>
                </c:pt>
                <c:pt idx="63">
                  <c:v>0</c:v>
                </c:pt>
                <c:pt idx="64">
                  <c:v>0</c:v>
                </c:pt>
                <c:pt idx="65" formatCode="0.00E+00">
                  <c:v>1.0842021724855E-19</c:v>
                </c:pt>
                <c:pt idx="66">
                  <c:v>0</c:v>
                </c:pt>
                <c:pt idx="67" formatCode="0.00E+00">
                  <c:v>1.0842021724855E-19</c:v>
                </c:pt>
                <c:pt idx="68">
                  <c:v>0</c:v>
                </c:pt>
                <c:pt idx="69">
                  <c:v>0</c:v>
                </c:pt>
                <c:pt idx="70" formatCode="0.00E+00">
                  <c:v>1.0842021724855E-19</c:v>
                </c:pt>
                <c:pt idx="71" formatCode="0.00E+00">
                  <c:v>1.0842021724855E-19</c:v>
                </c:pt>
                <c:pt idx="72" formatCode="0.00E+00">
                  <c:v>1.0842021724855E-19</c:v>
                </c:pt>
                <c:pt idx="73">
                  <c:v>0</c:v>
                </c:pt>
                <c:pt idx="74" formatCode="0.00E+00">
                  <c:v>1.0842021724855E-19</c:v>
                </c:pt>
                <c:pt idx="75" formatCode="0.00E+00">
                  <c:v>1.0842021724855E-19</c:v>
                </c:pt>
                <c:pt idx="76" formatCode="0.00E+00">
                  <c:v>1.0842021724855E-19</c:v>
                </c:pt>
                <c:pt idx="77">
                  <c:v>0</c:v>
                </c:pt>
                <c:pt idx="78" formatCode="0.00E+00">
                  <c:v>1.0842021724855E-19</c:v>
                </c:pt>
                <c:pt idx="79" formatCode="0.00E+00">
                  <c:v>1.0842021724855E-19</c:v>
                </c:pt>
                <c:pt idx="80" formatCode="0.00E+00">
                  <c:v>1.0842021724855E-19</c:v>
                </c:pt>
                <c:pt idx="81" formatCode="0.00E+00">
                  <c:v>1.0842021724855E-19</c:v>
                </c:pt>
                <c:pt idx="82">
                  <c:v>0</c:v>
                </c:pt>
                <c:pt idx="83" formatCode="0.00E+00">
                  <c:v>1.0842021724855E-19</c:v>
                </c:pt>
                <c:pt idx="84" formatCode="0.00E+00">
                  <c:v>1.0842021724855E-19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 formatCode="0.00E+00">
                  <c:v>1.0842021724855E-19</c:v>
                </c:pt>
                <c:pt idx="92">
                  <c:v>0</c:v>
                </c:pt>
                <c:pt idx="93" formatCode="0.00E+00">
                  <c:v>1.0842021724855E-19</c:v>
                </c:pt>
                <c:pt idx="94" formatCode="0.00E+00">
                  <c:v>1.0842021724855E-19</c:v>
                </c:pt>
                <c:pt idx="95" formatCode="0.00E+00">
                  <c:v>1.0842021724855E-19</c:v>
                </c:pt>
                <c:pt idx="96">
                  <c:v>0</c:v>
                </c:pt>
                <c:pt idx="97" formatCode="0.00E+00">
                  <c:v>1.0842021724855E-19</c:v>
                </c:pt>
                <c:pt idx="98">
                  <c:v>0</c:v>
                </c:pt>
                <c:pt idx="99">
                  <c:v>0</c:v>
                </c:pt>
                <c:pt idx="100" formatCode="0.00E+00">
                  <c:v>1.0842021724855E-19</c:v>
                </c:pt>
                <c:pt idx="101" formatCode="0.00E+00">
                  <c:v>1.0842021724855E-19</c:v>
                </c:pt>
                <c:pt idx="102" formatCode="0.00E+00">
                  <c:v>1.0842021724855E-19</c:v>
                </c:pt>
                <c:pt idx="103" formatCode="0.00E+00">
                  <c:v>1.0842021724855E-19</c:v>
                </c:pt>
                <c:pt idx="104" formatCode="0.00E+00">
                  <c:v>1.0842021724855E-19</c:v>
                </c:pt>
                <c:pt idx="105" formatCode="0.00E+00">
                  <c:v>1.0842021724855E-19</c:v>
                </c:pt>
                <c:pt idx="106">
                  <c:v>0</c:v>
                </c:pt>
                <c:pt idx="107" formatCode="0.00E+00">
                  <c:v>1.0842021724855E-19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 formatCode="0.00E+00">
                  <c:v>1.0842021724855E-19</c:v>
                </c:pt>
                <c:pt idx="113" formatCode="0.00E+00">
                  <c:v>1.0842021724855E-19</c:v>
                </c:pt>
                <c:pt idx="114" formatCode="0.00E+00">
                  <c:v>1.0842021724855E-19</c:v>
                </c:pt>
                <c:pt idx="115" formatCode="0.00E+00">
                  <c:v>1.0842021724855E-19</c:v>
                </c:pt>
                <c:pt idx="116">
                  <c:v>0</c:v>
                </c:pt>
                <c:pt idx="117">
                  <c:v>0</c:v>
                </c:pt>
                <c:pt idx="118" formatCode="0.00E+00">
                  <c:v>1.0842021724855E-19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 formatCode="0.00E+00">
                  <c:v>1.0842021724855E-19</c:v>
                </c:pt>
                <c:pt idx="127" formatCode="0.00E+00">
                  <c:v>1.0842021724855E-19</c:v>
                </c:pt>
                <c:pt idx="128">
                  <c:v>0</c:v>
                </c:pt>
                <c:pt idx="129" formatCode="0.00E+00">
                  <c:v>1.0842021724855E-19</c:v>
                </c:pt>
                <c:pt idx="130" formatCode="0.00E+00">
                  <c:v>1.0842021724855E-19</c:v>
                </c:pt>
                <c:pt idx="131">
                  <c:v>0</c:v>
                </c:pt>
                <c:pt idx="132" formatCode="0.00E+00">
                  <c:v>1.0842021724855E-19</c:v>
                </c:pt>
                <c:pt idx="133" formatCode="0.00E+00">
                  <c:v>1.0842021724855E-19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 formatCode="0.00E+00">
                  <c:v>1.0842021724855E-19</c:v>
                </c:pt>
                <c:pt idx="139" formatCode="0.00E+00">
                  <c:v>1.0842021724855E-19</c:v>
                </c:pt>
                <c:pt idx="140">
                  <c:v>0</c:v>
                </c:pt>
                <c:pt idx="141" formatCode="0.00E+00">
                  <c:v>1.0842021724855E-19</c:v>
                </c:pt>
                <c:pt idx="142" formatCode="0.00E+00">
                  <c:v>1.0842021724855E-19</c:v>
                </c:pt>
                <c:pt idx="143" formatCode="0.00E+00">
                  <c:v>1.0842021724855E-19</c:v>
                </c:pt>
                <c:pt idx="144" formatCode="0.00E+00">
                  <c:v>1.0842021724855E-19</c:v>
                </c:pt>
                <c:pt idx="145">
                  <c:v>0</c:v>
                </c:pt>
                <c:pt idx="146" formatCode="0.00E+00">
                  <c:v>1.0842021724855E-19</c:v>
                </c:pt>
                <c:pt idx="147" formatCode="0.00E+00">
                  <c:v>1.0842021724855E-19</c:v>
                </c:pt>
                <c:pt idx="148" formatCode="0.00E+00">
                  <c:v>1.0842021724855E-19</c:v>
                </c:pt>
                <c:pt idx="149" formatCode="0.00E+00">
                  <c:v>1.0842021724855E-19</c:v>
                </c:pt>
                <c:pt idx="150">
                  <c:v>0</c:v>
                </c:pt>
                <c:pt idx="151" formatCode="0.00E+00">
                  <c:v>1.0842021724855E-19</c:v>
                </c:pt>
                <c:pt idx="152">
                  <c:v>0</c:v>
                </c:pt>
                <c:pt idx="153" formatCode="0.00E+00">
                  <c:v>1.0842021724855E-19</c:v>
                </c:pt>
                <c:pt idx="154" formatCode="0.00E+00">
                  <c:v>1.0842021724855E-19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 formatCode="0.00E+00">
                  <c:v>1.0842021724855E-19</c:v>
                </c:pt>
                <c:pt idx="159" formatCode="0.00E+00">
                  <c:v>1.0842021724855E-19</c:v>
                </c:pt>
                <c:pt idx="160" formatCode="0.00E+00">
                  <c:v>1.0842021724855E-19</c:v>
                </c:pt>
                <c:pt idx="161" formatCode="0.00E+00">
                  <c:v>1.0842021724855E-19</c:v>
                </c:pt>
                <c:pt idx="162" formatCode="0.00E+00">
                  <c:v>1.0842021724855E-19</c:v>
                </c:pt>
                <c:pt idx="163" formatCode="0.00E+00">
                  <c:v>1.0842021724855E-19</c:v>
                </c:pt>
                <c:pt idx="164" formatCode="0.00E+00">
                  <c:v>1.0842021724855E-19</c:v>
                </c:pt>
                <c:pt idx="165" formatCode="0.00E+00">
                  <c:v>1.0842021724855E-19</c:v>
                </c:pt>
                <c:pt idx="166">
                  <c:v>0</c:v>
                </c:pt>
                <c:pt idx="167" formatCode="0.00E+00">
                  <c:v>1.0842021724855E-19</c:v>
                </c:pt>
                <c:pt idx="168" formatCode="0.00E+00">
                  <c:v>1.0842021724855E-19</c:v>
                </c:pt>
                <c:pt idx="169">
                  <c:v>0</c:v>
                </c:pt>
                <c:pt idx="170" formatCode="0.00E+00">
                  <c:v>1.0842021724855E-19</c:v>
                </c:pt>
                <c:pt idx="171" formatCode="0.00E+00">
                  <c:v>1.0842021724855E-19</c:v>
                </c:pt>
                <c:pt idx="172" formatCode="0.00E+00">
                  <c:v>1.0842021724855E-19</c:v>
                </c:pt>
                <c:pt idx="173" formatCode="0.00E+00">
                  <c:v>1.0842021724855E-19</c:v>
                </c:pt>
                <c:pt idx="174" formatCode="0.00E+00">
                  <c:v>1.0842021724855E-19</c:v>
                </c:pt>
                <c:pt idx="175" formatCode="0.00E+00">
                  <c:v>1.0842021724855E-19</c:v>
                </c:pt>
                <c:pt idx="176">
                  <c:v>0</c:v>
                </c:pt>
                <c:pt idx="177">
                  <c:v>0</c:v>
                </c:pt>
                <c:pt idx="178" formatCode="0.00E+00">
                  <c:v>1.0842021724855E-19</c:v>
                </c:pt>
                <c:pt idx="179" formatCode="0.00E+00">
                  <c:v>1.0842021724855E-19</c:v>
                </c:pt>
                <c:pt idx="180">
                  <c:v>0</c:v>
                </c:pt>
                <c:pt idx="181" formatCode="0.00E+00">
                  <c:v>1.0842021724855E-19</c:v>
                </c:pt>
                <c:pt idx="182" formatCode="0.00E+00">
                  <c:v>1.0842021724855E-19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 formatCode="0.00E+00">
                  <c:v>1.0842021724855E-19</c:v>
                </c:pt>
                <c:pt idx="189" formatCode="0.00E+00">
                  <c:v>1.0842021724855E-19</c:v>
                </c:pt>
                <c:pt idx="190">
                  <c:v>0</c:v>
                </c:pt>
                <c:pt idx="191">
                  <c:v>0</c:v>
                </c:pt>
                <c:pt idx="192" formatCode="0.00E+00">
                  <c:v>1.0842021724855E-19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 formatCode="0.00E+00">
                  <c:v>1.0842021724855E-19</c:v>
                </c:pt>
                <c:pt idx="197">
                  <c:v>0</c:v>
                </c:pt>
                <c:pt idx="198" formatCode="0.00E+00">
                  <c:v>1.0842021724855E-19</c:v>
                </c:pt>
                <c:pt idx="199">
                  <c:v>0</c:v>
                </c:pt>
                <c:pt idx="200">
                  <c:v>0</c:v>
                </c:pt>
                <c:pt idx="201" formatCode="0.00E+00">
                  <c:v>1.0842021724855E-19</c:v>
                </c:pt>
                <c:pt idx="202">
                  <c:v>0</c:v>
                </c:pt>
                <c:pt idx="203" formatCode="0.00E+00">
                  <c:v>1.0842021724855E-19</c:v>
                </c:pt>
                <c:pt idx="204">
                  <c:v>0</c:v>
                </c:pt>
                <c:pt idx="205" formatCode="0.00E+00">
                  <c:v>1.0842021724855E-19</c:v>
                </c:pt>
                <c:pt idx="206">
                  <c:v>0</c:v>
                </c:pt>
                <c:pt idx="207" formatCode="0.00E+00">
                  <c:v>1.0842021724855E-19</c:v>
                </c:pt>
                <c:pt idx="208" formatCode="0.00E+00">
                  <c:v>1.0842021724855E-19</c:v>
                </c:pt>
                <c:pt idx="209">
                  <c:v>0</c:v>
                </c:pt>
                <c:pt idx="210" formatCode="0.00E+00">
                  <c:v>1.0842021724855E-19</c:v>
                </c:pt>
                <c:pt idx="211" formatCode="0.00E+00">
                  <c:v>1.0842021724855E-19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 formatCode="0.00E+00">
                  <c:v>1.0842021724855E-19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 formatCode="0.00E+00">
                  <c:v>1.0842021724855E-19</c:v>
                </c:pt>
                <c:pt idx="223" formatCode="0.00E+00">
                  <c:v>1.0842021724855E-19</c:v>
                </c:pt>
                <c:pt idx="224" formatCode="0.00E+00">
                  <c:v>1.0842021724855E-19</c:v>
                </c:pt>
                <c:pt idx="225" formatCode="0.00E+00">
                  <c:v>1.0842021724855E-19</c:v>
                </c:pt>
                <c:pt idx="226" formatCode="0.00E+00">
                  <c:v>1.0842021724855E-19</c:v>
                </c:pt>
                <c:pt idx="227">
                  <c:v>0</c:v>
                </c:pt>
                <c:pt idx="228">
                  <c:v>0</c:v>
                </c:pt>
                <c:pt idx="229" formatCode="0.00E+00">
                  <c:v>1.0842021724855E-19</c:v>
                </c:pt>
                <c:pt idx="230" formatCode="0.00E+00">
                  <c:v>1.0842021724855E-19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 formatCode="0.00E+00">
                  <c:v>1.0842021724855E-19</c:v>
                </c:pt>
                <c:pt idx="235">
                  <c:v>0</c:v>
                </c:pt>
                <c:pt idx="236" formatCode="0.00E+00">
                  <c:v>1.0842021724855E-19</c:v>
                </c:pt>
                <c:pt idx="237" formatCode="0.00E+00">
                  <c:v>1.0842021724855E-19</c:v>
                </c:pt>
                <c:pt idx="238" formatCode="0.00E+00">
                  <c:v>1.0842021724855E-19</c:v>
                </c:pt>
                <c:pt idx="239" formatCode="0.00E+00">
                  <c:v>1.0842021724855E-19</c:v>
                </c:pt>
                <c:pt idx="240">
                  <c:v>0</c:v>
                </c:pt>
                <c:pt idx="241" formatCode="0.00E+00">
                  <c:v>1.0842021724855E-19</c:v>
                </c:pt>
                <c:pt idx="242">
                  <c:v>0</c:v>
                </c:pt>
                <c:pt idx="243" formatCode="0.00E+00">
                  <c:v>1.0842021724855E-19</c:v>
                </c:pt>
                <c:pt idx="244" formatCode="0.00E+00">
                  <c:v>1.0842021724855E-19</c:v>
                </c:pt>
                <c:pt idx="245" formatCode="0.00E+00">
                  <c:v>1.0842021724855E-19</c:v>
                </c:pt>
                <c:pt idx="246" formatCode="0.00E+00">
                  <c:v>1.0842021724855E-19</c:v>
                </c:pt>
                <c:pt idx="247">
                  <c:v>0</c:v>
                </c:pt>
                <c:pt idx="248">
                  <c:v>0</c:v>
                </c:pt>
                <c:pt idx="249" formatCode="0.00E+00">
                  <c:v>1.0842021724855E-19</c:v>
                </c:pt>
                <c:pt idx="250" formatCode="0.00E+00">
                  <c:v>1.0842021724855E-19</c:v>
                </c:pt>
                <c:pt idx="251">
                  <c:v>0</c:v>
                </c:pt>
                <c:pt idx="252">
                  <c:v>0</c:v>
                </c:pt>
                <c:pt idx="253" formatCode="0.00E+00">
                  <c:v>1.0842021724855E-19</c:v>
                </c:pt>
                <c:pt idx="254" formatCode="0.00E+00">
                  <c:v>1.0842021724855E-19</c:v>
                </c:pt>
                <c:pt idx="255">
                  <c:v>0</c:v>
                </c:pt>
                <c:pt idx="256">
                  <c:v>0</c:v>
                </c:pt>
                <c:pt idx="257" formatCode="0.00E+00">
                  <c:v>1.0842021724855E-19</c:v>
                </c:pt>
                <c:pt idx="258">
                  <c:v>0</c:v>
                </c:pt>
                <c:pt idx="259" formatCode="0.00E+00">
                  <c:v>1.0842021724855E-19</c:v>
                </c:pt>
                <c:pt idx="260">
                  <c:v>0</c:v>
                </c:pt>
                <c:pt idx="261">
                  <c:v>0</c:v>
                </c:pt>
                <c:pt idx="262" formatCode="0.00E+00">
                  <c:v>1.0842021724855E-19</c:v>
                </c:pt>
                <c:pt idx="263" formatCode="0.00E+00">
                  <c:v>1.0842021724855E-19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 formatCode="0.00E+00">
                  <c:v>1.0842021724855E-19</c:v>
                </c:pt>
                <c:pt idx="268">
                  <c:v>0</c:v>
                </c:pt>
                <c:pt idx="269" formatCode="0.00E+00">
                  <c:v>1.0842021724855E-19</c:v>
                </c:pt>
                <c:pt idx="270" formatCode="0.00E+00">
                  <c:v>1.0842021724855E-19</c:v>
                </c:pt>
                <c:pt idx="271">
                  <c:v>0</c:v>
                </c:pt>
                <c:pt idx="272">
                  <c:v>0</c:v>
                </c:pt>
                <c:pt idx="273" formatCode="0.00E+00">
                  <c:v>1.0842021724855E-19</c:v>
                </c:pt>
                <c:pt idx="274">
                  <c:v>0</c:v>
                </c:pt>
                <c:pt idx="275" formatCode="0.00E+00">
                  <c:v>1.0842021724855E-19</c:v>
                </c:pt>
                <c:pt idx="276" formatCode="0.00E+00">
                  <c:v>1.0842021724855E-19</c:v>
                </c:pt>
                <c:pt idx="277" formatCode="0.00E+00">
                  <c:v>1.0842021724855E-19</c:v>
                </c:pt>
                <c:pt idx="278">
                  <c:v>0</c:v>
                </c:pt>
                <c:pt idx="279" formatCode="0.00E+00">
                  <c:v>1.0842021724855E-19</c:v>
                </c:pt>
                <c:pt idx="280" formatCode="0.00E+00">
                  <c:v>1.0842021724855E-19</c:v>
                </c:pt>
                <c:pt idx="281" formatCode="0.00E+00">
                  <c:v>1.0842021724855E-19</c:v>
                </c:pt>
                <c:pt idx="282">
                  <c:v>0</c:v>
                </c:pt>
                <c:pt idx="283">
                  <c:v>0</c:v>
                </c:pt>
                <c:pt idx="284" formatCode="0.00E+00">
                  <c:v>1.0842021724855E-19</c:v>
                </c:pt>
                <c:pt idx="285" formatCode="0.00E+00">
                  <c:v>1.0842021724855E-19</c:v>
                </c:pt>
                <c:pt idx="286">
                  <c:v>0</c:v>
                </c:pt>
                <c:pt idx="287">
                  <c:v>0</c:v>
                </c:pt>
                <c:pt idx="288" formatCode="0.00E+00">
                  <c:v>1.0842021724855E-19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 formatCode="0.00E+00">
                  <c:v>1.0842021724855E-19</c:v>
                </c:pt>
                <c:pt idx="296">
                  <c:v>0</c:v>
                </c:pt>
                <c:pt idx="297">
                  <c:v>0</c:v>
                </c:pt>
                <c:pt idx="298" formatCode="0.00E+00">
                  <c:v>1.0842021724855E-19</c:v>
                </c:pt>
                <c:pt idx="299">
                  <c:v>0</c:v>
                </c:pt>
                <c:pt idx="300" formatCode="0.00E+00">
                  <c:v>1.0842021724855E-19</c:v>
                </c:pt>
                <c:pt idx="301" formatCode="0.00E+00">
                  <c:v>1.0842021724855E-19</c:v>
                </c:pt>
                <c:pt idx="302" formatCode="0.00E+00">
                  <c:v>1.0842021724855E-19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 formatCode="0.00E+00">
                  <c:v>1.0842021724855E-19</c:v>
                </c:pt>
                <c:pt idx="307">
                  <c:v>0</c:v>
                </c:pt>
                <c:pt idx="308">
                  <c:v>0</c:v>
                </c:pt>
                <c:pt idx="309" formatCode="0.00E+00">
                  <c:v>1.0842021724855E-19</c:v>
                </c:pt>
                <c:pt idx="310">
                  <c:v>0</c:v>
                </c:pt>
                <c:pt idx="311">
                  <c:v>0</c:v>
                </c:pt>
                <c:pt idx="312" formatCode="0.00E+00">
                  <c:v>1.0842021724855E-19</c:v>
                </c:pt>
                <c:pt idx="313" formatCode="0.00E+00">
                  <c:v>1.0842021724855E-19</c:v>
                </c:pt>
                <c:pt idx="314" formatCode="0.00E+00">
                  <c:v>1.0842021724855E-19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 formatCode="0.00E+00">
                  <c:v>1.0842021724855E-19</c:v>
                </c:pt>
                <c:pt idx="319">
                  <c:v>0</c:v>
                </c:pt>
                <c:pt idx="320" formatCode="0.00E+00">
                  <c:v>1.0842021724855E-19</c:v>
                </c:pt>
                <c:pt idx="321" formatCode="0.00E+00">
                  <c:v>1.0842021724855E-19</c:v>
                </c:pt>
                <c:pt idx="322" formatCode="0.00E+00">
                  <c:v>1.0842021724855E-19</c:v>
                </c:pt>
                <c:pt idx="323">
                  <c:v>0</c:v>
                </c:pt>
                <c:pt idx="324" formatCode="0.00E+00">
                  <c:v>1.0842021724855E-19</c:v>
                </c:pt>
                <c:pt idx="325">
                  <c:v>0</c:v>
                </c:pt>
                <c:pt idx="326">
                  <c:v>0</c:v>
                </c:pt>
                <c:pt idx="327" formatCode="0.00E+00">
                  <c:v>1.0842021724855E-19</c:v>
                </c:pt>
                <c:pt idx="328">
                  <c:v>0</c:v>
                </c:pt>
                <c:pt idx="329">
                  <c:v>0</c:v>
                </c:pt>
                <c:pt idx="330" formatCode="0.00E+00">
                  <c:v>1.0842021724855E-19</c:v>
                </c:pt>
                <c:pt idx="331">
                  <c:v>0</c:v>
                </c:pt>
                <c:pt idx="332" formatCode="0.00E+00">
                  <c:v>1.0842021724855E-19</c:v>
                </c:pt>
                <c:pt idx="333">
                  <c:v>0</c:v>
                </c:pt>
                <c:pt idx="334" formatCode="0.00E+00">
                  <c:v>1.0842021724855E-19</c:v>
                </c:pt>
                <c:pt idx="335" formatCode="0.00E+00">
                  <c:v>1.0842021724855E-19</c:v>
                </c:pt>
                <c:pt idx="336">
                  <c:v>0</c:v>
                </c:pt>
                <c:pt idx="337" formatCode="0.00E+00">
                  <c:v>1.0842021724855E-19</c:v>
                </c:pt>
                <c:pt idx="338">
                  <c:v>0</c:v>
                </c:pt>
                <c:pt idx="339" formatCode="0.00E+00">
                  <c:v>1.0842021724855E-19</c:v>
                </c:pt>
                <c:pt idx="340" formatCode="0.00E+00">
                  <c:v>1.0842021724855E-19</c:v>
                </c:pt>
                <c:pt idx="341" formatCode="0.00E+00">
                  <c:v>1.0842021724855E-19</c:v>
                </c:pt>
                <c:pt idx="342">
                  <c:v>0</c:v>
                </c:pt>
                <c:pt idx="343" formatCode="0.00E+00">
                  <c:v>1.0842021724855E-19</c:v>
                </c:pt>
                <c:pt idx="344" formatCode="0.00E+00">
                  <c:v>1.0842021724855E-19</c:v>
                </c:pt>
                <c:pt idx="345" formatCode="0.00E+00">
                  <c:v>1.0842021724855E-19</c:v>
                </c:pt>
                <c:pt idx="346" formatCode="0.00E+00">
                  <c:v>1.0842021724855E-19</c:v>
                </c:pt>
                <c:pt idx="347" formatCode="0.00E+00">
                  <c:v>1.0842021724855E-19</c:v>
                </c:pt>
                <c:pt idx="348" formatCode="0.00E+00">
                  <c:v>1.0842021724855E-19</c:v>
                </c:pt>
                <c:pt idx="349" formatCode="0.00E+00">
                  <c:v>1.0842021724855E-19</c:v>
                </c:pt>
                <c:pt idx="350">
                  <c:v>0</c:v>
                </c:pt>
                <c:pt idx="351" formatCode="0.00E+00">
                  <c:v>1.0842021724855E-19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 formatCode="0.00E+00">
                  <c:v>1.0842021724855E-19</c:v>
                </c:pt>
                <c:pt idx="356" formatCode="0.00E+00">
                  <c:v>1.0842021724855E-19</c:v>
                </c:pt>
                <c:pt idx="357" formatCode="0.00E+00">
                  <c:v>1.0842021724855E-19</c:v>
                </c:pt>
                <c:pt idx="358">
                  <c:v>0</c:v>
                </c:pt>
                <c:pt idx="359" formatCode="0.00E+00">
                  <c:v>4.3368086899420197E-19</c:v>
                </c:pt>
                <c:pt idx="360" formatCode="0.00E+00">
                  <c:v>4.3368086899420197E-19</c:v>
                </c:pt>
                <c:pt idx="361" formatCode="0.00E+00">
                  <c:v>2.1684043449710098E-19</c:v>
                </c:pt>
                <c:pt idx="362" formatCode="0.00E+00">
                  <c:v>4.3368086899420197E-19</c:v>
                </c:pt>
                <c:pt idx="363" formatCode="0.00E+00">
                  <c:v>2.1684043449710098E-19</c:v>
                </c:pt>
                <c:pt idx="364" formatCode="0.00E+00">
                  <c:v>4.3368086899420197E-19</c:v>
                </c:pt>
                <c:pt idx="365" formatCode="0.00E+00">
                  <c:v>4.3368086899420197E-19</c:v>
                </c:pt>
                <c:pt idx="366">
                  <c:v>0</c:v>
                </c:pt>
                <c:pt idx="3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F17-4E86-8435-030297F54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48904"/>
        <c:axId val="736549296"/>
      </c:scatterChart>
      <c:scatterChart>
        <c:scatterStyle val="lineMarker"/>
        <c:varyColors val="0"/>
        <c:ser>
          <c:idx val="6"/>
          <c:order val="2"/>
          <c:tx>
            <c:strRef>
              <c:f>Implicit_Fracs!$H$1</c:f>
              <c:strCache>
                <c:ptCount val="1"/>
                <c:pt idx="0">
                  <c:v>FS HMin Dip 90deg</c:v>
                </c:pt>
              </c:strCache>
            </c:strRef>
          </c:tx>
          <c:spPr>
            <a:ln>
              <a:solidFill>
                <a:schemeClr val="accent1"/>
              </a:solidFill>
              <a:prstDash val="dash"/>
            </a:ln>
          </c:spPr>
          <c:marker>
            <c:symbol val="none"/>
          </c:marker>
          <c:xVal>
            <c:numRef>
              <c:f>Implicit_Fracs!$C$3:$C$371</c:f>
              <c:numCache>
                <c:formatCode>General</c:formatCode>
                <c:ptCount val="369"/>
                <c:pt idx="0">
                  <c:v>0</c:v>
                </c:pt>
                <c:pt idx="1">
                  <c:v>6.5458908507104702E-2</c:v>
                </c:pt>
                <c:pt idx="2">
                  <c:v>0.10158646265419501</c:v>
                </c:pt>
                <c:pt idx="3">
                  <c:v>0.102060105178604</c:v>
                </c:pt>
                <c:pt idx="4">
                  <c:v>0.102354758409441</c:v>
                </c:pt>
                <c:pt idx="5">
                  <c:v>0.10257003610151801</c:v>
                </c:pt>
                <c:pt idx="6">
                  <c:v>0.102740146597483</c:v>
                </c:pt>
                <c:pt idx="7">
                  <c:v>0.10288102093448701</c:v>
                </c:pt>
                <c:pt idx="8">
                  <c:v>0.10300139565401099</c:v>
                </c:pt>
                <c:pt idx="9">
                  <c:v>0.10310658737638601</c:v>
                </c:pt>
                <c:pt idx="10">
                  <c:v>0.103200075337502</c:v>
                </c:pt>
                <c:pt idx="11">
                  <c:v>0.103284262204</c:v>
                </c:pt>
                <c:pt idx="12">
                  <c:v>0.103360877526633</c:v>
                </c:pt>
                <c:pt idx="13">
                  <c:v>0.103431208153653</c:v>
                </c:pt>
                <c:pt idx="14">
                  <c:v>0.103496237708407</c:v>
                </c:pt>
                <c:pt idx="15">
                  <c:v>0.103556735084609</c:v>
                </c:pt>
                <c:pt idx="16">
                  <c:v>0.103613312816801</c:v>
                </c:pt>
                <c:pt idx="17">
                  <c:v>0.103666466857375</c:v>
                </c:pt>
                <c:pt idx="18">
                  <c:v>0.10371660444741999</c:v>
                </c:pt>
                <c:pt idx="19">
                  <c:v>0.10376406411969299</c:v>
                </c:pt>
                <c:pt idx="20">
                  <c:v>0.10380913035858701</c:v>
                </c:pt>
                <c:pt idx="21">
                  <c:v>0.103852044544123</c:v>
                </c:pt>
                <c:pt idx="22">
                  <c:v>0.103893013256558</c:v>
                </c:pt>
                <c:pt idx="23">
                  <c:v>0.103932214670875</c:v>
                </c:pt>
                <c:pt idx="24">
                  <c:v>0.10396980354554</c:v>
                </c:pt>
                <c:pt idx="25">
                  <c:v>0.104005915161023</c:v>
                </c:pt>
                <c:pt idx="26">
                  <c:v>0.10404066846285701</c:v>
                </c:pt>
                <c:pt idx="27">
                  <c:v>0.104074168594671</c:v>
                </c:pt>
                <c:pt idx="28">
                  <c:v>0.10410650895807599</c:v>
                </c:pt>
                <c:pt idx="29">
                  <c:v>0.10413777290170501</c:v>
                </c:pt>
                <c:pt idx="30">
                  <c:v>0.104168035116796</c:v>
                </c:pt>
                <c:pt idx="31">
                  <c:v>0.104197362798492</c:v>
                </c:pt>
                <c:pt idx="32">
                  <c:v>0.104225816618547</c:v>
                </c:pt>
                <c:pt idx="33">
                  <c:v>0.104253451545067</c:v>
                </c:pt>
                <c:pt idx="34">
                  <c:v>0.104280317537286</c:v>
                </c:pt>
                <c:pt idx="35">
                  <c:v>0.10430646013757899</c:v>
                </c:pt>
                <c:pt idx="36">
                  <c:v>0.10433192097843901</c:v>
                </c:pt>
                <c:pt idx="37">
                  <c:v>0.104356738218675</c:v>
                </c:pt>
                <c:pt idx="38">
                  <c:v>0.10438094692038</c:v>
                </c:pt>
                <c:pt idx="39">
                  <c:v>0.104404579376061</c:v>
                </c:pt>
                <c:pt idx="40">
                  <c:v>0.10442766539470601</c:v>
                </c:pt>
                <c:pt idx="41">
                  <c:v>0.104450232550895</c:v>
                </c:pt>
                <c:pt idx="42">
                  <c:v>0.104472306403378</c:v>
                </c:pt>
                <c:pt idx="43">
                  <c:v>0.104493910687546</c:v>
                </c:pt>
                <c:pt idx="44">
                  <c:v>0.104515067485448</c:v>
                </c:pt>
                <c:pt idx="45">
                  <c:v>0.104535797376425</c:v>
                </c:pt>
                <c:pt idx="46">
                  <c:v>0.104556119570968</c:v>
                </c:pt>
                <c:pt idx="47">
                  <c:v>0.10457605202998201</c:v>
                </c:pt>
                <c:pt idx="48">
                  <c:v>0.10459561157132601</c:v>
                </c:pt>
                <c:pt idx="49">
                  <c:v>0.10461481396524</c:v>
                </c:pt>
                <c:pt idx="50">
                  <c:v>0.104633674020002</c:v>
                </c:pt>
                <c:pt idx="51">
                  <c:v>0.104652205659008</c:v>
                </c:pt>
                <c:pt idx="52">
                  <c:v>0.10467042199028</c:v>
                </c:pt>
                <c:pt idx="53">
                  <c:v>0.10468833536927501</c:v>
                </c:pt>
                <c:pt idx="54">
                  <c:v>0.104705957455764</c:v>
                </c:pt>
                <c:pt idx="55">
                  <c:v>0.104723299265432</c:v>
                </c:pt>
                <c:pt idx="56">
                  <c:v>0.10474037121678501</c:v>
                </c:pt>
                <c:pt idx="57">
                  <c:v>0.104757183173858</c:v>
                </c:pt>
                <c:pt idx="58">
                  <c:v>0.10477374448518</c:v>
                </c:pt>
                <c:pt idx="59">
                  <c:v>0.104790064019366</c:v>
                </c:pt>
                <c:pt idx="60">
                  <c:v>0.10480615019770299</c:v>
                </c:pt>
                <c:pt idx="61">
                  <c:v>0.104822011024007</c:v>
                </c:pt>
                <c:pt idx="62">
                  <c:v>0.10483765411203801</c:v>
                </c:pt>
                <c:pt idx="63">
                  <c:v>0.104853086710699</c:v>
                </c:pt>
                <c:pt idx="64">
                  <c:v>0.10486831572724099</c:v>
                </c:pt>
                <c:pt idx="65">
                  <c:v>0.104883347748643</c:v>
                </c:pt>
                <c:pt idx="66">
                  <c:v>0.104898189061358</c:v>
                </c:pt>
                <c:pt idx="67">
                  <c:v>0.104912845669559</c:v>
                </c:pt>
                <c:pt idx="68">
                  <c:v>0.10492732331202199</c:v>
                </c:pt>
                <c:pt idx="69">
                  <c:v>0.10494162747777</c:v>
                </c:pt>
                <c:pt idx="70">
                  <c:v>0.10495576342058401</c:v>
                </c:pt>
                <c:pt idx="71">
                  <c:v>0.104969736172476</c:v>
                </c:pt>
                <c:pt idx="72">
                  <c:v>0.104983550556215</c:v>
                </c:pt>
                <c:pt idx="73">
                  <c:v>0.104997211196988</c:v>
                </c:pt>
                <c:pt idx="74">
                  <c:v>0.105010722533251</c:v>
                </c:pt>
                <c:pt idx="75">
                  <c:v>0.10502408882686499</c:v>
                </c:pt>
                <c:pt idx="76">
                  <c:v>0.105037314172539</c:v>
                </c:pt>
                <c:pt idx="77">
                  <c:v>0.10505040250667</c:v>
                </c:pt>
                <c:pt idx="78">
                  <c:v>0.105063357615594</c:v>
                </c:pt>
                <c:pt idx="79">
                  <c:v>0.105076183143323</c:v>
                </c:pt>
                <c:pt idx="80">
                  <c:v>0.10508888259878001</c:v>
                </c:pt>
                <c:pt idx="81">
                  <c:v>0.105101459362598</c:v>
                </c:pt>
                <c:pt idx="82">
                  <c:v>0.10511391669348399</c:v>
                </c:pt>
                <c:pt idx="83">
                  <c:v>0.10512625773421</c:v>
                </c:pt>
                <c:pt idx="84">
                  <c:v>0.10513848551723599</c:v>
                </c:pt>
                <c:pt idx="85">
                  <c:v>0.10515060297000201</c:v>
                </c:pt>
                <c:pt idx="86">
                  <c:v>0.105162612919908</c:v>
                </c:pt>
                <c:pt idx="87">
                  <c:v>0.105174518099013</c:v>
                </c:pt>
                <c:pt idx="88">
                  <c:v>0.105186321148453</c:v>
                </c:pt>
                <c:pt idx="89">
                  <c:v>0.105198024622616</c:v>
                </c:pt>
                <c:pt idx="90">
                  <c:v>0.105209630993088</c:v>
                </c:pt>
                <c:pt idx="91">
                  <c:v>0.10522114265237301</c:v>
                </c:pt>
                <c:pt idx="92">
                  <c:v>0.105232561917411</c:v>
                </c:pt>
                <c:pt idx="93">
                  <c:v>0.105243891032912</c:v>
                </c:pt>
                <c:pt idx="94">
                  <c:v>0.105255132174505</c:v>
                </c:pt>
                <c:pt idx="95">
                  <c:v>0.10526628745172401</c:v>
                </c:pt>
                <c:pt idx="96">
                  <c:v>0.105277358910841</c:v>
                </c:pt>
                <c:pt idx="97">
                  <c:v>0.105288348537545</c:v>
                </c:pt>
                <c:pt idx="98">
                  <c:v>0.10529925825949001</c:v>
                </c:pt>
                <c:pt idx="99">
                  <c:v>0.105310089948715</c:v>
                </c:pt>
                <c:pt idx="100">
                  <c:v>0.10532084542394</c:v>
                </c:pt>
                <c:pt idx="101">
                  <c:v>0.105331526452749</c:v>
                </c:pt>
                <c:pt idx="102">
                  <c:v>0.10534213475366599</c:v>
                </c:pt>
                <c:pt idx="103">
                  <c:v>0.105352671998135</c:v>
                </c:pt>
                <c:pt idx="104">
                  <c:v>0.105363139812398</c:v>
                </c:pt>
                <c:pt idx="105">
                  <c:v>0.10537353977929</c:v>
                </c:pt>
                <c:pt idx="106">
                  <c:v>0.105383873439947</c:v>
                </c:pt>
                <c:pt idx="107">
                  <c:v>0.105394142295438</c:v>
                </c:pt>
                <c:pt idx="108">
                  <c:v>0.10540434780831399</c:v>
                </c:pt>
                <c:pt idx="109">
                  <c:v>0.1054144914041</c:v>
                </c:pt>
                <c:pt idx="110">
                  <c:v>0.105424574472708</c:v>
                </c:pt>
                <c:pt idx="111">
                  <c:v>0.10543459836979301</c:v>
                </c:pt>
                <c:pt idx="112">
                  <c:v>0.105444564418049</c:v>
                </c:pt>
                <c:pt idx="113">
                  <c:v>0.105454473908448</c:v>
                </c:pt>
                <c:pt idx="114">
                  <c:v>0.105464328101426</c:v>
                </c:pt>
                <c:pt idx="115">
                  <c:v>0.10547412822802001</c:v>
                </c:pt>
                <c:pt idx="116">
                  <c:v>0.10548387549095201</c:v>
                </c:pt>
                <c:pt idx="117">
                  <c:v>0.105493571065675</c:v>
                </c:pt>
                <c:pt idx="118">
                  <c:v>0.105503216101374</c:v>
                </c:pt>
                <c:pt idx="119">
                  <c:v>0.10551281172191999</c:v>
                </c:pt>
                <c:pt idx="120">
                  <c:v>0.10552235902679701</c:v>
                </c:pt>
                <c:pt idx="121">
                  <c:v>0.105531859091982</c:v>
                </c:pt>
                <c:pt idx="122">
                  <c:v>0.105541312970793</c:v>
                </c:pt>
                <c:pt idx="123">
                  <c:v>0.105550721694713</c:v>
                </c:pt>
                <c:pt idx="124">
                  <c:v>0.10556008627416701</c:v>
                </c:pt>
                <c:pt idx="125">
                  <c:v>0.105569407699282</c:v>
                </c:pt>
                <c:pt idx="126">
                  <c:v>0.105578686940613</c:v>
                </c:pt>
                <c:pt idx="127">
                  <c:v>0.10558792494984499</c:v>
                </c:pt>
                <c:pt idx="128">
                  <c:v>0.105597122660464</c:v>
                </c:pt>
                <c:pt idx="129">
                  <c:v>0.105606280988415</c:v>
                </c:pt>
                <c:pt idx="130">
                  <c:v>0.105615400832723</c:v>
                </c:pt>
                <c:pt idx="131">
                  <c:v>0.10562448307610101</c:v>
                </c:pt>
                <c:pt idx="132">
                  <c:v>0.105633528585537</c:v>
                </c:pt>
                <c:pt idx="133">
                  <c:v>0.105642538212856</c:v>
                </c:pt>
                <c:pt idx="134">
                  <c:v>0.10565151279527001</c:v>
                </c:pt>
                <c:pt idx="135">
                  <c:v>0.105660453155901</c:v>
                </c:pt>
                <c:pt idx="136">
                  <c:v>0.1056693601043</c:v>
                </c:pt>
                <c:pt idx="137">
                  <c:v>0.105678234436935</c:v>
                </c:pt>
                <c:pt idx="138">
                  <c:v>0.105687076937673</c:v>
                </c:pt>
                <c:pt idx="139">
                  <c:v>0.10569588837824601</c:v>
                </c:pt>
                <c:pt idx="140">
                  <c:v>0.105704669518702</c:v>
                </c:pt>
                <c:pt idx="141">
                  <c:v>0.105713421107842</c:v>
                </c:pt>
                <c:pt idx="142">
                  <c:v>0.105722143883642</c:v>
                </c:pt>
                <c:pt idx="143">
                  <c:v>0.10573083857367301</c:v>
                </c:pt>
                <c:pt idx="144">
                  <c:v>0.10573950589549699</c:v>
                </c:pt>
                <c:pt idx="145">
                  <c:v>0.105748146557059</c:v>
                </c:pt>
                <c:pt idx="146">
                  <c:v>0.105756761257069</c:v>
                </c:pt>
                <c:pt idx="147">
                  <c:v>0.105765350685371</c:v>
                </c:pt>
                <c:pt idx="148">
                  <c:v>0.10577391552330601</c:v>
                </c:pt>
                <c:pt idx="149">
                  <c:v>0.105782456444064</c:v>
                </c:pt>
                <c:pt idx="150">
                  <c:v>0.105790974113029</c:v>
                </c:pt>
                <c:pt idx="151">
                  <c:v>0.105799469188117</c:v>
                </c:pt>
                <c:pt idx="152">
                  <c:v>0.105807942320102</c:v>
                </c:pt>
                <c:pt idx="153">
                  <c:v>0.105816394152941</c:v>
                </c:pt>
                <c:pt idx="154">
                  <c:v>0.10582482532409</c:v>
                </c:pt>
                <c:pt idx="155">
                  <c:v>0.10583323646481201</c:v>
                </c:pt>
                <c:pt idx="156">
                  <c:v>0.105841628200482</c:v>
                </c:pt>
                <c:pt idx="157">
                  <c:v>0.105850001150887</c:v>
                </c:pt>
                <c:pt idx="158">
                  <c:v>0.105858355930516</c:v>
                </c:pt>
                <c:pt idx="159">
                  <c:v>0.105866693148851</c:v>
                </c:pt>
                <c:pt idx="160">
                  <c:v>0.105875013410654</c:v>
                </c:pt>
                <c:pt idx="161">
                  <c:v>0.10588331731624</c:v>
                </c:pt>
                <c:pt idx="162">
                  <c:v>0.105891605461765</c:v>
                </c:pt>
                <c:pt idx="163">
                  <c:v>0.10589987843948701</c:v>
                </c:pt>
                <c:pt idx="164">
                  <c:v>0.10590813683804701</c:v>
                </c:pt>
                <c:pt idx="165">
                  <c:v>0.10591638124273201</c:v>
                </c:pt>
                <c:pt idx="166">
                  <c:v>0.105924612235738</c:v>
                </c:pt>
                <c:pt idx="167">
                  <c:v>0.10593283039644</c:v>
                </c:pt>
                <c:pt idx="168">
                  <c:v>0.105941036301648</c:v>
                </c:pt>
                <c:pt idx="169">
                  <c:v>0.10594923052586901</c:v>
                </c:pt>
                <c:pt idx="170">
                  <c:v>0.105957413641566</c:v>
                </c:pt>
                <c:pt idx="171">
                  <c:v>0.105965586219415</c:v>
                </c:pt>
                <c:pt idx="172">
                  <c:v>0.105973748828566</c:v>
                </c:pt>
                <c:pt idx="173">
                  <c:v>0.10598190203689301</c:v>
                </c:pt>
                <c:pt idx="174">
                  <c:v>0.105990046411258</c:v>
                </c:pt>
                <c:pt idx="175">
                  <c:v>0.10599818251776701</c:v>
                </c:pt>
                <c:pt idx="176">
                  <c:v>0.106006310922025</c:v>
                </c:pt>
                <c:pt idx="177">
                  <c:v>0.106014432189397</c:v>
                </c:pt>
                <c:pt idx="178">
                  <c:v>0.106022546885271</c:v>
                </c:pt>
                <c:pt idx="179">
                  <c:v>0.10603065557531401</c:v>
                </c:pt>
                <c:pt idx="180">
                  <c:v>0.10603875882574</c:v>
                </c:pt>
                <c:pt idx="181">
                  <c:v>0.106046857203577</c:v>
                </c:pt>
                <c:pt idx="182">
                  <c:v>0.106054951276932</c:v>
                </c:pt>
                <c:pt idx="183">
                  <c:v>0.106063041615263</c:v>
                </c:pt>
                <c:pt idx="184">
                  <c:v>0.10607112878965499</c:v>
                </c:pt>
                <c:pt idx="185">
                  <c:v>0.106079213373101</c:v>
                </c:pt>
                <c:pt idx="186">
                  <c:v>0.106087295940776</c:v>
                </c:pt>
                <c:pt idx="187">
                  <c:v>0.10609537707033299</c:v>
                </c:pt>
                <c:pt idx="188">
                  <c:v>0.106103457342189</c:v>
                </c:pt>
                <c:pt idx="189">
                  <c:v>0.106111537339822</c:v>
                </c:pt>
                <c:pt idx="190">
                  <c:v>0.10611961765007601</c:v>
                </c:pt>
                <c:pt idx="191">
                  <c:v>0.106127698863465</c:v>
                </c:pt>
                <c:pt idx="192">
                  <c:v>0.10613578157449099</c:v>
                </c:pt>
                <c:pt idx="193">
                  <c:v>0.106143866381966</c:v>
                </c:pt>
                <c:pt idx="194">
                  <c:v>0.10615195388934</c:v>
                </c:pt>
                <c:pt idx="195">
                  <c:v>0.106160044705038</c:v>
                </c:pt>
                <c:pt idx="196">
                  <c:v>0.106168139442805</c:v>
                </c:pt>
                <c:pt idx="197">
                  <c:v>0.106176238722063</c:v>
                </c:pt>
                <c:pt idx="198">
                  <c:v>0.106184343168276</c:v>
                </c:pt>
                <c:pt idx="199">
                  <c:v>0.10619245341332301</c:v>
                </c:pt>
                <c:pt idx="200">
                  <c:v>0.106200570095885</c:v>
                </c:pt>
                <c:pt idx="201">
                  <c:v>0.10620869386184199</c:v>
                </c:pt>
                <c:pt idx="202">
                  <c:v>0.10621682536468401</c:v>
                </c:pt>
                <c:pt idx="203">
                  <c:v>0.106224965265935</c:v>
                </c:pt>
                <c:pt idx="204">
                  <c:v>0.106233114235588</c:v>
                </c:pt>
                <c:pt idx="205">
                  <c:v>0.10624127295256</c:v>
                </c:pt>
                <c:pt idx="206">
                  <c:v>0.10624944210515699</c:v>
                </c:pt>
                <c:pt idx="207">
                  <c:v>0.106257622391562</c:v>
                </c:pt>
                <c:pt idx="208">
                  <c:v>0.106265814520335</c:v>
                </c:pt>
                <c:pt idx="209">
                  <c:v>0.106274019210935</c:v>
                </c:pt>
                <c:pt idx="210">
                  <c:v>0.10628223719426</c:v>
                </c:pt>
                <c:pt idx="211">
                  <c:v>0.106290469213214</c:v>
                </c:pt>
                <c:pt idx="212">
                  <c:v>0.106298716023284</c:v>
                </c:pt>
                <c:pt idx="213">
                  <c:v>0.106306978393155</c:v>
                </c:pt>
                <c:pt idx="214">
                  <c:v>0.106315257105341</c:v>
                </c:pt>
                <c:pt idx="215">
                  <c:v>0.10632355295684801</c:v>
                </c:pt>
                <c:pt idx="216">
                  <c:v>0.10633186675985799</c:v>
                </c:pt>
                <c:pt idx="217">
                  <c:v>0.10634019934245301</c:v>
                </c:pt>
                <c:pt idx="218">
                  <c:v>0.106348551549366</c:v>
                </c:pt>
                <c:pt idx="219">
                  <c:v>0.106356924242761</c:v>
                </c:pt>
                <c:pt idx="220">
                  <c:v>0.10636531830306099</c:v>
                </c:pt>
                <c:pt idx="221">
                  <c:v>0.106373734629807</c:v>
                </c:pt>
                <c:pt idx="222">
                  <c:v>0.10638217414255299</c:v>
                </c:pt>
                <c:pt idx="223">
                  <c:v>0.106390637781818</c:v>
                </c:pt>
                <c:pt idx="224">
                  <c:v>0.10639912651007299</c:v>
                </c:pt>
                <c:pt idx="225">
                  <c:v>0.10640764131277999</c:v>
                </c:pt>
                <c:pt idx="226">
                  <c:v>0.10641618319948901</c:v>
                </c:pt>
                <c:pt idx="227">
                  <c:v>0.106424753204983</c:v>
                </c:pt>
                <c:pt idx="228">
                  <c:v>0.10643335239049</c:v>
                </c:pt>
                <c:pt idx="229">
                  <c:v>0.106441981844954</c:v>
                </c:pt>
                <c:pt idx="230">
                  <c:v>0.106450642686375</c:v>
                </c:pt>
                <c:pt idx="231">
                  <c:v>0.10645933606322799</c:v>
                </c:pt>
                <c:pt idx="232">
                  <c:v>0.10646806315594901</c:v>
                </c:pt>
                <c:pt idx="233">
                  <c:v>0.106476825178516</c:v>
                </c:pt>
                <c:pt idx="234">
                  <c:v>0.10648562338011</c:v>
                </c:pt>
                <c:pt idx="235">
                  <c:v>0.106494459046881</c:v>
                </c:pt>
                <c:pt idx="236">
                  <c:v>0.106503333503809</c:v>
                </c:pt>
                <c:pt idx="237">
                  <c:v>0.10651224811667701</c:v>
                </c:pt>
                <c:pt idx="238">
                  <c:v>0.106521204294171</c:v>
                </c:pt>
                <c:pt idx="239">
                  <c:v>0.106530203490093</c:v>
                </c:pt>
                <c:pt idx="240">
                  <c:v>0.10653924720572699</c:v>
                </c:pt>
                <c:pt idx="241">
                  <c:v>0.106548336992338</c:v>
                </c:pt>
                <c:pt idx="242">
                  <c:v>0.106557474453844</c:v>
                </c:pt>
                <c:pt idx="243">
                  <c:v>0.106566661249652</c:v>
                </c:pt>
                <c:pt idx="244">
                  <c:v>0.10657589909767901</c:v>
                </c:pt>
                <c:pt idx="245">
                  <c:v>0.10658518977758299</c:v>
                </c:pt>
                <c:pt idx="246">
                  <c:v>0.106594535134197</c:v>
                </c:pt>
                <c:pt idx="247">
                  <c:v>0.106603937081217</c:v>
                </c:pt>
                <c:pt idx="248">
                  <c:v>0.106613397605125</c:v>
                </c:pt>
                <c:pt idx="249">
                  <c:v>0.10662291876941001</c:v>
                </c:pt>
                <c:pt idx="250">
                  <c:v>0.106632502719071</c:v>
                </c:pt>
                <c:pt idx="251">
                  <c:v>0.10664215168546599</c:v>
                </c:pt>
                <c:pt idx="252">
                  <c:v>0.106651867991505</c:v>
                </c:pt>
                <c:pt idx="253">
                  <c:v>0.106661654057239</c:v>
                </c:pt>
                <c:pt idx="254">
                  <c:v>0.106671512405876</c:v>
                </c:pt>
                <c:pt idx="255">
                  <c:v>0.106681445670259</c:v>
                </c:pt>
                <c:pt idx="256">
                  <c:v>0.106691456599855</c:v>
                </c:pt>
                <c:pt idx="257">
                  <c:v>0.10670154806830701</c:v>
                </c:pt>
                <c:pt idx="258">
                  <c:v>0.106711723081597</c:v>
                </c:pt>
                <c:pt idx="259">
                  <c:v>0.106721984786882</c:v>
                </c:pt>
                <c:pt idx="260">
                  <c:v>0.106732336482082</c:v>
                </c:pt>
                <c:pt idx="261">
                  <c:v>0.10674278162628199</c:v>
                </c:pt>
                <c:pt idx="262">
                  <c:v>0.106753323851043</c:v>
                </c:pt>
                <c:pt idx="263">
                  <c:v>0.106763966972719</c:v>
                </c:pt>
                <c:pt idx="264">
                  <c:v>0.10677471500588499</c:v>
                </c:pt>
                <c:pt idx="265">
                  <c:v>0.10678557217800599</c:v>
                </c:pt>
                <c:pt idx="266">
                  <c:v>0.106796542945475</c:v>
                </c:pt>
                <c:pt idx="267">
                  <c:v>0.10680763201119001</c:v>
                </c:pt>
                <c:pt idx="268">
                  <c:v>0.106818844343851</c:v>
                </c:pt>
                <c:pt idx="269">
                  <c:v>0.106830185199162</c:v>
                </c:pt>
                <c:pt idx="270">
                  <c:v>0.1068416601432</c:v>
                </c:pt>
                <c:pt idx="271">
                  <c:v>0.106853275078199</c:v>
                </c:pt>
                <c:pt idx="272">
                  <c:v>0.10686503627105901</c:v>
                </c:pt>
                <c:pt idx="273">
                  <c:v>0.106876950384948</c:v>
                </c:pt>
                <c:pt idx="274">
                  <c:v>0.10688902451438199</c:v>
                </c:pt>
                <c:pt idx="275">
                  <c:v>0.106901266224276</c:v>
                </c:pt>
                <c:pt idx="276">
                  <c:v>0.106913683593506</c:v>
                </c:pt>
                <c:pt idx="277">
                  <c:v>0.106926285263621</c:v>
                </c:pt>
                <c:pt idx="278">
                  <c:v>0.106939080493455</c:v>
                </c:pt>
                <c:pt idx="279">
                  <c:v>0.10695207922051</c:v>
                </c:pt>
                <c:pt idx="280">
                  <c:v>0.10696529213014599</c:v>
                </c:pt>
                <c:pt idx="281">
                  <c:v>0.106978730733797</c:v>
                </c:pt>
                <c:pt idx="282">
                  <c:v>0.106992407457646</c:v>
                </c:pt>
                <c:pt idx="283">
                  <c:v>0.107006335743491</c:v>
                </c:pt>
                <c:pt idx="284">
                  <c:v>0.10702053016384699</c:v>
                </c:pt>
                <c:pt idx="285">
                  <c:v>0.107035006553762</c:v>
                </c:pt>
                <c:pt idx="286">
                  <c:v>0.107049782162317</c:v>
                </c:pt>
                <c:pt idx="287">
                  <c:v>0.10706487582742701</c:v>
                </c:pt>
                <c:pt idx="288">
                  <c:v>0.107080308178348</c:v>
                </c:pt>
                <c:pt idx="289">
                  <c:v>0.10709610187127599</c:v>
                </c:pt>
                <c:pt idx="290">
                  <c:v>0.10711228186470099</c:v>
                </c:pt>
                <c:pt idx="291">
                  <c:v>0.107128875742745</c:v>
                </c:pt>
                <c:pt idx="292">
                  <c:v>0.107145914096787</c:v>
                </c:pt>
                <c:pt idx="293">
                  <c:v>0.10716343097827</c:v>
                </c:pt>
                <c:pt idx="294">
                  <c:v>0.10718146443905199</c:v>
                </c:pt>
                <c:pt idx="295">
                  <c:v>0.107200057180087</c:v>
                </c:pt>
                <c:pt idx="296">
                  <c:v>0.10721925733519</c:v>
                </c:pt>
                <c:pt idx="297">
                  <c:v>0.107239119424452</c:v>
                </c:pt>
                <c:pt idx="298">
                  <c:v>0.10725970552248799</c:v>
                </c:pt>
                <c:pt idx="299">
                  <c:v>0.107281086701057</c:v>
                </c:pt>
                <c:pt idx="300">
                  <c:v>0.10730334482520799</c:v>
                </c:pt>
                <c:pt idx="301">
                  <c:v>0.107326574809414</c:v>
                </c:pt>
                <c:pt idx="302">
                  <c:v>0.10735088747820599</c:v>
                </c:pt>
                <c:pt idx="303">
                  <c:v>0.10737641322982</c:v>
                </c:pt>
                <c:pt idx="304">
                  <c:v>0.107403306778537</c:v>
                </c:pt>
                <c:pt idx="305">
                  <c:v>0.10743175336319</c:v>
                </c:pt>
                <c:pt idx="306">
                  <c:v>0.107461976972791</c:v>
                </c:pt>
                <c:pt idx="307">
                  <c:v>0.107494251381856</c:v>
                </c:pt>
                <c:pt idx="308">
                  <c:v>0.107528915147976</c:v>
                </c:pt>
                <c:pt idx="309">
                  <c:v>0.107566392263413</c:v>
                </c:pt>
                <c:pt idx="310">
                  <c:v>0.10760722096054399</c:v>
                </c:pt>
                <c:pt idx="311">
                  <c:v>0.107652094373539</c:v>
                </c:pt>
                <c:pt idx="312">
                  <c:v>0.107701918517204</c:v>
                </c:pt>
                <c:pt idx="313">
                  <c:v>0.107757895545197</c:v>
                </c:pt>
                <c:pt idx="314">
                  <c:v>0.107821643761701</c:v>
                </c:pt>
                <c:pt idx="315">
                  <c:v>0.107895371464266</c:v>
                </c:pt>
                <c:pt idx="316">
                  <c:v>0.107982136054144</c:v>
                </c:pt>
                <c:pt idx="317">
                  <c:v>0.108086279484475</c:v>
                </c:pt>
                <c:pt idx="318">
                  <c:v>0.10821441051713999</c:v>
                </c:pt>
                <c:pt idx="319">
                  <c:v>0.108378611684964</c:v>
                </c:pt>
                <c:pt idx="320">
                  <c:v>0.10851279142848901</c:v>
                </c:pt>
                <c:pt idx="321">
                  <c:v>0.108646878508965</c:v>
                </c:pt>
                <c:pt idx="322">
                  <c:v>0.108781836007877</c:v>
                </c:pt>
                <c:pt idx="323">
                  <c:v>0.108917703938839</c:v>
                </c:pt>
                <c:pt idx="324">
                  <c:v>0.109054545173906</c:v>
                </c:pt>
                <c:pt idx="325">
                  <c:v>0.109192417872054</c:v>
                </c:pt>
                <c:pt idx="326">
                  <c:v>0.109331376964383</c:v>
                </c:pt>
                <c:pt idx="327">
                  <c:v>0.10947147454287399</c:v>
                </c:pt>
                <c:pt idx="328">
                  <c:v>0.109612760241196</c:v>
                </c:pt>
                <c:pt idx="329">
                  <c:v>0.10975528157779101</c:v>
                </c:pt>
                <c:pt idx="330">
                  <c:v>0.109899084266184</c:v>
                </c:pt>
                <c:pt idx="331">
                  <c:v>0.110044212495958</c:v>
                </c:pt>
                <c:pt idx="332">
                  <c:v>0.11019070918751001</c:v>
                </c:pt>
                <c:pt idx="333">
                  <c:v>0.11033861622334599</c:v>
                </c:pt>
                <c:pt idx="334">
                  <c:v>0.110487974658393</c:v>
                </c:pt>
                <c:pt idx="335">
                  <c:v>0.110638824911563</c:v>
                </c:pt>
                <c:pt idx="336">
                  <c:v>0.110791206940568</c:v>
                </c:pt>
                <c:pt idx="337">
                  <c:v>0.11094516040180299</c:v>
                </c:pt>
                <c:pt idx="338">
                  <c:v>0.11110072479692901</c:v>
                </c:pt>
                <c:pt idx="339">
                  <c:v>0.111257939607629</c:v>
                </c:pt>
                <c:pt idx="340">
                  <c:v>0.111416844419904</c:v>
                </c:pt>
                <c:pt idx="341">
                  <c:v>0.111577479039088</c:v>
                </c:pt>
                <c:pt idx="342">
                  <c:v>0.111739883596728</c:v>
                </c:pt>
                <c:pt idx="343">
                  <c:v>0.111904098650297</c:v>
                </c:pt>
                <c:pt idx="344">
                  <c:v>0.11207016527668</c:v>
                </c:pt>
                <c:pt idx="345">
                  <c:v>0.112238125160255</c:v>
                </c:pt>
                <c:pt idx="346">
                  <c:v>0.11240802067632299</c:v>
                </c:pt>
                <c:pt idx="347">
                  <c:v>0.11257989497059701</c:v>
                </c:pt>
                <c:pt idx="348">
                  <c:v>0.112753792035371</c:v>
                </c:pt>
                <c:pt idx="349">
                  <c:v>0.112929756782956</c:v>
                </c:pt>
                <c:pt idx="350">
                  <c:v>0.113107835116922</c:v>
                </c:pt>
                <c:pt idx="351">
                  <c:v>0.113288074001635</c:v>
                </c:pt>
                <c:pt idx="352">
                  <c:v>0.113470521530551</c:v>
                </c:pt>
                <c:pt idx="353">
                  <c:v>0.113655226993682</c:v>
                </c:pt>
                <c:pt idx="354">
                  <c:v>0.113842240944644</c:v>
                </c:pt>
                <c:pt idx="355">
                  <c:v>0.114031615267637</c:v>
                </c:pt>
                <c:pt idx="356">
                  <c:v>0.11422340324472501</c:v>
                </c:pt>
                <c:pt idx="357">
                  <c:v>0.11441765962373</c:v>
                </c:pt>
                <c:pt idx="358">
                  <c:v>0.114614440687063</c:v>
                </c:pt>
                <c:pt idx="359">
                  <c:v>0.114813804321789</c:v>
                </c:pt>
                <c:pt idx="360">
                  <c:v>0.22425676384167301</c:v>
                </c:pt>
                <c:pt idx="361">
                  <c:v>0.30704288935609397</c:v>
                </c:pt>
                <c:pt idx="362">
                  <c:v>0.30834090817871301</c:v>
                </c:pt>
                <c:pt idx="363">
                  <c:v>0.30921577139060102</c:v>
                </c:pt>
                <c:pt idx="364">
                  <c:v>0.31017471350345399</c:v>
                </c:pt>
                <c:pt idx="365">
                  <c:v>0.31131883897321</c:v>
                </c:pt>
                <c:pt idx="366">
                  <c:v>0.31289797505880901</c:v>
                </c:pt>
                <c:pt idx="367">
                  <c:v>0.51289797505880896</c:v>
                </c:pt>
                <c:pt idx="368">
                  <c:v>0.51289797505880896</c:v>
                </c:pt>
              </c:numCache>
            </c:numRef>
          </c:xVal>
          <c:yVal>
            <c:numRef>
              <c:f>Implicit_Fracs!$I$3:$I$371</c:f>
              <c:numCache>
                <c:formatCode>General</c:formatCode>
                <c:ptCount val="36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2062754.2940676699</c:v>
                </c:pt>
                <c:pt idx="362">
                  <c:v>2081709.12689723</c:v>
                </c:pt>
                <c:pt idx="363">
                  <c:v>2094401.7482618999</c:v>
                </c:pt>
                <c:pt idx="364">
                  <c:v>2108253.3390522902</c:v>
                </c:pt>
                <c:pt idx="365">
                  <c:v>2124700.6002974999</c:v>
                </c:pt>
                <c:pt idx="366">
                  <c:v>2147271.4508185498</c:v>
                </c:pt>
                <c:pt idx="367">
                  <c:v>4983333.3333333302</c:v>
                </c:pt>
                <c:pt idx="368">
                  <c:v>4983333.3333333395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F17-4E86-8435-030297F544E3}"/>
            </c:ext>
          </c:extLst>
        </c:ser>
        <c:ser>
          <c:idx val="7"/>
          <c:order val="3"/>
          <c:tx>
            <c:strRef>
              <c:f>Implicit_Fracs!$AJ$1</c:f>
              <c:strCache>
                <c:ptCount val="1"/>
                <c:pt idx="0">
                  <c:v>FS HMax Dip 90deg</c:v>
                </c:pt>
              </c:strCache>
            </c:strRef>
          </c:tx>
          <c:spPr>
            <a:ln>
              <a:solidFill>
                <a:schemeClr val="accent2"/>
              </a:solidFill>
              <a:prstDash val="dash"/>
            </a:ln>
          </c:spPr>
          <c:marker>
            <c:symbol val="none"/>
          </c:marker>
          <c:xVal>
            <c:numRef>
              <c:f>Implicit_Fracs!$C$3:$C$371</c:f>
              <c:numCache>
                <c:formatCode>General</c:formatCode>
                <c:ptCount val="369"/>
                <c:pt idx="0">
                  <c:v>0</c:v>
                </c:pt>
                <c:pt idx="1">
                  <c:v>6.5458908507104702E-2</c:v>
                </c:pt>
                <c:pt idx="2">
                  <c:v>0.10158646265419501</c:v>
                </c:pt>
                <c:pt idx="3">
                  <c:v>0.102060105178604</c:v>
                </c:pt>
                <c:pt idx="4">
                  <c:v>0.102354758409441</c:v>
                </c:pt>
                <c:pt idx="5">
                  <c:v>0.10257003610151801</c:v>
                </c:pt>
                <c:pt idx="6">
                  <c:v>0.102740146597483</c:v>
                </c:pt>
                <c:pt idx="7">
                  <c:v>0.10288102093448701</c:v>
                </c:pt>
                <c:pt idx="8">
                  <c:v>0.10300139565401099</c:v>
                </c:pt>
                <c:pt idx="9">
                  <c:v>0.10310658737638601</c:v>
                </c:pt>
                <c:pt idx="10">
                  <c:v>0.103200075337502</c:v>
                </c:pt>
                <c:pt idx="11">
                  <c:v>0.103284262204</c:v>
                </c:pt>
                <c:pt idx="12">
                  <c:v>0.103360877526633</c:v>
                </c:pt>
                <c:pt idx="13">
                  <c:v>0.103431208153653</c:v>
                </c:pt>
                <c:pt idx="14">
                  <c:v>0.103496237708407</c:v>
                </c:pt>
                <c:pt idx="15">
                  <c:v>0.103556735084609</c:v>
                </c:pt>
                <c:pt idx="16">
                  <c:v>0.103613312816801</c:v>
                </c:pt>
                <c:pt idx="17">
                  <c:v>0.103666466857375</c:v>
                </c:pt>
                <c:pt idx="18">
                  <c:v>0.10371660444741999</c:v>
                </c:pt>
                <c:pt idx="19">
                  <c:v>0.10376406411969299</c:v>
                </c:pt>
                <c:pt idx="20">
                  <c:v>0.10380913035858701</c:v>
                </c:pt>
                <c:pt idx="21">
                  <c:v>0.103852044544123</c:v>
                </c:pt>
                <c:pt idx="22">
                  <c:v>0.103893013256558</c:v>
                </c:pt>
                <c:pt idx="23">
                  <c:v>0.103932214670875</c:v>
                </c:pt>
                <c:pt idx="24">
                  <c:v>0.10396980354554</c:v>
                </c:pt>
                <c:pt idx="25">
                  <c:v>0.104005915161023</c:v>
                </c:pt>
                <c:pt idx="26">
                  <c:v>0.10404066846285701</c:v>
                </c:pt>
                <c:pt idx="27">
                  <c:v>0.104074168594671</c:v>
                </c:pt>
                <c:pt idx="28">
                  <c:v>0.10410650895807599</c:v>
                </c:pt>
                <c:pt idx="29">
                  <c:v>0.10413777290170501</c:v>
                </c:pt>
                <c:pt idx="30">
                  <c:v>0.104168035116796</c:v>
                </c:pt>
                <c:pt idx="31">
                  <c:v>0.104197362798492</c:v>
                </c:pt>
                <c:pt idx="32">
                  <c:v>0.104225816618547</c:v>
                </c:pt>
                <c:pt idx="33">
                  <c:v>0.104253451545067</c:v>
                </c:pt>
                <c:pt idx="34">
                  <c:v>0.104280317537286</c:v>
                </c:pt>
                <c:pt idx="35">
                  <c:v>0.10430646013757899</c:v>
                </c:pt>
                <c:pt idx="36">
                  <c:v>0.10433192097843901</c:v>
                </c:pt>
                <c:pt idx="37">
                  <c:v>0.104356738218675</c:v>
                </c:pt>
                <c:pt idx="38">
                  <c:v>0.10438094692038</c:v>
                </c:pt>
                <c:pt idx="39">
                  <c:v>0.104404579376061</c:v>
                </c:pt>
                <c:pt idx="40">
                  <c:v>0.10442766539470601</c:v>
                </c:pt>
                <c:pt idx="41">
                  <c:v>0.104450232550895</c:v>
                </c:pt>
                <c:pt idx="42">
                  <c:v>0.104472306403378</c:v>
                </c:pt>
                <c:pt idx="43">
                  <c:v>0.104493910687546</c:v>
                </c:pt>
                <c:pt idx="44">
                  <c:v>0.104515067485448</c:v>
                </c:pt>
                <c:pt idx="45">
                  <c:v>0.104535797376425</c:v>
                </c:pt>
                <c:pt idx="46">
                  <c:v>0.104556119570968</c:v>
                </c:pt>
                <c:pt idx="47">
                  <c:v>0.10457605202998201</c:v>
                </c:pt>
                <c:pt idx="48">
                  <c:v>0.10459561157132601</c:v>
                </c:pt>
                <c:pt idx="49">
                  <c:v>0.10461481396524</c:v>
                </c:pt>
                <c:pt idx="50">
                  <c:v>0.104633674020002</c:v>
                </c:pt>
                <c:pt idx="51">
                  <c:v>0.104652205659008</c:v>
                </c:pt>
                <c:pt idx="52">
                  <c:v>0.10467042199028</c:v>
                </c:pt>
                <c:pt idx="53">
                  <c:v>0.10468833536927501</c:v>
                </c:pt>
                <c:pt idx="54">
                  <c:v>0.104705957455764</c:v>
                </c:pt>
                <c:pt idx="55">
                  <c:v>0.104723299265432</c:v>
                </c:pt>
                <c:pt idx="56">
                  <c:v>0.10474037121678501</c:v>
                </c:pt>
                <c:pt idx="57">
                  <c:v>0.104757183173858</c:v>
                </c:pt>
                <c:pt idx="58">
                  <c:v>0.10477374448518</c:v>
                </c:pt>
                <c:pt idx="59">
                  <c:v>0.104790064019366</c:v>
                </c:pt>
                <c:pt idx="60">
                  <c:v>0.10480615019770299</c:v>
                </c:pt>
                <c:pt idx="61">
                  <c:v>0.104822011024007</c:v>
                </c:pt>
                <c:pt idx="62">
                  <c:v>0.10483765411203801</c:v>
                </c:pt>
                <c:pt idx="63">
                  <c:v>0.104853086710699</c:v>
                </c:pt>
                <c:pt idx="64">
                  <c:v>0.10486831572724099</c:v>
                </c:pt>
                <c:pt idx="65">
                  <c:v>0.104883347748643</c:v>
                </c:pt>
                <c:pt idx="66">
                  <c:v>0.104898189061358</c:v>
                </c:pt>
                <c:pt idx="67">
                  <c:v>0.104912845669559</c:v>
                </c:pt>
                <c:pt idx="68">
                  <c:v>0.10492732331202199</c:v>
                </c:pt>
                <c:pt idx="69">
                  <c:v>0.10494162747777</c:v>
                </c:pt>
                <c:pt idx="70">
                  <c:v>0.10495576342058401</c:v>
                </c:pt>
                <c:pt idx="71">
                  <c:v>0.104969736172476</c:v>
                </c:pt>
                <c:pt idx="72">
                  <c:v>0.104983550556215</c:v>
                </c:pt>
                <c:pt idx="73">
                  <c:v>0.104997211196988</c:v>
                </c:pt>
                <c:pt idx="74">
                  <c:v>0.105010722533251</c:v>
                </c:pt>
                <c:pt idx="75">
                  <c:v>0.10502408882686499</c:v>
                </c:pt>
                <c:pt idx="76">
                  <c:v>0.105037314172539</c:v>
                </c:pt>
                <c:pt idx="77">
                  <c:v>0.10505040250667</c:v>
                </c:pt>
                <c:pt idx="78">
                  <c:v>0.105063357615594</c:v>
                </c:pt>
                <c:pt idx="79">
                  <c:v>0.105076183143323</c:v>
                </c:pt>
                <c:pt idx="80">
                  <c:v>0.10508888259878001</c:v>
                </c:pt>
                <c:pt idx="81">
                  <c:v>0.105101459362598</c:v>
                </c:pt>
                <c:pt idx="82">
                  <c:v>0.10511391669348399</c:v>
                </c:pt>
                <c:pt idx="83">
                  <c:v>0.10512625773421</c:v>
                </c:pt>
                <c:pt idx="84">
                  <c:v>0.10513848551723599</c:v>
                </c:pt>
                <c:pt idx="85">
                  <c:v>0.10515060297000201</c:v>
                </c:pt>
                <c:pt idx="86">
                  <c:v>0.105162612919908</c:v>
                </c:pt>
                <c:pt idx="87">
                  <c:v>0.105174518099013</c:v>
                </c:pt>
                <c:pt idx="88">
                  <c:v>0.105186321148453</c:v>
                </c:pt>
                <c:pt idx="89">
                  <c:v>0.105198024622616</c:v>
                </c:pt>
                <c:pt idx="90">
                  <c:v>0.105209630993088</c:v>
                </c:pt>
                <c:pt idx="91">
                  <c:v>0.10522114265237301</c:v>
                </c:pt>
                <c:pt idx="92">
                  <c:v>0.105232561917411</c:v>
                </c:pt>
                <c:pt idx="93">
                  <c:v>0.105243891032912</c:v>
                </c:pt>
                <c:pt idx="94">
                  <c:v>0.105255132174505</c:v>
                </c:pt>
                <c:pt idx="95">
                  <c:v>0.10526628745172401</c:v>
                </c:pt>
                <c:pt idx="96">
                  <c:v>0.105277358910841</c:v>
                </c:pt>
                <c:pt idx="97">
                  <c:v>0.105288348537545</c:v>
                </c:pt>
                <c:pt idx="98">
                  <c:v>0.10529925825949001</c:v>
                </c:pt>
                <c:pt idx="99">
                  <c:v>0.105310089948715</c:v>
                </c:pt>
                <c:pt idx="100">
                  <c:v>0.10532084542394</c:v>
                </c:pt>
                <c:pt idx="101">
                  <c:v>0.105331526452749</c:v>
                </c:pt>
                <c:pt idx="102">
                  <c:v>0.10534213475366599</c:v>
                </c:pt>
                <c:pt idx="103">
                  <c:v>0.105352671998135</c:v>
                </c:pt>
                <c:pt idx="104">
                  <c:v>0.105363139812398</c:v>
                </c:pt>
                <c:pt idx="105">
                  <c:v>0.10537353977929</c:v>
                </c:pt>
                <c:pt idx="106">
                  <c:v>0.105383873439947</c:v>
                </c:pt>
                <c:pt idx="107">
                  <c:v>0.105394142295438</c:v>
                </c:pt>
                <c:pt idx="108">
                  <c:v>0.10540434780831399</c:v>
                </c:pt>
                <c:pt idx="109">
                  <c:v>0.1054144914041</c:v>
                </c:pt>
                <c:pt idx="110">
                  <c:v>0.105424574472708</c:v>
                </c:pt>
                <c:pt idx="111">
                  <c:v>0.10543459836979301</c:v>
                </c:pt>
                <c:pt idx="112">
                  <c:v>0.105444564418049</c:v>
                </c:pt>
                <c:pt idx="113">
                  <c:v>0.105454473908448</c:v>
                </c:pt>
                <c:pt idx="114">
                  <c:v>0.105464328101426</c:v>
                </c:pt>
                <c:pt idx="115">
                  <c:v>0.10547412822802001</c:v>
                </c:pt>
                <c:pt idx="116">
                  <c:v>0.10548387549095201</c:v>
                </c:pt>
                <c:pt idx="117">
                  <c:v>0.105493571065675</c:v>
                </c:pt>
                <c:pt idx="118">
                  <c:v>0.105503216101374</c:v>
                </c:pt>
                <c:pt idx="119">
                  <c:v>0.10551281172191999</c:v>
                </c:pt>
                <c:pt idx="120">
                  <c:v>0.10552235902679701</c:v>
                </c:pt>
                <c:pt idx="121">
                  <c:v>0.105531859091982</c:v>
                </c:pt>
                <c:pt idx="122">
                  <c:v>0.105541312970793</c:v>
                </c:pt>
                <c:pt idx="123">
                  <c:v>0.105550721694713</c:v>
                </c:pt>
                <c:pt idx="124">
                  <c:v>0.10556008627416701</c:v>
                </c:pt>
                <c:pt idx="125">
                  <c:v>0.105569407699282</c:v>
                </c:pt>
                <c:pt idx="126">
                  <c:v>0.105578686940613</c:v>
                </c:pt>
                <c:pt idx="127">
                  <c:v>0.10558792494984499</c:v>
                </c:pt>
                <c:pt idx="128">
                  <c:v>0.105597122660464</c:v>
                </c:pt>
                <c:pt idx="129">
                  <c:v>0.105606280988415</c:v>
                </c:pt>
                <c:pt idx="130">
                  <c:v>0.105615400832723</c:v>
                </c:pt>
                <c:pt idx="131">
                  <c:v>0.10562448307610101</c:v>
                </c:pt>
                <c:pt idx="132">
                  <c:v>0.105633528585537</c:v>
                </c:pt>
                <c:pt idx="133">
                  <c:v>0.105642538212856</c:v>
                </c:pt>
                <c:pt idx="134">
                  <c:v>0.10565151279527001</c:v>
                </c:pt>
                <c:pt idx="135">
                  <c:v>0.105660453155901</c:v>
                </c:pt>
                <c:pt idx="136">
                  <c:v>0.1056693601043</c:v>
                </c:pt>
                <c:pt idx="137">
                  <c:v>0.105678234436935</c:v>
                </c:pt>
                <c:pt idx="138">
                  <c:v>0.105687076937673</c:v>
                </c:pt>
                <c:pt idx="139">
                  <c:v>0.10569588837824601</c:v>
                </c:pt>
                <c:pt idx="140">
                  <c:v>0.105704669518702</c:v>
                </c:pt>
                <c:pt idx="141">
                  <c:v>0.105713421107842</c:v>
                </c:pt>
                <c:pt idx="142">
                  <c:v>0.105722143883642</c:v>
                </c:pt>
                <c:pt idx="143">
                  <c:v>0.10573083857367301</c:v>
                </c:pt>
                <c:pt idx="144">
                  <c:v>0.10573950589549699</c:v>
                </c:pt>
                <c:pt idx="145">
                  <c:v>0.105748146557059</c:v>
                </c:pt>
                <c:pt idx="146">
                  <c:v>0.105756761257069</c:v>
                </c:pt>
                <c:pt idx="147">
                  <c:v>0.105765350685371</c:v>
                </c:pt>
                <c:pt idx="148">
                  <c:v>0.10577391552330601</c:v>
                </c:pt>
                <c:pt idx="149">
                  <c:v>0.105782456444064</c:v>
                </c:pt>
                <c:pt idx="150">
                  <c:v>0.105790974113029</c:v>
                </c:pt>
                <c:pt idx="151">
                  <c:v>0.105799469188117</c:v>
                </c:pt>
                <c:pt idx="152">
                  <c:v>0.105807942320102</c:v>
                </c:pt>
                <c:pt idx="153">
                  <c:v>0.105816394152941</c:v>
                </c:pt>
                <c:pt idx="154">
                  <c:v>0.10582482532409</c:v>
                </c:pt>
                <c:pt idx="155">
                  <c:v>0.10583323646481201</c:v>
                </c:pt>
                <c:pt idx="156">
                  <c:v>0.105841628200482</c:v>
                </c:pt>
                <c:pt idx="157">
                  <c:v>0.105850001150887</c:v>
                </c:pt>
                <c:pt idx="158">
                  <c:v>0.105858355930516</c:v>
                </c:pt>
                <c:pt idx="159">
                  <c:v>0.105866693148851</c:v>
                </c:pt>
                <c:pt idx="160">
                  <c:v>0.105875013410654</c:v>
                </c:pt>
                <c:pt idx="161">
                  <c:v>0.10588331731624</c:v>
                </c:pt>
                <c:pt idx="162">
                  <c:v>0.105891605461765</c:v>
                </c:pt>
                <c:pt idx="163">
                  <c:v>0.10589987843948701</c:v>
                </c:pt>
                <c:pt idx="164">
                  <c:v>0.10590813683804701</c:v>
                </c:pt>
                <c:pt idx="165">
                  <c:v>0.10591638124273201</c:v>
                </c:pt>
                <c:pt idx="166">
                  <c:v>0.105924612235738</c:v>
                </c:pt>
                <c:pt idx="167">
                  <c:v>0.10593283039644</c:v>
                </c:pt>
                <c:pt idx="168">
                  <c:v>0.105941036301648</c:v>
                </c:pt>
                <c:pt idx="169">
                  <c:v>0.10594923052586901</c:v>
                </c:pt>
                <c:pt idx="170">
                  <c:v>0.105957413641566</c:v>
                </c:pt>
                <c:pt idx="171">
                  <c:v>0.105965586219415</c:v>
                </c:pt>
                <c:pt idx="172">
                  <c:v>0.105973748828566</c:v>
                </c:pt>
                <c:pt idx="173">
                  <c:v>0.10598190203689301</c:v>
                </c:pt>
                <c:pt idx="174">
                  <c:v>0.105990046411258</c:v>
                </c:pt>
                <c:pt idx="175">
                  <c:v>0.10599818251776701</c:v>
                </c:pt>
                <c:pt idx="176">
                  <c:v>0.106006310922025</c:v>
                </c:pt>
                <c:pt idx="177">
                  <c:v>0.106014432189397</c:v>
                </c:pt>
                <c:pt idx="178">
                  <c:v>0.106022546885271</c:v>
                </c:pt>
                <c:pt idx="179">
                  <c:v>0.10603065557531401</c:v>
                </c:pt>
                <c:pt idx="180">
                  <c:v>0.10603875882574</c:v>
                </c:pt>
                <c:pt idx="181">
                  <c:v>0.106046857203577</c:v>
                </c:pt>
                <c:pt idx="182">
                  <c:v>0.106054951276932</c:v>
                </c:pt>
                <c:pt idx="183">
                  <c:v>0.106063041615263</c:v>
                </c:pt>
                <c:pt idx="184">
                  <c:v>0.10607112878965499</c:v>
                </c:pt>
                <c:pt idx="185">
                  <c:v>0.106079213373101</c:v>
                </c:pt>
                <c:pt idx="186">
                  <c:v>0.106087295940776</c:v>
                </c:pt>
                <c:pt idx="187">
                  <c:v>0.10609537707033299</c:v>
                </c:pt>
                <c:pt idx="188">
                  <c:v>0.106103457342189</c:v>
                </c:pt>
                <c:pt idx="189">
                  <c:v>0.106111537339822</c:v>
                </c:pt>
                <c:pt idx="190">
                  <c:v>0.10611961765007601</c:v>
                </c:pt>
                <c:pt idx="191">
                  <c:v>0.106127698863465</c:v>
                </c:pt>
                <c:pt idx="192">
                  <c:v>0.10613578157449099</c:v>
                </c:pt>
                <c:pt idx="193">
                  <c:v>0.106143866381966</c:v>
                </c:pt>
                <c:pt idx="194">
                  <c:v>0.10615195388934</c:v>
                </c:pt>
                <c:pt idx="195">
                  <c:v>0.106160044705038</c:v>
                </c:pt>
                <c:pt idx="196">
                  <c:v>0.106168139442805</c:v>
                </c:pt>
                <c:pt idx="197">
                  <c:v>0.106176238722063</c:v>
                </c:pt>
                <c:pt idx="198">
                  <c:v>0.106184343168276</c:v>
                </c:pt>
                <c:pt idx="199">
                  <c:v>0.10619245341332301</c:v>
                </c:pt>
                <c:pt idx="200">
                  <c:v>0.106200570095885</c:v>
                </c:pt>
                <c:pt idx="201">
                  <c:v>0.10620869386184199</c:v>
                </c:pt>
                <c:pt idx="202">
                  <c:v>0.10621682536468401</c:v>
                </c:pt>
                <c:pt idx="203">
                  <c:v>0.106224965265935</c:v>
                </c:pt>
                <c:pt idx="204">
                  <c:v>0.106233114235588</c:v>
                </c:pt>
                <c:pt idx="205">
                  <c:v>0.10624127295256</c:v>
                </c:pt>
                <c:pt idx="206">
                  <c:v>0.10624944210515699</c:v>
                </c:pt>
                <c:pt idx="207">
                  <c:v>0.106257622391562</c:v>
                </c:pt>
                <c:pt idx="208">
                  <c:v>0.106265814520335</c:v>
                </c:pt>
                <c:pt idx="209">
                  <c:v>0.106274019210935</c:v>
                </c:pt>
                <c:pt idx="210">
                  <c:v>0.10628223719426</c:v>
                </c:pt>
                <c:pt idx="211">
                  <c:v>0.106290469213214</c:v>
                </c:pt>
                <c:pt idx="212">
                  <c:v>0.106298716023284</c:v>
                </c:pt>
                <c:pt idx="213">
                  <c:v>0.106306978393155</c:v>
                </c:pt>
                <c:pt idx="214">
                  <c:v>0.106315257105341</c:v>
                </c:pt>
                <c:pt idx="215">
                  <c:v>0.10632355295684801</c:v>
                </c:pt>
                <c:pt idx="216">
                  <c:v>0.10633186675985799</c:v>
                </c:pt>
                <c:pt idx="217">
                  <c:v>0.10634019934245301</c:v>
                </c:pt>
                <c:pt idx="218">
                  <c:v>0.106348551549366</c:v>
                </c:pt>
                <c:pt idx="219">
                  <c:v>0.106356924242761</c:v>
                </c:pt>
                <c:pt idx="220">
                  <c:v>0.10636531830306099</c:v>
                </c:pt>
                <c:pt idx="221">
                  <c:v>0.106373734629807</c:v>
                </c:pt>
                <c:pt idx="222">
                  <c:v>0.10638217414255299</c:v>
                </c:pt>
                <c:pt idx="223">
                  <c:v>0.106390637781818</c:v>
                </c:pt>
                <c:pt idx="224">
                  <c:v>0.10639912651007299</c:v>
                </c:pt>
                <c:pt idx="225">
                  <c:v>0.10640764131277999</c:v>
                </c:pt>
                <c:pt idx="226">
                  <c:v>0.10641618319948901</c:v>
                </c:pt>
                <c:pt idx="227">
                  <c:v>0.106424753204983</c:v>
                </c:pt>
                <c:pt idx="228">
                  <c:v>0.10643335239049</c:v>
                </c:pt>
                <c:pt idx="229">
                  <c:v>0.106441981844954</c:v>
                </c:pt>
                <c:pt idx="230">
                  <c:v>0.106450642686375</c:v>
                </c:pt>
                <c:pt idx="231">
                  <c:v>0.10645933606322799</c:v>
                </c:pt>
                <c:pt idx="232">
                  <c:v>0.10646806315594901</c:v>
                </c:pt>
                <c:pt idx="233">
                  <c:v>0.106476825178516</c:v>
                </c:pt>
                <c:pt idx="234">
                  <c:v>0.10648562338011</c:v>
                </c:pt>
                <c:pt idx="235">
                  <c:v>0.106494459046881</c:v>
                </c:pt>
                <c:pt idx="236">
                  <c:v>0.106503333503809</c:v>
                </c:pt>
                <c:pt idx="237">
                  <c:v>0.10651224811667701</c:v>
                </c:pt>
                <c:pt idx="238">
                  <c:v>0.106521204294171</c:v>
                </c:pt>
                <c:pt idx="239">
                  <c:v>0.106530203490093</c:v>
                </c:pt>
                <c:pt idx="240">
                  <c:v>0.10653924720572699</c:v>
                </c:pt>
                <c:pt idx="241">
                  <c:v>0.106548336992338</c:v>
                </c:pt>
                <c:pt idx="242">
                  <c:v>0.106557474453844</c:v>
                </c:pt>
                <c:pt idx="243">
                  <c:v>0.106566661249652</c:v>
                </c:pt>
                <c:pt idx="244">
                  <c:v>0.10657589909767901</c:v>
                </c:pt>
                <c:pt idx="245">
                  <c:v>0.10658518977758299</c:v>
                </c:pt>
                <c:pt idx="246">
                  <c:v>0.106594535134197</c:v>
                </c:pt>
                <c:pt idx="247">
                  <c:v>0.106603937081217</c:v>
                </c:pt>
                <c:pt idx="248">
                  <c:v>0.106613397605125</c:v>
                </c:pt>
                <c:pt idx="249">
                  <c:v>0.10662291876941001</c:v>
                </c:pt>
                <c:pt idx="250">
                  <c:v>0.106632502719071</c:v>
                </c:pt>
                <c:pt idx="251">
                  <c:v>0.10664215168546599</c:v>
                </c:pt>
                <c:pt idx="252">
                  <c:v>0.106651867991505</c:v>
                </c:pt>
                <c:pt idx="253">
                  <c:v>0.106661654057239</c:v>
                </c:pt>
                <c:pt idx="254">
                  <c:v>0.106671512405876</c:v>
                </c:pt>
                <c:pt idx="255">
                  <c:v>0.106681445670259</c:v>
                </c:pt>
                <c:pt idx="256">
                  <c:v>0.106691456599855</c:v>
                </c:pt>
                <c:pt idx="257">
                  <c:v>0.10670154806830701</c:v>
                </c:pt>
                <c:pt idx="258">
                  <c:v>0.106711723081597</c:v>
                </c:pt>
                <c:pt idx="259">
                  <c:v>0.106721984786882</c:v>
                </c:pt>
                <c:pt idx="260">
                  <c:v>0.106732336482082</c:v>
                </c:pt>
                <c:pt idx="261">
                  <c:v>0.10674278162628199</c:v>
                </c:pt>
                <c:pt idx="262">
                  <c:v>0.106753323851043</c:v>
                </c:pt>
                <c:pt idx="263">
                  <c:v>0.106763966972719</c:v>
                </c:pt>
                <c:pt idx="264">
                  <c:v>0.10677471500588499</c:v>
                </c:pt>
                <c:pt idx="265">
                  <c:v>0.10678557217800599</c:v>
                </c:pt>
                <c:pt idx="266">
                  <c:v>0.106796542945475</c:v>
                </c:pt>
                <c:pt idx="267">
                  <c:v>0.10680763201119001</c:v>
                </c:pt>
                <c:pt idx="268">
                  <c:v>0.106818844343851</c:v>
                </c:pt>
                <c:pt idx="269">
                  <c:v>0.106830185199162</c:v>
                </c:pt>
                <c:pt idx="270">
                  <c:v>0.1068416601432</c:v>
                </c:pt>
                <c:pt idx="271">
                  <c:v>0.106853275078199</c:v>
                </c:pt>
                <c:pt idx="272">
                  <c:v>0.10686503627105901</c:v>
                </c:pt>
                <c:pt idx="273">
                  <c:v>0.106876950384948</c:v>
                </c:pt>
                <c:pt idx="274">
                  <c:v>0.10688902451438199</c:v>
                </c:pt>
                <c:pt idx="275">
                  <c:v>0.106901266224276</c:v>
                </c:pt>
                <c:pt idx="276">
                  <c:v>0.106913683593506</c:v>
                </c:pt>
                <c:pt idx="277">
                  <c:v>0.106926285263621</c:v>
                </c:pt>
                <c:pt idx="278">
                  <c:v>0.106939080493455</c:v>
                </c:pt>
                <c:pt idx="279">
                  <c:v>0.10695207922051</c:v>
                </c:pt>
                <c:pt idx="280">
                  <c:v>0.10696529213014599</c:v>
                </c:pt>
                <c:pt idx="281">
                  <c:v>0.106978730733797</c:v>
                </c:pt>
                <c:pt idx="282">
                  <c:v>0.106992407457646</c:v>
                </c:pt>
                <c:pt idx="283">
                  <c:v>0.107006335743491</c:v>
                </c:pt>
                <c:pt idx="284">
                  <c:v>0.10702053016384699</c:v>
                </c:pt>
                <c:pt idx="285">
                  <c:v>0.107035006553762</c:v>
                </c:pt>
                <c:pt idx="286">
                  <c:v>0.107049782162317</c:v>
                </c:pt>
                <c:pt idx="287">
                  <c:v>0.10706487582742701</c:v>
                </c:pt>
                <c:pt idx="288">
                  <c:v>0.107080308178348</c:v>
                </c:pt>
                <c:pt idx="289">
                  <c:v>0.10709610187127599</c:v>
                </c:pt>
                <c:pt idx="290">
                  <c:v>0.10711228186470099</c:v>
                </c:pt>
                <c:pt idx="291">
                  <c:v>0.107128875742745</c:v>
                </c:pt>
                <c:pt idx="292">
                  <c:v>0.107145914096787</c:v>
                </c:pt>
                <c:pt idx="293">
                  <c:v>0.10716343097827</c:v>
                </c:pt>
                <c:pt idx="294">
                  <c:v>0.10718146443905199</c:v>
                </c:pt>
                <c:pt idx="295">
                  <c:v>0.107200057180087</c:v>
                </c:pt>
                <c:pt idx="296">
                  <c:v>0.10721925733519</c:v>
                </c:pt>
                <c:pt idx="297">
                  <c:v>0.107239119424452</c:v>
                </c:pt>
                <c:pt idx="298">
                  <c:v>0.10725970552248799</c:v>
                </c:pt>
                <c:pt idx="299">
                  <c:v>0.107281086701057</c:v>
                </c:pt>
                <c:pt idx="300">
                  <c:v>0.10730334482520799</c:v>
                </c:pt>
                <c:pt idx="301">
                  <c:v>0.107326574809414</c:v>
                </c:pt>
                <c:pt idx="302">
                  <c:v>0.10735088747820599</c:v>
                </c:pt>
                <c:pt idx="303">
                  <c:v>0.10737641322982</c:v>
                </c:pt>
                <c:pt idx="304">
                  <c:v>0.107403306778537</c:v>
                </c:pt>
                <c:pt idx="305">
                  <c:v>0.10743175336319</c:v>
                </c:pt>
                <c:pt idx="306">
                  <c:v>0.107461976972791</c:v>
                </c:pt>
                <c:pt idx="307">
                  <c:v>0.107494251381856</c:v>
                </c:pt>
                <c:pt idx="308">
                  <c:v>0.107528915147976</c:v>
                </c:pt>
                <c:pt idx="309">
                  <c:v>0.107566392263413</c:v>
                </c:pt>
                <c:pt idx="310">
                  <c:v>0.10760722096054399</c:v>
                </c:pt>
                <c:pt idx="311">
                  <c:v>0.107652094373539</c:v>
                </c:pt>
                <c:pt idx="312">
                  <c:v>0.107701918517204</c:v>
                </c:pt>
                <c:pt idx="313">
                  <c:v>0.107757895545197</c:v>
                </c:pt>
                <c:pt idx="314">
                  <c:v>0.107821643761701</c:v>
                </c:pt>
                <c:pt idx="315">
                  <c:v>0.107895371464266</c:v>
                </c:pt>
                <c:pt idx="316">
                  <c:v>0.107982136054144</c:v>
                </c:pt>
                <c:pt idx="317">
                  <c:v>0.108086279484475</c:v>
                </c:pt>
                <c:pt idx="318">
                  <c:v>0.10821441051713999</c:v>
                </c:pt>
                <c:pt idx="319">
                  <c:v>0.108378611684964</c:v>
                </c:pt>
                <c:pt idx="320">
                  <c:v>0.10851279142848901</c:v>
                </c:pt>
                <c:pt idx="321">
                  <c:v>0.108646878508965</c:v>
                </c:pt>
                <c:pt idx="322">
                  <c:v>0.108781836007877</c:v>
                </c:pt>
                <c:pt idx="323">
                  <c:v>0.108917703938839</c:v>
                </c:pt>
                <c:pt idx="324">
                  <c:v>0.109054545173906</c:v>
                </c:pt>
                <c:pt idx="325">
                  <c:v>0.109192417872054</c:v>
                </c:pt>
                <c:pt idx="326">
                  <c:v>0.109331376964383</c:v>
                </c:pt>
                <c:pt idx="327">
                  <c:v>0.10947147454287399</c:v>
                </c:pt>
                <c:pt idx="328">
                  <c:v>0.109612760241196</c:v>
                </c:pt>
                <c:pt idx="329">
                  <c:v>0.10975528157779101</c:v>
                </c:pt>
                <c:pt idx="330">
                  <c:v>0.109899084266184</c:v>
                </c:pt>
                <c:pt idx="331">
                  <c:v>0.110044212495958</c:v>
                </c:pt>
                <c:pt idx="332">
                  <c:v>0.11019070918751001</c:v>
                </c:pt>
                <c:pt idx="333">
                  <c:v>0.11033861622334599</c:v>
                </c:pt>
                <c:pt idx="334">
                  <c:v>0.110487974658393</c:v>
                </c:pt>
                <c:pt idx="335">
                  <c:v>0.110638824911563</c:v>
                </c:pt>
                <c:pt idx="336">
                  <c:v>0.110791206940568</c:v>
                </c:pt>
                <c:pt idx="337">
                  <c:v>0.11094516040180299</c:v>
                </c:pt>
                <c:pt idx="338">
                  <c:v>0.11110072479692901</c:v>
                </c:pt>
                <c:pt idx="339">
                  <c:v>0.111257939607629</c:v>
                </c:pt>
                <c:pt idx="340">
                  <c:v>0.111416844419904</c:v>
                </c:pt>
                <c:pt idx="341">
                  <c:v>0.111577479039088</c:v>
                </c:pt>
                <c:pt idx="342">
                  <c:v>0.111739883596728</c:v>
                </c:pt>
                <c:pt idx="343">
                  <c:v>0.111904098650297</c:v>
                </c:pt>
                <c:pt idx="344">
                  <c:v>0.11207016527668</c:v>
                </c:pt>
                <c:pt idx="345">
                  <c:v>0.112238125160255</c:v>
                </c:pt>
                <c:pt idx="346">
                  <c:v>0.11240802067632299</c:v>
                </c:pt>
                <c:pt idx="347">
                  <c:v>0.11257989497059701</c:v>
                </c:pt>
                <c:pt idx="348">
                  <c:v>0.112753792035371</c:v>
                </c:pt>
                <c:pt idx="349">
                  <c:v>0.112929756782956</c:v>
                </c:pt>
                <c:pt idx="350">
                  <c:v>0.113107835116922</c:v>
                </c:pt>
                <c:pt idx="351">
                  <c:v>0.113288074001635</c:v>
                </c:pt>
                <c:pt idx="352">
                  <c:v>0.113470521530551</c:v>
                </c:pt>
                <c:pt idx="353">
                  <c:v>0.113655226993682</c:v>
                </c:pt>
                <c:pt idx="354">
                  <c:v>0.113842240944644</c:v>
                </c:pt>
                <c:pt idx="355">
                  <c:v>0.114031615267637</c:v>
                </c:pt>
                <c:pt idx="356">
                  <c:v>0.11422340324472501</c:v>
                </c:pt>
                <c:pt idx="357">
                  <c:v>0.11441765962373</c:v>
                </c:pt>
                <c:pt idx="358">
                  <c:v>0.114614440687063</c:v>
                </c:pt>
                <c:pt idx="359">
                  <c:v>0.114813804321789</c:v>
                </c:pt>
                <c:pt idx="360">
                  <c:v>0.22425676384167301</c:v>
                </c:pt>
                <c:pt idx="361">
                  <c:v>0.30704288935609397</c:v>
                </c:pt>
                <c:pt idx="362">
                  <c:v>0.30834090817871301</c:v>
                </c:pt>
                <c:pt idx="363">
                  <c:v>0.30921577139060102</c:v>
                </c:pt>
                <c:pt idx="364">
                  <c:v>0.31017471350345399</c:v>
                </c:pt>
                <c:pt idx="365">
                  <c:v>0.31131883897321</c:v>
                </c:pt>
                <c:pt idx="366">
                  <c:v>0.31289797505880901</c:v>
                </c:pt>
                <c:pt idx="367">
                  <c:v>0.51289797505880896</c:v>
                </c:pt>
                <c:pt idx="368">
                  <c:v>0.51289797505880896</c:v>
                </c:pt>
              </c:numCache>
            </c:numRef>
          </c:xVal>
          <c:yVal>
            <c:numRef>
              <c:f>Implicit_Fracs!$AK$3:$AK$371</c:f>
              <c:numCache>
                <c:formatCode>General</c:formatCode>
                <c:ptCount val="36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F17-4E86-8435-030297F544E3}"/>
            </c:ext>
          </c:extLst>
        </c:ser>
        <c:ser>
          <c:idx val="2"/>
          <c:order val="4"/>
          <c:tx>
            <c:strRef>
              <c:f>Implicit_Fracs!$V$1</c:f>
              <c:strCache>
                <c:ptCount val="1"/>
                <c:pt idx="0">
                  <c:v>FS HMin Dip 58deg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Implicit_Fracs!$C$3:$C$371</c:f>
              <c:numCache>
                <c:formatCode>General</c:formatCode>
                <c:ptCount val="369"/>
                <c:pt idx="0">
                  <c:v>0</c:v>
                </c:pt>
                <c:pt idx="1">
                  <c:v>6.5458908507104702E-2</c:v>
                </c:pt>
                <c:pt idx="2">
                  <c:v>0.10158646265419501</c:v>
                </c:pt>
                <c:pt idx="3">
                  <c:v>0.102060105178604</c:v>
                </c:pt>
                <c:pt idx="4">
                  <c:v>0.102354758409441</c:v>
                </c:pt>
                <c:pt idx="5">
                  <c:v>0.10257003610151801</c:v>
                </c:pt>
                <c:pt idx="6">
                  <c:v>0.102740146597483</c:v>
                </c:pt>
                <c:pt idx="7">
                  <c:v>0.10288102093448701</c:v>
                </c:pt>
                <c:pt idx="8">
                  <c:v>0.10300139565401099</c:v>
                </c:pt>
                <c:pt idx="9">
                  <c:v>0.10310658737638601</c:v>
                </c:pt>
                <c:pt idx="10">
                  <c:v>0.103200075337502</c:v>
                </c:pt>
                <c:pt idx="11">
                  <c:v>0.103284262204</c:v>
                </c:pt>
                <c:pt idx="12">
                  <c:v>0.103360877526633</c:v>
                </c:pt>
                <c:pt idx="13">
                  <c:v>0.103431208153653</c:v>
                </c:pt>
                <c:pt idx="14">
                  <c:v>0.103496237708407</c:v>
                </c:pt>
                <c:pt idx="15">
                  <c:v>0.103556735084609</c:v>
                </c:pt>
                <c:pt idx="16">
                  <c:v>0.103613312816801</c:v>
                </c:pt>
                <c:pt idx="17">
                  <c:v>0.103666466857375</c:v>
                </c:pt>
                <c:pt idx="18">
                  <c:v>0.10371660444741999</c:v>
                </c:pt>
                <c:pt idx="19">
                  <c:v>0.10376406411969299</c:v>
                </c:pt>
                <c:pt idx="20">
                  <c:v>0.10380913035858701</c:v>
                </c:pt>
                <c:pt idx="21">
                  <c:v>0.103852044544123</c:v>
                </c:pt>
                <c:pt idx="22">
                  <c:v>0.103893013256558</c:v>
                </c:pt>
                <c:pt idx="23">
                  <c:v>0.103932214670875</c:v>
                </c:pt>
                <c:pt idx="24">
                  <c:v>0.10396980354554</c:v>
                </c:pt>
                <c:pt idx="25">
                  <c:v>0.104005915161023</c:v>
                </c:pt>
                <c:pt idx="26">
                  <c:v>0.10404066846285701</c:v>
                </c:pt>
                <c:pt idx="27">
                  <c:v>0.104074168594671</c:v>
                </c:pt>
                <c:pt idx="28">
                  <c:v>0.10410650895807599</c:v>
                </c:pt>
                <c:pt idx="29">
                  <c:v>0.10413777290170501</c:v>
                </c:pt>
                <c:pt idx="30">
                  <c:v>0.104168035116796</c:v>
                </c:pt>
                <c:pt idx="31">
                  <c:v>0.104197362798492</c:v>
                </c:pt>
                <c:pt idx="32">
                  <c:v>0.104225816618547</c:v>
                </c:pt>
                <c:pt idx="33">
                  <c:v>0.104253451545067</c:v>
                </c:pt>
                <c:pt idx="34">
                  <c:v>0.104280317537286</c:v>
                </c:pt>
                <c:pt idx="35">
                  <c:v>0.10430646013757899</c:v>
                </c:pt>
                <c:pt idx="36">
                  <c:v>0.10433192097843901</c:v>
                </c:pt>
                <c:pt idx="37">
                  <c:v>0.104356738218675</c:v>
                </c:pt>
                <c:pt idx="38">
                  <c:v>0.10438094692038</c:v>
                </c:pt>
                <c:pt idx="39">
                  <c:v>0.104404579376061</c:v>
                </c:pt>
                <c:pt idx="40">
                  <c:v>0.10442766539470601</c:v>
                </c:pt>
                <c:pt idx="41">
                  <c:v>0.104450232550895</c:v>
                </c:pt>
                <c:pt idx="42">
                  <c:v>0.104472306403378</c:v>
                </c:pt>
                <c:pt idx="43">
                  <c:v>0.104493910687546</c:v>
                </c:pt>
                <c:pt idx="44">
                  <c:v>0.104515067485448</c:v>
                </c:pt>
                <c:pt idx="45">
                  <c:v>0.104535797376425</c:v>
                </c:pt>
                <c:pt idx="46">
                  <c:v>0.104556119570968</c:v>
                </c:pt>
                <c:pt idx="47">
                  <c:v>0.10457605202998201</c:v>
                </c:pt>
                <c:pt idx="48">
                  <c:v>0.10459561157132601</c:v>
                </c:pt>
                <c:pt idx="49">
                  <c:v>0.10461481396524</c:v>
                </c:pt>
                <c:pt idx="50">
                  <c:v>0.104633674020002</c:v>
                </c:pt>
                <c:pt idx="51">
                  <c:v>0.104652205659008</c:v>
                </c:pt>
                <c:pt idx="52">
                  <c:v>0.10467042199028</c:v>
                </c:pt>
                <c:pt idx="53">
                  <c:v>0.10468833536927501</c:v>
                </c:pt>
                <c:pt idx="54">
                  <c:v>0.104705957455764</c:v>
                </c:pt>
                <c:pt idx="55">
                  <c:v>0.104723299265432</c:v>
                </c:pt>
                <c:pt idx="56">
                  <c:v>0.10474037121678501</c:v>
                </c:pt>
                <c:pt idx="57">
                  <c:v>0.104757183173858</c:v>
                </c:pt>
                <c:pt idx="58">
                  <c:v>0.10477374448518</c:v>
                </c:pt>
                <c:pt idx="59">
                  <c:v>0.104790064019366</c:v>
                </c:pt>
                <c:pt idx="60">
                  <c:v>0.10480615019770299</c:v>
                </c:pt>
                <c:pt idx="61">
                  <c:v>0.104822011024007</c:v>
                </c:pt>
                <c:pt idx="62">
                  <c:v>0.10483765411203801</c:v>
                </c:pt>
                <c:pt idx="63">
                  <c:v>0.104853086710699</c:v>
                </c:pt>
                <c:pt idx="64">
                  <c:v>0.10486831572724099</c:v>
                </c:pt>
                <c:pt idx="65">
                  <c:v>0.104883347748643</c:v>
                </c:pt>
                <c:pt idx="66">
                  <c:v>0.104898189061358</c:v>
                </c:pt>
                <c:pt idx="67">
                  <c:v>0.104912845669559</c:v>
                </c:pt>
                <c:pt idx="68">
                  <c:v>0.10492732331202199</c:v>
                </c:pt>
                <c:pt idx="69">
                  <c:v>0.10494162747777</c:v>
                </c:pt>
                <c:pt idx="70">
                  <c:v>0.10495576342058401</c:v>
                </c:pt>
                <c:pt idx="71">
                  <c:v>0.104969736172476</c:v>
                </c:pt>
                <c:pt idx="72">
                  <c:v>0.104983550556215</c:v>
                </c:pt>
                <c:pt idx="73">
                  <c:v>0.104997211196988</c:v>
                </c:pt>
                <c:pt idx="74">
                  <c:v>0.105010722533251</c:v>
                </c:pt>
                <c:pt idx="75">
                  <c:v>0.10502408882686499</c:v>
                </c:pt>
                <c:pt idx="76">
                  <c:v>0.105037314172539</c:v>
                </c:pt>
                <c:pt idx="77">
                  <c:v>0.10505040250667</c:v>
                </c:pt>
                <c:pt idx="78">
                  <c:v>0.105063357615594</c:v>
                </c:pt>
                <c:pt idx="79">
                  <c:v>0.105076183143323</c:v>
                </c:pt>
                <c:pt idx="80">
                  <c:v>0.10508888259878001</c:v>
                </c:pt>
                <c:pt idx="81">
                  <c:v>0.105101459362598</c:v>
                </c:pt>
                <c:pt idx="82">
                  <c:v>0.10511391669348399</c:v>
                </c:pt>
                <c:pt idx="83">
                  <c:v>0.10512625773421</c:v>
                </c:pt>
                <c:pt idx="84">
                  <c:v>0.10513848551723599</c:v>
                </c:pt>
                <c:pt idx="85">
                  <c:v>0.10515060297000201</c:v>
                </c:pt>
                <c:pt idx="86">
                  <c:v>0.105162612919908</c:v>
                </c:pt>
                <c:pt idx="87">
                  <c:v>0.105174518099013</c:v>
                </c:pt>
                <c:pt idx="88">
                  <c:v>0.105186321148453</c:v>
                </c:pt>
                <c:pt idx="89">
                  <c:v>0.105198024622616</c:v>
                </c:pt>
                <c:pt idx="90">
                  <c:v>0.105209630993088</c:v>
                </c:pt>
                <c:pt idx="91">
                  <c:v>0.10522114265237301</c:v>
                </c:pt>
                <c:pt idx="92">
                  <c:v>0.105232561917411</c:v>
                </c:pt>
                <c:pt idx="93">
                  <c:v>0.105243891032912</c:v>
                </c:pt>
                <c:pt idx="94">
                  <c:v>0.105255132174505</c:v>
                </c:pt>
                <c:pt idx="95">
                  <c:v>0.10526628745172401</c:v>
                </c:pt>
                <c:pt idx="96">
                  <c:v>0.105277358910841</c:v>
                </c:pt>
                <c:pt idx="97">
                  <c:v>0.105288348537545</c:v>
                </c:pt>
                <c:pt idx="98">
                  <c:v>0.10529925825949001</c:v>
                </c:pt>
                <c:pt idx="99">
                  <c:v>0.105310089948715</c:v>
                </c:pt>
                <c:pt idx="100">
                  <c:v>0.10532084542394</c:v>
                </c:pt>
                <c:pt idx="101">
                  <c:v>0.105331526452749</c:v>
                </c:pt>
                <c:pt idx="102">
                  <c:v>0.10534213475366599</c:v>
                </c:pt>
                <c:pt idx="103">
                  <c:v>0.105352671998135</c:v>
                </c:pt>
                <c:pt idx="104">
                  <c:v>0.105363139812398</c:v>
                </c:pt>
                <c:pt idx="105">
                  <c:v>0.10537353977929</c:v>
                </c:pt>
                <c:pt idx="106">
                  <c:v>0.105383873439947</c:v>
                </c:pt>
                <c:pt idx="107">
                  <c:v>0.105394142295438</c:v>
                </c:pt>
                <c:pt idx="108">
                  <c:v>0.10540434780831399</c:v>
                </c:pt>
                <c:pt idx="109">
                  <c:v>0.1054144914041</c:v>
                </c:pt>
                <c:pt idx="110">
                  <c:v>0.105424574472708</c:v>
                </c:pt>
                <c:pt idx="111">
                  <c:v>0.10543459836979301</c:v>
                </c:pt>
                <c:pt idx="112">
                  <c:v>0.105444564418049</c:v>
                </c:pt>
                <c:pt idx="113">
                  <c:v>0.105454473908448</c:v>
                </c:pt>
                <c:pt idx="114">
                  <c:v>0.105464328101426</c:v>
                </c:pt>
                <c:pt idx="115">
                  <c:v>0.10547412822802001</c:v>
                </c:pt>
                <c:pt idx="116">
                  <c:v>0.10548387549095201</c:v>
                </c:pt>
                <c:pt idx="117">
                  <c:v>0.105493571065675</c:v>
                </c:pt>
                <c:pt idx="118">
                  <c:v>0.105503216101374</c:v>
                </c:pt>
                <c:pt idx="119">
                  <c:v>0.10551281172191999</c:v>
                </c:pt>
                <c:pt idx="120">
                  <c:v>0.10552235902679701</c:v>
                </c:pt>
                <c:pt idx="121">
                  <c:v>0.105531859091982</c:v>
                </c:pt>
                <c:pt idx="122">
                  <c:v>0.105541312970793</c:v>
                </c:pt>
                <c:pt idx="123">
                  <c:v>0.105550721694713</c:v>
                </c:pt>
                <c:pt idx="124">
                  <c:v>0.10556008627416701</c:v>
                </c:pt>
                <c:pt idx="125">
                  <c:v>0.105569407699282</c:v>
                </c:pt>
                <c:pt idx="126">
                  <c:v>0.105578686940613</c:v>
                </c:pt>
                <c:pt idx="127">
                  <c:v>0.10558792494984499</c:v>
                </c:pt>
                <c:pt idx="128">
                  <c:v>0.105597122660464</c:v>
                </c:pt>
                <c:pt idx="129">
                  <c:v>0.105606280988415</c:v>
                </c:pt>
                <c:pt idx="130">
                  <c:v>0.105615400832723</c:v>
                </c:pt>
                <c:pt idx="131">
                  <c:v>0.10562448307610101</c:v>
                </c:pt>
                <c:pt idx="132">
                  <c:v>0.105633528585537</c:v>
                </c:pt>
                <c:pt idx="133">
                  <c:v>0.105642538212856</c:v>
                </c:pt>
                <c:pt idx="134">
                  <c:v>0.10565151279527001</c:v>
                </c:pt>
                <c:pt idx="135">
                  <c:v>0.105660453155901</c:v>
                </c:pt>
                <c:pt idx="136">
                  <c:v>0.1056693601043</c:v>
                </c:pt>
                <c:pt idx="137">
                  <c:v>0.105678234436935</c:v>
                </c:pt>
                <c:pt idx="138">
                  <c:v>0.105687076937673</c:v>
                </c:pt>
                <c:pt idx="139">
                  <c:v>0.10569588837824601</c:v>
                </c:pt>
                <c:pt idx="140">
                  <c:v>0.105704669518702</c:v>
                </c:pt>
                <c:pt idx="141">
                  <c:v>0.105713421107842</c:v>
                </c:pt>
                <c:pt idx="142">
                  <c:v>0.105722143883642</c:v>
                </c:pt>
                <c:pt idx="143">
                  <c:v>0.10573083857367301</c:v>
                </c:pt>
                <c:pt idx="144">
                  <c:v>0.10573950589549699</c:v>
                </c:pt>
                <c:pt idx="145">
                  <c:v>0.105748146557059</c:v>
                </c:pt>
                <c:pt idx="146">
                  <c:v>0.105756761257069</c:v>
                </c:pt>
                <c:pt idx="147">
                  <c:v>0.105765350685371</c:v>
                </c:pt>
                <c:pt idx="148">
                  <c:v>0.10577391552330601</c:v>
                </c:pt>
                <c:pt idx="149">
                  <c:v>0.105782456444064</c:v>
                </c:pt>
                <c:pt idx="150">
                  <c:v>0.105790974113029</c:v>
                </c:pt>
                <c:pt idx="151">
                  <c:v>0.105799469188117</c:v>
                </c:pt>
                <c:pt idx="152">
                  <c:v>0.105807942320102</c:v>
                </c:pt>
                <c:pt idx="153">
                  <c:v>0.105816394152941</c:v>
                </c:pt>
                <c:pt idx="154">
                  <c:v>0.10582482532409</c:v>
                </c:pt>
                <c:pt idx="155">
                  <c:v>0.10583323646481201</c:v>
                </c:pt>
                <c:pt idx="156">
                  <c:v>0.105841628200482</c:v>
                </c:pt>
                <c:pt idx="157">
                  <c:v>0.105850001150887</c:v>
                </c:pt>
                <c:pt idx="158">
                  <c:v>0.105858355930516</c:v>
                </c:pt>
                <c:pt idx="159">
                  <c:v>0.105866693148851</c:v>
                </c:pt>
                <c:pt idx="160">
                  <c:v>0.105875013410654</c:v>
                </c:pt>
                <c:pt idx="161">
                  <c:v>0.10588331731624</c:v>
                </c:pt>
                <c:pt idx="162">
                  <c:v>0.105891605461765</c:v>
                </c:pt>
                <c:pt idx="163">
                  <c:v>0.10589987843948701</c:v>
                </c:pt>
                <c:pt idx="164">
                  <c:v>0.10590813683804701</c:v>
                </c:pt>
                <c:pt idx="165">
                  <c:v>0.10591638124273201</c:v>
                </c:pt>
                <c:pt idx="166">
                  <c:v>0.105924612235738</c:v>
                </c:pt>
                <c:pt idx="167">
                  <c:v>0.10593283039644</c:v>
                </c:pt>
                <c:pt idx="168">
                  <c:v>0.105941036301648</c:v>
                </c:pt>
                <c:pt idx="169">
                  <c:v>0.10594923052586901</c:v>
                </c:pt>
                <c:pt idx="170">
                  <c:v>0.105957413641566</c:v>
                </c:pt>
                <c:pt idx="171">
                  <c:v>0.105965586219415</c:v>
                </c:pt>
                <c:pt idx="172">
                  <c:v>0.105973748828566</c:v>
                </c:pt>
                <c:pt idx="173">
                  <c:v>0.10598190203689301</c:v>
                </c:pt>
                <c:pt idx="174">
                  <c:v>0.105990046411258</c:v>
                </c:pt>
                <c:pt idx="175">
                  <c:v>0.10599818251776701</c:v>
                </c:pt>
                <c:pt idx="176">
                  <c:v>0.106006310922025</c:v>
                </c:pt>
                <c:pt idx="177">
                  <c:v>0.106014432189397</c:v>
                </c:pt>
                <c:pt idx="178">
                  <c:v>0.106022546885271</c:v>
                </c:pt>
                <c:pt idx="179">
                  <c:v>0.10603065557531401</c:v>
                </c:pt>
                <c:pt idx="180">
                  <c:v>0.10603875882574</c:v>
                </c:pt>
                <c:pt idx="181">
                  <c:v>0.106046857203577</c:v>
                </c:pt>
                <c:pt idx="182">
                  <c:v>0.106054951276932</c:v>
                </c:pt>
                <c:pt idx="183">
                  <c:v>0.106063041615263</c:v>
                </c:pt>
                <c:pt idx="184">
                  <c:v>0.10607112878965499</c:v>
                </c:pt>
                <c:pt idx="185">
                  <c:v>0.106079213373101</c:v>
                </c:pt>
                <c:pt idx="186">
                  <c:v>0.106087295940776</c:v>
                </c:pt>
                <c:pt idx="187">
                  <c:v>0.10609537707033299</c:v>
                </c:pt>
                <c:pt idx="188">
                  <c:v>0.106103457342189</c:v>
                </c:pt>
                <c:pt idx="189">
                  <c:v>0.106111537339822</c:v>
                </c:pt>
                <c:pt idx="190">
                  <c:v>0.10611961765007601</c:v>
                </c:pt>
                <c:pt idx="191">
                  <c:v>0.106127698863465</c:v>
                </c:pt>
                <c:pt idx="192">
                  <c:v>0.10613578157449099</c:v>
                </c:pt>
                <c:pt idx="193">
                  <c:v>0.106143866381966</c:v>
                </c:pt>
                <c:pt idx="194">
                  <c:v>0.10615195388934</c:v>
                </c:pt>
                <c:pt idx="195">
                  <c:v>0.106160044705038</c:v>
                </c:pt>
                <c:pt idx="196">
                  <c:v>0.106168139442805</c:v>
                </c:pt>
                <c:pt idx="197">
                  <c:v>0.106176238722063</c:v>
                </c:pt>
                <c:pt idx="198">
                  <c:v>0.106184343168276</c:v>
                </c:pt>
                <c:pt idx="199">
                  <c:v>0.10619245341332301</c:v>
                </c:pt>
                <c:pt idx="200">
                  <c:v>0.106200570095885</c:v>
                </c:pt>
                <c:pt idx="201">
                  <c:v>0.10620869386184199</c:v>
                </c:pt>
                <c:pt idx="202">
                  <c:v>0.10621682536468401</c:v>
                </c:pt>
                <c:pt idx="203">
                  <c:v>0.106224965265935</c:v>
                </c:pt>
                <c:pt idx="204">
                  <c:v>0.106233114235588</c:v>
                </c:pt>
                <c:pt idx="205">
                  <c:v>0.10624127295256</c:v>
                </c:pt>
                <c:pt idx="206">
                  <c:v>0.10624944210515699</c:v>
                </c:pt>
                <c:pt idx="207">
                  <c:v>0.106257622391562</c:v>
                </c:pt>
                <c:pt idx="208">
                  <c:v>0.106265814520335</c:v>
                </c:pt>
                <c:pt idx="209">
                  <c:v>0.106274019210935</c:v>
                </c:pt>
                <c:pt idx="210">
                  <c:v>0.10628223719426</c:v>
                </c:pt>
                <c:pt idx="211">
                  <c:v>0.106290469213214</c:v>
                </c:pt>
                <c:pt idx="212">
                  <c:v>0.106298716023284</c:v>
                </c:pt>
                <c:pt idx="213">
                  <c:v>0.106306978393155</c:v>
                </c:pt>
                <c:pt idx="214">
                  <c:v>0.106315257105341</c:v>
                </c:pt>
                <c:pt idx="215">
                  <c:v>0.10632355295684801</c:v>
                </c:pt>
                <c:pt idx="216">
                  <c:v>0.10633186675985799</c:v>
                </c:pt>
                <c:pt idx="217">
                  <c:v>0.10634019934245301</c:v>
                </c:pt>
                <c:pt idx="218">
                  <c:v>0.106348551549366</c:v>
                </c:pt>
                <c:pt idx="219">
                  <c:v>0.106356924242761</c:v>
                </c:pt>
                <c:pt idx="220">
                  <c:v>0.10636531830306099</c:v>
                </c:pt>
                <c:pt idx="221">
                  <c:v>0.106373734629807</c:v>
                </c:pt>
                <c:pt idx="222">
                  <c:v>0.10638217414255299</c:v>
                </c:pt>
                <c:pt idx="223">
                  <c:v>0.106390637781818</c:v>
                </c:pt>
                <c:pt idx="224">
                  <c:v>0.10639912651007299</c:v>
                </c:pt>
                <c:pt idx="225">
                  <c:v>0.10640764131277999</c:v>
                </c:pt>
                <c:pt idx="226">
                  <c:v>0.10641618319948901</c:v>
                </c:pt>
                <c:pt idx="227">
                  <c:v>0.106424753204983</c:v>
                </c:pt>
                <c:pt idx="228">
                  <c:v>0.10643335239049</c:v>
                </c:pt>
                <c:pt idx="229">
                  <c:v>0.106441981844954</c:v>
                </c:pt>
                <c:pt idx="230">
                  <c:v>0.106450642686375</c:v>
                </c:pt>
                <c:pt idx="231">
                  <c:v>0.10645933606322799</c:v>
                </c:pt>
                <c:pt idx="232">
                  <c:v>0.10646806315594901</c:v>
                </c:pt>
                <c:pt idx="233">
                  <c:v>0.106476825178516</c:v>
                </c:pt>
                <c:pt idx="234">
                  <c:v>0.10648562338011</c:v>
                </c:pt>
                <c:pt idx="235">
                  <c:v>0.106494459046881</c:v>
                </c:pt>
                <c:pt idx="236">
                  <c:v>0.106503333503809</c:v>
                </c:pt>
                <c:pt idx="237">
                  <c:v>0.10651224811667701</c:v>
                </c:pt>
                <c:pt idx="238">
                  <c:v>0.106521204294171</c:v>
                </c:pt>
                <c:pt idx="239">
                  <c:v>0.106530203490093</c:v>
                </c:pt>
                <c:pt idx="240">
                  <c:v>0.10653924720572699</c:v>
                </c:pt>
                <c:pt idx="241">
                  <c:v>0.106548336992338</c:v>
                </c:pt>
                <c:pt idx="242">
                  <c:v>0.106557474453844</c:v>
                </c:pt>
                <c:pt idx="243">
                  <c:v>0.106566661249652</c:v>
                </c:pt>
                <c:pt idx="244">
                  <c:v>0.10657589909767901</c:v>
                </c:pt>
                <c:pt idx="245">
                  <c:v>0.10658518977758299</c:v>
                </c:pt>
                <c:pt idx="246">
                  <c:v>0.106594535134197</c:v>
                </c:pt>
                <c:pt idx="247">
                  <c:v>0.106603937081217</c:v>
                </c:pt>
                <c:pt idx="248">
                  <c:v>0.106613397605125</c:v>
                </c:pt>
                <c:pt idx="249">
                  <c:v>0.10662291876941001</c:v>
                </c:pt>
                <c:pt idx="250">
                  <c:v>0.106632502719071</c:v>
                </c:pt>
                <c:pt idx="251">
                  <c:v>0.10664215168546599</c:v>
                </c:pt>
                <c:pt idx="252">
                  <c:v>0.106651867991505</c:v>
                </c:pt>
                <c:pt idx="253">
                  <c:v>0.106661654057239</c:v>
                </c:pt>
                <c:pt idx="254">
                  <c:v>0.106671512405876</c:v>
                </c:pt>
                <c:pt idx="255">
                  <c:v>0.106681445670259</c:v>
                </c:pt>
                <c:pt idx="256">
                  <c:v>0.106691456599855</c:v>
                </c:pt>
                <c:pt idx="257">
                  <c:v>0.10670154806830701</c:v>
                </c:pt>
                <c:pt idx="258">
                  <c:v>0.106711723081597</c:v>
                </c:pt>
                <c:pt idx="259">
                  <c:v>0.106721984786882</c:v>
                </c:pt>
                <c:pt idx="260">
                  <c:v>0.106732336482082</c:v>
                </c:pt>
                <c:pt idx="261">
                  <c:v>0.10674278162628199</c:v>
                </c:pt>
                <c:pt idx="262">
                  <c:v>0.106753323851043</c:v>
                </c:pt>
                <c:pt idx="263">
                  <c:v>0.106763966972719</c:v>
                </c:pt>
                <c:pt idx="264">
                  <c:v>0.10677471500588499</c:v>
                </c:pt>
                <c:pt idx="265">
                  <c:v>0.10678557217800599</c:v>
                </c:pt>
                <c:pt idx="266">
                  <c:v>0.106796542945475</c:v>
                </c:pt>
                <c:pt idx="267">
                  <c:v>0.10680763201119001</c:v>
                </c:pt>
                <c:pt idx="268">
                  <c:v>0.106818844343851</c:v>
                </c:pt>
                <c:pt idx="269">
                  <c:v>0.106830185199162</c:v>
                </c:pt>
                <c:pt idx="270">
                  <c:v>0.1068416601432</c:v>
                </c:pt>
                <c:pt idx="271">
                  <c:v>0.106853275078199</c:v>
                </c:pt>
                <c:pt idx="272">
                  <c:v>0.10686503627105901</c:v>
                </c:pt>
                <c:pt idx="273">
                  <c:v>0.106876950384948</c:v>
                </c:pt>
                <c:pt idx="274">
                  <c:v>0.10688902451438199</c:v>
                </c:pt>
                <c:pt idx="275">
                  <c:v>0.106901266224276</c:v>
                </c:pt>
                <c:pt idx="276">
                  <c:v>0.106913683593506</c:v>
                </c:pt>
                <c:pt idx="277">
                  <c:v>0.106926285263621</c:v>
                </c:pt>
                <c:pt idx="278">
                  <c:v>0.106939080493455</c:v>
                </c:pt>
                <c:pt idx="279">
                  <c:v>0.10695207922051</c:v>
                </c:pt>
                <c:pt idx="280">
                  <c:v>0.10696529213014599</c:v>
                </c:pt>
                <c:pt idx="281">
                  <c:v>0.106978730733797</c:v>
                </c:pt>
                <c:pt idx="282">
                  <c:v>0.106992407457646</c:v>
                </c:pt>
                <c:pt idx="283">
                  <c:v>0.107006335743491</c:v>
                </c:pt>
                <c:pt idx="284">
                  <c:v>0.10702053016384699</c:v>
                </c:pt>
                <c:pt idx="285">
                  <c:v>0.107035006553762</c:v>
                </c:pt>
                <c:pt idx="286">
                  <c:v>0.107049782162317</c:v>
                </c:pt>
                <c:pt idx="287">
                  <c:v>0.10706487582742701</c:v>
                </c:pt>
                <c:pt idx="288">
                  <c:v>0.107080308178348</c:v>
                </c:pt>
                <c:pt idx="289">
                  <c:v>0.10709610187127599</c:v>
                </c:pt>
                <c:pt idx="290">
                  <c:v>0.10711228186470099</c:v>
                </c:pt>
                <c:pt idx="291">
                  <c:v>0.107128875742745</c:v>
                </c:pt>
                <c:pt idx="292">
                  <c:v>0.107145914096787</c:v>
                </c:pt>
                <c:pt idx="293">
                  <c:v>0.10716343097827</c:v>
                </c:pt>
                <c:pt idx="294">
                  <c:v>0.10718146443905199</c:v>
                </c:pt>
                <c:pt idx="295">
                  <c:v>0.107200057180087</c:v>
                </c:pt>
                <c:pt idx="296">
                  <c:v>0.10721925733519</c:v>
                </c:pt>
                <c:pt idx="297">
                  <c:v>0.107239119424452</c:v>
                </c:pt>
                <c:pt idx="298">
                  <c:v>0.10725970552248799</c:v>
                </c:pt>
                <c:pt idx="299">
                  <c:v>0.107281086701057</c:v>
                </c:pt>
                <c:pt idx="300">
                  <c:v>0.10730334482520799</c:v>
                </c:pt>
                <c:pt idx="301">
                  <c:v>0.107326574809414</c:v>
                </c:pt>
                <c:pt idx="302">
                  <c:v>0.10735088747820599</c:v>
                </c:pt>
                <c:pt idx="303">
                  <c:v>0.10737641322982</c:v>
                </c:pt>
                <c:pt idx="304">
                  <c:v>0.107403306778537</c:v>
                </c:pt>
                <c:pt idx="305">
                  <c:v>0.10743175336319</c:v>
                </c:pt>
                <c:pt idx="306">
                  <c:v>0.107461976972791</c:v>
                </c:pt>
                <c:pt idx="307">
                  <c:v>0.107494251381856</c:v>
                </c:pt>
                <c:pt idx="308">
                  <c:v>0.107528915147976</c:v>
                </c:pt>
                <c:pt idx="309">
                  <c:v>0.107566392263413</c:v>
                </c:pt>
                <c:pt idx="310">
                  <c:v>0.10760722096054399</c:v>
                </c:pt>
                <c:pt idx="311">
                  <c:v>0.107652094373539</c:v>
                </c:pt>
                <c:pt idx="312">
                  <c:v>0.107701918517204</c:v>
                </c:pt>
                <c:pt idx="313">
                  <c:v>0.107757895545197</c:v>
                </c:pt>
                <c:pt idx="314">
                  <c:v>0.107821643761701</c:v>
                </c:pt>
                <c:pt idx="315">
                  <c:v>0.107895371464266</c:v>
                </c:pt>
                <c:pt idx="316">
                  <c:v>0.107982136054144</c:v>
                </c:pt>
                <c:pt idx="317">
                  <c:v>0.108086279484475</c:v>
                </c:pt>
                <c:pt idx="318">
                  <c:v>0.10821441051713999</c:v>
                </c:pt>
                <c:pt idx="319">
                  <c:v>0.108378611684964</c:v>
                </c:pt>
                <c:pt idx="320">
                  <c:v>0.10851279142848901</c:v>
                </c:pt>
                <c:pt idx="321">
                  <c:v>0.108646878508965</c:v>
                </c:pt>
                <c:pt idx="322">
                  <c:v>0.108781836007877</c:v>
                </c:pt>
                <c:pt idx="323">
                  <c:v>0.108917703938839</c:v>
                </c:pt>
                <c:pt idx="324">
                  <c:v>0.109054545173906</c:v>
                </c:pt>
                <c:pt idx="325">
                  <c:v>0.109192417872054</c:v>
                </c:pt>
                <c:pt idx="326">
                  <c:v>0.109331376964383</c:v>
                </c:pt>
                <c:pt idx="327">
                  <c:v>0.10947147454287399</c:v>
                </c:pt>
                <c:pt idx="328">
                  <c:v>0.109612760241196</c:v>
                </c:pt>
                <c:pt idx="329">
                  <c:v>0.10975528157779101</c:v>
                </c:pt>
                <c:pt idx="330">
                  <c:v>0.109899084266184</c:v>
                </c:pt>
                <c:pt idx="331">
                  <c:v>0.110044212495958</c:v>
                </c:pt>
                <c:pt idx="332">
                  <c:v>0.11019070918751001</c:v>
                </c:pt>
                <c:pt idx="333">
                  <c:v>0.11033861622334599</c:v>
                </c:pt>
                <c:pt idx="334">
                  <c:v>0.110487974658393</c:v>
                </c:pt>
                <c:pt idx="335">
                  <c:v>0.110638824911563</c:v>
                </c:pt>
                <c:pt idx="336">
                  <c:v>0.110791206940568</c:v>
                </c:pt>
                <c:pt idx="337">
                  <c:v>0.11094516040180299</c:v>
                </c:pt>
                <c:pt idx="338">
                  <c:v>0.11110072479692901</c:v>
                </c:pt>
                <c:pt idx="339">
                  <c:v>0.111257939607629</c:v>
                </c:pt>
                <c:pt idx="340">
                  <c:v>0.111416844419904</c:v>
                </c:pt>
                <c:pt idx="341">
                  <c:v>0.111577479039088</c:v>
                </c:pt>
                <c:pt idx="342">
                  <c:v>0.111739883596728</c:v>
                </c:pt>
                <c:pt idx="343">
                  <c:v>0.111904098650297</c:v>
                </c:pt>
                <c:pt idx="344">
                  <c:v>0.11207016527668</c:v>
                </c:pt>
                <c:pt idx="345">
                  <c:v>0.112238125160255</c:v>
                </c:pt>
                <c:pt idx="346">
                  <c:v>0.11240802067632299</c:v>
                </c:pt>
                <c:pt idx="347">
                  <c:v>0.11257989497059701</c:v>
                </c:pt>
                <c:pt idx="348">
                  <c:v>0.112753792035371</c:v>
                </c:pt>
                <c:pt idx="349">
                  <c:v>0.112929756782956</c:v>
                </c:pt>
                <c:pt idx="350">
                  <c:v>0.113107835116922</c:v>
                </c:pt>
                <c:pt idx="351">
                  <c:v>0.113288074001635</c:v>
                </c:pt>
                <c:pt idx="352">
                  <c:v>0.113470521530551</c:v>
                </c:pt>
                <c:pt idx="353">
                  <c:v>0.113655226993682</c:v>
                </c:pt>
                <c:pt idx="354">
                  <c:v>0.113842240944644</c:v>
                </c:pt>
                <c:pt idx="355">
                  <c:v>0.114031615267637</c:v>
                </c:pt>
                <c:pt idx="356">
                  <c:v>0.11422340324472501</c:v>
                </c:pt>
                <c:pt idx="357">
                  <c:v>0.11441765962373</c:v>
                </c:pt>
                <c:pt idx="358">
                  <c:v>0.114614440687063</c:v>
                </c:pt>
                <c:pt idx="359">
                  <c:v>0.114813804321789</c:v>
                </c:pt>
                <c:pt idx="360">
                  <c:v>0.22425676384167301</c:v>
                </c:pt>
                <c:pt idx="361">
                  <c:v>0.30704288935609397</c:v>
                </c:pt>
                <c:pt idx="362">
                  <c:v>0.30834090817871301</c:v>
                </c:pt>
                <c:pt idx="363">
                  <c:v>0.30921577139060102</c:v>
                </c:pt>
                <c:pt idx="364">
                  <c:v>0.31017471350345399</c:v>
                </c:pt>
                <c:pt idx="365">
                  <c:v>0.31131883897321</c:v>
                </c:pt>
                <c:pt idx="366">
                  <c:v>0.31289797505880901</c:v>
                </c:pt>
                <c:pt idx="367">
                  <c:v>0.51289797505880896</c:v>
                </c:pt>
                <c:pt idx="368">
                  <c:v>0.51289797505880896</c:v>
                </c:pt>
              </c:numCache>
            </c:numRef>
          </c:xVal>
          <c:yVal>
            <c:numRef>
              <c:f>Implicit_Fracs!$W$3:$W$371</c:f>
              <c:numCache>
                <c:formatCode>General</c:formatCode>
                <c:ptCount val="369"/>
                <c:pt idx="0">
                  <c:v>0</c:v>
                </c:pt>
                <c:pt idx="1">
                  <c:v>0</c:v>
                </c:pt>
                <c:pt idx="2">
                  <c:v>2097248.4389301701</c:v>
                </c:pt>
                <c:pt idx="3">
                  <c:v>2119777.2330602799</c:v>
                </c:pt>
                <c:pt idx="4">
                  <c:v>2133759.2152718799</c:v>
                </c:pt>
                <c:pt idx="5">
                  <c:v>2143959.5932160099</c:v>
                </c:pt>
                <c:pt idx="6">
                  <c:v>2152011.1641634498</c:v>
                </c:pt>
                <c:pt idx="7">
                  <c:v>2158673.2749592098</c:v>
                </c:pt>
                <c:pt idx="8">
                  <c:v>2164361.9253184502</c:v>
                </c:pt>
                <c:pt idx="9">
                  <c:v>2169330.06789131</c:v>
                </c:pt>
                <c:pt idx="10">
                  <c:v>2173743.1264633499</c:v>
                </c:pt>
                <c:pt idx="11">
                  <c:v>2177715.2732985602</c:v>
                </c:pt>
                <c:pt idx="12">
                  <c:v>2181328.6541282302</c:v>
                </c:pt>
                <c:pt idx="13">
                  <c:v>2184644.3614685698</c:v>
                </c:pt>
                <c:pt idx="14">
                  <c:v>2187709.07392865</c:v>
                </c:pt>
                <c:pt idx="15">
                  <c:v>2190559.2668702099</c:v>
                </c:pt>
                <c:pt idx="16">
                  <c:v>2193223.9886284098</c:v>
                </c:pt>
                <c:pt idx="17">
                  <c:v>2195726.7517193202</c:v>
                </c:pt>
                <c:pt idx="18">
                  <c:v>2198086.8575356398</c:v>
                </c:pt>
                <c:pt idx="19">
                  <c:v>2200320.3467989601</c:v>
                </c:pt>
                <c:pt idx="20">
                  <c:v>2202440.69594236</c:v>
                </c:pt>
                <c:pt idx="21">
                  <c:v>2204459.3368406999</c:v>
                </c:pt>
                <c:pt idx="22">
                  <c:v>2206386.0511004799</c:v>
                </c:pt>
                <c:pt idx="23">
                  <c:v>2208229.2735905098</c:v>
                </c:pt>
                <c:pt idx="24">
                  <c:v>2209996.3291950598</c:v>
                </c:pt>
                <c:pt idx="25">
                  <c:v>2211693.6196869002</c:v>
                </c:pt>
                <c:pt idx="26">
                  <c:v>2213326.7728287098</c:v>
                </c:pt>
                <c:pt idx="27">
                  <c:v>2214900.7625138299</c:v>
                </c:pt>
                <c:pt idx="28">
                  <c:v>2216420.0064482102</c:v>
                </c:pt>
                <c:pt idx="29">
                  <c:v>2217888.44623311</c:v>
                </c:pt>
                <c:pt idx="30">
                  <c:v>2219309.6135232402</c:v>
                </c:pt>
                <c:pt idx="31">
                  <c:v>2220686.6850700402</c:v>
                </c:pt>
                <c:pt idx="32">
                  <c:v>2222022.5288191899</c:v>
                </c:pt>
                <c:pt idx="33">
                  <c:v>2223319.74275323</c:v>
                </c:pt>
                <c:pt idx="34">
                  <c:v>2224580.6878083101</c:v>
                </c:pt>
                <c:pt idx="35">
                  <c:v>2225807.5159184802</c:v>
                </c:pt>
                <c:pt idx="36">
                  <c:v>2227002.1940286998</c:v>
                </c:pt>
                <c:pt idx="37">
                  <c:v>2228166.5247527701</c:v>
                </c:pt>
                <c:pt idx="38">
                  <c:v>2229302.1642238102</c:v>
                </c:pt>
                <c:pt idx="39">
                  <c:v>2230410.6375833801</c:v>
                </c:pt>
                <c:pt idx="40">
                  <c:v>2231493.3525238298</c:v>
                </c:pt>
                <c:pt idx="41">
                  <c:v>2232551.61108064</c:v>
                </c:pt>
                <c:pt idx="42">
                  <c:v>2233586.6199781001</c:v>
                </c:pt>
                <c:pt idx="43">
                  <c:v>2234599.4997383901</c:v>
                </c:pt>
                <c:pt idx="44">
                  <c:v>2235591.29272709</c:v>
                </c:pt>
                <c:pt idx="45">
                  <c:v>2236562.9702810398</c:v>
                </c:pt>
                <c:pt idx="46">
                  <c:v>2237515.4390412699</c:v>
                </c:pt>
                <c:pt idx="47">
                  <c:v>2238449.5465952298</c:v>
                </c:pt>
                <c:pt idx="48">
                  <c:v>2239366.0865167701</c:v>
                </c:pt>
                <c:pt idx="49">
                  <c:v>2240265.8028795002</c:v>
                </c:pt>
                <c:pt idx="50">
                  <c:v>2241149.3943082099</c:v>
                </c:pt>
                <c:pt idx="51">
                  <c:v>2242017.5176239801</c:v>
                </c:pt>
                <c:pt idx="52">
                  <c:v>2242870.7911310201</c:v>
                </c:pt>
                <c:pt idx="53">
                  <c:v>2243709.7975865798</c:v>
                </c:pt>
                <c:pt idx="54">
                  <c:v>2244535.08689008</c:v>
                </c:pt>
                <c:pt idx="55">
                  <c:v>2245347.1785226101</c:v>
                </c:pt>
                <c:pt idx="56">
                  <c:v>2246146.5637642099</c:v>
                </c:pt>
                <c:pt idx="57">
                  <c:v>2246933.70771277</c:v>
                </c:pt>
                <c:pt idx="58">
                  <c:v>2247709.0511254999</c:v>
                </c:pt>
                <c:pt idx="59">
                  <c:v>2248473.0121013601</c:v>
                </c:pt>
                <c:pt idx="60">
                  <c:v>2249225.9876206801</c:v>
                </c:pt>
                <c:pt idx="61">
                  <c:v>2249968.3549562702</c:v>
                </c:pt>
                <c:pt idx="62">
                  <c:v>2250700.4729687301</c:v>
                </c:pt>
                <c:pt idx="63">
                  <c:v>2251422.6832971098</c:v>
                </c:pt>
                <c:pt idx="64">
                  <c:v>2252135.3114550202</c:v>
                </c:pt>
                <c:pt idx="65">
                  <c:v>2252838.667841</c:v>
                </c:pt>
                <c:pt idx="66">
                  <c:v>2253533.0486710402</c:v>
                </c:pt>
                <c:pt idx="67">
                  <c:v>2254218.7368405</c:v>
                </c:pt>
                <c:pt idx="68">
                  <c:v>2254896.0027215802</c:v>
                </c:pt>
                <c:pt idx="69">
                  <c:v>2255565.1049021599</c:v>
                </c:pt>
                <c:pt idx="70">
                  <c:v>2256226.2908710502</c:v>
                </c:pt>
                <c:pt idx="71">
                  <c:v>2256879.7976543298</c:v>
                </c:pt>
                <c:pt idx="72">
                  <c:v>2257525.8524068398</c:v>
                </c:pt>
                <c:pt idx="73">
                  <c:v>2258164.6729625599</c:v>
                </c:pt>
                <c:pt idx="74">
                  <c:v>2258796.4683473599</c:v>
                </c:pt>
                <c:pt idx="75">
                  <c:v>2259421.4392571398</c:v>
                </c:pt>
                <c:pt idx="76">
                  <c:v>2260039.7785039698</c:v>
                </c:pt>
                <c:pt idx="77">
                  <c:v>2260651.6714330502</c:v>
                </c:pt>
                <c:pt idx="78">
                  <c:v>2261257.2963125701</c:v>
                </c:pt>
                <c:pt idx="79">
                  <c:v>2261856.8246985702</c:v>
                </c:pt>
                <c:pt idx="80">
                  <c:v>2262450.4217767799</c:v>
                </c:pt>
                <c:pt idx="81">
                  <c:v>2263038.24668309</c:v>
                </c:pt>
                <c:pt idx="82">
                  <c:v>2263620.45280432</c:v>
                </c:pt>
                <c:pt idx="83">
                  <c:v>2264197.1880606399</c:v>
                </c:pt>
                <c:pt idx="84">
                  <c:v>2264768.5951710301</c:v>
                </c:pt>
                <c:pt idx="85">
                  <c:v>2265334.8119030101</c:v>
                </c:pt>
                <c:pt idx="86">
                  <c:v>2265895.97130768</c:v>
                </c:pt>
                <c:pt idx="87">
                  <c:v>2266452.2019411302</c:v>
                </c:pt>
                <c:pt idx="88">
                  <c:v>2267003.6280732299</c:v>
                </c:pt>
                <c:pt idx="89">
                  <c:v>2267550.3698845101</c:v>
                </c:pt>
                <c:pt idx="90">
                  <c:v>2268092.5436521401</c:v>
                </c:pt>
                <c:pt idx="91">
                  <c:v>2268630.2619255302</c:v>
                </c:pt>
                <c:pt idx="92">
                  <c:v>2269163.63369236</c:v>
                </c:pt>
                <c:pt idx="93">
                  <c:v>2269692.7645356399</c:v>
                </c:pt>
                <c:pt idx="94">
                  <c:v>2270217.7567824</c:v>
                </c:pt>
                <c:pt idx="95">
                  <c:v>2270738.7096444801</c:v>
                </c:pt>
                <c:pt idx="96">
                  <c:v>2271255.7193519701</c:v>
                </c:pt>
                <c:pt idx="97">
                  <c:v>2271768.87927981</c:v>
                </c:pt>
                <c:pt idx="98">
                  <c:v>2272278.2800678201</c:v>
                </c:pt>
                <c:pt idx="99">
                  <c:v>2272784.00973474</c:v>
                </c:pt>
                <c:pt idx="100">
                  <c:v>2273286.1537865698</c:v>
                </c:pt>
                <c:pt idx="101">
                  <c:v>2273784.7953194599</c:v>
                </c:pt>
                <c:pt idx="102">
                  <c:v>2274280.01511769</c:v>
                </c:pt>
                <c:pt idx="103">
                  <c:v>2274771.8917468102</c:v>
                </c:pt>
                <c:pt idx="104">
                  <c:v>2275260.5016423501</c:v>
                </c:pt>
                <c:pt idx="105">
                  <c:v>2275745.9191943598</c:v>
                </c:pt>
                <c:pt idx="106">
                  <c:v>2276228.21682793</c:v>
                </c:pt>
                <c:pt idx="107">
                  <c:v>2276707.46508</c:v>
                </c:pt>
                <c:pt idx="108">
                  <c:v>2277183.7326726899</c:v>
                </c:pt>
                <c:pt idx="109">
                  <c:v>2277657.0865831799</c:v>
                </c:pt>
                <c:pt idx="110">
                  <c:v>2278127.5921106199</c:v>
                </c:pt>
                <c:pt idx="111">
                  <c:v>2278595.31293992</c:v>
                </c:pt>
                <c:pt idx="112">
                  <c:v>2279060.3112027901</c:v>
                </c:pt>
                <c:pt idx="113">
                  <c:v>2279522.64753618</c:v>
                </c:pt>
                <c:pt idx="114">
                  <c:v>2279982.3811380998</c:v>
                </c:pt>
                <c:pt idx="115">
                  <c:v>2280439.56982115</c:v>
                </c:pt>
                <c:pt idx="116">
                  <c:v>2280894.27006377</c:v>
                </c:pt>
                <c:pt idx="117">
                  <c:v>2281346.5370593299</c:v>
                </c:pt>
                <c:pt idx="118">
                  <c:v>2281796.4247632702</c:v>
                </c:pt>
                <c:pt idx="119">
                  <c:v>2282243.9859382198</c:v>
                </c:pt>
                <c:pt idx="120">
                  <c:v>2282689.27219741</c:v>
                </c:pt>
                <c:pt idx="121">
                  <c:v>2283132.3340462898</c:v>
                </c:pt>
                <c:pt idx="122">
                  <c:v>2283573.2209225302</c:v>
                </c:pt>
                <c:pt idx="123">
                  <c:v>2284011.9812344401</c:v>
                </c:pt>
                <c:pt idx="124">
                  <c:v>2284448.66239801</c:v>
                </c:pt>
                <c:pt idx="125">
                  <c:v>2284883.3108724202</c:v>
                </c:pt>
                <c:pt idx="126">
                  <c:v>2285315.9721943</c:v>
                </c:pt>
                <c:pt idx="127">
                  <c:v>2285746.6910107001</c:v>
                </c:pt>
                <c:pt idx="128">
                  <c:v>2286175.5111108702</c:v>
                </c:pt>
                <c:pt idx="129">
                  <c:v>2286602.4754568902</c:v>
                </c:pt>
                <c:pt idx="130">
                  <c:v>2287027.6262131999</c:v>
                </c:pt>
                <c:pt idx="131">
                  <c:v>2287451.0047751199</c:v>
                </c:pt>
                <c:pt idx="132">
                  <c:v>2287872.65179636</c:v>
                </c:pt>
                <c:pt idx="133">
                  <c:v>2288292.6072156201</c:v>
                </c:pt>
                <c:pt idx="134">
                  <c:v>2288710.9102822798</c:v>
                </c:pt>
                <c:pt idx="135">
                  <c:v>2289127.5995812598</c:v>
                </c:pt>
                <c:pt idx="136">
                  <c:v>2289542.7130570598</c:v>
                </c:pt>
                <c:pt idx="137">
                  <c:v>2289956.2880370398</c:v>
                </c:pt>
                <c:pt idx="138">
                  <c:v>2290368.3612539698</c:v>
                </c:pt>
                <c:pt idx="139">
                  <c:v>2290778.9688678999</c:v>
                </c:pt>
                <c:pt idx="140">
                  <c:v>2291188.1464873198</c:v>
                </c:pt>
                <c:pt idx="141">
                  <c:v>2291595.92918977</c:v>
                </c:pt>
                <c:pt idx="142">
                  <c:v>2292002.3515417902</c:v>
                </c:pt>
                <c:pt idx="143">
                  <c:v>2292407.4476183602</c:v>
                </c:pt>
                <c:pt idx="144">
                  <c:v>2292811.2510217</c:v>
                </c:pt>
                <c:pt idx="145">
                  <c:v>2293213.79489969</c:v>
                </c:pt>
                <c:pt idx="146">
                  <c:v>2293615.1119637401</c:v>
                </c:pt>
                <c:pt idx="147">
                  <c:v>2294015.23450614</c:v>
                </c:pt>
                <c:pt idx="148">
                  <c:v>2294414.19441712</c:v>
                </c:pt>
                <c:pt idx="149">
                  <c:v>2294812.0232013199</c:v>
                </c:pt>
                <c:pt idx="150">
                  <c:v>2295208.7519940501</c:v>
                </c:pt>
                <c:pt idx="151">
                  <c:v>2295604.4115770101</c:v>
                </c:pt>
                <c:pt idx="152">
                  <c:v>2295999.0323938001</c:v>
                </c:pt>
                <c:pt idx="153">
                  <c:v>2296392.64456501</c:v>
                </c:pt>
                <c:pt idx="154">
                  <c:v>2296785.2779030101</c:v>
                </c:pt>
                <c:pt idx="155">
                  <c:v>2297176.9619265399</c:v>
                </c:pt>
                <c:pt idx="156">
                  <c:v>2297567.7258748701</c:v>
                </c:pt>
                <c:pt idx="157">
                  <c:v>2297957.5987218502</c:v>
                </c:pt>
                <c:pt idx="158">
                  <c:v>2298346.6091896398</c:v>
                </c:pt>
                <c:pt idx="159">
                  <c:v>2298734.7857622099</c:v>
                </c:pt>
                <c:pt idx="160">
                  <c:v>2299122.1566987098</c:v>
                </c:pt>
                <c:pt idx="161">
                  <c:v>2299508.7500465801</c:v>
                </c:pt>
                <c:pt idx="162">
                  <c:v>2299894.5936544901</c:v>
                </c:pt>
                <c:pt idx="163">
                  <c:v>2300279.7151851398</c:v>
                </c:pt>
                <c:pt idx="164">
                  <c:v>2300664.1421279502</c:v>
                </c:pt>
                <c:pt idx="165">
                  <c:v>2301047.9018115401</c:v>
                </c:pt>
                <c:pt idx="166">
                  <c:v>2301431.0214161398</c:v>
                </c:pt>
                <c:pt idx="167">
                  <c:v>2301813.52798591</c:v>
                </c:pt>
                <c:pt idx="168">
                  <c:v>2302195.4484411599</c:v>
                </c:pt>
                <c:pt idx="169">
                  <c:v>2302576.80959047</c:v>
                </c:pt>
                <c:pt idx="170">
                  <c:v>2302957.63814282</c:v>
                </c:pt>
                <c:pt idx="171">
                  <c:v>2303337.9607195901</c:v>
                </c:pt>
                <c:pt idx="172">
                  <c:v>2303717.8038665699</c:v>
                </c:pt>
                <c:pt idx="173">
                  <c:v>2304097.1940660002</c:v>
                </c:pt>
                <c:pt idx="174">
                  <c:v>2304476.1577485199</c:v>
                </c:pt>
                <c:pt idx="175">
                  <c:v>2304854.7213051901</c:v>
                </c:pt>
                <c:pt idx="176">
                  <c:v>2305232.9110994898</c:v>
                </c:pt>
                <c:pt idx="177">
                  <c:v>2305610.75347945</c:v>
                </c:pt>
                <c:pt idx="178">
                  <c:v>2305988.27478969</c:v>
                </c:pt>
                <c:pt idx="179">
                  <c:v>2306365.5013836902</c:v>
                </c:pt>
                <c:pt idx="180">
                  <c:v>2306742.4596360102</c:v>
                </c:pt>
                <c:pt idx="181">
                  <c:v>2307119.1759546902</c:v>
                </c:pt>
                <c:pt idx="182">
                  <c:v>2307495.6767937401</c:v>
                </c:pt>
                <c:pt idx="183">
                  <c:v>2307871.9886657498</c:v>
                </c:pt>
                <c:pt idx="184">
                  <c:v>2308248.1381546902</c:v>
                </c:pt>
                <c:pt idx="185">
                  <c:v>2308624.1519287801</c:v>
                </c:pt>
                <c:pt idx="186">
                  <c:v>2309000.0567536899</c:v>
                </c:pt>
                <c:pt idx="187">
                  <c:v>2309375.8795057801</c:v>
                </c:pt>
                <c:pt idx="188">
                  <c:v>2309751.64718568</c:v>
                </c:pt>
                <c:pt idx="189">
                  <c:v>2310127.3869320201</c:v>
                </c:pt>
                <c:pt idx="190">
                  <c:v>2310503.1260354999</c:v>
                </c:pt>
                <c:pt idx="191">
                  <c:v>2310878.8919531498</c:v>
                </c:pt>
                <c:pt idx="192">
                  <c:v>2311254.7123229802</c:v>
                </c:pt>
                <c:pt idx="193">
                  <c:v>2311630.6149788499</c:v>
                </c:pt>
                <c:pt idx="194">
                  <c:v>2312006.62796576</c:v>
                </c:pt>
                <c:pt idx="195">
                  <c:v>2312382.7795555098</c:v>
                </c:pt>
                <c:pt idx="196">
                  <c:v>2312759.09826265</c:v>
                </c:pt>
                <c:pt idx="197">
                  <c:v>2313135.61286102</c:v>
                </c:pt>
                <c:pt idx="198">
                  <c:v>2313512.35240058</c:v>
                </c:pt>
                <c:pt idx="199">
                  <c:v>2313889.3462248002</c:v>
                </c:pt>
                <c:pt idx="200">
                  <c:v>2314266.6239885301</c:v>
                </c:pt>
                <c:pt idx="201">
                  <c:v>2314644.2156764101</c:v>
                </c:pt>
                <c:pt idx="202">
                  <c:v>2315022.1516218702</c:v>
                </c:pt>
                <c:pt idx="203">
                  <c:v>2315400.46252672</c:v>
                </c:pt>
                <c:pt idx="204">
                  <c:v>2315779.1794813499</c:v>
                </c:pt>
                <c:pt idx="205">
                  <c:v>2316158.3339857301</c:v>
                </c:pt>
                <c:pt idx="206">
                  <c:v>2316537.9579709899</c:v>
                </c:pt>
                <c:pt idx="207">
                  <c:v>2316918.0838218401</c:v>
                </c:pt>
                <c:pt idx="208">
                  <c:v>2317298.7443998801</c:v>
                </c:pt>
                <c:pt idx="209">
                  <c:v>2317679.9730675998</c:v>
                </c:pt>
                <c:pt idx="210">
                  <c:v>2318061.8037134898</c:v>
                </c:pt>
                <c:pt idx="211">
                  <c:v>2318444.2707779799</c:v>
                </c:pt>
                <c:pt idx="212">
                  <c:v>2318827.4092804901</c:v>
                </c:pt>
                <c:pt idx="213">
                  <c:v>2319211.2548475601</c:v>
                </c:pt>
                <c:pt idx="214">
                  <c:v>2319595.8437421299</c:v>
                </c:pt>
                <c:pt idx="215">
                  <c:v>2319981.2128940802</c:v>
                </c:pt>
                <c:pt idx="216">
                  <c:v>2320367.3999320399</c:v>
                </c:pt>
                <c:pt idx="217">
                  <c:v>2320754.4432166698</c:v>
                </c:pt>
                <c:pt idx="218">
                  <c:v>2321142.3818752798</c:v>
                </c:pt>
                <c:pt idx="219">
                  <c:v>2321531.2558382</c:v>
                </c:pt>
                <c:pt idx="220">
                  <c:v>2321921.1058766502</c:v>
                </c:pt>
                <c:pt idx="221">
                  <c:v>2322311.9736425299</c:v>
                </c:pt>
                <c:pt idx="222">
                  <c:v>2322703.9017099598</c:v>
                </c:pt>
                <c:pt idx="223">
                  <c:v>2323096.9336189302</c:v>
                </c:pt>
                <c:pt idx="224">
                  <c:v>2323491.1139210602</c:v>
                </c:pt>
                <c:pt idx="225">
                  <c:v>2323886.48822763</c:v>
                </c:pt>
                <c:pt idx="226">
                  <c:v>2324283.1032600198</c:v>
                </c:pt>
                <c:pt idx="227">
                  <c:v>2324681.0069027902</c:v>
                </c:pt>
                <c:pt idx="228">
                  <c:v>2325080.2482594801</c:v>
                </c:pt>
                <c:pt idx="229">
                  <c:v>2325480.8777113901</c:v>
                </c:pt>
                <c:pt idx="230">
                  <c:v>2325882.9469794398</c:v>
                </c:pt>
                <c:pt idx="231">
                  <c:v>2326286.5091895098</c:v>
                </c:pt>
                <c:pt idx="232">
                  <c:v>2326691.6189412898</c:v>
                </c:pt>
                <c:pt idx="233">
                  <c:v>2327098.3323810198</c:v>
                </c:pt>
                <c:pt idx="234">
                  <c:v>2327506.7072783699</c:v>
                </c:pt>
                <c:pt idx="235">
                  <c:v>2327916.8031076901</c:v>
                </c:pt>
                <c:pt idx="236">
                  <c:v>2328328.6811341099</c:v>
                </c:pt>
                <c:pt idx="237">
                  <c:v>2328742.4045046102</c:v>
                </c:pt>
                <c:pt idx="238">
                  <c:v>2329158.0383446901</c:v>
                </c:pt>
                <c:pt idx="239">
                  <c:v>2329575.64986081</c:v>
                </c:pt>
                <c:pt idx="240">
                  <c:v>2329995.3084492502</c:v>
                </c:pt>
                <c:pt idx="241">
                  <c:v>2330417.0858117901</c:v>
                </c:pt>
                <c:pt idx="242">
                  <c:v>2330841.0560786799</c:v>
                </c:pt>
                <c:pt idx="243">
                  <c:v>2331267.2959396001</c:v>
                </c:pt>
                <c:pt idx="244">
                  <c:v>2331695.8847832102</c:v>
                </c:pt>
                <c:pt idx="245">
                  <c:v>2332126.9048458999</c:v>
                </c:pt>
                <c:pt idx="246">
                  <c:v>2332560.44137066</c:v>
                </c:pt>
                <c:pt idx="247">
                  <c:v>2332996.58277675</c:v>
                </c:pt>
                <c:pt idx="248">
                  <c:v>2333435.4208411602</c:v>
                </c:pt>
                <c:pt idx="249">
                  <c:v>2333877.0508929002</c:v>
                </c:pt>
                <c:pt idx="250">
                  <c:v>2334321.5720212101</c:v>
                </c:pt>
                <c:pt idx="251">
                  <c:v>2334769.0872987802</c:v>
                </c:pt>
                <c:pt idx="252">
                  <c:v>2335219.7040216499</c:v>
                </c:pt>
                <c:pt idx="253">
                  <c:v>2335673.5339669199</c:v>
                </c:pt>
                <c:pt idx="254">
                  <c:v>2336130.69367021</c:v>
                </c:pt>
                <c:pt idx="255">
                  <c:v>2336591.3047245401</c:v>
                </c:pt>
                <c:pt idx="256">
                  <c:v>2337055.49410277</c:v>
                </c:pt>
                <c:pt idx="257">
                  <c:v>2337523.39450579</c:v>
                </c:pt>
                <c:pt idx="258">
                  <c:v>2337995.1447391198</c:v>
                </c:pt>
                <c:pt idx="259">
                  <c:v>2338470.8901205398</c:v>
                </c:pt>
                <c:pt idx="260">
                  <c:v>2338950.7829221599</c:v>
                </c:pt>
                <c:pt idx="261">
                  <c:v>2339434.9828502201</c:v>
                </c:pt>
                <c:pt idx="262">
                  <c:v>2339923.6575668799</c:v>
                </c:pt>
                <c:pt idx="263">
                  <c:v>2340416.98325813</c:v>
                </c:pt>
                <c:pt idx="264">
                  <c:v>2340915.14525316</c:v>
                </c:pt>
                <c:pt idx="265">
                  <c:v>2341418.3387007099</c:v>
                </c:pt>
                <c:pt idx="266">
                  <c:v>2341926.7693088301</c:v>
                </c:pt>
                <c:pt idx="267">
                  <c:v>2342440.65415551</c:v>
                </c:pt>
                <c:pt idx="268">
                  <c:v>2342960.22257816</c:v>
                </c:pt>
                <c:pt idx="269">
                  <c:v>2343485.7171517499</c:v>
                </c:pt>
                <c:pt idx="270">
                  <c:v>2344017.3947661002</c:v>
                </c:pt>
                <c:pt idx="271">
                  <c:v>2344555.5278147901</c:v>
                </c:pt>
                <c:pt idx="272">
                  <c:v>2345100.4055098998</c:v>
                </c:pt>
                <c:pt idx="273">
                  <c:v>2345652.3353387201</c:v>
                </c:pt>
                <c:pt idx="274">
                  <c:v>2346211.64468149</c:v>
                </c:pt>
                <c:pt idx="275">
                  <c:v>2346778.6826117001</c:v>
                </c:pt>
                <c:pt idx="276">
                  <c:v>2347353.8219044302</c:v>
                </c:pt>
                <c:pt idx="277">
                  <c:v>2347937.4612821001</c:v>
                </c:pt>
                <c:pt idx="278">
                  <c:v>2348530.0279319999</c:v>
                </c:pt>
                <c:pt idx="279">
                  <c:v>2349131.9803361599</c:v>
                </c:pt>
                <c:pt idx="280">
                  <c:v>2349743.8114607399</c:v>
                </c:pt>
                <c:pt idx="281">
                  <c:v>2350366.05236133</c:v>
                </c:pt>
                <c:pt idx="282">
                  <c:v>2350999.2762705102</c:v>
                </c:pt>
                <c:pt idx="283">
                  <c:v>2351644.1032468802</c:v>
                </c:pt>
                <c:pt idx="284">
                  <c:v>2352301.2054802198</c:v>
                </c:pt>
                <c:pt idx="285">
                  <c:v>2352971.3133666599</c:v>
                </c:pt>
                <c:pt idx="286">
                  <c:v>2353655.2224908201</c:v>
                </c:pt>
                <c:pt idx="287">
                  <c:v>2354353.8016814599</c:v>
                </c:pt>
                <c:pt idx="288">
                  <c:v>2355068.0023434102</c:v>
                </c:pt>
                <c:pt idx="289">
                  <c:v>2355798.8693141998</c:v>
                </c:pt>
                <c:pt idx="290">
                  <c:v>2356547.5535516301</c:v>
                </c:pt>
                <c:pt idx="291">
                  <c:v>2357315.32703193</c:v>
                </c:pt>
                <c:pt idx="292">
                  <c:v>2358103.6003321302</c:v>
                </c:pt>
                <c:pt idx="293">
                  <c:v>2358913.9434912498</c:v>
                </c:pt>
                <c:pt idx="294">
                  <c:v>2359748.1109026601</c:v>
                </c:pt>
                <c:pt idx="295">
                  <c:v>2360608.0711955</c:v>
                </c:pt>
                <c:pt idx="296">
                  <c:v>2361496.04333559</c:v>
                </c:pt>
                <c:pt idx="297">
                  <c:v>2362414.5405377601</c:v>
                </c:pt>
                <c:pt idx="298">
                  <c:v>2363366.4240688798</c:v>
                </c:pt>
                <c:pt idx="299">
                  <c:v>2364354.9696804699</c:v>
                </c:pt>
                <c:pt idx="300">
                  <c:v>2365383.9503146401</c:v>
                </c:pt>
                <c:pt idx="301">
                  <c:v>2366457.73997971</c:v>
                </c:pt>
                <c:pt idx="302">
                  <c:v>2367581.4454441001</c:v>
                </c:pt>
                <c:pt idx="303">
                  <c:v>2368761.0748777301</c:v>
                </c:pt>
                <c:pt idx="304">
                  <c:v>2370003.7561186999</c:v>
                </c:pt>
                <c:pt idx="305">
                  <c:v>2371318.0223782598</c:v>
                </c:pt>
                <c:pt idx="306">
                  <c:v>2372714.1907080901</c:v>
                </c:pt>
                <c:pt idx="307">
                  <c:v>2374204.8696487602</c:v>
                </c:pt>
                <c:pt idx="308">
                  <c:v>2375805.6490015499</c:v>
                </c:pt>
                <c:pt idx="309">
                  <c:v>2377536.0494012302</c:v>
                </c:pt>
                <c:pt idx="310">
                  <c:v>2379420.8464092002</c:v>
                </c:pt>
                <c:pt idx="311">
                  <c:v>2381491.9389150301</c:v>
                </c:pt>
                <c:pt idx="312">
                  <c:v>2383791.0120440801</c:v>
                </c:pt>
                <c:pt idx="313">
                  <c:v>2386373.3588899798</c:v>
                </c:pt>
                <c:pt idx="314">
                  <c:v>2389313.38512974</c:v>
                </c:pt>
                <c:pt idx="315">
                  <c:v>2392712.5749623198</c:v>
                </c:pt>
                <c:pt idx="316">
                  <c:v>2396711.3512591398</c:v>
                </c:pt>
                <c:pt idx="317">
                  <c:v>2401508.9952900801</c:v>
                </c:pt>
                <c:pt idx="318">
                  <c:v>2407408.6183690899</c:v>
                </c:pt>
                <c:pt idx="319">
                  <c:v>2414964.19924973</c:v>
                </c:pt>
                <c:pt idx="320">
                  <c:v>2421133.3001008802</c:v>
                </c:pt>
                <c:pt idx="321">
                  <c:v>2427294.0046554701</c:v>
                </c:pt>
                <c:pt idx="322">
                  <c:v>2433490.5438967599</c:v>
                </c:pt>
                <c:pt idx="323">
                  <c:v>2439724.67583925</c:v>
                </c:pt>
                <c:pt idx="324">
                  <c:v>2445999.2012050999</c:v>
                </c:pt>
                <c:pt idx="325">
                  <c:v>2452316.6963983602</c:v>
                </c:pt>
                <c:pt idx="326">
                  <c:v>2458679.5821310598</c:v>
                </c:pt>
                <c:pt idx="327">
                  <c:v>2465090.14160203</c:v>
                </c:pt>
                <c:pt idx="328">
                  <c:v>2471550.5382418898</c:v>
                </c:pt>
                <c:pt idx="329">
                  <c:v>2478062.83166525</c:v>
                </c:pt>
                <c:pt idx="330">
                  <c:v>2484628.9920630599</c:v>
                </c:pt>
                <c:pt idx="331">
                  <c:v>2491250.9131992101</c:v>
                </c:pt>
                <c:pt idx="332">
                  <c:v>2497930.4241585201</c:v>
                </c:pt>
                <c:pt idx="333">
                  <c:v>2504669.29997731</c:v>
                </c:pt>
                <c:pt idx="334">
                  <c:v>2511469.27127381</c:v>
                </c:pt>
                <c:pt idx="335">
                  <c:v>2518332.0329837198</c:v>
                </c:pt>
                <c:pt idx="336">
                  <c:v>2525259.25229561</c:v>
                </c:pt>
                <c:pt idx="337">
                  <c:v>2532252.5758713302</c:v>
                </c:pt>
                <c:pt idx="338">
                  <c:v>2539313.63642846</c:v>
                </c:pt>
                <c:pt idx="339">
                  <c:v>2546444.0587542201</c:v>
                </c:pt>
                <c:pt idx="340">
                  <c:v>2553645.4652135801</c:v>
                </c:pt>
                <c:pt idx="341">
                  <c:v>2560919.4808084401</c:v>
                </c:pt>
                <c:pt idx="342">
                  <c:v>2568267.7378393998</c:v>
                </c:pt>
                <c:pt idx="343">
                  <c:v>2575691.8802164998</c:v>
                </c:pt>
                <c:pt idx="344">
                  <c:v>2583193.5674614501</c:v>
                </c:pt>
                <c:pt idx="345">
                  <c:v>2590774.4784395499</c:v>
                </c:pt>
                <c:pt idx="346">
                  <c:v>2598436.3148561199</c:v>
                </c:pt>
                <c:pt idx="347">
                  <c:v>2606180.80454918</c:v>
                </c:pt>
                <c:pt idx="348">
                  <c:v>2614009.7046071198</c:v>
                </c:pt>
                <c:pt idx="349">
                  <c:v>2621924.8043375602</c:v>
                </c:pt>
                <c:pt idx="350">
                  <c:v>2629927.9281114899</c:v>
                </c:pt>
                <c:pt idx="351">
                  <c:v>2638020.93810442</c:v>
                </c:pt>
                <c:pt idx="352">
                  <c:v>2646205.7369546499</c:v>
                </c:pt>
                <c:pt idx="353">
                  <c:v>2654484.2703570998</c:v>
                </c:pt>
                <c:pt idx="354">
                  <c:v>2662858.5296096699</c:v>
                </c:pt>
                <c:pt idx="355">
                  <c:v>2671330.5541276601</c:v>
                </c:pt>
                <c:pt idx="356">
                  <c:v>2679902.4339409601</c:v>
                </c:pt>
                <c:pt idx="357">
                  <c:v>2688576.3121874202</c:v>
                </c:pt>
                <c:pt idx="358">
                  <c:v>2697354.3876151098</c:v>
                </c:pt>
                <c:pt idx="359">
                  <c:v>2706238.9171053902</c:v>
                </c:pt>
                <c:pt idx="360">
                  <c:v>7578641.7870455803</c:v>
                </c:pt>
                <c:pt idx="361">
                  <c:v>9247445.0661662202</c:v>
                </c:pt>
                <c:pt idx="362">
                  <c:v>9262779.8480508793</c:v>
                </c:pt>
                <c:pt idx="363">
                  <c:v>9273048.39443806</c:v>
                </c:pt>
                <c:pt idx="364">
                  <c:v>9284254.5667866096</c:v>
                </c:pt>
                <c:pt idx="365">
                  <c:v>9297560.6806449201</c:v>
                </c:pt>
                <c:pt idx="366">
                  <c:v>9315820.8822939396</c:v>
                </c:pt>
                <c:pt idx="367">
                  <c:v>11610243.142347399</c:v>
                </c:pt>
                <c:pt idx="368">
                  <c:v>11610243.142347399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F17-4E86-8435-030297F544E3}"/>
            </c:ext>
          </c:extLst>
        </c:ser>
        <c:ser>
          <c:idx val="3"/>
          <c:order val="5"/>
          <c:tx>
            <c:strRef>
              <c:f>Implicit_Fracs!$AX$1</c:f>
              <c:strCache>
                <c:ptCount val="1"/>
                <c:pt idx="0">
                  <c:v>FS HMax Dip 58deg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Implicit_Fracs!$C$3:$C$371</c:f>
              <c:numCache>
                <c:formatCode>General</c:formatCode>
                <c:ptCount val="369"/>
                <c:pt idx="0">
                  <c:v>0</c:v>
                </c:pt>
                <c:pt idx="1">
                  <c:v>6.5458908507104702E-2</c:v>
                </c:pt>
                <c:pt idx="2">
                  <c:v>0.10158646265419501</c:v>
                </c:pt>
                <c:pt idx="3">
                  <c:v>0.102060105178604</c:v>
                </c:pt>
                <c:pt idx="4">
                  <c:v>0.102354758409441</c:v>
                </c:pt>
                <c:pt idx="5">
                  <c:v>0.10257003610151801</c:v>
                </c:pt>
                <c:pt idx="6">
                  <c:v>0.102740146597483</c:v>
                </c:pt>
                <c:pt idx="7">
                  <c:v>0.10288102093448701</c:v>
                </c:pt>
                <c:pt idx="8">
                  <c:v>0.10300139565401099</c:v>
                </c:pt>
                <c:pt idx="9">
                  <c:v>0.10310658737638601</c:v>
                </c:pt>
                <c:pt idx="10">
                  <c:v>0.103200075337502</c:v>
                </c:pt>
                <c:pt idx="11">
                  <c:v>0.103284262204</c:v>
                </c:pt>
                <c:pt idx="12">
                  <c:v>0.103360877526633</c:v>
                </c:pt>
                <c:pt idx="13">
                  <c:v>0.103431208153653</c:v>
                </c:pt>
                <c:pt idx="14">
                  <c:v>0.103496237708407</c:v>
                </c:pt>
                <c:pt idx="15">
                  <c:v>0.103556735084609</c:v>
                </c:pt>
                <c:pt idx="16">
                  <c:v>0.103613312816801</c:v>
                </c:pt>
                <c:pt idx="17">
                  <c:v>0.103666466857375</c:v>
                </c:pt>
                <c:pt idx="18">
                  <c:v>0.10371660444741999</c:v>
                </c:pt>
                <c:pt idx="19">
                  <c:v>0.10376406411969299</c:v>
                </c:pt>
                <c:pt idx="20">
                  <c:v>0.10380913035858701</c:v>
                </c:pt>
                <c:pt idx="21">
                  <c:v>0.103852044544123</c:v>
                </c:pt>
                <c:pt idx="22">
                  <c:v>0.103893013256558</c:v>
                </c:pt>
                <c:pt idx="23">
                  <c:v>0.103932214670875</c:v>
                </c:pt>
                <c:pt idx="24">
                  <c:v>0.10396980354554</c:v>
                </c:pt>
                <c:pt idx="25">
                  <c:v>0.104005915161023</c:v>
                </c:pt>
                <c:pt idx="26">
                  <c:v>0.10404066846285701</c:v>
                </c:pt>
                <c:pt idx="27">
                  <c:v>0.104074168594671</c:v>
                </c:pt>
                <c:pt idx="28">
                  <c:v>0.10410650895807599</c:v>
                </c:pt>
                <c:pt idx="29">
                  <c:v>0.10413777290170501</c:v>
                </c:pt>
                <c:pt idx="30">
                  <c:v>0.104168035116796</c:v>
                </c:pt>
                <c:pt idx="31">
                  <c:v>0.104197362798492</c:v>
                </c:pt>
                <c:pt idx="32">
                  <c:v>0.104225816618547</c:v>
                </c:pt>
                <c:pt idx="33">
                  <c:v>0.104253451545067</c:v>
                </c:pt>
                <c:pt idx="34">
                  <c:v>0.104280317537286</c:v>
                </c:pt>
                <c:pt idx="35">
                  <c:v>0.10430646013757899</c:v>
                </c:pt>
                <c:pt idx="36">
                  <c:v>0.10433192097843901</c:v>
                </c:pt>
                <c:pt idx="37">
                  <c:v>0.104356738218675</c:v>
                </c:pt>
                <c:pt idx="38">
                  <c:v>0.10438094692038</c:v>
                </c:pt>
                <c:pt idx="39">
                  <c:v>0.104404579376061</c:v>
                </c:pt>
                <c:pt idx="40">
                  <c:v>0.10442766539470601</c:v>
                </c:pt>
                <c:pt idx="41">
                  <c:v>0.104450232550895</c:v>
                </c:pt>
                <c:pt idx="42">
                  <c:v>0.104472306403378</c:v>
                </c:pt>
                <c:pt idx="43">
                  <c:v>0.104493910687546</c:v>
                </c:pt>
                <c:pt idx="44">
                  <c:v>0.104515067485448</c:v>
                </c:pt>
                <c:pt idx="45">
                  <c:v>0.104535797376425</c:v>
                </c:pt>
                <c:pt idx="46">
                  <c:v>0.104556119570968</c:v>
                </c:pt>
                <c:pt idx="47">
                  <c:v>0.10457605202998201</c:v>
                </c:pt>
                <c:pt idx="48">
                  <c:v>0.10459561157132601</c:v>
                </c:pt>
                <c:pt idx="49">
                  <c:v>0.10461481396524</c:v>
                </c:pt>
                <c:pt idx="50">
                  <c:v>0.104633674020002</c:v>
                </c:pt>
                <c:pt idx="51">
                  <c:v>0.104652205659008</c:v>
                </c:pt>
                <c:pt idx="52">
                  <c:v>0.10467042199028</c:v>
                </c:pt>
                <c:pt idx="53">
                  <c:v>0.10468833536927501</c:v>
                </c:pt>
                <c:pt idx="54">
                  <c:v>0.104705957455764</c:v>
                </c:pt>
                <c:pt idx="55">
                  <c:v>0.104723299265432</c:v>
                </c:pt>
                <c:pt idx="56">
                  <c:v>0.10474037121678501</c:v>
                </c:pt>
                <c:pt idx="57">
                  <c:v>0.104757183173858</c:v>
                </c:pt>
                <c:pt idx="58">
                  <c:v>0.10477374448518</c:v>
                </c:pt>
                <c:pt idx="59">
                  <c:v>0.104790064019366</c:v>
                </c:pt>
                <c:pt idx="60">
                  <c:v>0.10480615019770299</c:v>
                </c:pt>
                <c:pt idx="61">
                  <c:v>0.104822011024007</c:v>
                </c:pt>
                <c:pt idx="62">
                  <c:v>0.10483765411203801</c:v>
                </c:pt>
                <c:pt idx="63">
                  <c:v>0.104853086710699</c:v>
                </c:pt>
                <c:pt idx="64">
                  <c:v>0.10486831572724099</c:v>
                </c:pt>
                <c:pt idx="65">
                  <c:v>0.104883347748643</c:v>
                </c:pt>
                <c:pt idx="66">
                  <c:v>0.104898189061358</c:v>
                </c:pt>
                <c:pt idx="67">
                  <c:v>0.104912845669559</c:v>
                </c:pt>
                <c:pt idx="68">
                  <c:v>0.10492732331202199</c:v>
                </c:pt>
                <c:pt idx="69">
                  <c:v>0.10494162747777</c:v>
                </c:pt>
                <c:pt idx="70">
                  <c:v>0.10495576342058401</c:v>
                </c:pt>
                <c:pt idx="71">
                  <c:v>0.104969736172476</c:v>
                </c:pt>
                <c:pt idx="72">
                  <c:v>0.104983550556215</c:v>
                </c:pt>
                <c:pt idx="73">
                  <c:v>0.104997211196988</c:v>
                </c:pt>
                <c:pt idx="74">
                  <c:v>0.105010722533251</c:v>
                </c:pt>
                <c:pt idx="75">
                  <c:v>0.10502408882686499</c:v>
                </c:pt>
                <c:pt idx="76">
                  <c:v>0.105037314172539</c:v>
                </c:pt>
                <c:pt idx="77">
                  <c:v>0.10505040250667</c:v>
                </c:pt>
                <c:pt idx="78">
                  <c:v>0.105063357615594</c:v>
                </c:pt>
                <c:pt idx="79">
                  <c:v>0.105076183143323</c:v>
                </c:pt>
                <c:pt idx="80">
                  <c:v>0.10508888259878001</c:v>
                </c:pt>
                <c:pt idx="81">
                  <c:v>0.105101459362598</c:v>
                </c:pt>
                <c:pt idx="82">
                  <c:v>0.10511391669348399</c:v>
                </c:pt>
                <c:pt idx="83">
                  <c:v>0.10512625773421</c:v>
                </c:pt>
                <c:pt idx="84">
                  <c:v>0.10513848551723599</c:v>
                </c:pt>
                <c:pt idx="85">
                  <c:v>0.10515060297000201</c:v>
                </c:pt>
                <c:pt idx="86">
                  <c:v>0.105162612919908</c:v>
                </c:pt>
                <c:pt idx="87">
                  <c:v>0.105174518099013</c:v>
                </c:pt>
                <c:pt idx="88">
                  <c:v>0.105186321148453</c:v>
                </c:pt>
                <c:pt idx="89">
                  <c:v>0.105198024622616</c:v>
                </c:pt>
                <c:pt idx="90">
                  <c:v>0.105209630993088</c:v>
                </c:pt>
                <c:pt idx="91">
                  <c:v>0.10522114265237301</c:v>
                </c:pt>
                <c:pt idx="92">
                  <c:v>0.105232561917411</c:v>
                </c:pt>
                <c:pt idx="93">
                  <c:v>0.105243891032912</c:v>
                </c:pt>
                <c:pt idx="94">
                  <c:v>0.105255132174505</c:v>
                </c:pt>
                <c:pt idx="95">
                  <c:v>0.10526628745172401</c:v>
                </c:pt>
                <c:pt idx="96">
                  <c:v>0.105277358910841</c:v>
                </c:pt>
                <c:pt idx="97">
                  <c:v>0.105288348537545</c:v>
                </c:pt>
                <c:pt idx="98">
                  <c:v>0.10529925825949001</c:v>
                </c:pt>
                <c:pt idx="99">
                  <c:v>0.105310089948715</c:v>
                </c:pt>
                <c:pt idx="100">
                  <c:v>0.10532084542394</c:v>
                </c:pt>
                <c:pt idx="101">
                  <c:v>0.105331526452749</c:v>
                </c:pt>
                <c:pt idx="102">
                  <c:v>0.10534213475366599</c:v>
                </c:pt>
                <c:pt idx="103">
                  <c:v>0.105352671998135</c:v>
                </c:pt>
                <c:pt idx="104">
                  <c:v>0.105363139812398</c:v>
                </c:pt>
                <c:pt idx="105">
                  <c:v>0.10537353977929</c:v>
                </c:pt>
                <c:pt idx="106">
                  <c:v>0.105383873439947</c:v>
                </c:pt>
                <c:pt idx="107">
                  <c:v>0.105394142295438</c:v>
                </c:pt>
                <c:pt idx="108">
                  <c:v>0.10540434780831399</c:v>
                </c:pt>
                <c:pt idx="109">
                  <c:v>0.1054144914041</c:v>
                </c:pt>
                <c:pt idx="110">
                  <c:v>0.105424574472708</c:v>
                </c:pt>
                <c:pt idx="111">
                  <c:v>0.10543459836979301</c:v>
                </c:pt>
                <c:pt idx="112">
                  <c:v>0.105444564418049</c:v>
                </c:pt>
                <c:pt idx="113">
                  <c:v>0.105454473908448</c:v>
                </c:pt>
                <c:pt idx="114">
                  <c:v>0.105464328101426</c:v>
                </c:pt>
                <c:pt idx="115">
                  <c:v>0.10547412822802001</c:v>
                </c:pt>
                <c:pt idx="116">
                  <c:v>0.10548387549095201</c:v>
                </c:pt>
                <c:pt idx="117">
                  <c:v>0.105493571065675</c:v>
                </c:pt>
                <c:pt idx="118">
                  <c:v>0.105503216101374</c:v>
                </c:pt>
                <c:pt idx="119">
                  <c:v>0.10551281172191999</c:v>
                </c:pt>
                <c:pt idx="120">
                  <c:v>0.10552235902679701</c:v>
                </c:pt>
                <c:pt idx="121">
                  <c:v>0.105531859091982</c:v>
                </c:pt>
                <c:pt idx="122">
                  <c:v>0.105541312970793</c:v>
                </c:pt>
                <c:pt idx="123">
                  <c:v>0.105550721694713</c:v>
                </c:pt>
                <c:pt idx="124">
                  <c:v>0.10556008627416701</c:v>
                </c:pt>
                <c:pt idx="125">
                  <c:v>0.105569407699282</c:v>
                </c:pt>
                <c:pt idx="126">
                  <c:v>0.105578686940613</c:v>
                </c:pt>
                <c:pt idx="127">
                  <c:v>0.10558792494984499</c:v>
                </c:pt>
                <c:pt idx="128">
                  <c:v>0.105597122660464</c:v>
                </c:pt>
                <c:pt idx="129">
                  <c:v>0.105606280988415</c:v>
                </c:pt>
                <c:pt idx="130">
                  <c:v>0.105615400832723</c:v>
                </c:pt>
                <c:pt idx="131">
                  <c:v>0.10562448307610101</c:v>
                </c:pt>
                <c:pt idx="132">
                  <c:v>0.105633528585537</c:v>
                </c:pt>
                <c:pt idx="133">
                  <c:v>0.105642538212856</c:v>
                </c:pt>
                <c:pt idx="134">
                  <c:v>0.10565151279527001</c:v>
                </c:pt>
                <c:pt idx="135">
                  <c:v>0.105660453155901</c:v>
                </c:pt>
                <c:pt idx="136">
                  <c:v>0.1056693601043</c:v>
                </c:pt>
                <c:pt idx="137">
                  <c:v>0.105678234436935</c:v>
                </c:pt>
                <c:pt idx="138">
                  <c:v>0.105687076937673</c:v>
                </c:pt>
                <c:pt idx="139">
                  <c:v>0.10569588837824601</c:v>
                </c:pt>
                <c:pt idx="140">
                  <c:v>0.105704669518702</c:v>
                </c:pt>
                <c:pt idx="141">
                  <c:v>0.105713421107842</c:v>
                </c:pt>
                <c:pt idx="142">
                  <c:v>0.105722143883642</c:v>
                </c:pt>
                <c:pt idx="143">
                  <c:v>0.10573083857367301</c:v>
                </c:pt>
                <c:pt idx="144">
                  <c:v>0.10573950589549699</c:v>
                </c:pt>
                <c:pt idx="145">
                  <c:v>0.105748146557059</c:v>
                </c:pt>
                <c:pt idx="146">
                  <c:v>0.105756761257069</c:v>
                </c:pt>
                <c:pt idx="147">
                  <c:v>0.105765350685371</c:v>
                </c:pt>
                <c:pt idx="148">
                  <c:v>0.10577391552330601</c:v>
                </c:pt>
                <c:pt idx="149">
                  <c:v>0.105782456444064</c:v>
                </c:pt>
                <c:pt idx="150">
                  <c:v>0.105790974113029</c:v>
                </c:pt>
                <c:pt idx="151">
                  <c:v>0.105799469188117</c:v>
                </c:pt>
                <c:pt idx="152">
                  <c:v>0.105807942320102</c:v>
                </c:pt>
                <c:pt idx="153">
                  <c:v>0.105816394152941</c:v>
                </c:pt>
                <c:pt idx="154">
                  <c:v>0.10582482532409</c:v>
                </c:pt>
                <c:pt idx="155">
                  <c:v>0.10583323646481201</c:v>
                </c:pt>
                <c:pt idx="156">
                  <c:v>0.105841628200482</c:v>
                </c:pt>
                <c:pt idx="157">
                  <c:v>0.105850001150887</c:v>
                </c:pt>
                <c:pt idx="158">
                  <c:v>0.105858355930516</c:v>
                </c:pt>
                <c:pt idx="159">
                  <c:v>0.105866693148851</c:v>
                </c:pt>
                <c:pt idx="160">
                  <c:v>0.105875013410654</c:v>
                </c:pt>
                <c:pt idx="161">
                  <c:v>0.10588331731624</c:v>
                </c:pt>
                <c:pt idx="162">
                  <c:v>0.105891605461765</c:v>
                </c:pt>
                <c:pt idx="163">
                  <c:v>0.10589987843948701</c:v>
                </c:pt>
                <c:pt idx="164">
                  <c:v>0.10590813683804701</c:v>
                </c:pt>
                <c:pt idx="165">
                  <c:v>0.10591638124273201</c:v>
                </c:pt>
                <c:pt idx="166">
                  <c:v>0.105924612235738</c:v>
                </c:pt>
                <c:pt idx="167">
                  <c:v>0.10593283039644</c:v>
                </c:pt>
                <c:pt idx="168">
                  <c:v>0.105941036301648</c:v>
                </c:pt>
                <c:pt idx="169">
                  <c:v>0.10594923052586901</c:v>
                </c:pt>
                <c:pt idx="170">
                  <c:v>0.105957413641566</c:v>
                </c:pt>
                <c:pt idx="171">
                  <c:v>0.105965586219415</c:v>
                </c:pt>
                <c:pt idx="172">
                  <c:v>0.105973748828566</c:v>
                </c:pt>
                <c:pt idx="173">
                  <c:v>0.10598190203689301</c:v>
                </c:pt>
                <c:pt idx="174">
                  <c:v>0.105990046411258</c:v>
                </c:pt>
                <c:pt idx="175">
                  <c:v>0.10599818251776701</c:v>
                </c:pt>
                <c:pt idx="176">
                  <c:v>0.106006310922025</c:v>
                </c:pt>
                <c:pt idx="177">
                  <c:v>0.106014432189397</c:v>
                </c:pt>
                <c:pt idx="178">
                  <c:v>0.106022546885271</c:v>
                </c:pt>
                <c:pt idx="179">
                  <c:v>0.10603065557531401</c:v>
                </c:pt>
                <c:pt idx="180">
                  <c:v>0.10603875882574</c:v>
                </c:pt>
                <c:pt idx="181">
                  <c:v>0.106046857203577</c:v>
                </c:pt>
                <c:pt idx="182">
                  <c:v>0.106054951276932</c:v>
                </c:pt>
                <c:pt idx="183">
                  <c:v>0.106063041615263</c:v>
                </c:pt>
                <c:pt idx="184">
                  <c:v>0.10607112878965499</c:v>
                </c:pt>
                <c:pt idx="185">
                  <c:v>0.106079213373101</c:v>
                </c:pt>
                <c:pt idx="186">
                  <c:v>0.106087295940776</c:v>
                </c:pt>
                <c:pt idx="187">
                  <c:v>0.10609537707033299</c:v>
                </c:pt>
                <c:pt idx="188">
                  <c:v>0.106103457342189</c:v>
                </c:pt>
                <c:pt idx="189">
                  <c:v>0.106111537339822</c:v>
                </c:pt>
                <c:pt idx="190">
                  <c:v>0.10611961765007601</c:v>
                </c:pt>
                <c:pt idx="191">
                  <c:v>0.106127698863465</c:v>
                </c:pt>
                <c:pt idx="192">
                  <c:v>0.10613578157449099</c:v>
                </c:pt>
                <c:pt idx="193">
                  <c:v>0.106143866381966</c:v>
                </c:pt>
                <c:pt idx="194">
                  <c:v>0.10615195388934</c:v>
                </c:pt>
                <c:pt idx="195">
                  <c:v>0.106160044705038</c:v>
                </c:pt>
                <c:pt idx="196">
                  <c:v>0.106168139442805</c:v>
                </c:pt>
                <c:pt idx="197">
                  <c:v>0.106176238722063</c:v>
                </c:pt>
                <c:pt idx="198">
                  <c:v>0.106184343168276</c:v>
                </c:pt>
                <c:pt idx="199">
                  <c:v>0.10619245341332301</c:v>
                </c:pt>
                <c:pt idx="200">
                  <c:v>0.106200570095885</c:v>
                </c:pt>
                <c:pt idx="201">
                  <c:v>0.10620869386184199</c:v>
                </c:pt>
                <c:pt idx="202">
                  <c:v>0.10621682536468401</c:v>
                </c:pt>
                <c:pt idx="203">
                  <c:v>0.106224965265935</c:v>
                </c:pt>
                <c:pt idx="204">
                  <c:v>0.106233114235588</c:v>
                </c:pt>
                <c:pt idx="205">
                  <c:v>0.10624127295256</c:v>
                </c:pt>
                <c:pt idx="206">
                  <c:v>0.10624944210515699</c:v>
                </c:pt>
                <c:pt idx="207">
                  <c:v>0.106257622391562</c:v>
                </c:pt>
                <c:pt idx="208">
                  <c:v>0.106265814520335</c:v>
                </c:pt>
                <c:pt idx="209">
                  <c:v>0.106274019210935</c:v>
                </c:pt>
                <c:pt idx="210">
                  <c:v>0.10628223719426</c:v>
                </c:pt>
                <c:pt idx="211">
                  <c:v>0.106290469213214</c:v>
                </c:pt>
                <c:pt idx="212">
                  <c:v>0.106298716023284</c:v>
                </c:pt>
                <c:pt idx="213">
                  <c:v>0.106306978393155</c:v>
                </c:pt>
                <c:pt idx="214">
                  <c:v>0.106315257105341</c:v>
                </c:pt>
                <c:pt idx="215">
                  <c:v>0.10632355295684801</c:v>
                </c:pt>
                <c:pt idx="216">
                  <c:v>0.10633186675985799</c:v>
                </c:pt>
                <c:pt idx="217">
                  <c:v>0.10634019934245301</c:v>
                </c:pt>
                <c:pt idx="218">
                  <c:v>0.106348551549366</c:v>
                </c:pt>
                <c:pt idx="219">
                  <c:v>0.106356924242761</c:v>
                </c:pt>
                <c:pt idx="220">
                  <c:v>0.10636531830306099</c:v>
                </c:pt>
                <c:pt idx="221">
                  <c:v>0.106373734629807</c:v>
                </c:pt>
                <c:pt idx="222">
                  <c:v>0.10638217414255299</c:v>
                </c:pt>
                <c:pt idx="223">
                  <c:v>0.106390637781818</c:v>
                </c:pt>
                <c:pt idx="224">
                  <c:v>0.10639912651007299</c:v>
                </c:pt>
                <c:pt idx="225">
                  <c:v>0.10640764131277999</c:v>
                </c:pt>
                <c:pt idx="226">
                  <c:v>0.10641618319948901</c:v>
                </c:pt>
                <c:pt idx="227">
                  <c:v>0.106424753204983</c:v>
                </c:pt>
                <c:pt idx="228">
                  <c:v>0.10643335239049</c:v>
                </c:pt>
                <c:pt idx="229">
                  <c:v>0.106441981844954</c:v>
                </c:pt>
                <c:pt idx="230">
                  <c:v>0.106450642686375</c:v>
                </c:pt>
                <c:pt idx="231">
                  <c:v>0.10645933606322799</c:v>
                </c:pt>
                <c:pt idx="232">
                  <c:v>0.10646806315594901</c:v>
                </c:pt>
                <c:pt idx="233">
                  <c:v>0.106476825178516</c:v>
                </c:pt>
                <c:pt idx="234">
                  <c:v>0.10648562338011</c:v>
                </c:pt>
                <c:pt idx="235">
                  <c:v>0.106494459046881</c:v>
                </c:pt>
                <c:pt idx="236">
                  <c:v>0.106503333503809</c:v>
                </c:pt>
                <c:pt idx="237">
                  <c:v>0.10651224811667701</c:v>
                </c:pt>
                <c:pt idx="238">
                  <c:v>0.106521204294171</c:v>
                </c:pt>
                <c:pt idx="239">
                  <c:v>0.106530203490093</c:v>
                </c:pt>
                <c:pt idx="240">
                  <c:v>0.10653924720572699</c:v>
                </c:pt>
                <c:pt idx="241">
                  <c:v>0.106548336992338</c:v>
                </c:pt>
                <c:pt idx="242">
                  <c:v>0.106557474453844</c:v>
                </c:pt>
                <c:pt idx="243">
                  <c:v>0.106566661249652</c:v>
                </c:pt>
                <c:pt idx="244">
                  <c:v>0.10657589909767901</c:v>
                </c:pt>
                <c:pt idx="245">
                  <c:v>0.10658518977758299</c:v>
                </c:pt>
                <c:pt idx="246">
                  <c:v>0.106594535134197</c:v>
                </c:pt>
                <c:pt idx="247">
                  <c:v>0.106603937081217</c:v>
                </c:pt>
                <c:pt idx="248">
                  <c:v>0.106613397605125</c:v>
                </c:pt>
                <c:pt idx="249">
                  <c:v>0.10662291876941001</c:v>
                </c:pt>
                <c:pt idx="250">
                  <c:v>0.106632502719071</c:v>
                </c:pt>
                <c:pt idx="251">
                  <c:v>0.10664215168546599</c:v>
                </c:pt>
                <c:pt idx="252">
                  <c:v>0.106651867991505</c:v>
                </c:pt>
                <c:pt idx="253">
                  <c:v>0.106661654057239</c:v>
                </c:pt>
                <c:pt idx="254">
                  <c:v>0.106671512405876</c:v>
                </c:pt>
                <c:pt idx="255">
                  <c:v>0.106681445670259</c:v>
                </c:pt>
                <c:pt idx="256">
                  <c:v>0.106691456599855</c:v>
                </c:pt>
                <c:pt idx="257">
                  <c:v>0.10670154806830701</c:v>
                </c:pt>
                <c:pt idx="258">
                  <c:v>0.106711723081597</c:v>
                </c:pt>
                <c:pt idx="259">
                  <c:v>0.106721984786882</c:v>
                </c:pt>
                <c:pt idx="260">
                  <c:v>0.106732336482082</c:v>
                </c:pt>
                <c:pt idx="261">
                  <c:v>0.10674278162628199</c:v>
                </c:pt>
                <c:pt idx="262">
                  <c:v>0.106753323851043</c:v>
                </c:pt>
                <c:pt idx="263">
                  <c:v>0.106763966972719</c:v>
                </c:pt>
                <c:pt idx="264">
                  <c:v>0.10677471500588499</c:v>
                </c:pt>
                <c:pt idx="265">
                  <c:v>0.10678557217800599</c:v>
                </c:pt>
                <c:pt idx="266">
                  <c:v>0.106796542945475</c:v>
                </c:pt>
                <c:pt idx="267">
                  <c:v>0.10680763201119001</c:v>
                </c:pt>
                <c:pt idx="268">
                  <c:v>0.106818844343851</c:v>
                </c:pt>
                <c:pt idx="269">
                  <c:v>0.106830185199162</c:v>
                </c:pt>
                <c:pt idx="270">
                  <c:v>0.1068416601432</c:v>
                </c:pt>
                <c:pt idx="271">
                  <c:v>0.106853275078199</c:v>
                </c:pt>
                <c:pt idx="272">
                  <c:v>0.10686503627105901</c:v>
                </c:pt>
                <c:pt idx="273">
                  <c:v>0.106876950384948</c:v>
                </c:pt>
                <c:pt idx="274">
                  <c:v>0.10688902451438199</c:v>
                </c:pt>
                <c:pt idx="275">
                  <c:v>0.106901266224276</c:v>
                </c:pt>
                <c:pt idx="276">
                  <c:v>0.106913683593506</c:v>
                </c:pt>
                <c:pt idx="277">
                  <c:v>0.106926285263621</c:v>
                </c:pt>
                <c:pt idx="278">
                  <c:v>0.106939080493455</c:v>
                </c:pt>
                <c:pt idx="279">
                  <c:v>0.10695207922051</c:v>
                </c:pt>
                <c:pt idx="280">
                  <c:v>0.10696529213014599</c:v>
                </c:pt>
                <c:pt idx="281">
                  <c:v>0.106978730733797</c:v>
                </c:pt>
                <c:pt idx="282">
                  <c:v>0.106992407457646</c:v>
                </c:pt>
                <c:pt idx="283">
                  <c:v>0.107006335743491</c:v>
                </c:pt>
                <c:pt idx="284">
                  <c:v>0.10702053016384699</c:v>
                </c:pt>
                <c:pt idx="285">
                  <c:v>0.107035006553762</c:v>
                </c:pt>
                <c:pt idx="286">
                  <c:v>0.107049782162317</c:v>
                </c:pt>
                <c:pt idx="287">
                  <c:v>0.10706487582742701</c:v>
                </c:pt>
                <c:pt idx="288">
                  <c:v>0.107080308178348</c:v>
                </c:pt>
                <c:pt idx="289">
                  <c:v>0.10709610187127599</c:v>
                </c:pt>
                <c:pt idx="290">
                  <c:v>0.10711228186470099</c:v>
                </c:pt>
                <c:pt idx="291">
                  <c:v>0.107128875742745</c:v>
                </c:pt>
                <c:pt idx="292">
                  <c:v>0.107145914096787</c:v>
                </c:pt>
                <c:pt idx="293">
                  <c:v>0.10716343097827</c:v>
                </c:pt>
                <c:pt idx="294">
                  <c:v>0.10718146443905199</c:v>
                </c:pt>
                <c:pt idx="295">
                  <c:v>0.107200057180087</c:v>
                </c:pt>
                <c:pt idx="296">
                  <c:v>0.10721925733519</c:v>
                </c:pt>
                <c:pt idx="297">
                  <c:v>0.107239119424452</c:v>
                </c:pt>
                <c:pt idx="298">
                  <c:v>0.10725970552248799</c:v>
                </c:pt>
                <c:pt idx="299">
                  <c:v>0.107281086701057</c:v>
                </c:pt>
                <c:pt idx="300">
                  <c:v>0.10730334482520799</c:v>
                </c:pt>
                <c:pt idx="301">
                  <c:v>0.107326574809414</c:v>
                </c:pt>
                <c:pt idx="302">
                  <c:v>0.10735088747820599</c:v>
                </c:pt>
                <c:pt idx="303">
                  <c:v>0.10737641322982</c:v>
                </c:pt>
                <c:pt idx="304">
                  <c:v>0.107403306778537</c:v>
                </c:pt>
                <c:pt idx="305">
                  <c:v>0.10743175336319</c:v>
                </c:pt>
                <c:pt idx="306">
                  <c:v>0.107461976972791</c:v>
                </c:pt>
                <c:pt idx="307">
                  <c:v>0.107494251381856</c:v>
                </c:pt>
                <c:pt idx="308">
                  <c:v>0.107528915147976</c:v>
                </c:pt>
                <c:pt idx="309">
                  <c:v>0.107566392263413</c:v>
                </c:pt>
                <c:pt idx="310">
                  <c:v>0.10760722096054399</c:v>
                </c:pt>
                <c:pt idx="311">
                  <c:v>0.107652094373539</c:v>
                </c:pt>
                <c:pt idx="312">
                  <c:v>0.107701918517204</c:v>
                </c:pt>
                <c:pt idx="313">
                  <c:v>0.107757895545197</c:v>
                </c:pt>
                <c:pt idx="314">
                  <c:v>0.107821643761701</c:v>
                </c:pt>
                <c:pt idx="315">
                  <c:v>0.107895371464266</c:v>
                </c:pt>
                <c:pt idx="316">
                  <c:v>0.107982136054144</c:v>
                </c:pt>
                <c:pt idx="317">
                  <c:v>0.108086279484475</c:v>
                </c:pt>
                <c:pt idx="318">
                  <c:v>0.10821441051713999</c:v>
                </c:pt>
                <c:pt idx="319">
                  <c:v>0.108378611684964</c:v>
                </c:pt>
                <c:pt idx="320">
                  <c:v>0.10851279142848901</c:v>
                </c:pt>
                <c:pt idx="321">
                  <c:v>0.108646878508965</c:v>
                </c:pt>
                <c:pt idx="322">
                  <c:v>0.108781836007877</c:v>
                </c:pt>
                <c:pt idx="323">
                  <c:v>0.108917703938839</c:v>
                </c:pt>
                <c:pt idx="324">
                  <c:v>0.109054545173906</c:v>
                </c:pt>
                <c:pt idx="325">
                  <c:v>0.109192417872054</c:v>
                </c:pt>
                <c:pt idx="326">
                  <c:v>0.109331376964383</c:v>
                </c:pt>
                <c:pt idx="327">
                  <c:v>0.10947147454287399</c:v>
                </c:pt>
                <c:pt idx="328">
                  <c:v>0.109612760241196</c:v>
                </c:pt>
                <c:pt idx="329">
                  <c:v>0.10975528157779101</c:v>
                </c:pt>
                <c:pt idx="330">
                  <c:v>0.109899084266184</c:v>
                </c:pt>
                <c:pt idx="331">
                  <c:v>0.110044212495958</c:v>
                </c:pt>
                <c:pt idx="332">
                  <c:v>0.11019070918751001</c:v>
                </c:pt>
                <c:pt idx="333">
                  <c:v>0.11033861622334599</c:v>
                </c:pt>
                <c:pt idx="334">
                  <c:v>0.110487974658393</c:v>
                </c:pt>
                <c:pt idx="335">
                  <c:v>0.110638824911563</c:v>
                </c:pt>
                <c:pt idx="336">
                  <c:v>0.110791206940568</c:v>
                </c:pt>
                <c:pt idx="337">
                  <c:v>0.11094516040180299</c:v>
                </c:pt>
                <c:pt idx="338">
                  <c:v>0.11110072479692901</c:v>
                </c:pt>
                <c:pt idx="339">
                  <c:v>0.111257939607629</c:v>
                </c:pt>
                <c:pt idx="340">
                  <c:v>0.111416844419904</c:v>
                </c:pt>
                <c:pt idx="341">
                  <c:v>0.111577479039088</c:v>
                </c:pt>
                <c:pt idx="342">
                  <c:v>0.111739883596728</c:v>
                </c:pt>
                <c:pt idx="343">
                  <c:v>0.111904098650297</c:v>
                </c:pt>
                <c:pt idx="344">
                  <c:v>0.11207016527668</c:v>
                </c:pt>
                <c:pt idx="345">
                  <c:v>0.112238125160255</c:v>
                </c:pt>
                <c:pt idx="346">
                  <c:v>0.11240802067632299</c:v>
                </c:pt>
                <c:pt idx="347">
                  <c:v>0.11257989497059701</c:v>
                </c:pt>
                <c:pt idx="348">
                  <c:v>0.112753792035371</c:v>
                </c:pt>
                <c:pt idx="349">
                  <c:v>0.112929756782956</c:v>
                </c:pt>
                <c:pt idx="350">
                  <c:v>0.113107835116922</c:v>
                </c:pt>
                <c:pt idx="351">
                  <c:v>0.113288074001635</c:v>
                </c:pt>
                <c:pt idx="352">
                  <c:v>0.113470521530551</c:v>
                </c:pt>
                <c:pt idx="353">
                  <c:v>0.113655226993682</c:v>
                </c:pt>
                <c:pt idx="354">
                  <c:v>0.113842240944644</c:v>
                </c:pt>
                <c:pt idx="355">
                  <c:v>0.114031615267637</c:v>
                </c:pt>
                <c:pt idx="356">
                  <c:v>0.11422340324472501</c:v>
                </c:pt>
                <c:pt idx="357">
                  <c:v>0.11441765962373</c:v>
                </c:pt>
                <c:pt idx="358">
                  <c:v>0.114614440687063</c:v>
                </c:pt>
                <c:pt idx="359">
                  <c:v>0.114813804321789</c:v>
                </c:pt>
                <c:pt idx="360">
                  <c:v>0.22425676384167301</c:v>
                </c:pt>
                <c:pt idx="361">
                  <c:v>0.30704288935609397</c:v>
                </c:pt>
                <c:pt idx="362">
                  <c:v>0.30834090817871301</c:v>
                </c:pt>
                <c:pt idx="363">
                  <c:v>0.30921577139060102</c:v>
                </c:pt>
                <c:pt idx="364">
                  <c:v>0.31017471350345399</c:v>
                </c:pt>
                <c:pt idx="365">
                  <c:v>0.31131883897321</c:v>
                </c:pt>
                <c:pt idx="366">
                  <c:v>0.31289797505880901</c:v>
                </c:pt>
                <c:pt idx="367">
                  <c:v>0.51289797505880896</c:v>
                </c:pt>
                <c:pt idx="368">
                  <c:v>0.51289797505880896</c:v>
                </c:pt>
              </c:numCache>
            </c:numRef>
          </c:xVal>
          <c:yVal>
            <c:numRef>
              <c:f>Implicit_Fracs!$AY$3:$AY$371</c:f>
              <c:numCache>
                <c:formatCode>General</c:formatCode>
                <c:ptCount val="36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F17-4E86-8435-030297F54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9488"/>
        <c:axId val="736559096"/>
      </c:scatterChart>
      <c:valAx>
        <c:axId val="736548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9296"/>
        <c:crosses val="max"/>
        <c:crossBetween val="midCat"/>
      </c:valAx>
      <c:valAx>
        <c:axId val="736549296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Total</a:t>
                </a:r>
                <a:r>
                  <a:rPr lang="en-GB" baseline="0"/>
                  <a:t> strain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8904"/>
        <c:crosses val="autoZero"/>
        <c:crossBetween val="midCat"/>
      </c:valAx>
      <c:valAx>
        <c:axId val="73655909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Driving stress (Pa)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9488"/>
        <c:crosses val="max"/>
        <c:crossBetween val="midCat"/>
      </c:valAx>
      <c:valAx>
        <c:axId val="7365594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655909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Implicit_Fracs!$BL$1</c:f>
              <c:strCache>
                <c:ptCount val="1"/>
                <c:pt idx="0">
                  <c:v>uF Porosity: Uniform aperture</c:v>
                </c:pt>
              </c:strCache>
            </c:strRef>
          </c:tx>
          <c:spPr>
            <a:ln w="19050" cap="rnd">
              <a:solidFill>
                <a:srgbClr val="FF00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Implicit_Fracs!$C$5:$C$371</c:f>
              <c:numCache>
                <c:formatCode>General</c:formatCode>
                <c:ptCount val="367"/>
                <c:pt idx="0">
                  <c:v>0.10158646265419501</c:v>
                </c:pt>
                <c:pt idx="1">
                  <c:v>0.102060105178604</c:v>
                </c:pt>
                <c:pt idx="2">
                  <c:v>0.102354758409441</c:v>
                </c:pt>
                <c:pt idx="3">
                  <c:v>0.10257003610151801</c:v>
                </c:pt>
                <c:pt idx="4">
                  <c:v>0.102740146597483</c:v>
                </c:pt>
                <c:pt idx="5">
                  <c:v>0.10288102093448701</c:v>
                </c:pt>
                <c:pt idx="6">
                  <c:v>0.10300139565401099</c:v>
                </c:pt>
                <c:pt idx="7">
                  <c:v>0.10310658737638601</c:v>
                </c:pt>
                <c:pt idx="8">
                  <c:v>0.103200075337502</c:v>
                </c:pt>
                <c:pt idx="9">
                  <c:v>0.103284262204</c:v>
                </c:pt>
                <c:pt idx="10">
                  <c:v>0.103360877526633</c:v>
                </c:pt>
                <c:pt idx="11">
                  <c:v>0.103431208153653</c:v>
                </c:pt>
                <c:pt idx="12">
                  <c:v>0.103496237708407</c:v>
                </c:pt>
                <c:pt idx="13">
                  <c:v>0.103556735084609</c:v>
                </c:pt>
                <c:pt idx="14">
                  <c:v>0.103613312816801</c:v>
                </c:pt>
                <c:pt idx="15">
                  <c:v>0.103666466857375</c:v>
                </c:pt>
                <c:pt idx="16">
                  <c:v>0.10371660444741999</c:v>
                </c:pt>
                <c:pt idx="17">
                  <c:v>0.10376406411969299</c:v>
                </c:pt>
                <c:pt idx="18">
                  <c:v>0.10380913035858701</c:v>
                </c:pt>
                <c:pt idx="19">
                  <c:v>0.103852044544123</c:v>
                </c:pt>
                <c:pt idx="20">
                  <c:v>0.103893013256558</c:v>
                </c:pt>
                <c:pt idx="21">
                  <c:v>0.103932214670875</c:v>
                </c:pt>
                <c:pt idx="22">
                  <c:v>0.10396980354554</c:v>
                </c:pt>
                <c:pt idx="23">
                  <c:v>0.104005915161023</c:v>
                </c:pt>
                <c:pt idx="24">
                  <c:v>0.10404066846285701</c:v>
                </c:pt>
                <c:pt idx="25">
                  <c:v>0.104074168594671</c:v>
                </c:pt>
                <c:pt idx="26">
                  <c:v>0.10410650895807599</c:v>
                </c:pt>
                <c:pt idx="27">
                  <c:v>0.10413777290170501</c:v>
                </c:pt>
                <c:pt idx="28">
                  <c:v>0.104168035116796</c:v>
                </c:pt>
                <c:pt idx="29">
                  <c:v>0.104197362798492</c:v>
                </c:pt>
                <c:pt idx="30">
                  <c:v>0.104225816618547</c:v>
                </c:pt>
                <c:pt idx="31">
                  <c:v>0.104253451545067</c:v>
                </c:pt>
                <c:pt idx="32">
                  <c:v>0.104280317537286</c:v>
                </c:pt>
                <c:pt idx="33">
                  <c:v>0.10430646013757899</c:v>
                </c:pt>
                <c:pt idx="34">
                  <c:v>0.10433192097843901</c:v>
                </c:pt>
                <c:pt idx="35">
                  <c:v>0.104356738218675</c:v>
                </c:pt>
                <c:pt idx="36">
                  <c:v>0.10438094692038</c:v>
                </c:pt>
                <c:pt idx="37">
                  <c:v>0.104404579376061</c:v>
                </c:pt>
                <c:pt idx="38">
                  <c:v>0.10442766539470601</c:v>
                </c:pt>
                <c:pt idx="39">
                  <c:v>0.104450232550895</c:v>
                </c:pt>
                <c:pt idx="40">
                  <c:v>0.104472306403378</c:v>
                </c:pt>
                <c:pt idx="41">
                  <c:v>0.104493910687546</c:v>
                </c:pt>
                <c:pt idx="42">
                  <c:v>0.104515067485448</c:v>
                </c:pt>
                <c:pt idx="43">
                  <c:v>0.104535797376425</c:v>
                </c:pt>
                <c:pt idx="44">
                  <c:v>0.104556119570968</c:v>
                </c:pt>
                <c:pt idx="45">
                  <c:v>0.10457605202998201</c:v>
                </c:pt>
                <c:pt idx="46">
                  <c:v>0.10459561157132601</c:v>
                </c:pt>
                <c:pt idx="47">
                  <c:v>0.10461481396524</c:v>
                </c:pt>
                <c:pt idx="48">
                  <c:v>0.104633674020002</c:v>
                </c:pt>
                <c:pt idx="49">
                  <c:v>0.104652205659008</c:v>
                </c:pt>
                <c:pt idx="50">
                  <c:v>0.10467042199028</c:v>
                </c:pt>
                <c:pt idx="51">
                  <c:v>0.10468833536927501</c:v>
                </c:pt>
                <c:pt idx="52">
                  <c:v>0.104705957455764</c:v>
                </c:pt>
                <c:pt idx="53">
                  <c:v>0.104723299265432</c:v>
                </c:pt>
                <c:pt idx="54">
                  <c:v>0.10474037121678501</c:v>
                </c:pt>
                <c:pt idx="55">
                  <c:v>0.104757183173858</c:v>
                </c:pt>
                <c:pt idx="56">
                  <c:v>0.10477374448518</c:v>
                </c:pt>
                <c:pt idx="57">
                  <c:v>0.104790064019366</c:v>
                </c:pt>
                <c:pt idx="58">
                  <c:v>0.10480615019770299</c:v>
                </c:pt>
                <c:pt idx="59">
                  <c:v>0.104822011024007</c:v>
                </c:pt>
                <c:pt idx="60">
                  <c:v>0.10483765411203801</c:v>
                </c:pt>
                <c:pt idx="61">
                  <c:v>0.104853086710699</c:v>
                </c:pt>
                <c:pt idx="62">
                  <c:v>0.10486831572724099</c:v>
                </c:pt>
                <c:pt idx="63">
                  <c:v>0.104883347748643</c:v>
                </c:pt>
                <c:pt idx="64">
                  <c:v>0.104898189061358</c:v>
                </c:pt>
                <c:pt idx="65">
                  <c:v>0.104912845669559</c:v>
                </c:pt>
                <c:pt idx="66">
                  <c:v>0.10492732331202199</c:v>
                </c:pt>
                <c:pt idx="67">
                  <c:v>0.10494162747777</c:v>
                </c:pt>
                <c:pt idx="68">
                  <c:v>0.10495576342058401</c:v>
                </c:pt>
                <c:pt idx="69">
                  <c:v>0.104969736172476</c:v>
                </c:pt>
                <c:pt idx="70">
                  <c:v>0.104983550556215</c:v>
                </c:pt>
                <c:pt idx="71">
                  <c:v>0.104997211196988</c:v>
                </c:pt>
                <c:pt idx="72">
                  <c:v>0.105010722533251</c:v>
                </c:pt>
                <c:pt idx="73">
                  <c:v>0.10502408882686499</c:v>
                </c:pt>
                <c:pt idx="74">
                  <c:v>0.105037314172539</c:v>
                </c:pt>
                <c:pt idx="75">
                  <c:v>0.10505040250667</c:v>
                </c:pt>
                <c:pt idx="76">
                  <c:v>0.105063357615594</c:v>
                </c:pt>
                <c:pt idx="77">
                  <c:v>0.105076183143323</c:v>
                </c:pt>
                <c:pt idx="78">
                  <c:v>0.10508888259878001</c:v>
                </c:pt>
                <c:pt idx="79">
                  <c:v>0.105101459362598</c:v>
                </c:pt>
                <c:pt idx="80">
                  <c:v>0.10511391669348399</c:v>
                </c:pt>
                <c:pt idx="81">
                  <c:v>0.10512625773421</c:v>
                </c:pt>
                <c:pt idx="82">
                  <c:v>0.10513848551723599</c:v>
                </c:pt>
                <c:pt idx="83">
                  <c:v>0.10515060297000201</c:v>
                </c:pt>
                <c:pt idx="84">
                  <c:v>0.105162612919908</c:v>
                </c:pt>
                <c:pt idx="85">
                  <c:v>0.105174518099013</c:v>
                </c:pt>
                <c:pt idx="86">
                  <c:v>0.105186321148453</c:v>
                </c:pt>
                <c:pt idx="87">
                  <c:v>0.105198024622616</c:v>
                </c:pt>
                <c:pt idx="88">
                  <c:v>0.105209630993088</c:v>
                </c:pt>
                <c:pt idx="89">
                  <c:v>0.10522114265237301</c:v>
                </c:pt>
                <c:pt idx="90">
                  <c:v>0.105232561917411</c:v>
                </c:pt>
                <c:pt idx="91">
                  <c:v>0.105243891032912</c:v>
                </c:pt>
                <c:pt idx="92">
                  <c:v>0.105255132174505</c:v>
                </c:pt>
                <c:pt idx="93">
                  <c:v>0.10526628745172401</c:v>
                </c:pt>
                <c:pt idx="94">
                  <c:v>0.105277358910841</c:v>
                </c:pt>
                <c:pt idx="95">
                  <c:v>0.105288348537545</c:v>
                </c:pt>
                <c:pt idx="96">
                  <c:v>0.10529925825949001</c:v>
                </c:pt>
                <c:pt idx="97">
                  <c:v>0.105310089948715</c:v>
                </c:pt>
                <c:pt idx="98">
                  <c:v>0.10532084542394</c:v>
                </c:pt>
                <c:pt idx="99">
                  <c:v>0.105331526452749</c:v>
                </c:pt>
                <c:pt idx="100">
                  <c:v>0.10534213475366599</c:v>
                </c:pt>
                <c:pt idx="101">
                  <c:v>0.105352671998135</c:v>
                </c:pt>
                <c:pt idx="102">
                  <c:v>0.105363139812398</c:v>
                </c:pt>
                <c:pt idx="103">
                  <c:v>0.10537353977929</c:v>
                </c:pt>
                <c:pt idx="104">
                  <c:v>0.105383873439947</c:v>
                </c:pt>
                <c:pt idx="105">
                  <c:v>0.105394142295438</c:v>
                </c:pt>
                <c:pt idx="106">
                  <c:v>0.10540434780831399</c:v>
                </c:pt>
                <c:pt idx="107">
                  <c:v>0.1054144914041</c:v>
                </c:pt>
                <c:pt idx="108">
                  <c:v>0.105424574472708</c:v>
                </c:pt>
                <c:pt idx="109">
                  <c:v>0.10543459836979301</c:v>
                </c:pt>
                <c:pt idx="110">
                  <c:v>0.105444564418049</c:v>
                </c:pt>
                <c:pt idx="111">
                  <c:v>0.105454473908448</c:v>
                </c:pt>
                <c:pt idx="112">
                  <c:v>0.105464328101426</c:v>
                </c:pt>
                <c:pt idx="113">
                  <c:v>0.10547412822802001</c:v>
                </c:pt>
                <c:pt idx="114">
                  <c:v>0.10548387549095201</c:v>
                </c:pt>
                <c:pt idx="115">
                  <c:v>0.105493571065675</c:v>
                </c:pt>
                <c:pt idx="116">
                  <c:v>0.105503216101374</c:v>
                </c:pt>
                <c:pt idx="117">
                  <c:v>0.10551281172191999</c:v>
                </c:pt>
                <c:pt idx="118">
                  <c:v>0.10552235902679701</c:v>
                </c:pt>
                <c:pt idx="119">
                  <c:v>0.105531859091982</c:v>
                </c:pt>
                <c:pt idx="120">
                  <c:v>0.105541312970793</c:v>
                </c:pt>
                <c:pt idx="121">
                  <c:v>0.105550721694713</c:v>
                </c:pt>
                <c:pt idx="122">
                  <c:v>0.10556008627416701</c:v>
                </c:pt>
                <c:pt idx="123">
                  <c:v>0.105569407699282</c:v>
                </c:pt>
                <c:pt idx="124">
                  <c:v>0.105578686940613</c:v>
                </c:pt>
                <c:pt idx="125">
                  <c:v>0.10558792494984499</c:v>
                </c:pt>
                <c:pt idx="126">
                  <c:v>0.105597122660464</c:v>
                </c:pt>
                <c:pt idx="127">
                  <c:v>0.105606280988415</c:v>
                </c:pt>
                <c:pt idx="128">
                  <c:v>0.105615400832723</c:v>
                </c:pt>
                <c:pt idx="129">
                  <c:v>0.10562448307610101</c:v>
                </c:pt>
                <c:pt idx="130">
                  <c:v>0.105633528585537</c:v>
                </c:pt>
                <c:pt idx="131">
                  <c:v>0.105642538212856</c:v>
                </c:pt>
                <c:pt idx="132">
                  <c:v>0.10565151279527001</c:v>
                </c:pt>
                <c:pt idx="133">
                  <c:v>0.105660453155901</c:v>
                </c:pt>
                <c:pt idx="134">
                  <c:v>0.1056693601043</c:v>
                </c:pt>
                <c:pt idx="135">
                  <c:v>0.105678234436935</c:v>
                </c:pt>
                <c:pt idx="136">
                  <c:v>0.105687076937673</c:v>
                </c:pt>
                <c:pt idx="137">
                  <c:v>0.10569588837824601</c:v>
                </c:pt>
                <c:pt idx="138">
                  <c:v>0.105704669518702</c:v>
                </c:pt>
                <c:pt idx="139">
                  <c:v>0.105713421107842</c:v>
                </c:pt>
                <c:pt idx="140">
                  <c:v>0.105722143883642</c:v>
                </c:pt>
                <c:pt idx="141">
                  <c:v>0.10573083857367301</c:v>
                </c:pt>
                <c:pt idx="142">
                  <c:v>0.10573950589549699</c:v>
                </c:pt>
                <c:pt idx="143">
                  <c:v>0.105748146557059</c:v>
                </c:pt>
                <c:pt idx="144">
                  <c:v>0.105756761257069</c:v>
                </c:pt>
                <c:pt idx="145">
                  <c:v>0.105765350685371</c:v>
                </c:pt>
                <c:pt idx="146">
                  <c:v>0.10577391552330601</c:v>
                </c:pt>
                <c:pt idx="147">
                  <c:v>0.105782456444064</c:v>
                </c:pt>
                <c:pt idx="148">
                  <c:v>0.105790974113029</c:v>
                </c:pt>
                <c:pt idx="149">
                  <c:v>0.105799469188117</c:v>
                </c:pt>
                <c:pt idx="150">
                  <c:v>0.105807942320102</c:v>
                </c:pt>
                <c:pt idx="151">
                  <c:v>0.105816394152941</c:v>
                </c:pt>
                <c:pt idx="152">
                  <c:v>0.10582482532409</c:v>
                </c:pt>
                <c:pt idx="153">
                  <c:v>0.10583323646481201</c:v>
                </c:pt>
                <c:pt idx="154">
                  <c:v>0.105841628200482</c:v>
                </c:pt>
                <c:pt idx="155">
                  <c:v>0.105850001150887</c:v>
                </c:pt>
                <c:pt idx="156">
                  <c:v>0.105858355930516</c:v>
                </c:pt>
                <c:pt idx="157">
                  <c:v>0.105866693148851</c:v>
                </c:pt>
                <c:pt idx="158">
                  <c:v>0.105875013410654</c:v>
                </c:pt>
                <c:pt idx="159">
                  <c:v>0.10588331731624</c:v>
                </c:pt>
                <c:pt idx="160">
                  <c:v>0.105891605461765</c:v>
                </c:pt>
                <c:pt idx="161">
                  <c:v>0.10589987843948701</c:v>
                </c:pt>
                <c:pt idx="162">
                  <c:v>0.10590813683804701</c:v>
                </c:pt>
                <c:pt idx="163">
                  <c:v>0.10591638124273201</c:v>
                </c:pt>
                <c:pt idx="164">
                  <c:v>0.105924612235738</c:v>
                </c:pt>
                <c:pt idx="165">
                  <c:v>0.10593283039644</c:v>
                </c:pt>
                <c:pt idx="166">
                  <c:v>0.105941036301648</c:v>
                </c:pt>
                <c:pt idx="167">
                  <c:v>0.10594923052586901</c:v>
                </c:pt>
                <c:pt idx="168">
                  <c:v>0.105957413641566</c:v>
                </c:pt>
                <c:pt idx="169">
                  <c:v>0.105965586219415</c:v>
                </c:pt>
                <c:pt idx="170">
                  <c:v>0.105973748828566</c:v>
                </c:pt>
                <c:pt idx="171">
                  <c:v>0.10598190203689301</c:v>
                </c:pt>
                <c:pt idx="172">
                  <c:v>0.105990046411258</c:v>
                </c:pt>
                <c:pt idx="173">
                  <c:v>0.10599818251776701</c:v>
                </c:pt>
                <c:pt idx="174">
                  <c:v>0.106006310922025</c:v>
                </c:pt>
                <c:pt idx="175">
                  <c:v>0.106014432189397</c:v>
                </c:pt>
                <c:pt idx="176">
                  <c:v>0.106022546885271</c:v>
                </c:pt>
                <c:pt idx="177">
                  <c:v>0.10603065557531401</c:v>
                </c:pt>
                <c:pt idx="178">
                  <c:v>0.10603875882574</c:v>
                </c:pt>
                <c:pt idx="179">
                  <c:v>0.106046857203577</c:v>
                </c:pt>
                <c:pt idx="180">
                  <c:v>0.106054951276932</c:v>
                </c:pt>
                <c:pt idx="181">
                  <c:v>0.106063041615263</c:v>
                </c:pt>
                <c:pt idx="182">
                  <c:v>0.10607112878965499</c:v>
                </c:pt>
                <c:pt idx="183">
                  <c:v>0.106079213373101</c:v>
                </c:pt>
                <c:pt idx="184">
                  <c:v>0.106087295940776</c:v>
                </c:pt>
                <c:pt idx="185">
                  <c:v>0.10609537707033299</c:v>
                </c:pt>
                <c:pt idx="186">
                  <c:v>0.106103457342189</c:v>
                </c:pt>
                <c:pt idx="187">
                  <c:v>0.106111537339822</c:v>
                </c:pt>
                <c:pt idx="188">
                  <c:v>0.10611961765007601</c:v>
                </c:pt>
                <c:pt idx="189">
                  <c:v>0.106127698863465</c:v>
                </c:pt>
                <c:pt idx="190">
                  <c:v>0.10613578157449099</c:v>
                </c:pt>
                <c:pt idx="191">
                  <c:v>0.106143866381966</c:v>
                </c:pt>
                <c:pt idx="192">
                  <c:v>0.10615195388934</c:v>
                </c:pt>
                <c:pt idx="193">
                  <c:v>0.106160044705038</c:v>
                </c:pt>
                <c:pt idx="194">
                  <c:v>0.106168139442805</c:v>
                </c:pt>
                <c:pt idx="195">
                  <c:v>0.106176238722063</c:v>
                </c:pt>
                <c:pt idx="196">
                  <c:v>0.106184343168276</c:v>
                </c:pt>
                <c:pt idx="197">
                  <c:v>0.10619245341332301</c:v>
                </c:pt>
                <c:pt idx="198">
                  <c:v>0.106200570095885</c:v>
                </c:pt>
                <c:pt idx="199">
                  <c:v>0.10620869386184199</c:v>
                </c:pt>
                <c:pt idx="200">
                  <c:v>0.10621682536468401</c:v>
                </c:pt>
                <c:pt idx="201">
                  <c:v>0.106224965265935</c:v>
                </c:pt>
                <c:pt idx="202">
                  <c:v>0.106233114235588</c:v>
                </c:pt>
                <c:pt idx="203">
                  <c:v>0.10624127295256</c:v>
                </c:pt>
                <c:pt idx="204">
                  <c:v>0.10624944210515699</c:v>
                </c:pt>
                <c:pt idx="205">
                  <c:v>0.106257622391562</c:v>
                </c:pt>
                <c:pt idx="206">
                  <c:v>0.106265814520335</c:v>
                </c:pt>
                <c:pt idx="207">
                  <c:v>0.106274019210935</c:v>
                </c:pt>
                <c:pt idx="208">
                  <c:v>0.10628223719426</c:v>
                </c:pt>
                <c:pt idx="209">
                  <c:v>0.106290469213214</c:v>
                </c:pt>
                <c:pt idx="210">
                  <c:v>0.106298716023284</c:v>
                </c:pt>
                <c:pt idx="211">
                  <c:v>0.106306978393155</c:v>
                </c:pt>
                <c:pt idx="212">
                  <c:v>0.106315257105341</c:v>
                </c:pt>
                <c:pt idx="213">
                  <c:v>0.10632355295684801</c:v>
                </c:pt>
                <c:pt idx="214">
                  <c:v>0.10633186675985799</c:v>
                </c:pt>
                <c:pt idx="215">
                  <c:v>0.10634019934245301</c:v>
                </c:pt>
                <c:pt idx="216">
                  <c:v>0.106348551549366</c:v>
                </c:pt>
                <c:pt idx="217">
                  <c:v>0.106356924242761</c:v>
                </c:pt>
                <c:pt idx="218">
                  <c:v>0.10636531830306099</c:v>
                </c:pt>
                <c:pt idx="219">
                  <c:v>0.106373734629807</c:v>
                </c:pt>
                <c:pt idx="220">
                  <c:v>0.10638217414255299</c:v>
                </c:pt>
                <c:pt idx="221">
                  <c:v>0.106390637781818</c:v>
                </c:pt>
                <c:pt idx="222">
                  <c:v>0.10639912651007299</c:v>
                </c:pt>
                <c:pt idx="223">
                  <c:v>0.10640764131277999</c:v>
                </c:pt>
                <c:pt idx="224">
                  <c:v>0.10641618319948901</c:v>
                </c:pt>
                <c:pt idx="225">
                  <c:v>0.106424753204983</c:v>
                </c:pt>
                <c:pt idx="226">
                  <c:v>0.10643335239049</c:v>
                </c:pt>
                <c:pt idx="227">
                  <c:v>0.106441981844954</c:v>
                </c:pt>
                <c:pt idx="228">
                  <c:v>0.106450642686375</c:v>
                </c:pt>
                <c:pt idx="229">
                  <c:v>0.10645933606322799</c:v>
                </c:pt>
                <c:pt idx="230">
                  <c:v>0.10646806315594901</c:v>
                </c:pt>
                <c:pt idx="231">
                  <c:v>0.106476825178516</c:v>
                </c:pt>
                <c:pt idx="232">
                  <c:v>0.10648562338011</c:v>
                </c:pt>
                <c:pt idx="233">
                  <c:v>0.106494459046881</c:v>
                </c:pt>
                <c:pt idx="234">
                  <c:v>0.106503333503809</c:v>
                </c:pt>
                <c:pt idx="235">
                  <c:v>0.10651224811667701</c:v>
                </c:pt>
                <c:pt idx="236">
                  <c:v>0.106521204294171</c:v>
                </c:pt>
                <c:pt idx="237">
                  <c:v>0.106530203490093</c:v>
                </c:pt>
                <c:pt idx="238">
                  <c:v>0.10653924720572699</c:v>
                </c:pt>
                <c:pt idx="239">
                  <c:v>0.106548336992338</c:v>
                </c:pt>
                <c:pt idx="240">
                  <c:v>0.106557474453844</c:v>
                </c:pt>
                <c:pt idx="241">
                  <c:v>0.106566661249652</c:v>
                </c:pt>
                <c:pt idx="242">
                  <c:v>0.10657589909767901</c:v>
                </c:pt>
                <c:pt idx="243">
                  <c:v>0.10658518977758299</c:v>
                </c:pt>
                <c:pt idx="244">
                  <c:v>0.106594535134197</c:v>
                </c:pt>
                <c:pt idx="245">
                  <c:v>0.106603937081217</c:v>
                </c:pt>
                <c:pt idx="246">
                  <c:v>0.106613397605125</c:v>
                </c:pt>
                <c:pt idx="247">
                  <c:v>0.10662291876941001</c:v>
                </c:pt>
                <c:pt idx="248">
                  <c:v>0.106632502719071</c:v>
                </c:pt>
                <c:pt idx="249">
                  <c:v>0.10664215168546599</c:v>
                </c:pt>
                <c:pt idx="250">
                  <c:v>0.106651867991505</c:v>
                </c:pt>
                <c:pt idx="251">
                  <c:v>0.106661654057239</c:v>
                </c:pt>
                <c:pt idx="252">
                  <c:v>0.106671512405876</c:v>
                </c:pt>
                <c:pt idx="253">
                  <c:v>0.106681445670259</c:v>
                </c:pt>
                <c:pt idx="254">
                  <c:v>0.106691456599855</c:v>
                </c:pt>
                <c:pt idx="255">
                  <c:v>0.10670154806830701</c:v>
                </c:pt>
                <c:pt idx="256">
                  <c:v>0.106711723081597</c:v>
                </c:pt>
                <c:pt idx="257">
                  <c:v>0.106721984786882</c:v>
                </c:pt>
                <c:pt idx="258">
                  <c:v>0.106732336482082</c:v>
                </c:pt>
                <c:pt idx="259">
                  <c:v>0.10674278162628199</c:v>
                </c:pt>
                <c:pt idx="260">
                  <c:v>0.106753323851043</c:v>
                </c:pt>
                <c:pt idx="261">
                  <c:v>0.106763966972719</c:v>
                </c:pt>
                <c:pt idx="262">
                  <c:v>0.10677471500588499</c:v>
                </c:pt>
                <c:pt idx="263">
                  <c:v>0.10678557217800599</c:v>
                </c:pt>
                <c:pt idx="264">
                  <c:v>0.106796542945475</c:v>
                </c:pt>
                <c:pt idx="265">
                  <c:v>0.10680763201119001</c:v>
                </c:pt>
                <c:pt idx="266">
                  <c:v>0.106818844343851</c:v>
                </c:pt>
                <c:pt idx="267">
                  <c:v>0.106830185199162</c:v>
                </c:pt>
                <c:pt idx="268">
                  <c:v>0.1068416601432</c:v>
                </c:pt>
                <c:pt idx="269">
                  <c:v>0.106853275078199</c:v>
                </c:pt>
                <c:pt idx="270">
                  <c:v>0.10686503627105901</c:v>
                </c:pt>
                <c:pt idx="271">
                  <c:v>0.106876950384948</c:v>
                </c:pt>
                <c:pt idx="272">
                  <c:v>0.10688902451438199</c:v>
                </c:pt>
                <c:pt idx="273">
                  <c:v>0.106901266224276</c:v>
                </c:pt>
                <c:pt idx="274">
                  <c:v>0.106913683593506</c:v>
                </c:pt>
                <c:pt idx="275">
                  <c:v>0.106926285263621</c:v>
                </c:pt>
                <c:pt idx="276">
                  <c:v>0.106939080493455</c:v>
                </c:pt>
                <c:pt idx="277">
                  <c:v>0.10695207922051</c:v>
                </c:pt>
                <c:pt idx="278">
                  <c:v>0.10696529213014599</c:v>
                </c:pt>
                <c:pt idx="279">
                  <c:v>0.106978730733797</c:v>
                </c:pt>
                <c:pt idx="280">
                  <c:v>0.106992407457646</c:v>
                </c:pt>
                <c:pt idx="281">
                  <c:v>0.107006335743491</c:v>
                </c:pt>
                <c:pt idx="282">
                  <c:v>0.10702053016384699</c:v>
                </c:pt>
                <c:pt idx="283">
                  <c:v>0.107035006553762</c:v>
                </c:pt>
                <c:pt idx="284">
                  <c:v>0.107049782162317</c:v>
                </c:pt>
                <c:pt idx="285">
                  <c:v>0.10706487582742701</c:v>
                </c:pt>
                <c:pt idx="286">
                  <c:v>0.107080308178348</c:v>
                </c:pt>
                <c:pt idx="287">
                  <c:v>0.10709610187127599</c:v>
                </c:pt>
                <c:pt idx="288">
                  <c:v>0.10711228186470099</c:v>
                </c:pt>
                <c:pt idx="289">
                  <c:v>0.107128875742745</c:v>
                </c:pt>
                <c:pt idx="290">
                  <c:v>0.107145914096787</c:v>
                </c:pt>
                <c:pt idx="291">
                  <c:v>0.10716343097827</c:v>
                </c:pt>
                <c:pt idx="292">
                  <c:v>0.10718146443905199</c:v>
                </c:pt>
                <c:pt idx="293">
                  <c:v>0.107200057180087</c:v>
                </c:pt>
                <c:pt idx="294">
                  <c:v>0.10721925733519</c:v>
                </c:pt>
                <c:pt idx="295">
                  <c:v>0.107239119424452</c:v>
                </c:pt>
                <c:pt idx="296">
                  <c:v>0.10725970552248799</c:v>
                </c:pt>
                <c:pt idx="297">
                  <c:v>0.107281086701057</c:v>
                </c:pt>
                <c:pt idx="298">
                  <c:v>0.10730334482520799</c:v>
                </c:pt>
                <c:pt idx="299">
                  <c:v>0.107326574809414</c:v>
                </c:pt>
                <c:pt idx="300">
                  <c:v>0.10735088747820599</c:v>
                </c:pt>
                <c:pt idx="301">
                  <c:v>0.10737641322982</c:v>
                </c:pt>
                <c:pt idx="302">
                  <c:v>0.107403306778537</c:v>
                </c:pt>
                <c:pt idx="303">
                  <c:v>0.10743175336319</c:v>
                </c:pt>
                <c:pt idx="304">
                  <c:v>0.107461976972791</c:v>
                </c:pt>
                <c:pt idx="305">
                  <c:v>0.107494251381856</c:v>
                </c:pt>
                <c:pt idx="306">
                  <c:v>0.107528915147976</c:v>
                </c:pt>
                <c:pt idx="307">
                  <c:v>0.107566392263413</c:v>
                </c:pt>
                <c:pt idx="308">
                  <c:v>0.10760722096054399</c:v>
                </c:pt>
                <c:pt idx="309">
                  <c:v>0.107652094373539</c:v>
                </c:pt>
                <c:pt idx="310">
                  <c:v>0.107701918517204</c:v>
                </c:pt>
                <c:pt idx="311">
                  <c:v>0.107757895545197</c:v>
                </c:pt>
                <c:pt idx="312">
                  <c:v>0.107821643761701</c:v>
                </c:pt>
                <c:pt idx="313">
                  <c:v>0.107895371464266</c:v>
                </c:pt>
                <c:pt idx="314">
                  <c:v>0.107982136054144</c:v>
                </c:pt>
                <c:pt idx="315">
                  <c:v>0.108086279484475</c:v>
                </c:pt>
                <c:pt idx="316">
                  <c:v>0.10821441051713999</c:v>
                </c:pt>
                <c:pt idx="317">
                  <c:v>0.108378611684964</c:v>
                </c:pt>
                <c:pt idx="318">
                  <c:v>0.10851279142848901</c:v>
                </c:pt>
                <c:pt idx="319">
                  <c:v>0.108646878508965</c:v>
                </c:pt>
                <c:pt idx="320">
                  <c:v>0.108781836007877</c:v>
                </c:pt>
                <c:pt idx="321">
                  <c:v>0.108917703938839</c:v>
                </c:pt>
                <c:pt idx="322">
                  <c:v>0.109054545173906</c:v>
                </c:pt>
                <c:pt idx="323">
                  <c:v>0.109192417872054</c:v>
                </c:pt>
                <c:pt idx="324">
                  <c:v>0.109331376964383</c:v>
                </c:pt>
                <c:pt idx="325">
                  <c:v>0.10947147454287399</c:v>
                </c:pt>
                <c:pt idx="326">
                  <c:v>0.109612760241196</c:v>
                </c:pt>
                <c:pt idx="327">
                  <c:v>0.10975528157779101</c:v>
                </c:pt>
                <c:pt idx="328">
                  <c:v>0.109899084266184</c:v>
                </c:pt>
                <c:pt idx="329">
                  <c:v>0.110044212495958</c:v>
                </c:pt>
                <c:pt idx="330">
                  <c:v>0.11019070918751001</c:v>
                </c:pt>
                <c:pt idx="331">
                  <c:v>0.11033861622334599</c:v>
                </c:pt>
                <c:pt idx="332">
                  <c:v>0.110487974658393</c:v>
                </c:pt>
                <c:pt idx="333">
                  <c:v>0.110638824911563</c:v>
                </c:pt>
                <c:pt idx="334">
                  <c:v>0.110791206940568</c:v>
                </c:pt>
                <c:pt idx="335">
                  <c:v>0.11094516040180299</c:v>
                </c:pt>
                <c:pt idx="336">
                  <c:v>0.11110072479692901</c:v>
                </c:pt>
                <c:pt idx="337">
                  <c:v>0.111257939607629</c:v>
                </c:pt>
                <c:pt idx="338">
                  <c:v>0.111416844419904</c:v>
                </c:pt>
                <c:pt idx="339">
                  <c:v>0.111577479039088</c:v>
                </c:pt>
                <c:pt idx="340">
                  <c:v>0.111739883596728</c:v>
                </c:pt>
                <c:pt idx="341">
                  <c:v>0.111904098650297</c:v>
                </c:pt>
                <c:pt idx="342">
                  <c:v>0.11207016527668</c:v>
                </c:pt>
                <c:pt idx="343">
                  <c:v>0.112238125160255</c:v>
                </c:pt>
                <c:pt idx="344">
                  <c:v>0.11240802067632299</c:v>
                </c:pt>
                <c:pt idx="345">
                  <c:v>0.11257989497059701</c:v>
                </c:pt>
                <c:pt idx="346">
                  <c:v>0.112753792035371</c:v>
                </c:pt>
                <c:pt idx="347">
                  <c:v>0.112929756782956</c:v>
                </c:pt>
                <c:pt idx="348">
                  <c:v>0.113107835116922</c:v>
                </c:pt>
                <c:pt idx="349">
                  <c:v>0.113288074001635</c:v>
                </c:pt>
                <c:pt idx="350">
                  <c:v>0.113470521530551</c:v>
                </c:pt>
                <c:pt idx="351">
                  <c:v>0.113655226993682</c:v>
                </c:pt>
                <c:pt idx="352">
                  <c:v>0.113842240944644</c:v>
                </c:pt>
                <c:pt idx="353">
                  <c:v>0.114031615267637</c:v>
                </c:pt>
                <c:pt idx="354">
                  <c:v>0.11422340324472501</c:v>
                </c:pt>
                <c:pt idx="355">
                  <c:v>0.11441765962373</c:v>
                </c:pt>
                <c:pt idx="356">
                  <c:v>0.114614440687063</c:v>
                </c:pt>
                <c:pt idx="357">
                  <c:v>0.114813804321789</c:v>
                </c:pt>
                <c:pt idx="358">
                  <c:v>0.22425676384167301</c:v>
                </c:pt>
                <c:pt idx="359">
                  <c:v>0.30704288935609397</c:v>
                </c:pt>
                <c:pt idx="360">
                  <c:v>0.30834090817871301</c:v>
                </c:pt>
                <c:pt idx="361">
                  <c:v>0.30921577139060102</c:v>
                </c:pt>
                <c:pt idx="362">
                  <c:v>0.31017471350345399</c:v>
                </c:pt>
                <c:pt idx="363">
                  <c:v>0.31131883897321</c:v>
                </c:pt>
                <c:pt idx="364">
                  <c:v>0.31289797505880901</c:v>
                </c:pt>
                <c:pt idx="365">
                  <c:v>0.51289797505880896</c:v>
                </c:pt>
                <c:pt idx="366">
                  <c:v>0.51289797505880896</c:v>
                </c:pt>
              </c:numCache>
            </c:numRef>
          </c:xVal>
          <c:yVal>
            <c:numRef>
              <c:f>Implicit_Fracs!$BL$5:$BL$371</c:f>
              <c:numCache>
                <c:formatCode>General</c:formatCode>
                <c:ptCount val="367"/>
                <c:pt idx="0">
                  <c:v>1.15760865869292E-4</c:v>
                </c:pt>
                <c:pt idx="1">
                  <c:v>1.1550723846199E-4</c:v>
                </c:pt>
                <c:pt idx="2">
                  <c:v>1.1530014483671999E-4</c:v>
                </c:pt>
                <c:pt idx="3">
                  <c:v>1.15165583556191E-4</c:v>
                </c:pt>
                <c:pt idx="4">
                  <c:v>1.1505213905005499E-4</c:v>
                </c:pt>
                <c:pt idx="5">
                  <c:v>1.1491397570842E-4</c:v>
                </c:pt>
                <c:pt idx="6">
                  <c:v>1.1482407061457699E-4</c:v>
                </c:pt>
                <c:pt idx="7">
                  <c:v>1.14701910672251E-4</c:v>
                </c:pt>
                <c:pt idx="8">
                  <c:v>1.14624938446283E-4</c:v>
                </c:pt>
                <c:pt idx="9">
                  <c:v>1.1455248857338001E-4</c:v>
                </c:pt>
                <c:pt idx="10">
                  <c:v>1.1444317943963201E-4</c:v>
                </c:pt>
                <c:pt idx="11">
                  <c:v>1.14418332855969E-4</c:v>
                </c:pt>
                <c:pt idx="12">
                  <c:v>1.1431425379995299E-4</c:v>
                </c:pt>
                <c:pt idx="13">
                  <c:v>1.1425345206617E-4</c:v>
                </c:pt>
                <c:pt idx="14">
                  <c:v>1.14194592655996E-4</c:v>
                </c:pt>
                <c:pt idx="15">
                  <c:v>1.14095894086326E-4</c:v>
                </c:pt>
                <c:pt idx="16">
                  <c:v>1.14040234376229E-4</c:v>
                </c:pt>
                <c:pt idx="17">
                  <c:v>1.13944125775831E-4</c:v>
                </c:pt>
                <c:pt idx="18">
                  <c:v>1.1389098150824401E-4</c:v>
                </c:pt>
                <c:pt idx="19">
                  <c:v>1.13796946595954E-4</c:v>
                </c:pt>
                <c:pt idx="20">
                  <c:v>1.13745824849649E-4</c:v>
                </c:pt>
                <c:pt idx="21">
                  <c:v>1.13695570142599E-4</c:v>
                </c:pt>
                <c:pt idx="22">
                  <c:v>1.13603972124235E-4</c:v>
                </c:pt>
                <c:pt idx="23">
                  <c:v>1.13555221157723E-4</c:v>
                </c:pt>
                <c:pt idx="24">
                  <c:v>1.13464925166695E-4</c:v>
                </c:pt>
                <c:pt idx="25">
                  <c:v>1.13417425132498E-4</c:v>
                </c:pt>
                <c:pt idx="26">
                  <c:v>1.1332824031022199E-4</c:v>
                </c:pt>
                <c:pt idx="27">
                  <c:v>1.13281789988919E-4</c:v>
                </c:pt>
                <c:pt idx="28">
                  <c:v>1.13278041165867E-4</c:v>
                </c:pt>
                <c:pt idx="29">
                  <c:v>1.13190247993858E-4</c:v>
                </c:pt>
                <c:pt idx="30">
                  <c:v>1.1314507832334101E-4</c:v>
                </c:pt>
                <c:pt idx="31">
                  <c:v>1.13058069852226E-4</c:v>
                </c:pt>
                <c:pt idx="32">
                  <c:v>1.1301359665162401E-4</c:v>
                </c:pt>
                <c:pt idx="33">
                  <c:v>1.12969430722238E-4</c:v>
                </c:pt>
                <c:pt idx="34">
                  <c:v>1.12883431941084E-4</c:v>
                </c:pt>
                <c:pt idx="35">
                  <c:v>1.1283981392270299E-4</c:v>
                </c:pt>
                <c:pt idx="36">
                  <c:v>1.12754400083278E-4</c:v>
                </c:pt>
                <c:pt idx="37">
                  <c:v>1.1271124764062099E-4</c:v>
                </c:pt>
                <c:pt idx="38">
                  <c:v>1.1262635941105899E-4</c:v>
                </c:pt>
                <c:pt idx="39">
                  <c:v>1.1258360436762E-4</c:v>
                </c:pt>
                <c:pt idx="40">
                  <c:v>1.12541026026444E-4</c:v>
                </c:pt>
                <c:pt idx="41">
                  <c:v>1.1245683283464999E-4</c:v>
                </c:pt>
                <c:pt idx="42">
                  <c:v>1.12414563340423E-4</c:v>
                </c:pt>
                <c:pt idx="43">
                  <c:v>1.12330784437459E-4</c:v>
                </c:pt>
                <c:pt idx="44">
                  <c:v>1.12288775136871E-4</c:v>
                </c:pt>
                <c:pt idx="45">
                  <c:v>1.1220537341203599E-4</c:v>
                </c:pt>
                <c:pt idx="46">
                  <c:v>1.12205011969807E-4</c:v>
                </c:pt>
                <c:pt idx="47">
                  <c:v>1.12163313221721E-4</c:v>
                </c:pt>
                <c:pt idx="48">
                  <c:v>1.12080421785781E-4</c:v>
                </c:pt>
                <c:pt idx="49">
                  <c:v>1.1203888177129E-4</c:v>
                </c:pt>
                <c:pt idx="50">
                  <c:v>1.11956298046531E-4</c:v>
                </c:pt>
                <c:pt idx="51">
                  <c:v>1.1191488425161E-4</c:v>
                </c:pt>
                <c:pt idx="52">
                  <c:v>1.11873521270337E-4</c:v>
                </c:pt>
                <c:pt idx="53">
                  <c:v>1.11791358569536E-4</c:v>
                </c:pt>
                <c:pt idx="54">
                  <c:v>1.1175007996425101E-4</c:v>
                </c:pt>
                <c:pt idx="55">
                  <c:v>1.1166817264639E-4</c:v>
                </c:pt>
                <c:pt idx="56">
                  <c:v>1.1162694958185001E-4</c:v>
                </c:pt>
                <c:pt idx="57">
                  <c:v>1.11585745299686E-4</c:v>
                </c:pt>
                <c:pt idx="58">
                  <c:v>1.1150419204129301E-4</c:v>
                </c:pt>
                <c:pt idx="59">
                  <c:v>1.1146301175567999E-4</c:v>
                </c:pt>
                <c:pt idx="60">
                  <c:v>1.1138167354337299E-4</c:v>
                </c:pt>
                <c:pt idx="61">
                  <c:v>1.11340494596022E-4</c:v>
                </c:pt>
                <c:pt idx="62">
                  <c:v>1.11339256780635E-4</c:v>
                </c:pt>
                <c:pt idx="63">
                  <c:v>1.11258220120823E-4</c:v>
                </c:pt>
                <c:pt idx="64">
                  <c:v>1.11217008245194E-4</c:v>
                </c:pt>
                <c:pt idx="65">
                  <c:v>1.111361590663E-4</c:v>
                </c:pt>
                <c:pt idx="66">
                  <c:v>1.11094904351929E-4</c:v>
                </c:pt>
                <c:pt idx="67">
                  <c:v>1.11053623493813E-4</c:v>
                </c:pt>
                <c:pt idx="68">
                  <c:v>1.10973033245115E-4</c:v>
                </c:pt>
                <c:pt idx="69">
                  <c:v>1.10931686121381E-4</c:v>
                </c:pt>
                <c:pt idx="70">
                  <c:v>1.10890301395448E-4</c:v>
                </c:pt>
                <c:pt idx="71">
                  <c:v>1.10809951064544E-4</c:v>
                </c:pt>
                <c:pt idx="72">
                  <c:v>1.1076848057296699E-4</c:v>
                </c:pt>
                <c:pt idx="73">
                  <c:v>1.10688279043741E-4</c:v>
                </c:pt>
                <c:pt idx="74">
                  <c:v>1.10646710698671E-4</c:v>
                </c:pt>
                <c:pt idx="75">
                  <c:v>1.10605090526535E-4</c:v>
                </c:pt>
                <c:pt idx="76">
                  <c:v>1.10525098573077E-4</c:v>
                </c:pt>
                <c:pt idx="77">
                  <c:v>1.10483361368879E-4</c:v>
                </c:pt>
                <c:pt idx="78">
                  <c:v>1.10479627406783E-4</c:v>
                </c:pt>
                <c:pt idx="79">
                  <c:v>1.10399830306007E-4</c:v>
                </c:pt>
                <c:pt idx="80">
                  <c:v>1.10357902955517E-4</c:v>
                </c:pt>
                <c:pt idx="81">
                  <c:v>1.10278229323679E-4</c:v>
                </c:pt>
                <c:pt idx="82">
                  <c:v>1.1023616178184999E-4</c:v>
                </c:pt>
                <c:pt idx="83">
                  <c:v>1.1019402076695599E-4</c:v>
                </c:pt>
                <c:pt idx="84">
                  <c:v>1.10114520820661E-4</c:v>
                </c:pt>
                <c:pt idx="85">
                  <c:v>1.1007222713686999E-4</c:v>
                </c:pt>
                <c:pt idx="86">
                  <c:v>1.1002985366540001E-4</c:v>
                </c:pt>
                <c:pt idx="87">
                  <c:v>1.09950517780385E-4</c:v>
                </c:pt>
                <c:pt idx="88">
                  <c:v>1.09907979528435E-4</c:v>
                </c:pt>
                <c:pt idx="89">
                  <c:v>1.09865355684423E-4</c:v>
                </c:pt>
                <c:pt idx="90">
                  <c:v>1.09786172430709E-4</c:v>
                </c:pt>
                <c:pt idx="91">
                  <c:v>1.0974337264382201E-4</c:v>
                </c:pt>
                <c:pt idx="92">
                  <c:v>1.09700481902853E-4</c:v>
                </c:pt>
                <c:pt idx="93">
                  <c:v>1.09621443524371E-4</c:v>
                </c:pt>
                <c:pt idx="94">
                  <c:v>1.09614281485449E-4</c:v>
                </c:pt>
                <c:pt idx="95">
                  <c:v>1.0957110922646199E-4</c:v>
                </c:pt>
                <c:pt idx="96">
                  <c:v>1.0949220730967E-4</c:v>
                </c:pt>
                <c:pt idx="97">
                  <c:v>1.09448839170067E-4</c:v>
                </c:pt>
                <c:pt idx="98">
                  <c:v>1.09405371144736E-4</c:v>
                </c:pt>
                <c:pt idx="99">
                  <c:v>1.09326597916742E-4</c:v>
                </c:pt>
                <c:pt idx="100">
                  <c:v>1.0928292571497201E-4</c:v>
                </c:pt>
                <c:pt idx="101">
                  <c:v>1.0923914861865401E-4</c:v>
                </c:pt>
                <c:pt idx="102">
                  <c:v>1.09195267456822E-4</c:v>
                </c:pt>
                <c:pt idx="103">
                  <c:v>1.09116655981988E-4</c:v>
                </c:pt>
                <c:pt idx="104">
                  <c:v>1.0907255865678E-4</c:v>
                </c:pt>
                <c:pt idx="105">
                  <c:v>1.09028353248095E-4</c:v>
                </c:pt>
                <c:pt idx="106">
                  <c:v>1.08949856266351E-4</c:v>
                </c:pt>
                <c:pt idx="107">
                  <c:v>1.08905427590115E-4</c:v>
                </c:pt>
                <c:pt idx="108">
                  <c:v>1.0886088703719E-4</c:v>
                </c:pt>
                <c:pt idx="109">
                  <c:v>1.08849965711895E-4</c:v>
                </c:pt>
                <c:pt idx="110">
                  <c:v>1.08771613164012E-4</c:v>
                </c:pt>
                <c:pt idx="111">
                  <c:v>1.0872672716635099E-4</c:v>
                </c:pt>
                <c:pt idx="112">
                  <c:v>1.08681724742196E-4</c:v>
                </c:pt>
                <c:pt idx="113">
                  <c:v>1.0860347376261E-4</c:v>
                </c:pt>
                <c:pt idx="114">
                  <c:v>1.0855823443759201E-4</c:v>
                </c:pt>
                <c:pt idx="115">
                  <c:v>1.08512874678287E-4</c:v>
                </c:pt>
                <c:pt idx="116">
                  <c:v>1.0846739422974199E-4</c:v>
                </c:pt>
                <c:pt idx="117">
                  <c:v>1.08389273040435E-4</c:v>
                </c:pt>
                <c:pt idx="118">
                  <c:v>1.0834354798989299E-4</c:v>
                </c:pt>
                <c:pt idx="119">
                  <c:v>1.0829769905732199E-4</c:v>
                </c:pt>
                <c:pt idx="120">
                  <c:v>1.0825172602447299E-4</c:v>
                </c:pt>
                <c:pt idx="121">
                  <c:v>1.08173727001543E-4</c:v>
                </c:pt>
                <c:pt idx="122">
                  <c:v>1.08127502693761E-4</c:v>
                </c:pt>
                <c:pt idx="123">
                  <c:v>1.0811273793267099E-4</c:v>
                </c:pt>
                <c:pt idx="124">
                  <c:v>1.0806625913808599E-4</c:v>
                </c:pt>
                <c:pt idx="125">
                  <c:v>1.08019651619963E-4</c:v>
                </c:pt>
                <c:pt idx="126">
                  <c:v>1.0794179650700001E-4</c:v>
                </c:pt>
                <c:pt idx="127">
                  <c:v>1.07894929819679E-4</c:v>
                </c:pt>
                <c:pt idx="128">
                  <c:v>1.0784793151986E-4</c:v>
                </c:pt>
                <c:pt idx="129">
                  <c:v>1.07800802616597E-4</c:v>
                </c:pt>
                <c:pt idx="130">
                  <c:v>1.07723057687476E-4</c:v>
                </c:pt>
                <c:pt idx="131">
                  <c:v>1.07675662997387E-4</c:v>
                </c:pt>
                <c:pt idx="132">
                  <c:v>1.0762813546223899E-4</c:v>
                </c:pt>
                <c:pt idx="133">
                  <c:v>1.07580473770491E-4</c:v>
                </c:pt>
                <c:pt idx="134">
                  <c:v>1.07532677762694E-4</c:v>
                </c:pt>
                <c:pt idx="135">
                  <c:v>1.07455061952686E-4</c:v>
                </c:pt>
                <c:pt idx="136">
                  <c:v>1.07436517194678E-4</c:v>
                </c:pt>
                <c:pt idx="137">
                  <c:v>1.0738831219734801E-4</c:v>
                </c:pt>
                <c:pt idx="138">
                  <c:v>1.0733997111303401E-4</c:v>
                </c:pt>
                <c:pt idx="139">
                  <c:v>1.0729149210830001E-4</c:v>
                </c:pt>
                <c:pt idx="140">
                  <c:v>1.0724287502336501E-4</c:v>
                </c:pt>
                <c:pt idx="141">
                  <c:v>1.07165406249377E-4</c:v>
                </c:pt>
                <c:pt idx="142">
                  <c:v>1.07116510320746E-4</c:v>
                </c:pt>
                <c:pt idx="143">
                  <c:v>1.07067475806001E-4</c:v>
                </c:pt>
                <c:pt idx="144">
                  <c:v>1.07018300364841E-4</c:v>
                </c:pt>
                <c:pt idx="145">
                  <c:v>1.06968984364317E-4</c:v>
                </c:pt>
                <c:pt idx="146">
                  <c:v>1.0691952655721399E-4</c:v>
                </c:pt>
                <c:pt idx="147">
                  <c:v>1.06897658762397E-4</c:v>
                </c:pt>
                <c:pt idx="148">
                  <c:v>1.0684791732598E-4</c:v>
                </c:pt>
                <c:pt idx="149">
                  <c:v>1.06770630850934E-4</c:v>
                </c:pt>
                <c:pt idx="150">
                  <c:v>1.0672060343717501E-4</c:v>
                </c:pt>
                <c:pt idx="151">
                  <c:v>1.06670432214631E-4</c:v>
                </c:pt>
                <c:pt idx="152">
                  <c:v>1.06620118002813E-4</c:v>
                </c:pt>
                <c:pt idx="153">
                  <c:v>1.0656965904265501E-4</c:v>
                </c:pt>
                <c:pt idx="154">
                  <c:v>1.06519054607827E-4</c:v>
                </c:pt>
                <c:pt idx="155">
                  <c:v>1.06468305987467E-4</c:v>
                </c:pt>
                <c:pt idx="156">
                  <c:v>1.0641741092822901E-4</c:v>
                </c:pt>
                <c:pt idx="157">
                  <c:v>1.0636637019032E-4</c:v>
                </c:pt>
                <c:pt idx="158">
                  <c:v>1.06341091628025E-4</c:v>
                </c:pt>
                <c:pt idx="159">
                  <c:v>1.06289757768302E-4</c:v>
                </c:pt>
                <c:pt idx="160">
                  <c:v>1.06238277433111E-4</c:v>
                </c:pt>
                <c:pt idx="161">
                  <c:v>1.06161242789219E-4</c:v>
                </c:pt>
                <c:pt idx="162">
                  <c:v>1.06109467668213E-4</c:v>
                </c:pt>
                <c:pt idx="163">
                  <c:v>1.0605754422857399E-4</c:v>
                </c:pt>
                <c:pt idx="164">
                  <c:v>1.0600547263903599E-4</c:v>
                </c:pt>
                <c:pt idx="165">
                  <c:v>1.0595325163253001E-4</c:v>
                </c:pt>
                <c:pt idx="166">
                  <c:v>1.0590088229431299E-4</c:v>
                </c:pt>
                <c:pt idx="167">
                  <c:v>1.05848363341997E-4</c:v>
                </c:pt>
                <c:pt idx="168">
                  <c:v>1.0579569581253101E-4</c:v>
                </c:pt>
                <c:pt idx="169">
                  <c:v>1.0576693726435301E-4</c:v>
                </c:pt>
                <c:pt idx="170">
                  <c:v>1.0571396869833601E-4</c:v>
                </c:pt>
                <c:pt idx="171">
                  <c:v>1.05660850854796E-4</c:v>
                </c:pt>
                <c:pt idx="172">
                  <c:v>1.0560758241709701E-4</c:v>
                </c:pt>
                <c:pt idx="173">
                  <c:v>1.05554163412856E-4</c:v>
                </c:pt>
                <c:pt idx="174">
                  <c:v>1.05500592963867E-4</c:v>
                </c:pt>
                <c:pt idx="175">
                  <c:v>1.0546991277816799E-4</c:v>
                </c:pt>
                <c:pt idx="176">
                  <c:v>1.05416040288176E-4</c:v>
                </c:pt>
                <c:pt idx="177">
                  <c:v>1.05362015847748E-4</c:v>
                </c:pt>
                <c:pt idx="178">
                  <c:v>1.05330369875313E-4</c:v>
                </c:pt>
                <c:pt idx="179">
                  <c:v>1.05276041765147E-4</c:v>
                </c:pt>
                <c:pt idx="180">
                  <c:v>1.0522156104051599E-4</c:v>
                </c:pt>
                <c:pt idx="181">
                  <c:v>1.05166928425265E-4</c:v>
                </c:pt>
                <c:pt idx="182">
                  <c:v>1.05112142937511E-4</c:v>
                </c:pt>
                <c:pt idx="183">
                  <c:v>1.05057205245122E-4</c:v>
                </c:pt>
                <c:pt idx="184">
                  <c:v>1.05002114336088E-4</c:v>
                </c:pt>
                <c:pt idx="185">
                  <c:v>1.0494687000943701E-4</c:v>
                </c:pt>
                <c:pt idx="186">
                  <c:v>1.0491263602905299E-4</c:v>
                </c:pt>
                <c:pt idx="187">
                  <c:v>1.0485708578163E-4</c:v>
                </c:pt>
                <c:pt idx="188">
                  <c:v>1.04822201509178E-4</c:v>
                </c:pt>
                <c:pt idx="189">
                  <c:v>1.0476634462449601E-4</c:v>
                </c:pt>
                <c:pt idx="190">
                  <c:v>1.04710333751508E-4</c:v>
                </c:pt>
                <c:pt idx="191">
                  <c:v>1.04654168935713E-4</c:v>
                </c:pt>
                <c:pt idx="192">
                  <c:v>1.04617982722244E-4</c:v>
                </c:pt>
                <c:pt idx="193">
                  <c:v>1.0456151041654301E-4</c:v>
                </c:pt>
                <c:pt idx="194">
                  <c:v>1.04504884117064E-4</c:v>
                </c:pt>
                <c:pt idx="195">
                  <c:v>1.04448103372377E-4</c:v>
                </c:pt>
                <c:pt idx="196">
                  <c:v>1.0443005718764699E-4</c:v>
                </c:pt>
                <c:pt idx="197">
                  <c:v>1.04372968318995E-4</c:v>
                </c:pt>
                <c:pt idx="198">
                  <c:v>1.04315725326229E-4</c:v>
                </c:pt>
                <c:pt idx="199">
                  <c:v>1.0425832764197801E-4</c:v>
                </c:pt>
                <c:pt idx="200">
                  <c:v>1.0421953047180101E-4</c:v>
                </c:pt>
                <c:pt idx="201">
                  <c:v>1.04161824809555E-4</c:v>
                </c:pt>
                <c:pt idx="202">
                  <c:v>1.04103964005009E-4</c:v>
                </c:pt>
                <c:pt idx="203">
                  <c:v>1.0406418636533E-4</c:v>
                </c:pt>
                <c:pt idx="204">
                  <c:v>1.04024080869476E-4</c:v>
                </c:pt>
                <c:pt idx="205">
                  <c:v>1.03965757333334E-4</c:v>
                </c:pt>
                <c:pt idx="206">
                  <c:v>1.03924998154195E-4</c:v>
                </c:pt>
                <c:pt idx="207">
                  <c:v>1.0386636584053699E-4</c:v>
                </c:pt>
                <c:pt idx="208">
                  <c:v>1.0380757952584299E-4</c:v>
                </c:pt>
                <c:pt idx="209">
                  <c:v>1.03765838764954E-4</c:v>
                </c:pt>
                <c:pt idx="210">
                  <c:v>1.03706743990072E-4</c:v>
                </c:pt>
                <c:pt idx="211">
                  <c:v>1.03681202980495E-4</c:v>
                </c:pt>
                <c:pt idx="212">
                  <c:v>1.03621800022227E-4</c:v>
                </c:pt>
                <c:pt idx="213">
                  <c:v>1.03578751735751E-4</c:v>
                </c:pt>
                <c:pt idx="214">
                  <c:v>1.0351904077955901E-4</c:v>
                </c:pt>
                <c:pt idx="215">
                  <c:v>1.03475338194426E-4</c:v>
                </c:pt>
                <c:pt idx="216">
                  <c:v>1.0341531992276901E-4</c:v>
                </c:pt>
                <c:pt idx="217">
                  <c:v>1.03370964712533E-4</c:v>
                </c:pt>
                <c:pt idx="218">
                  <c:v>1.0332628264746899E-4</c:v>
                </c:pt>
                <c:pt idx="219">
                  <c:v>1.03281274489582E-4</c:v>
                </c:pt>
                <c:pt idx="220">
                  <c:v>1.0322064291382099E-4</c:v>
                </c:pt>
                <c:pt idx="221">
                  <c:v>1.03174982801252E-4</c:v>
                </c:pt>
                <c:pt idx="222">
                  <c:v>1.03128996989584E-4</c:v>
                </c:pt>
                <c:pt idx="223">
                  <c:v>1.0306790695994999E-4</c:v>
                </c:pt>
                <c:pt idx="224">
                  <c:v>1.0303587638319899E-4</c:v>
                </c:pt>
                <c:pt idx="225">
                  <c:v>1.02988914614156E-4</c:v>
                </c:pt>
                <c:pt idx="226">
                  <c:v>1.02927368071662E-4</c:v>
                </c:pt>
                <c:pt idx="227">
                  <c:v>1.0287975738613E-4</c:v>
                </c:pt>
                <c:pt idx="228">
                  <c:v>1.0283182241152401E-4</c:v>
                </c:pt>
                <c:pt idx="229">
                  <c:v>1.0276982158787901E-4</c:v>
                </c:pt>
                <c:pt idx="230">
                  <c:v>1.02734808502903E-4</c:v>
                </c:pt>
                <c:pt idx="231">
                  <c:v>1.02685902979262E-4</c:v>
                </c:pt>
                <c:pt idx="232">
                  <c:v>1.02636674744096E-4</c:v>
                </c:pt>
                <c:pt idx="233">
                  <c:v>1.0258712370676E-4</c:v>
                </c:pt>
                <c:pt idx="234">
                  <c:v>1.02537250676782E-4</c:v>
                </c:pt>
                <c:pt idx="235">
                  <c:v>1.02474348844798E-4</c:v>
                </c:pt>
                <c:pt idx="236">
                  <c:v>1.02436368556961E-4</c:v>
                </c:pt>
                <c:pt idx="237">
                  <c:v>1.0238553203060799E-4</c:v>
                </c:pt>
                <c:pt idx="238">
                  <c:v>1.02334375573906E-4</c:v>
                </c:pt>
                <c:pt idx="239">
                  <c:v>1.02282899405671E-4</c:v>
                </c:pt>
                <c:pt idx="240">
                  <c:v>1.0223110408200401E-4</c:v>
                </c:pt>
                <c:pt idx="241">
                  <c:v>1.0219066554669901E-4</c:v>
                </c:pt>
                <c:pt idx="242">
                  <c:v>1.02149737298137E-4</c:v>
                </c:pt>
                <c:pt idx="243">
                  <c:v>1.0209698825684101E-4</c:v>
                </c:pt>
                <c:pt idx="244">
                  <c:v>1.0204392265183599E-4</c:v>
                </c:pt>
                <c:pt idx="245">
                  <c:v>1.01990541388422E-4</c:v>
                </c:pt>
                <c:pt idx="246">
                  <c:v>1.01947662218543E-4</c:v>
                </c:pt>
                <c:pt idx="247">
                  <c:v>1.0190429756103401E-4</c:v>
                </c:pt>
                <c:pt idx="248">
                  <c:v>1.01849972839437E-4</c:v>
                </c:pt>
                <c:pt idx="249">
                  <c:v>1.0179533516616699E-4</c:v>
                </c:pt>
                <c:pt idx="250">
                  <c:v>1.01760653538769E-4</c:v>
                </c:pt>
                <c:pt idx="251">
                  <c:v>1.0170539296043E-4</c:v>
                </c:pt>
                <c:pt idx="252">
                  <c:v>1.01649822567831E-4</c:v>
                </c:pt>
                <c:pt idx="253">
                  <c:v>1.01603565512307E-4</c:v>
                </c:pt>
                <c:pt idx="254">
                  <c:v>1.01556830314058E-4</c:v>
                </c:pt>
                <c:pt idx="255">
                  <c:v>1.01509618304842E-4</c:v>
                </c:pt>
                <c:pt idx="256">
                  <c:v>1.01461930389705E-4</c:v>
                </c:pt>
                <c:pt idx="257">
                  <c:v>1.01404825581032E-4</c:v>
                </c:pt>
                <c:pt idx="258">
                  <c:v>1.01364964928462E-4</c:v>
                </c:pt>
                <c:pt idx="259">
                  <c:v>1.0131585926629E-4</c:v>
                </c:pt>
                <c:pt idx="260">
                  <c:v>1.01266284326815E-4</c:v>
                </c:pt>
                <c:pt idx="261">
                  <c:v>1.0122450802977501E-4</c:v>
                </c:pt>
                <c:pt idx="262">
                  <c:v>1.0117399900531399E-4</c:v>
                </c:pt>
                <c:pt idx="263">
                  <c:v>1.01123025421855E-4</c:v>
                </c:pt>
                <c:pt idx="264">
                  <c:v>1.01071589642214E-4</c:v>
                </c:pt>
                <c:pt idx="265">
                  <c:v>1.0102728747818901E-4</c:v>
                </c:pt>
                <c:pt idx="266">
                  <c:v>1.00974933421779E-4</c:v>
                </c:pt>
                <c:pt idx="267">
                  <c:v>1.0092938228644499E-4</c:v>
                </c:pt>
                <c:pt idx="268">
                  <c:v>1.0088321037789301E-4</c:v>
                </c:pt>
                <c:pt idx="269">
                  <c:v>1.0082949612492601E-4</c:v>
                </c:pt>
                <c:pt idx="270">
                  <c:v>1.00782091769421E-4</c:v>
                </c:pt>
                <c:pt idx="271">
                  <c:v>1.0074066799906701E-4</c:v>
                </c:pt>
                <c:pt idx="272">
                  <c:v>1.00685617315869E-4</c:v>
                </c:pt>
                <c:pt idx="273">
                  <c:v>1.00636388044365E-4</c:v>
                </c:pt>
                <c:pt idx="274">
                  <c:v>1.00592653137846E-4</c:v>
                </c:pt>
                <c:pt idx="275">
                  <c:v>1.00542225360016E-4</c:v>
                </c:pt>
                <c:pt idx="276">
                  <c:v>1.00496970598559E-4</c:v>
                </c:pt>
                <c:pt idx="277">
                  <c:v>1.0045096305739E-4</c:v>
                </c:pt>
                <c:pt idx="278">
                  <c:v>1.00404207768556E-4</c:v>
                </c:pt>
                <c:pt idx="279">
                  <c:v>1.0035671026247701E-4</c:v>
                </c:pt>
                <c:pt idx="280">
                  <c:v>1.00303364636038E-4</c:v>
                </c:pt>
                <c:pt idx="281">
                  <c:v>1.00259350183384E-4</c:v>
                </c:pt>
                <c:pt idx="282">
                  <c:v>1.00209662976712E-4</c:v>
                </c:pt>
                <c:pt idx="283">
                  <c:v>1.00163885300357E-4</c:v>
                </c:pt>
                <c:pt idx="284">
                  <c:v>1.00117238394861E-4</c:v>
                </c:pt>
                <c:pt idx="285">
                  <c:v>1.0006973103013001E-4</c:v>
                </c:pt>
                <c:pt idx="286">
                  <c:v>1.00025517320881E-4</c:v>
                </c:pt>
                <c:pt idx="287" formatCode="0.00E+00">
                  <c:v>9.9976318764687504E-5</c:v>
                </c:pt>
                <c:pt idx="288" formatCode="0.00E+00">
                  <c:v>9.9930118114359399E-5</c:v>
                </c:pt>
                <c:pt idx="289" formatCode="0.00E+00">
                  <c:v>9.9879274047922603E-5</c:v>
                </c:pt>
                <c:pt idx="290" formatCode="0.00E+00">
                  <c:v>9.9834650365532499E-5</c:v>
                </c:pt>
                <c:pt idx="291" formatCode="0.00E+00">
                  <c:v>9.9788925656129696E-5</c:v>
                </c:pt>
                <c:pt idx="292" formatCode="0.00E+00">
                  <c:v>9.9745317660550006E-5</c:v>
                </c:pt>
                <c:pt idx="293" formatCode="0.00E+00">
                  <c:v>9.9697447052958703E-5</c:v>
                </c:pt>
                <c:pt idx="294" formatCode="0.00E+00">
                  <c:v>9.96514265115174E-5</c:v>
                </c:pt>
                <c:pt idx="295" formatCode="0.00E+00">
                  <c:v>9.9604236865655999E-5</c:v>
                </c:pt>
                <c:pt idx="296" formatCode="0.00E+00">
                  <c:v>9.9558493087307406E-5</c:v>
                </c:pt>
                <c:pt idx="297" formatCode="0.00E+00">
                  <c:v>9.9513926142988507E-5</c:v>
                </c:pt>
                <c:pt idx="298" formatCode="0.00E+00">
                  <c:v>9.9467988301780395E-5</c:v>
                </c:pt>
                <c:pt idx="299" formatCode="0.00E+00">
                  <c:v>9.9422862229233403E-5</c:v>
                </c:pt>
                <c:pt idx="300" formatCode="0.00E+00">
                  <c:v>9.9378305378095406E-5</c:v>
                </c:pt>
                <c:pt idx="301" formatCode="0.00E+00">
                  <c:v>9.9334087632628294E-5</c:v>
                </c:pt>
                <c:pt idx="302" formatCode="0.00E+00">
                  <c:v>9.9291698981454499E-5</c:v>
                </c:pt>
                <c:pt idx="303" formatCode="0.00E+00">
                  <c:v>9.9245966074535801E-5</c:v>
                </c:pt>
                <c:pt idx="304" formatCode="0.00E+00">
                  <c:v>9.9204400694068103E-5</c:v>
                </c:pt>
                <c:pt idx="305" formatCode="0.00E+00">
                  <c:v>9.9162162933728396E-5</c:v>
                </c:pt>
                <c:pt idx="306" formatCode="0.00E+00">
                  <c:v>9.9117981027690093E-5</c:v>
                </c:pt>
                <c:pt idx="307" formatCode="0.00E+00">
                  <c:v>9.9078218463508096E-5</c:v>
                </c:pt>
                <c:pt idx="308" formatCode="0.00E+00">
                  <c:v>9.9037073300038803E-5</c:v>
                </c:pt>
                <c:pt idx="309" formatCode="0.00E+00">
                  <c:v>9.8997740691995206E-5</c:v>
                </c:pt>
                <c:pt idx="310" formatCode="0.00E+00">
                  <c:v>9.8958766076008995E-5</c:v>
                </c:pt>
                <c:pt idx="311" formatCode="0.00E+00">
                  <c:v>9.8922003125883503E-5</c:v>
                </c:pt>
                <c:pt idx="312" formatCode="0.00E+00">
                  <c:v>9.8886429493135299E-5</c:v>
                </c:pt>
                <c:pt idx="313" formatCode="0.00E+00">
                  <c:v>9.8853554846354798E-5</c:v>
                </c:pt>
                <c:pt idx="314" formatCode="0.00E+00">
                  <c:v>9.88225702233747E-5</c:v>
                </c:pt>
                <c:pt idx="315" formatCode="0.00E+00">
                  <c:v>9.8794452870720203E-5</c:v>
                </c:pt>
                <c:pt idx="316" formatCode="0.00E+00">
                  <c:v>9.8769484681317205E-5</c:v>
                </c:pt>
                <c:pt idx="317" formatCode="0.00E+00">
                  <c:v>9.8770125282890295E-5</c:v>
                </c:pt>
                <c:pt idx="318" formatCode="0.00E+00">
                  <c:v>9.8752398063066104E-5</c:v>
                </c:pt>
                <c:pt idx="319" formatCode="0.00E+00">
                  <c:v>9.8735352791833096E-5</c:v>
                </c:pt>
                <c:pt idx="320" formatCode="0.00E+00">
                  <c:v>9.8718832567333502E-5</c:v>
                </c:pt>
                <c:pt idx="321" formatCode="0.00E+00">
                  <c:v>9.8702928831576598E-5</c:v>
                </c:pt>
                <c:pt idx="322" formatCode="0.00E+00">
                  <c:v>9.8687591660605097E-5</c:v>
                </c:pt>
                <c:pt idx="323" formatCode="0.00E+00">
                  <c:v>9.8673110347567694E-5</c:v>
                </c:pt>
                <c:pt idx="324" formatCode="0.00E+00">
                  <c:v>9.8659436740328098E-5</c:v>
                </c:pt>
                <c:pt idx="325" formatCode="0.00E+00">
                  <c:v>9.8646683245380605E-5</c:v>
                </c:pt>
                <c:pt idx="326" formatCode="0.00E+00">
                  <c:v>9.8634887583157706E-5</c:v>
                </c:pt>
                <c:pt idx="327" formatCode="0.00E+00">
                  <c:v>9.8624106435049003E-5</c:v>
                </c:pt>
                <c:pt idx="328" formatCode="0.00E+00">
                  <c:v>9.8614459805154998E-5</c:v>
                </c:pt>
                <c:pt idx="329" formatCode="0.00E+00">
                  <c:v>9.8605986811668399E-5</c:v>
                </c:pt>
                <c:pt idx="330" formatCode="0.00E+00">
                  <c:v>9.8598764100130099E-5</c:v>
                </c:pt>
                <c:pt idx="331" formatCode="0.00E+00">
                  <c:v>9.8592879918003797E-5</c:v>
                </c:pt>
                <c:pt idx="332" formatCode="0.00E+00">
                  <c:v>9.8588400867954905E-5</c:v>
                </c:pt>
                <c:pt idx="333" formatCode="0.00E+00">
                  <c:v>9.8585371860245306E-5</c:v>
                </c:pt>
                <c:pt idx="334" formatCode="0.00E+00">
                  <c:v>9.8583919712619202E-5</c:v>
                </c:pt>
                <c:pt idx="335" formatCode="0.00E+00">
                  <c:v>9.8584069561050703E-5</c:v>
                </c:pt>
                <c:pt idx="336" formatCode="0.00E+00">
                  <c:v>9.8585934818624994E-5</c:v>
                </c:pt>
                <c:pt idx="337" formatCode="0.00E+00">
                  <c:v>9.8589580883594305E-5</c:v>
                </c:pt>
                <c:pt idx="338" formatCode="0.00E+00">
                  <c:v>9.8595084349970097E-5</c:v>
                </c:pt>
                <c:pt idx="339" formatCode="0.00E+00">
                  <c:v>9.8602521065236005E-5</c:v>
                </c:pt>
                <c:pt idx="340" formatCode="0.00E+00">
                  <c:v>9.8611963466246896E-5</c:v>
                </c:pt>
                <c:pt idx="341" formatCode="0.00E+00">
                  <c:v>9.8623495209501899E-5</c:v>
                </c:pt>
                <c:pt idx="342" formatCode="0.00E+00">
                  <c:v>9.8637187198954103E-5</c:v>
                </c:pt>
                <c:pt idx="343" formatCode="0.00E+00">
                  <c:v>9.8653102398168197E-5</c:v>
                </c:pt>
                <c:pt idx="344" formatCode="0.00E+00">
                  <c:v>9.8671322035004597E-5</c:v>
                </c:pt>
                <c:pt idx="345" formatCode="0.00E+00">
                  <c:v>9.8691919338423606E-5</c:v>
                </c:pt>
                <c:pt idx="346" formatCode="0.00E+00">
                  <c:v>9.8714964785882699E-5</c:v>
                </c:pt>
                <c:pt idx="347" formatCode="0.00E+00">
                  <c:v>9.8740532100168594E-5</c:v>
                </c:pt>
                <c:pt idx="348" formatCode="0.00E+00">
                  <c:v>9.8768702864695401E-5</c:v>
                </c:pt>
                <c:pt idx="349" formatCode="0.00E+00">
                  <c:v>9.8799558067436894E-5</c:v>
                </c:pt>
                <c:pt idx="350" formatCode="0.00E+00">
                  <c:v>9.8833186267708405E-5</c:v>
                </c:pt>
                <c:pt idx="351" formatCode="0.00E+00">
                  <c:v>9.8869680791715894E-5</c:v>
                </c:pt>
                <c:pt idx="352" formatCode="0.00E+00">
                  <c:v>9.8909144323834999E-5</c:v>
                </c:pt>
                <c:pt idx="353" formatCode="0.00E+00">
                  <c:v>9.8951687802500604E-5</c:v>
                </c:pt>
                <c:pt idx="354" formatCode="0.00E+00">
                  <c:v>9.8997432314851006E-5</c:v>
                </c:pt>
                <c:pt idx="355" formatCode="0.00E+00">
                  <c:v>9.9046509762094502E-5</c:v>
                </c:pt>
                <c:pt idx="356" formatCode="0.00E+00">
                  <c:v>9.9099063792618697E-5</c:v>
                </c:pt>
                <c:pt idx="357" formatCode="0.00E+00">
                  <c:v>9.9200112957023603E-5</c:v>
                </c:pt>
                <c:pt idx="358" formatCode="0.00E+00">
                  <c:v>9.9200112957023603E-5</c:v>
                </c:pt>
                <c:pt idx="359" formatCode="0.00E+00">
                  <c:v>9.8923323108546105E-5</c:v>
                </c:pt>
                <c:pt idx="360" formatCode="0.00E+00">
                  <c:v>9.8675352957435102E-5</c:v>
                </c:pt>
                <c:pt idx="361" formatCode="0.00E+00">
                  <c:v>9.8578426521120198E-5</c:v>
                </c:pt>
                <c:pt idx="362" formatCode="0.00E+00">
                  <c:v>9.8564167176437095E-5</c:v>
                </c:pt>
                <c:pt idx="363" formatCode="0.00E+00">
                  <c:v>9.8533764911371994E-5</c:v>
                </c:pt>
                <c:pt idx="364" formatCode="0.00E+00">
                  <c:v>9.85374165344306E-5</c:v>
                </c:pt>
                <c:pt idx="365" formatCode="0.00E+00">
                  <c:v>9.85374165344306E-5</c:v>
                </c:pt>
                <c:pt idx="366" formatCode="0.00E+00">
                  <c:v>9.85374165344306E-5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FE-49BC-B1F1-19675E8EE163}"/>
            </c:ext>
          </c:extLst>
        </c:ser>
        <c:ser>
          <c:idx val="1"/>
          <c:order val="1"/>
          <c:tx>
            <c:strRef>
              <c:f>Implicit_Fracs!$BM$1</c:f>
              <c:strCache>
                <c:ptCount val="1"/>
                <c:pt idx="0">
                  <c:v>MF Porosity: Uniform aperture</c:v>
                </c:pt>
              </c:strCache>
            </c:strRef>
          </c:tx>
          <c:spPr>
            <a:ln w="19050" cap="rnd">
              <a:solidFill>
                <a:srgbClr val="FF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Implicit_Fracs!$C$5:$C$371</c:f>
              <c:numCache>
                <c:formatCode>General</c:formatCode>
                <c:ptCount val="367"/>
                <c:pt idx="0">
                  <c:v>0.10158646265419501</c:v>
                </c:pt>
                <c:pt idx="1">
                  <c:v>0.102060105178604</c:v>
                </c:pt>
                <c:pt idx="2">
                  <c:v>0.102354758409441</c:v>
                </c:pt>
                <c:pt idx="3">
                  <c:v>0.10257003610151801</c:v>
                </c:pt>
                <c:pt idx="4">
                  <c:v>0.102740146597483</c:v>
                </c:pt>
                <c:pt idx="5">
                  <c:v>0.10288102093448701</c:v>
                </c:pt>
                <c:pt idx="6">
                  <c:v>0.10300139565401099</c:v>
                </c:pt>
                <c:pt idx="7">
                  <c:v>0.10310658737638601</c:v>
                </c:pt>
                <c:pt idx="8">
                  <c:v>0.103200075337502</c:v>
                </c:pt>
                <c:pt idx="9">
                  <c:v>0.103284262204</c:v>
                </c:pt>
                <c:pt idx="10">
                  <c:v>0.103360877526633</c:v>
                </c:pt>
                <c:pt idx="11">
                  <c:v>0.103431208153653</c:v>
                </c:pt>
                <c:pt idx="12">
                  <c:v>0.103496237708407</c:v>
                </c:pt>
                <c:pt idx="13">
                  <c:v>0.103556735084609</c:v>
                </c:pt>
                <c:pt idx="14">
                  <c:v>0.103613312816801</c:v>
                </c:pt>
                <c:pt idx="15">
                  <c:v>0.103666466857375</c:v>
                </c:pt>
                <c:pt idx="16">
                  <c:v>0.10371660444741999</c:v>
                </c:pt>
                <c:pt idx="17">
                  <c:v>0.10376406411969299</c:v>
                </c:pt>
                <c:pt idx="18">
                  <c:v>0.10380913035858701</c:v>
                </c:pt>
                <c:pt idx="19">
                  <c:v>0.103852044544123</c:v>
                </c:pt>
                <c:pt idx="20">
                  <c:v>0.103893013256558</c:v>
                </c:pt>
                <c:pt idx="21">
                  <c:v>0.103932214670875</c:v>
                </c:pt>
                <c:pt idx="22">
                  <c:v>0.10396980354554</c:v>
                </c:pt>
                <c:pt idx="23">
                  <c:v>0.104005915161023</c:v>
                </c:pt>
                <c:pt idx="24">
                  <c:v>0.10404066846285701</c:v>
                </c:pt>
                <c:pt idx="25">
                  <c:v>0.104074168594671</c:v>
                </c:pt>
                <c:pt idx="26">
                  <c:v>0.10410650895807599</c:v>
                </c:pt>
                <c:pt idx="27">
                  <c:v>0.10413777290170501</c:v>
                </c:pt>
                <c:pt idx="28">
                  <c:v>0.104168035116796</c:v>
                </c:pt>
                <c:pt idx="29">
                  <c:v>0.104197362798492</c:v>
                </c:pt>
                <c:pt idx="30">
                  <c:v>0.104225816618547</c:v>
                </c:pt>
                <c:pt idx="31">
                  <c:v>0.104253451545067</c:v>
                </c:pt>
                <c:pt idx="32">
                  <c:v>0.104280317537286</c:v>
                </c:pt>
                <c:pt idx="33">
                  <c:v>0.10430646013757899</c:v>
                </c:pt>
                <c:pt idx="34">
                  <c:v>0.10433192097843901</c:v>
                </c:pt>
                <c:pt idx="35">
                  <c:v>0.104356738218675</c:v>
                </c:pt>
                <c:pt idx="36">
                  <c:v>0.10438094692038</c:v>
                </c:pt>
                <c:pt idx="37">
                  <c:v>0.104404579376061</c:v>
                </c:pt>
                <c:pt idx="38">
                  <c:v>0.10442766539470601</c:v>
                </c:pt>
                <c:pt idx="39">
                  <c:v>0.104450232550895</c:v>
                </c:pt>
                <c:pt idx="40">
                  <c:v>0.104472306403378</c:v>
                </c:pt>
                <c:pt idx="41">
                  <c:v>0.104493910687546</c:v>
                </c:pt>
                <c:pt idx="42">
                  <c:v>0.104515067485448</c:v>
                </c:pt>
                <c:pt idx="43">
                  <c:v>0.104535797376425</c:v>
                </c:pt>
                <c:pt idx="44">
                  <c:v>0.104556119570968</c:v>
                </c:pt>
                <c:pt idx="45">
                  <c:v>0.10457605202998201</c:v>
                </c:pt>
                <c:pt idx="46">
                  <c:v>0.10459561157132601</c:v>
                </c:pt>
                <c:pt idx="47">
                  <c:v>0.10461481396524</c:v>
                </c:pt>
                <c:pt idx="48">
                  <c:v>0.104633674020002</c:v>
                </c:pt>
                <c:pt idx="49">
                  <c:v>0.104652205659008</c:v>
                </c:pt>
                <c:pt idx="50">
                  <c:v>0.10467042199028</c:v>
                </c:pt>
                <c:pt idx="51">
                  <c:v>0.10468833536927501</c:v>
                </c:pt>
                <c:pt idx="52">
                  <c:v>0.104705957455764</c:v>
                </c:pt>
                <c:pt idx="53">
                  <c:v>0.104723299265432</c:v>
                </c:pt>
                <c:pt idx="54">
                  <c:v>0.10474037121678501</c:v>
                </c:pt>
                <c:pt idx="55">
                  <c:v>0.104757183173858</c:v>
                </c:pt>
                <c:pt idx="56">
                  <c:v>0.10477374448518</c:v>
                </c:pt>
                <c:pt idx="57">
                  <c:v>0.104790064019366</c:v>
                </c:pt>
                <c:pt idx="58">
                  <c:v>0.10480615019770299</c:v>
                </c:pt>
                <c:pt idx="59">
                  <c:v>0.104822011024007</c:v>
                </c:pt>
                <c:pt idx="60">
                  <c:v>0.10483765411203801</c:v>
                </c:pt>
                <c:pt idx="61">
                  <c:v>0.104853086710699</c:v>
                </c:pt>
                <c:pt idx="62">
                  <c:v>0.10486831572724099</c:v>
                </c:pt>
                <c:pt idx="63">
                  <c:v>0.104883347748643</c:v>
                </c:pt>
                <c:pt idx="64">
                  <c:v>0.104898189061358</c:v>
                </c:pt>
                <c:pt idx="65">
                  <c:v>0.104912845669559</c:v>
                </c:pt>
                <c:pt idx="66">
                  <c:v>0.10492732331202199</c:v>
                </c:pt>
                <c:pt idx="67">
                  <c:v>0.10494162747777</c:v>
                </c:pt>
                <c:pt idx="68">
                  <c:v>0.10495576342058401</c:v>
                </c:pt>
                <c:pt idx="69">
                  <c:v>0.104969736172476</c:v>
                </c:pt>
                <c:pt idx="70">
                  <c:v>0.104983550556215</c:v>
                </c:pt>
                <c:pt idx="71">
                  <c:v>0.104997211196988</c:v>
                </c:pt>
                <c:pt idx="72">
                  <c:v>0.105010722533251</c:v>
                </c:pt>
                <c:pt idx="73">
                  <c:v>0.10502408882686499</c:v>
                </c:pt>
                <c:pt idx="74">
                  <c:v>0.105037314172539</c:v>
                </c:pt>
                <c:pt idx="75">
                  <c:v>0.10505040250667</c:v>
                </c:pt>
                <c:pt idx="76">
                  <c:v>0.105063357615594</c:v>
                </c:pt>
                <c:pt idx="77">
                  <c:v>0.105076183143323</c:v>
                </c:pt>
                <c:pt idx="78">
                  <c:v>0.10508888259878001</c:v>
                </c:pt>
                <c:pt idx="79">
                  <c:v>0.105101459362598</c:v>
                </c:pt>
                <c:pt idx="80">
                  <c:v>0.10511391669348399</c:v>
                </c:pt>
                <c:pt idx="81">
                  <c:v>0.10512625773421</c:v>
                </c:pt>
                <c:pt idx="82">
                  <c:v>0.10513848551723599</c:v>
                </c:pt>
                <c:pt idx="83">
                  <c:v>0.10515060297000201</c:v>
                </c:pt>
                <c:pt idx="84">
                  <c:v>0.105162612919908</c:v>
                </c:pt>
                <c:pt idx="85">
                  <c:v>0.105174518099013</c:v>
                </c:pt>
                <c:pt idx="86">
                  <c:v>0.105186321148453</c:v>
                </c:pt>
                <c:pt idx="87">
                  <c:v>0.105198024622616</c:v>
                </c:pt>
                <c:pt idx="88">
                  <c:v>0.105209630993088</c:v>
                </c:pt>
                <c:pt idx="89">
                  <c:v>0.10522114265237301</c:v>
                </c:pt>
                <c:pt idx="90">
                  <c:v>0.105232561917411</c:v>
                </c:pt>
                <c:pt idx="91">
                  <c:v>0.105243891032912</c:v>
                </c:pt>
                <c:pt idx="92">
                  <c:v>0.105255132174505</c:v>
                </c:pt>
                <c:pt idx="93">
                  <c:v>0.10526628745172401</c:v>
                </c:pt>
                <c:pt idx="94">
                  <c:v>0.105277358910841</c:v>
                </c:pt>
                <c:pt idx="95">
                  <c:v>0.105288348537545</c:v>
                </c:pt>
                <c:pt idx="96">
                  <c:v>0.10529925825949001</c:v>
                </c:pt>
                <c:pt idx="97">
                  <c:v>0.105310089948715</c:v>
                </c:pt>
                <c:pt idx="98">
                  <c:v>0.10532084542394</c:v>
                </c:pt>
                <c:pt idx="99">
                  <c:v>0.105331526452749</c:v>
                </c:pt>
                <c:pt idx="100">
                  <c:v>0.10534213475366599</c:v>
                </c:pt>
                <c:pt idx="101">
                  <c:v>0.105352671998135</c:v>
                </c:pt>
                <c:pt idx="102">
                  <c:v>0.105363139812398</c:v>
                </c:pt>
                <c:pt idx="103">
                  <c:v>0.10537353977929</c:v>
                </c:pt>
                <c:pt idx="104">
                  <c:v>0.105383873439947</c:v>
                </c:pt>
                <c:pt idx="105">
                  <c:v>0.105394142295438</c:v>
                </c:pt>
                <c:pt idx="106">
                  <c:v>0.10540434780831399</c:v>
                </c:pt>
                <c:pt idx="107">
                  <c:v>0.1054144914041</c:v>
                </c:pt>
                <c:pt idx="108">
                  <c:v>0.105424574472708</c:v>
                </c:pt>
                <c:pt idx="109">
                  <c:v>0.10543459836979301</c:v>
                </c:pt>
                <c:pt idx="110">
                  <c:v>0.105444564418049</c:v>
                </c:pt>
                <c:pt idx="111">
                  <c:v>0.105454473908448</c:v>
                </c:pt>
                <c:pt idx="112">
                  <c:v>0.105464328101426</c:v>
                </c:pt>
                <c:pt idx="113">
                  <c:v>0.10547412822802001</c:v>
                </c:pt>
                <c:pt idx="114">
                  <c:v>0.10548387549095201</c:v>
                </c:pt>
                <c:pt idx="115">
                  <c:v>0.105493571065675</c:v>
                </c:pt>
                <c:pt idx="116">
                  <c:v>0.105503216101374</c:v>
                </c:pt>
                <c:pt idx="117">
                  <c:v>0.10551281172191999</c:v>
                </c:pt>
                <c:pt idx="118">
                  <c:v>0.10552235902679701</c:v>
                </c:pt>
                <c:pt idx="119">
                  <c:v>0.105531859091982</c:v>
                </c:pt>
                <c:pt idx="120">
                  <c:v>0.105541312970793</c:v>
                </c:pt>
                <c:pt idx="121">
                  <c:v>0.105550721694713</c:v>
                </c:pt>
                <c:pt idx="122">
                  <c:v>0.10556008627416701</c:v>
                </c:pt>
                <c:pt idx="123">
                  <c:v>0.105569407699282</c:v>
                </c:pt>
                <c:pt idx="124">
                  <c:v>0.105578686940613</c:v>
                </c:pt>
                <c:pt idx="125">
                  <c:v>0.10558792494984499</c:v>
                </c:pt>
                <c:pt idx="126">
                  <c:v>0.105597122660464</c:v>
                </c:pt>
                <c:pt idx="127">
                  <c:v>0.105606280988415</c:v>
                </c:pt>
                <c:pt idx="128">
                  <c:v>0.105615400832723</c:v>
                </c:pt>
                <c:pt idx="129">
                  <c:v>0.10562448307610101</c:v>
                </c:pt>
                <c:pt idx="130">
                  <c:v>0.105633528585537</c:v>
                </c:pt>
                <c:pt idx="131">
                  <c:v>0.105642538212856</c:v>
                </c:pt>
                <c:pt idx="132">
                  <c:v>0.10565151279527001</c:v>
                </c:pt>
                <c:pt idx="133">
                  <c:v>0.105660453155901</c:v>
                </c:pt>
                <c:pt idx="134">
                  <c:v>0.1056693601043</c:v>
                </c:pt>
                <c:pt idx="135">
                  <c:v>0.105678234436935</c:v>
                </c:pt>
                <c:pt idx="136">
                  <c:v>0.105687076937673</c:v>
                </c:pt>
                <c:pt idx="137">
                  <c:v>0.10569588837824601</c:v>
                </c:pt>
                <c:pt idx="138">
                  <c:v>0.105704669518702</c:v>
                </c:pt>
                <c:pt idx="139">
                  <c:v>0.105713421107842</c:v>
                </c:pt>
                <c:pt idx="140">
                  <c:v>0.105722143883642</c:v>
                </c:pt>
                <c:pt idx="141">
                  <c:v>0.10573083857367301</c:v>
                </c:pt>
                <c:pt idx="142">
                  <c:v>0.10573950589549699</c:v>
                </c:pt>
                <c:pt idx="143">
                  <c:v>0.105748146557059</c:v>
                </c:pt>
                <c:pt idx="144">
                  <c:v>0.105756761257069</c:v>
                </c:pt>
                <c:pt idx="145">
                  <c:v>0.105765350685371</c:v>
                </c:pt>
                <c:pt idx="146">
                  <c:v>0.10577391552330601</c:v>
                </c:pt>
                <c:pt idx="147">
                  <c:v>0.105782456444064</c:v>
                </c:pt>
                <c:pt idx="148">
                  <c:v>0.105790974113029</c:v>
                </c:pt>
                <c:pt idx="149">
                  <c:v>0.105799469188117</c:v>
                </c:pt>
                <c:pt idx="150">
                  <c:v>0.105807942320102</c:v>
                </c:pt>
                <c:pt idx="151">
                  <c:v>0.105816394152941</c:v>
                </c:pt>
                <c:pt idx="152">
                  <c:v>0.10582482532409</c:v>
                </c:pt>
                <c:pt idx="153">
                  <c:v>0.10583323646481201</c:v>
                </c:pt>
                <c:pt idx="154">
                  <c:v>0.105841628200482</c:v>
                </c:pt>
                <c:pt idx="155">
                  <c:v>0.105850001150887</c:v>
                </c:pt>
                <c:pt idx="156">
                  <c:v>0.105858355930516</c:v>
                </c:pt>
                <c:pt idx="157">
                  <c:v>0.105866693148851</c:v>
                </c:pt>
                <c:pt idx="158">
                  <c:v>0.105875013410654</c:v>
                </c:pt>
                <c:pt idx="159">
                  <c:v>0.10588331731624</c:v>
                </c:pt>
                <c:pt idx="160">
                  <c:v>0.105891605461765</c:v>
                </c:pt>
                <c:pt idx="161">
                  <c:v>0.10589987843948701</c:v>
                </c:pt>
                <c:pt idx="162">
                  <c:v>0.10590813683804701</c:v>
                </c:pt>
                <c:pt idx="163">
                  <c:v>0.10591638124273201</c:v>
                </c:pt>
                <c:pt idx="164">
                  <c:v>0.105924612235738</c:v>
                </c:pt>
                <c:pt idx="165">
                  <c:v>0.10593283039644</c:v>
                </c:pt>
                <c:pt idx="166">
                  <c:v>0.105941036301648</c:v>
                </c:pt>
                <c:pt idx="167">
                  <c:v>0.10594923052586901</c:v>
                </c:pt>
                <c:pt idx="168">
                  <c:v>0.105957413641566</c:v>
                </c:pt>
                <c:pt idx="169">
                  <c:v>0.105965586219415</c:v>
                </c:pt>
                <c:pt idx="170">
                  <c:v>0.105973748828566</c:v>
                </c:pt>
                <c:pt idx="171">
                  <c:v>0.10598190203689301</c:v>
                </c:pt>
                <c:pt idx="172">
                  <c:v>0.105990046411258</c:v>
                </c:pt>
                <c:pt idx="173">
                  <c:v>0.10599818251776701</c:v>
                </c:pt>
                <c:pt idx="174">
                  <c:v>0.106006310922025</c:v>
                </c:pt>
                <c:pt idx="175">
                  <c:v>0.106014432189397</c:v>
                </c:pt>
                <c:pt idx="176">
                  <c:v>0.106022546885271</c:v>
                </c:pt>
                <c:pt idx="177">
                  <c:v>0.10603065557531401</c:v>
                </c:pt>
                <c:pt idx="178">
                  <c:v>0.10603875882574</c:v>
                </c:pt>
                <c:pt idx="179">
                  <c:v>0.106046857203577</c:v>
                </c:pt>
                <c:pt idx="180">
                  <c:v>0.106054951276932</c:v>
                </c:pt>
                <c:pt idx="181">
                  <c:v>0.106063041615263</c:v>
                </c:pt>
                <c:pt idx="182">
                  <c:v>0.10607112878965499</c:v>
                </c:pt>
                <c:pt idx="183">
                  <c:v>0.106079213373101</c:v>
                </c:pt>
                <c:pt idx="184">
                  <c:v>0.106087295940776</c:v>
                </c:pt>
                <c:pt idx="185">
                  <c:v>0.10609537707033299</c:v>
                </c:pt>
                <c:pt idx="186">
                  <c:v>0.106103457342189</c:v>
                </c:pt>
                <c:pt idx="187">
                  <c:v>0.106111537339822</c:v>
                </c:pt>
                <c:pt idx="188">
                  <c:v>0.10611961765007601</c:v>
                </c:pt>
                <c:pt idx="189">
                  <c:v>0.106127698863465</c:v>
                </c:pt>
                <c:pt idx="190">
                  <c:v>0.10613578157449099</c:v>
                </c:pt>
                <c:pt idx="191">
                  <c:v>0.106143866381966</c:v>
                </c:pt>
                <c:pt idx="192">
                  <c:v>0.10615195388934</c:v>
                </c:pt>
                <c:pt idx="193">
                  <c:v>0.106160044705038</c:v>
                </c:pt>
                <c:pt idx="194">
                  <c:v>0.106168139442805</c:v>
                </c:pt>
                <c:pt idx="195">
                  <c:v>0.106176238722063</c:v>
                </c:pt>
                <c:pt idx="196">
                  <c:v>0.106184343168276</c:v>
                </c:pt>
                <c:pt idx="197">
                  <c:v>0.10619245341332301</c:v>
                </c:pt>
                <c:pt idx="198">
                  <c:v>0.106200570095885</c:v>
                </c:pt>
                <c:pt idx="199">
                  <c:v>0.10620869386184199</c:v>
                </c:pt>
                <c:pt idx="200">
                  <c:v>0.10621682536468401</c:v>
                </c:pt>
                <c:pt idx="201">
                  <c:v>0.106224965265935</c:v>
                </c:pt>
                <c:pt idx="202">
                  <c:v>0.106233114235588</c:v>
                </c:pt>
                <c:pt idx="203">
                  <c:v>0.10624127295256</c:v>
                </c:pt>
                <c:pt idx="204">
                  <c:v>0.10624944210515699</c:v>
                </c:pt>
                <c:pt idx="205">
                  <c:v>0.106257622391562</c:v>
                </c:pt>
                <c:pt idx="206">
                  <c:v>0.106265814520335</c:v>
                </c:pt>
                <c:pt idx="207">
                  <c:v>0.106274019210935</c:v>
                </c:pt>
                <c:pt idx="208">
                  <c:v>0.10628223719426</c:v>
                </c:pt>
                <c:pt idx="209">
                  <c:v>0.106290469213214</c:v>
                </c:pt>
                <c:pt idx="210">
                  <c:v>0.106298716023284</c:v>
                </c:pt>
                <c:pt idx="211">
                  <c:v>0.106306978393155</c:v>
                </c:pt>
                <c:pt idx="212">
                  <c:v>0.106315257105341</c:v>
                </c:pt>
                <c:pt idx="213">
                  <c:v>0.10632355295684801</c:v>
                </c:pt>
                <c:pt idx="214">
                  <c:v>0.10633186675985799</c:v>
                </c:pt>
                <c:pt idx="215">
                  <c:v>0.10634019934245301</c:v>
                </c:pt>
                <c:pt idx="216">
                  <c:v>0.106348551549366</c:v>
                </c:pt>
                <c:pt idx="217">
                  <c:v>0.106356924242761</c:v>
                </c:pt>
                <c:pt idx="218">
                  <c:v>0.10636531830306099</c:v>
                </c:pt>
                <c:pt idx="219">
                  <c:v>0.106373734629807</c:v>
                </c:pt>
                <c:pt idx="220">
                  <c:v>0.10638217414255299</c:v>
                </c:pt>
                <c:pt idx="221">
                  <c:v>0.106390637781818</c:v>
                </c:pt>
                <c:pt idx="222">
                  <c:v>0.10639912651007299</c:v>
                </c:pt>
                <c:pt idx="223">
                  <c:v>0.10640764131277999</c:v>
                </c:pt>
                <c:pt idx="224">
                  <c:v>0.10641618319948901</c:v>
                </c:pt>
                <c:pt idx="225">
                  <c:v>0.106424753204983</c:v>
                </c:pt>
                <c:pt idx="226">
                  <c:v>0.10643335239049</c:v>
                </c:pt>
                <c:pt idx="227">
                  <c:v>0.106441981844954</c:v>
                </c:pt>
                <c:pt idx="228">
                  <c:v>0.106450642686375</c:v>
                </c:pt>
                <c:pt idx="229">
                  <c:v>0.10645933606322799</c:v>
                </c:pt>
                <c:pt idx="230">
                  <c:v>0.10646806315594901</c:v>
                </c:pt>
                <c:pt idx="231">
                  <c:v>0.106476825178516</c:v>
                </c:pt>
                <c:pt idx="232">
                  <c:v>0.10648562338011</c:v>
                </c:pt>
                <c:pt idx="233">
                  <c:v>0.106494459046881</c:v>
                </c:pt>
                <c:pt idx="234">
                  <c:v>0.106503333503809</c:v>
                </c:pt>
                <c:pt idx="235">
                  <c:v>0.10651224811667701</c:v>
                </c:pt>
                <c:pt idx="236">
                  <c:v>0.106521204294171</c:v>
                </c:pt>
                <c:pt idx="237">
                  <c:v>0.106530203490093</c:v>
                </c:pt>
                <c:pt idx="238">
                  <c:v>0.10653924720572699</c:v>
                </c:pt>
                <c:pt idx="239">
                  <c:v>0.106548336992338</c:v>
                </c:pt>
                <c:pt idx="240">
                  <c:v>0.106557474453844</c:v>
                </c:pt>
                <c:pt idx="241">
                  <c:v>0.106566661249652</c:v>
                </c:pt>
                <c:pt idx="242">
                  <c:v>0.10657589909767901</c:v>
                </c:pt>
                <c:pt idx="243">
                  <c:v>0.10658518977758299</c:v>
                </c:pt>
                <c:pt idx="244">
                  <c:v>0.106594535134197</c:v>
                </c:pt>
                <c:pt idx="245">
                  <c:v>0.106603937081217</c:v>
                </c:pt>
                <c:pt idx="246">
                  <c:v>0.106613397605125</c:v>
                </c:pt>
                <c:pt idx="247">
                  <c:v>0.10662291876941001</c:v>
                </c:pt>
                <c:pt idx="248">
                  <c:v>0.106632502719071</c:v>
                </c:pt>
                <c:pt idx="249">
                  <c:v>0.10664215168546599</c:v>
                </c:pt>
                <c:pt idx="250">
                  <c:v>0.106651867991505</c:v>
                </c:pt>
                <c:pt idx="251">
                  <c:v>0.106661654057239</c:v>
                </c:pt>
                <c:pt idx="252">
                  <c:v>0.106671512405876</c:v>
                </c:pt>
                <c:pt idx="253">
                  <c:v>0.106681445670259</c:v>
                </c:pt>
                <c:pt idx="254">
                  <c:v>0.106691456599855</c:v>
                </c:pt>
                <c:pt idx="255">
                  <c:v>0.10670154806830701</c:v>
                </c:pt>
                <c:pt idx="256">
                  <c:v>0.106711723081597</c:v>
                </c:pt>
                <c:pt idx="257">
                  <c:v>0.106721984786882</c:v>
                </c:pt>
                <c:pt idx="258">
                  <c:v>0.106732336482082</c:v>
                </c:pt>
                <c:pt idx="259">
                  <c:v>0.10674278162628199</c:v>
                </c:pt>
                <c:pt idx="260">
                  <c:v>0.106753323851043</c:v>
                </c:pt>
                <c:pt idx="261">
                  <c:v>0.106763966972719</c:v>
                </c:pt>
                <c:pt idx="262">
                  <c:v>0.10677471500588499</c:v>
                </c:pt>
                <c:pt idx="263">
                  <c:v>0.10678557217800599</c:v>
                </c:pt>
                <c:pt idx="264">
                  <c:v>0.106796542945475</c:v>
                </c:pt>
                <c:pt idx="265">
                  <c:v>0.10680763201119001</c:v>
                </c:pt>
                <c:pt idx="266">
                  <c:v>0.106818844343851</c:v>
                </c:pt>
                <c:pt idx="267">
                  <c:v>0.106830185199162</c:v>
                </c:pt>
                <c:pt idx="268">
                  <c:v>0.1068416601432</c:v>
                </c:pt>
                <c:pt idx="269">
                  <c:v>0.106853275078199</c:v>
                </c:pt>
                <c:pt idx="270">
                  <c:v>0.10686503627105901</c:v>
                </c:pt>
                <c:pt idx="271">
                  <c:v>0.106876950384948</c:v>
                </c:pt>
                <c:pt idx="272">
                  <c:v>0.10688902451438199</c:v>
                </c:pt>
                <c:pt idx="273">
                  <c:v>0.106901266224276</c:v>
                </c:pt>
                <c:pt idx="274">
                  <c:v>0.106913683593506</c:v>
                </c:pt>
                <c:pt idx="275">
                  <c:v>0.106926285263621</c:v>
                </c:pt>
                <c:pt idx="276">
                  <c:v>0.106939080493455</c:v>
                </c:pt>
                <c:pt idx="277">
                  <c:v>0.10695207922051</c:v>
                </c:pt>
                <c:pt idx="278">
                  <c:v>0.10696529213014599</c:v>
                </c:pt>
                <c:pt idx="279">
                  <c:v>0.106978730733797</c:v>
                </c:pt>
                <c:pt idx="280">
                  <c:v>0.106992407457646</c:v>
                </c:pt>
                <c:pt idx="281">
                  <c:v>0.107006335743491</c:v>
                </c:pt>
                <c:pt idx="282">
                  <c:v>0.10702053016384699</c:v>
                </c:pt>
                <c:pt idx="283">
                  <c:v>0.107035006553762</c:v>
                </c:pt>
                <c:pt idx="284">
                  <c:v>0.107049782162317</c:v>
                </c:pt>
                <c:pt idx="285">
                  <c:v>0.10706487582742701</c:v>
                </c:pt>
                <c:pt idx="286">
                  <c:v>0.107080308178348</c:v>
                </c:pt>
                <c:pt idx="287">
                  <c:v>0.10709610187127599</c:v>
                </c:pt>
                <c:pt idx="288">
                  <c:v>0.10711228186470099</c:v>
                </c:pt>
                <c:pt idx="289">
                  <c:v>0.107128875742745</c:v>
                </c:pt>
                <c:pt idx="290">
                  <c:v>0.107145914096787</c:v>
                </c:pt>
                <c:pt idx="291">
                  <c:v>0.10716343097827</c:v>
                </c:pt>
                <c:pt idx="292">
                  <c:v>0.10718146443905199</c:v>
                </c:pt>
                <c:pt idx="293">
                  <c:v>0.107200057180087</c:v>
                </c:pt>
                <c:pt idx="294">
                  <c:v>0.10721925733519</c:v>
                </c:pt>
                <c:pt idx="295">
                  <c:v>0.107239119424452</c:v>
                </c:pt>
                <c:pt idx="296">
                  <c:v>0.10725970552248799</c:v>
                </c:pt>
                <c:pt idx="297">
                  <c:v>0.107281086701057</c:v>
                </c:pt>
                <c:pt idx="298">
                  <c:v>0.10730334482520799</c:v>
                </c:pt>
                <c:pt idx="299">
                  <c:v>0.107326574809414</c:v>
                </c:pt>
                <c:pt idx="300">
                  <c:v>0.10735088747820599</c:v>
                </c:pt>
                <c:pt idx="301">
                  <c:v>0.10737641322982</c:v>
                </c:pt>
                <c:pt idx="302">
                  <c:v>0.107403306778537</c:v>
                </c:pt>
                <c:pt idx="303">
                  <c:v>0.10743175336319</c:v>
                </c:pt>
                <c:pt idx="304">
                  <c:v>0.107461976972791</c:v>
                </c:pt>
                <c:pt idx="305">
                  <c:v>0.107494251381856</c:v>
                </c:pt>
                <c:pt idx="306">
                  <c:v>0.107528915147976</c:v>
                </c:pt>
                <c:pt idx="307">
                  <c:v>0.107566392263413</c:v>
                </c:pt>
                <c:pt idx="308">
                  <c:v>0.10760722096054399</c:v>
                </c:pt>
                <c:pt idx="309">
                  <c:v>0.107652094373539</c:v>
                </c:pt>
                <c:pt idx="310">
                  <c:v>0.107701918517204</c:v>
                </c:pt>
                <c:pt idx="311">
                  <c:v>0.107757895545197</c:v>
                </c:pt>
                <c:pt idx="312">
                  <c:v>0.107821643761701</c:v>
                </c:pt>
                <c:pt idx="313">
                  <c:v>0.107895371464266</c:v>
                </c:pt>
                <c:pt idx="314">
                  <c:v>0.107982136054144</c:v>
                </c:pt>
                <c:pt idx="315">
                  <c:v>0.108086279484475</c:v>
                </c:pt>
                <c:pt idx="316">
                  <c:v>0.10821441051713999</c:v>
                </c:pt>
                <c:pt idx="317">
                  <c:v>0.108378611684964</c:v>
                </c:pt>
                <c:pt idx="318">
                  <c:v>0.10851279142848901</c:v>
                </c:pt>
                <c:pt idx="319">
                  <c:v>0.108646878508965</c:v>
                </c:pt>
                <c:pt idx="320">
                  <c:v>0.108781836007877</c:v>
                </c:pt>
                <c:pt idx="321">
                  <c:v>0.108917703938839</c:v>
                </c:pt>
                <c:pt idx="322">
                  <c:v>0.109054545173906</c:v>
                </c:pt>
                <c:pt idx="323">
                  <c:v>0.109192417872054</c:v>
                </c:pt>
                <c:pt idx="324">
                  <c:v>0.109331376964383</c:v>
                </c:pt>
                <c:pt idx="325">
                  <c:v>0.10947147454287399</c:v>
                </c:pt>
                <c:pt idx="326">
                  <c:v>0.109612760241196</c:v>
                </c:pt>
                <c:pt idx="327">
                  <c:v>0.10975528157779101</c:v>
                </c:pt>
                <c:pt idx="328">
                  <c:v>0.109899084266184</c:v>
                </c:pt>
                <c:pt idx="329">
                  <c:v>0.110044212495958</c:v>
                </c:pt>
                <c:pt idx="330">
                  <c:v>0.11019070918751001</c:v>
                </c:pt>
                <c:pt idx="331">
                  <c:v>0.11033861622334599</c:v>
                </c:pt>
                <c:pt idx="332">
                  <c:v>0.110487974658393</c:v>
                </c:pt>
                <c:pt idx="333">
                  <c:v>0.110638824911563</c:v>
                </c:pt>
                <c:pt idx="334">
                  <c:v>0.110791206940568</c:v>
                </c:pt>
                <c:pt idx="335">
                  <c:v>0.11094516040180299</c:v>
                </c:pt>
                <c:pt idx="336">
                  <c:v>0.11110072479692901</c:v>
                </c:pt>
                <c:pt idx="337">
                  <c:v>0.111257939607629</c:v>
                </c:pt>
                <c:pt idx="338">
                  <c:v>0.111416844419904</c:v>
                </c:pt>
                <c:pt idx="339">
                  <c:v>0.111577479039088</c:v>
                </c:pt>
                <c:pt idx="340">
                  <c:v>0.111739883596728</c:v>
                </c:pt>
                <c:pt idx="341">
                  <c:v>0.111904098650297</c:v>
                </c:pt>
                <c:pt idx="342">
                  <c:v>0.11207016527668</c:v>
                </c:pt>
                <c:pt idx="343">
                  <c:v>0.112238125160255</c:v>
                </c:pt>
                <c:pt idx="344">
                  <c:v>0.11240802067632299</c:v>
                </c:pt>
                <c:pt idx="345">
                  <c:v>0.11257989497059701</c:v>
                </c:pt>
                <c:pt idx="346">
                  <c:v>0.112753792035371</c:v>
                </c:pt>
                <c:pt idx="347">
                  <c:v>0.112929756782956</c:v>
                </c:pt>
                <c:pt idx="348">
                  <c:v>0.113107835116922</c:v>
                </c:pt>
                <c:pt idx="349">
                  <c:v>0.113288074001635</c:v>
                </c:pt>
                <c:pt idx="350">
                  <c:v>0.113470521530551</c:v>
                </c:pt>
                <c:pt idx="351">
                  <c:v>0.113655226993682</c:v>
                </c:pt>
                <c:pt idx="352">
                  <c:v>0.113842240944644</c:v>
                </c:pt>
                <c:pt idx="353">
                  <c:v>0.114031615267637</c:v>
                </c:pt>
                <c:pt idx="354">
                  <c:v>0.11422340324472501</c:v>
                </c:pt>
                <c:pt idx="355">
                  <c:v>0.11441765962373</c:v>
                </c:pt>
                <c:pt idx="356">
                  <c:v>0.114614440687063</c:v>
                </c:pt>
                <c:pt idx="357">
                  <c:v>0.114813804321789</c:v>
                </c:pt>
                <c:pt idx="358">
                  <c:v>0.22425676384167301</c:v>
                </c:pt>
                <c:pt idx="359">
                  <c:v>0.30704288935609397</c:v>
                </c:pt>
                <c:pt idx="360">
                  <c:v>0.30834090817871301</c:v>
                </c:pt>
                <c:pt idx="361">
                  <c:v>0.30921577139060102</c:v>
                </c:pt>
                <c:pt idx="362">
                  <c:v>0.31017471350345399</c:v>
                </c:pt>
                <c:pt idx="363">
                  <c:v>0.31131883897321</c:v>
                </c:pt>
                <c:pt idx="364">
                  <c:v>0.31289797505880901</c:v>
                </c:pt>
                <c:pt idx="365">
                  <c:v>0.51289797505880896</c:v>
                </c:pt>
                <c:pt idx="366">
                  <c:v>0.51289797505880896</c:v>
                </c:pt>
              </c:numCache>
            </c:numRef>
          </c:xVal>
          <c:yVal>
            <c:numRef>
              <c:f>Implicit_Fracs!$BM$5:$BM$371</c:f>
              <c:numCache>
                <c:formatCode>0.00E+00</c:formatCode>
                <c:ptCount val="367"/>
                <c:pt idx="0">
                  <c:v>1.2732395447351101E-6</c:v>
                </c:pt>
                <c:pt idx="1">
                  <c:v>2.5438817171532901E-6</c:v>
                </c:pt>
                <c:pt idx="2">
                  <c:v>3.8145655871022501E-6</c:v>
                </c:pt>
                <c:pt idx="3">
                  <c:v>5.0852594573917697E-6</c:v>
                </c:pt>
                <c:pt idx="4">
                  <c:v>6.3559569114188602E-6</c:v>
                </c:pt>
                <c:pt idx="5">
                  <c:v>7.6266554878226902E-6</c:v>
                </c:pt>
                <c:pt idx="6">
                  <c:v>8.8973536958579698E-6</c:v>
                </c:pt>
                <c:pt idx="7">
                  <c:v>1.01680504155539E-5</c:v>
                </c:pt>
                <c:pt idx="8">
                  <c:v>1.1438744741019799E-5</c:v>
                </c:pt>
                <c:pt idx="9">
                  <c:v>1.27094359218358E-5</c:v>
                </c:pt>
                <c:pt idx="10">
                  <c:v>1.39801233299602E-5</c:v>
                </c:pt>
                <c:pt idx="11">
                  <c:v>1.5250806435668701E-5</c:v>
                </c:pt>
                <c:pt idx="12">
                  <c:v>1.6521484788504899E-5</c:v>
                </c:pt>
                <c:pt idx="13">
                  <c:v>1.7792158001974201E-5</c:v>
                </c:pt>
                <c:pt idx="14">
                  <c:v>1.9062825741292198E-5</c:v>
                </c:pt>
                <c:pt idx="15">
                  <c:v>2.0333487713627801E-5</c:v>
                </c:pt>
                <c:pt idx="16">
                  <c:v>2.1604143660359401E-5</c:v>
                </c:pt>
                <c:pt idx="17">
                  <c:v>2.28747933509197E-5</c:v>
                </c:pt>
                <c:pt idx="18">
                  <c:v>2.4145436577898999E-5</c:v>
                </c:pt>
                <c:pt idx="19">
                  <c:v>2.5416073153123199E-5</c:v>
                </c:pt>
                <c:pt idx="20">
                  <c:v>2.6686702904503399E-5</c:v>
                </c:pt>
                <c:pt idx="21">
                  <c:v>2.7957325673483099E-5</c:v>
                </c:pt>
                <c:pt idx="22">
                  <c:v>2.9227941312959999E-5</c:v>
                </c:pt>
                <c:pt idx="23">
                  <c:v>3.04985496855779E-5</c:v>
                </c:pt>
                <c:pt idx="24">
                  <c:v>3.1769150662318098E-5</c:v>
                </c:pt>
                <c:pt idx="25">
                  <c:v>3.3039744121326203E-5</c:v>
                </c:pt>
                <c:pt idx="26">
                  <c:v>3.43103299469307E-5</c:v>
                </c:pt>
                <c:pt idx="27">
                  <c:v>3.5580908028815897E-5</c:v>
                </c:pt>
                <c:pt idx="28">
                  <c:v>3.6851478261320497E-5</c:v>
                </c:pt>
                <c:pt idx="29">
                  <c:v>3.8122040542842601E-5</c:v>
                </c:pt>
                <c:pt idx="30">
                  <c:v>3.9392594775322999E-5</c:v>
                </c:pt>
                <c:pt idx="31">
                  <c:v>4.0663140863808397E-5</c:v>
                </c:pt>
                <c:pt idx="32">
                  <c:v>4.1933678716065798E-5</c:v>
                </c:pt>
                <c:pt idx="33">
                  <c:v>4.32042082422539E-5</c:v>
                </c:pt>
                <c:pt idx="34">
                  <c:v>4.4474729354629197E-5</c:v>
                </c:pt>
                <c:pt idx="35">
                  <c:v>4.5745241967292201E-5</c:v>
                </c:pt>
                <c:pt idx="36">
                  <c:v>4.7015745995962401E-5</c:v>
                </c:pt>
                <c:pt idx="37">
                  <c:v>4.82862413283268E-5</c:v>
                </c:pt>
                <c:pt idx="38">
                  <c:v>4.9556727853406999E-5</c:v>
                </c:pt>
                <c:pt idx="39">
                  <c:v>5.0827205462457601E-5</c:v>
                </c:pt>
                <c:pt idx="40">
                  <c:v>5.20976740486703E-5</c:v>
                </c:pt>
                <c:pt idx="41">
                  <c:v>5.3368133506908499E-5</c:v>
                </c:pt>
                <c:pt idx="42">
                  <c:v>5.4638583733472998E-5</c:v>
                </c:pt>
                <c:pt idx="43">
                  <c:v>5.5909024625891701E-5</c:v>
                </c:pt>
                <c:pt idx="44">
                  <c:v>5.7179456082733601E-5</c:v>
                </c:pt>
                <c:pt idx="45">
                  <c:v>5.8449878003438402E-5</c:v>
                </c:pt>
                <c:pt idx="46">
                  <c:v>5.9720290288167802E-5</c:v>
                </c:pt>
                <c:pt idx="47">
                  <c:v>6.0990692837664902E-5</c:v>
                </c:pt>
                <c:pt idx="48">
                  <c:v>6.22610855531303E-5</c:v>
                </c:pt>
                <c:pt idx="49">
                  <c:v>6.3531468336106304E-5</c:v>
                </c:pt>
                <c:pt idx="50">
                  <c:v>6.4801841088374694E-5</c:v>
                </c:pt>
                <c:pt idx="51">
                  <c:v>6.6072203711859407E-5</c:v>
                </c:pt>
                <c:pt idx="52">
                  <c:v>6.7342556108539094E-5</c:v>
                </c:pt>
                <c:pt idx="53">
                  <c:v>6.8612898180362699E-5</c:v>
                </c:pt>
                <c:pt idx="54">
                  <c:v>6.9883229829176694E-5</c:v>
                </c:pt>
                <c:pt idx="55">
                  <c:v>7.1153550956653294E-5</c:v>
                </c:pt>
                <c:pt idx="56">
                  <c:v>7.2423861464220794E-5</c:v>
                </c:pt>
                <c:pt idx="57">
                  <c:v>7.3694161253007898E-5</c:v>
                </c:pt>
                <c:pt idx="58">
                  <c:v>7.4964450223777906E-5</c:v>
                </c:pt>
                <c:pt idx="59">
                  <c:v>7.6234728276881498E-5</c:v>
                </c:pt>
                <c:pt idx="60">
                  <c:v>7.7504995312196196E-5</c:v>
                </c:pt>
                <c:pt idx="61">
                  <c:v>7.8775251229083602E-5</c:v>
                </c:pt>
                <c:pt idx="62">
                  <c:v>8.0045495926339406E-5</c:v>
                </c:pt>
                <c:pt idx="63">
                  <c:v>8.1315729302145303E-5</c:v>
                </c:pt>
                <c:pt idx="64">
                  <c:v>8.2585951254030999E-5</c:v>
                </c:pt>
                <c:pt idx="65">
                  <c:v>8.38561616788265E-5</c:v>
                </c:pt>
                <c:pt idx="66">
                  <c:v>8.5126360472627602E-5</c:v>
                </c:pt>
                <c:pt idx="67">
                  <c:v>8.6396547530751103E-5</c:v>
                </c:pt>
                <c:pt idx="68">
                  <c:v>8.7666722747698397E-5</c:v>
                </c:pt>
                <c:pt idx="69">
                  <c:v>8.8936886017122697E-5</c:v>
                </c:pt>
                <c:pt idx="70">
                  <c:v>9.0207037231787002E-5</c:v>
                </c:pt>
                <c:pt idx="71">
                  <c:v>9.1477176283532698E-5</c:v>
                </c:pt>
                <c:pt idx="72">
                  <c:v>9.2747303063240707E-5</c:v>
                </c:pt>
                <c:pt idx="73">
                  <c:v>9.4017417460803804E-5</c:v>
                </c:pt>
                <c:pt idx="74">
                  <c:v>9.5287519365084899E-5</c:v>
                </c:pt>
                <c:pt idx="75">
                  <c:v>9.6557608663889896E-5</c:v>
                </c:pt>
                <c:pt idx="76">
                  <c:v>9.7827685243931093E-5</c:v>
                </c:pt>
                <c:pt idx="77">
                  <c:v>9.9097748990797894E-5</c:v>
                </c:pt>
                <c:pt idx="78" formatCode="General">
                  <c:v>1.00367799788922E-4</c:v>
                </c:pt>
                <c:pt idx="79" formatCode="General">
                  <c:v>1.0163783752154301E-4</c:v>
                </c:pt>
                <c:pt idx="80" formatCode="General">
                  <c:v>1.0290786207067799E-4</c:v>
                </c:pt>
                <c:pt idx="81" formatCode="General">
                  <c:v>1.04177873317093E-4</c:v>
                </c:pt>
                <c:pt idx="82" formatCode="General">
                  <c:v>1.0544787114026401E-4</c:v>
                </c:pt>
                <c:pt idx="83" formatCode="General">
                  <c:v>1.06717855418346E-4</c:v>
                </c:pt>
                <c:pt idx="84" formatCode="General">
                  <c:v>1.07987826028147E-4</c:v>
                </c:pt>
                <c:pt idx="85" formatCode="General">
                  <c:v>1.0925778284508401E-4</c:v>
                </c:pt>
                <c:pt idx="86" formatCode="General">
                  <c:v>1.10527725743161E-4</c:v>
                </c:pt>
                <c:pt idx="87" formatCode="General">
                  <c:v>1.11797654594929E-4</c:v>
                </c:pt>
                <c:pt idx="88" formatCode="General">
                  <c:v>1.13067569271454E-4</c:v>
                </c:pt>
                <c:pt idx="89" formatCode="General">
                  <c:v>1.14337469642287E-4</c:v>
                </c:pt>
                <c:pt idx="90" formatCode="General">
                  <c:v>1.15607355575422E-4</c:v>
                </c:pt>
                <c:pt idx="91" formatCode="General">
                  <c:v>1.1687722693726701E-4</c:v>
                </c:pt>
                <c:pt idx="92" formatCode="General">
                  <c:v>1.18147083592611E-4</c:v>
                </c:pt>
                <c:pt idx="93" formatCode="General">
                  <c:v>1.19416925404584E-4</c:v>
                </c:pt>
                <c:pt idx="94" formatCode="General">
                  <c:v>1.2068675223462E-4</c:v>
                </c:pt>
                <c:pt idx="95" formatCode="General">
                  <c:v>1.21956563942427E-4</c:v>
                </c:pt>
                <c:pt idx="96" formatCode="General">
                  <c:v>1.2322636038594601E-4</c:v>
                </c:pt>
                <c:pt idx="97" formatCode="General">
                  <c:v>1.2449614142131E-4</c:v>
                </c:pt>
                <c:pt idx="98" formatCode="General">
                  <c:v>1.2576590690281699E-4</c:v>
                </c:pt>
                <c:pt idx="99" formatCode="General">
                  <c:v>1.2703565668287499E-4</c:v>
                </c:pt>
                <c:pt idx="100" formatCode="General">
                  <c:v>1.28305390611976E-4</c:v>
                </c:pt>
                <c:pt idx="101" formatCode="General">
                  <c:v>1.2957510853864901E-4</c:v>
                </c:pt>
                <c:pt idx="102" formatCode="General">
                  <c:v>1.30844810309426E-4</c:v>
                </c:pt>
                <c:pt idx="103" formatCode="General">
                  <c:v>1.3211449576879E-4</c:v>
                </c:pt>
                <c:pt idx="104" formatCode="General">
                  <c:v>1.3338416475913801E-4</c:v>
                </c:pt>
                <c:pt idx="105" formatCode="General">
                  <c:v>1.3465381712074299E-4</c:v>
                </c:pt>
                <c:pt idx="106" formatCode="General">
                  <c:v>1.3592345269169501E-4</c:v>
                </c:pt>
                <c:pt idx="107" formatCode="General">
                  <c:v>1.3719307130787399E-4</c:v>
                </c:pt>
                <c:pt idx="108" formatCode="General">
                  <c:v>1.38462672802885E-4</c:v>
                </c:pt>
                <c:pt idx="109" formatCode="General">
                  <c:v>1.3973225700803499E-4</c:v>
                </c:pt>
                <c:pt idx="110" formatCode="General">
                  <c:v>1.4100182375225499E-4</c:v>
                </c:pt>
                <c:pt idx="111" formatCode="General">
                  <c:v>1.4227137286207601E-4</c:v>
                </c:pt>
                <c:pt idx="112" formatCode="General">
                  <c:v>1.4354090416156701E-4</c:v>
                </c:pt>
                <c:pt idx="113" formatCode="General">
                  <c:v>1.4481041747228601E-4</c:v>
                </c:pt>
                <c:pt idx="114" formatCode="General">
                  <c:v>1.4607991261322899E-4</c:v>
                </c:pt>
                <c:pt idx="115" formatCode="General">
                  <c:v>1.47349389400769E-4</c:v>
                </c:pt>
                <c:pt idx="116" formatCode="General">
                  <c:v>1.48618847648613E-4</c:v>
                </c:pt>
                <c:pt idx="117" formatCode="General">
                  <c:v>1.4988828716773901E-4</c:v>
                </c:pt>
                <c:pt idx="118" formatCode="General">
                  <c:v>1.51157707766334E-4</c:v>
                </c:pt>
                <c:pt idx="119" formatCode="General">
                  <c:v>1.52427109249745E-4</c:v>
                </c:pt>
                <c:pt idx="120" formatCode="General">
                  <c:v>1.5369649142040701E-4</c:v>
                </c:pt>
                <c:pt idx="121" formatCode="General">
                  <c:v>1.5496585407779399E-4</c:v>
                </c:pt>
                <c:pt idx="122" formatCode="General">
                  <c:v>1.5623519701834501E-4</c:v>
                </c:pt>
                <c:pt idx="123" formatCode="General">
                  <c:v>1.57504520035406E-4</c:v>
                </c:pt>
                <c:pt idx="124" formatCode="General">
                  <c:v>1.58773822919159E-4</c:v>
                </c:pt>
                <c:pt idx="125" formatCode="General">
                  <c:v>1.6004310545655301E-4</c:v>
                </c:pt>
                <c:pt idx="126" formatCode="General">
                  <c:v>1.6131236743123999E-4</c:v>
                </c:pt>
                <c:pt idx="127" formatCode="General">
                  <c:v>1.62581608623496E-4</c:v>
                </c:pt>
                <c:pt idx="128" formatCode="General">
                  <c:v>1.6385082881015299E-4</c:v>
                </c:pt>
                <c:pt idx="129" formatCode="General">
                  <c:v>1.6512002776452E-4</c:v>
                </c:pt>
                <c:pt idx="130" formatCode="General">
                  <c:v>1.66389205256305E-4</c:v>
                </c:pt>
                <c:pt idx="131" formatCode="General">
                  <c:v>1.6765836105153399E-4</c:v>
                </c:pt>
                <c:pt idx="132" formatCode="General">
                  <c:v>1.6892749491248001E-4</c:v>
                </c:pt>
                <c:pt idx="133" formatCode="General">
                  <c:v>1.7019660659756499E-4</c:v>
                </c:pt>
                <c:pt idx="134" formatCode="General">
                  <c:v>1.7146569586127901E-4</c:v>
                </c:pt>
                <c:pt idx="135" formatCode="General">
                  <c:v>1.7273476245409399E-4</c:v>
                </c:pt>
                <c:pt idx="136" formatCode="General">
                  <c:v>1.74003806122372E-4</c:v>
                </c:pt>
                <c:pt idx="137" formatCode="General">
                  <c:v>1.7527282660826599E-4</c:v>
                </c:pt>
                <c:pt idx="138" formatCode="General">
                  <c:v>1.76541823649631E-4</c:v>
                </c:pt>
                <c:pt idx="139" formatCode="General">
                  <c:v>1.7781079697992201E-4</c:v>
                </c:pt>
                <c:pt idx="140" formatCode="General">
                  <c:v>1.7907974632809301E-4</c:v>
                </c:pt>
                <c:pt idx="141" formatCode="General">
                  <c:v>1.8034867141848899E-4</c:v>
                </c:pt>
                <c:pt idx="142" formatCode="General">
                  <c:v>1.8161757197074501E-4</c:v>
                </c:pt>
                <c:pt idx="143" formatCode="General">
                  <c:v>1.8288644769967E-4</c:v>
                </c:pt>
                <c:pt idx="144" formatCode="General">
                  <c:v>1.84155298315138E-4</c:v>
                </c:pt>
                <c:pt idx="145" formatCode="General">
                  <c:v>1.8542412352196301E-4</c:v>
                </c:pt>
                <c:pt idx="146" formatCode="General">
                  <c:v>1.86692923019784E-4</c:v>
                </c:pt>
                <c:pt idx="147" formatCode="General">
                  <c:v>1.87961696502944E-4</c:v>
                </c:pt>
                <c:pt idx="148" formatCode="General">
                  <c:v>1.8923044366035599E-4</c:v>
                </c:pt>
                <c:pt idx="149" formatCode="General">
                  <c:v>1.9049916417537599E-4</c:v>
                </c:pt>
                <c:pt idx="150" formatCode="General">
                  <c:v>1.91767857725661E-4</c:v>
                </c:pt>
                <c:pt idx="151" formatCode="General">
                  <c:v>1.93036523983036E-4</c:v>
                </c:pt>
                <c:pt idx="152" formatCode="General">
                  <c:v>1.94305162613347E-4</c:v>
                </c:pt>
                <c:pt idx="153" formatCode="General">
                  <c:v>1.9557377327631301E-4</c:v>
                </c:pt>
                <c:pt idx="154" formatCode="General">
                  <c:v>1.9684235562537301E-4</c:v>
                </c:pt>
                <c:pt idx="155" formatCode="General">
                  <c:v>1.98110909307529E-4</c:v>
                </c:pt>
                <c:pt idx="156" formatCode="General">
                  <c:v>1.9937943396318E-4</c:v>
                </c:pt>
                <c:pt idx="157" formatCode="General">
                  <c:v>2.0064792922595801E-4</c:v>
                </c:pt>
                <c:pt idx="158" formatCode="General">
                  <c:v>2.01916394722555E-4</c:v>
                </c:pt>
                <c:pt idx="159" formatCode="General">
                  <c:v>2.03184830072541E-4</c:v>
                </c:pt>
                <c:pt idx="160" formatCode="General">
                  <c:v>2.0445323488818399E-4</c:v>
                </c:pt>
                <c:pt idx="161" formatCode="General">
                  <c:v>2.0572160877425401E-4</c:v>
                </c:pt>
                <c:pt idx="162" formatCode="General">
                  <c:v>2.0698995132783401E-4</c:v>
                </c:pt>
                <c:pt idx="163" formatCode="General">
                  <c:v>2.0825826213810301E-4</c:v>
                </c:pt>
                <c:pt idx="164" formatCode="General">
                  <c:v>2.09526540786145E-4</c:v>
                </c:pt>
                <c:pt idx="165" formatCode="General">
                  <c:v>2.1079478684471901E-4</c:v>
                </c:pt>
                <c:pt idx="166" formatCode="General">
                  <c:v>2.1206299987803901E-4</c:v>
                </c:pt>
                <c:pt idx="167" formatCode="General">
                  <c:v>2.1333117944154301E-4</c:v>
                </c:pt>
                <c:pt idx="168" formatCode="General">
                  <c:v>2.1459932508165099E-4</c:v>
                </c:pt>
                <c:pt idx="169" formatCode="General">
                  <c:v>2.15867436335519E-4</c:v>
                </c:pt>
                <c:pt idx="170" formatCode="General">
                  <c:v>2.17135512730786E-4</c:v>
                </c:pt>
                <c:pt idx="171" formatCode="General">
                  <c:v>2.1840355378530501E-4</c:v>
                </c:pt>
                <c:pt idx="172" formatCode="General">
                  <c:v>2.19671559006866E-4</c:v>
                </c:pt>
                <c:pt idx="173" formatCode="General">
                  <c:v>2.2093952789291801E-4</c:v>
                </c:pt>
                <c:pt idx="174" formatCode="General">
                  <c:v>2.2220745993027701E-4</c:v>
                </c:pt>
                <c:pt idx="175" formatCode="General">
                  <c:v>2.23475354594808E-4</c:v>
                </c:pt>
                <c:pt idx="176" formatCode="General">
                  <c:v>2.2474321135112501E-4</c:v>
                </c:pt>
                <c:pt idx="177" formatCode="General">
                  <c:v>2.26011029652257E-4</c:v>
                </c:pt>
                <c:pt idx="178" formatCode="General">
                  <c:v>2.2727880893930901E-4</c:v>
                </c:pt>
                <c:pt idx="179" formatCode="General">
                  <c:v>2.2854654864110899E-4</c:v>
                </c:pt>
                <c:pt idx="180" formatCode="General">
                  <c:v>2.29814248173854E-4</c:v>
                </c:pt>
                <c:pt idx="181" formatCode="General">
                  <c:v>2.31081906940714E-4</c:v>
                </c:pt>
                <c:pt idx="182" formatCode="General">
                  <c:v>2.32349524331462E-4</c:v>
                </c:pt>
                <c:pt idx="183" formatCode="General">
                  <c:v>2.3361709972204801E-4</c:v>
                </c:pt>
                <c:pt idx="184" formatCode="General">
                  <c:v>2.3488463247418401E-4</c:v>
                </c:pt>
                <c:pt idx="185" formatCode="General">
                  <c:v>2.3615212193491101E-4</c:v>
                </c:pt>
                <c:pt idx="186" formatCode="General">
                  <c:v>2.3741956743613399E-4</c:v>
                </c:pt>
                <c:pt idx="187" formatCode="General">
                  <c:v>2.38686968294153E-4</c:v>
                </c:pt>
                <c:pt idx="188" formatCode="General">
                  <c:v>2.3995432380917301E-4</c:v>
                </c:pt>
                <c:pt idx="189" formatCode="General">
                  <c:v>2.4122163326478801E-4</c:v>
                </c:pt>
                <c:pt idx="190" formatCode="General">
                  <c:v>2.4248889592745E-4</c:v>
                </c:pt>
                <c:pt idx="191" formatCode="General">
                  <c:v>2.43756111045921E-4</c:v>
                </c:pt>
                <c:pt idx="192" formatCode="General">
                  <c:v>2.4502327785068699E-4</c:v>
                </c:pt>
                <c:pt idx="193" formatCode="General">
                  <c:v>2.4629039555336901E-4</c:v>
                </c:pt>
                <c:pt idx="194" formatCode="General">
                  <c:v>2.4755746334609199E-4</c:v>
                </c:pt>
                <c:pt idx="195" formatCode="General">
                  <c:v>2.48824480400836E-4</c:v>
                </c:pt>
                <c:pt idx="196" formatCode="General">
                  <c:v>2.5009144586876099E-4</c:v>
                </c:pt>
                <c:pt idx="197" formatCode="General">
                  <c:v>2.5135835887949798E-4</c:v>
                </c:pt>
                <c:pt idx="198" formatCode="General">
                  <c:v>2.5262521854041501E-4</c:v>
                </c:pt>
                <c:pt idx="199" formatCode="General">
                  <c:v>2.5389202393584802E-4</c:v>
                </c:pt>
                <c:pt idx="200" formatCode="General">
                  <c:v>2.5515877412629899E-4</c:v>
                </c:pt>
                <c:pt idx="201" formatCode="General">
                  <c:v>2.56425468147603E-4</c:v>
                </c:pt>
                <c:pt idx="202" formatCode="General">
                  <c:v>2.5769210501004202E-4</c:v>
                </c:pt>
                <c:pt idx="203" formatCode="General">
                  <c:v>2.5895868369745298E-4</c:v>
                </c:pt>
                <c:pt idx="204" formatCode="General">
                  <c:v>2.60225203166263E-4</c:v>
                </c:pt>
                <c:pt idx="205" formatCode="General">
                  <c:v>2.6149166234448599E-4</c:v>
                </c:pt>
                <c:pt idx="206" formatCode="General">
                  <c:v>2.6275806013069701E-4</c:v>
                </c:pt>
                <c:pt idx="207" formatCode="General">
                  <c:v>2.6402439539293098E-4</c:v>
                </c:pt>
                <c:pt idx="208" formatCode="General">
                  <c:v>2.6529066696754001E-4</c:v>
                </c:pt>
                <c:pt idx="209" formatCode="General">
                  <c:v>2.6655687365800601E-4</c:v>
                </c:pt>
                <c:pt idx="210" formatCode="General">
                  <c:v>2.67823014233688E-4</c:v>
                </c:pt>
                <c:pt idx="211" formatCode="General">
                  <c:v>2.69089087428505E-4</c:v>
                </c:pt>
                <c:pt idx="212" formatCode="General">
                  <c:v>2.7035509193956502E-4</c:v>
                </c:pt>
                <c:pt idx="213" formatCode="General">
                  <c:v>2.7162102642572402E-4</c:v>
                </c:pt>
                <c:pt idx="214" formatCode="General">
                  <c:v>2.7288688950607E-4</c:v>
                </c:pt>
                <c:pt idx="215" formatCode="General">
                  <c:v>2.7415267975833897E-4</c:v>
                </c:pt>
                <c:pt idx="216" formatCode="General">
                  <c:v>2.7541839571723598E-4</c:v>
                </c:pt>
                <c:pt idx="217" formatCode="General">
                  <c:v>2.76684035872696E-4</c:v>
                </c:pt>
                <c:pt idx="218" formatCode="General">
                  <c:v>2.7794959866803202E-4</c:v>
                </c:pt>
                <c:pt idx="219" formatCode="General">
                  <c:v>2.7921508249799902E-4</c:v>
                </c:pt>
                <c:pt idx="220" formatCode="General">
                  <c:v>2.8048048570674999E-4</c:v>
                </c:pt>
                <c:pt idx="221" formatCode="General">
                  <c:v>2.8174580658569702E-4</c:v>
                </c:pt>
                <c:pt idx="222" formatCode="General">
                  <c:v>2.8301104337123602E-4</c:v>
                </c:pt>
                <c:pt idx="223" formatCode="General">
                  <c:v>2.84276194242372E-4</c:v>
                </c:pt>
                <c:pt idx="224" formatCode="General">
                  <c:v>2.8554125731819902E-4</c:v>
                </c:pt>
                <c:pt idx="225" formatCode="General">
                  <c:v>2.8680623065524498E-4</c:v>
                </c:pt>
                <c:pt idx="226" formatCode="General">
                  <c:v>2.8807111224467399E-4</c:v>
                </c:pt>
                <c:pt idx="227" formatCode="General">
                  <c:v>2.8933590000931902E-4</c:v>
                </c:pt>
                <c:pt idx="228" formatCode="General">
                  <c:v>2.9060059180056002E-4</c:v>
                </c:pt>
                <c:pt idx="229" formatCode="General">
                  <c:v>2.9186518539501199E-4</c:v>
                </c:pt>
                <c:pt idx="230" formatCode="General">
                  <c:v>2.9312967849101803E-4</c:v>
                </c:pt>
                <c:pt idx="231" formatCode="General">
                  <c:v>2.9439406870494702E-4</c:v>
                </c:pt>
                <c:pt idx="232" formatCode="General">
                  <c:v>2.9565835356726002E-4</c:v>
                </c:pt>
                <c:pt idx="233" formatCode="General">
                  <c:v>2.9692253051833898E-4</c:v>
                </c:pt>
                <c:pt idx="234" formatCode="General">
                  <c:v>2.9818659690406798E-4</c:v>
                </c:pt>
                <c:pt idx="235" formatCode="General">
                  <c:v>2.9945054997114099E-4</c:v>
                </c:pt>
                <c:pt idx="236" formatCode="General">
                  <c:v>3.00714386862065E-4</c:v>
                </c:pt>
                <c:pt idx="237" formatCode="General">
                  <c:v>3.0197810460985398E-4</c:v>
                </c:pt>
                <c:pt idx="238" formatCode="General">
                  <c:v>3.0324170013238798E-4</c:v>
                </c:pt>
                <c:pt idx="239" formatCode="General">
                  <c:v>3.0450517022640301E-4</c:v>
                </c:pt>
                <c:pt idx="240" formatCode="General">
                  <c:v>3.0576851156107301E-4</c:v>
                </c:pt>
                <c:pt idx="241" formatCode="General">
                  <c:v>3.0703172067117398E-4</c:v>
                </c:pt>
                <c:pt idx="242" formatCode="General">
                  <c:v>3.0829479394980198E-4</c:v>
                </c:pt>
                <c:pt idx="243" formatCode="General">
                  <c:v>3.0955772764056203E-4</c:v>
                </c:pt>
                <c:pt idx="244" formatCode="General">
                  <c:v>3.1082051782924098E-4</c:v>
                </c:pt>
                <c:pt idx="245" formatCode="General">
                  <c:v>3.1208316043488798E-4</c:v>
                </c:pt>
                <c:pt idx="246" formatCode="General">
                  <c:v>3.1334565120024897E-4</c:v>
                </c:pt>
                <c:pt idx="247" formatCode="General">
                  <c:v>3.1460798568153201E-4</c:v>
                </c:pt>
                <c:pt idx="248" formatCode="General">
                  <c:v>3.1587015923740201E-4</c:v>
                </c:pt>
                <c:pt idx="249" formatCode="General">
                  <c:v>3.1713216701717599E-4</c:v>
                </c:pt>
                <c:pt idx="250" formatCode="General">
                  <c:v>3.1839400394812102E-4</c:v>
                </c:pt>
                <c:pt idx="251" formatCode="General">
                  <c:v>3.1965566472177601E-4</c:v>
                </c:pt>
                <c:pt idx="252" formatCode="General">
                  <c:v>3.2091714377922799E-4</c:v>
                </c:pt>
                <c:pt idx="253" formatCode="General">
                  <c:v>3.2217843529520998E-4</c:v>
                </c:pt>
                <c:pt idx="254" formatCode="General">
                  <c:v>3.2343953316095198E-4</c:v>
                </c:pt>
                <c:pt idx="255" formatCode="General">
                  <c:v>3.2470043096561202E-4</c:v>
                </c:pt>
                <c:pt idx="256" formatCode="General">
                  <c:v>3.2596112197620799E-4</c:v>
                </c:pt>
                <c:pt idx="257" formatCode="General">
                  <c:v>3.2722159911583598E-4</c:v>
                </c:pt>
                <c:pt idx="258" formatCode="General">
                  <c:v>3.2848185494006198E-4</c:v>
                </c:pt>
                <c:pt idx="259" formatCode="General">
                  <c:v>3.2974188161125903E-4</c:v>
                </c:pt>
                <c:pt idx="260" formatCode="General">
                  <c:v>3.3100167087069101E-4</c:v>
                </c:pt>
                <c:pt idx="261" formatCode="General">
                  <c:v>3.3226121400809801E-4</c:v>
                </c:pt>
                <c:pt idx="262" formatCode="General">
                  <c:v>3.3352050182851501E-4</c:v>
                </c:pt>
                <c:pt idx="263" formatCode="General">
                  <c:v>3.3477952461602797E-4</c:v>
                </c:pt>
                <c:pt idx="264" formatCode="General">
                  <c:v>3.3603827209410201E-4</c:v>
                </c:pt>
                <c:pt idx="265" formatCode="General">
                  <c:v>3.37296733382125E-4</c:v>
                </c:pt>
                <c:pt idx="266" formatCode="General">
                  <c:v>3.3855489694768499E-4</c:v>
                </c:pt>
                <c:pt idx="267" formatCode="General">
                  <c:v>3.39812750554126E-4</c:v>
                </c:pt>
                <c:pt idx="268" formatCode="General">
                  <c:v>3.4107028120277099E-4</c:v>
                </c:pt>
                <c:pt idx="269" formatCode="General">
                  <c:v>3.42327475069197E-4</c:v>
                </c:pt>
                <c:pt idx="270" formatCode="General">
                  <c:v>3.43584317432778E-4</c:v>
                </c:pt>
                <c:pt idx="271" formatCode="General">
                  <c:v>3.4484079259868001E-4</c:v>
                </c:pt>
                <c:pt idx="272" formatCode="General">
                  <c:v>3.4609688381130702E-4</c:v>
                </c:pt>
                <c:pt idx="273" formatCode="General">
                  <c:v>3.4735257315806701E-4</c:v>
                </c:pt>
                <c:pt idx="274" formatCode="General">
                  <c:v>3.4860784146215399E-4</c:v>
                </c:pt>
                <c:pt idx="275" formatCode="General">
                  <c:v>3.4986266816283798E-4</c:v>
                </c:pt>
                <c:pt idx="276" formatCode="General">
                  <c:v>3.5111703118149198E-4</c:v>
                </c:pt>
                <c:pt idx="277" formatCode="General">
                  <c:v>3.5237090677131902E-4</c:v>
                </c:pt>
                <c:pt idx="278" formatCode="General">
                  <c:v>3.5362426934837902E-4</c:v>
                </c:pt>
                <c:pt idx="279" formatCode="General">
                  <c:v>3.5487709130111399E-4</c:v>
                </c:pt>
                <c:pt idx="280" formatCode="General">
                  <c:v>3.5612934277505802E-4</c:v>
                </c:pt>
                <c:pt idx="281" formatCode="General">
                  <c:v>3.5738099142887701E-4</c:v>
                </c:pt>
                <c:pt idx="282" formatCode="General">
                  <c:v>3.5863200215709401E-4</c:v>
                </c:pt>
                <c:pt idx="283" formatCode="General">
                  <c:v>3.5988233677407402E-4</c:v>
                </c:pt>
                <c:pt idx="284" formatCode="General">
                  <c:v>3.6113195365273197E-4</c:v>
                </c:pt>
                <c:pt idx="285" formatCode="General">
                  <c:v>3.62380807310214E-4</c:v>
                </c:pt>
                <c:pt idx="286" formatCode="General">
                  <c:v>3.6362884793120101E-4</c:v>
                </c:pt>
                <c:pt idx="287" formatCode="General">
                  <c:v>3.6487602081764799E-4</c:v>
                </c:pt>
                <c:pt idx="288" formatCode="General">
                  <c:v>3.6612226575134799E-4</c:v>
                </c:pt>
                <c:pt idx="289" formatCode="General">
                  <c:v>3.6736751625298303E-4</c:v>
                </c:pt>
                <c:pt idx="290" formatCode="General">
                  <c:v>3.6861169871763998E-4</c:v>
                </c:pt>
                <c:pt idx="291" formatCode="General">
                  <c:v>3.6985473140252299E-4</c:v>
                </c:pt>
                <c:pt idx="292" formatCode="General">
                  <c:v>3.7109652323714698E-4</c:v>
                </c:pt>
                <c:pt idx="293" formatCode="General">
                  <c:v>3.72336972419658E-4</c:v>
                </c:pt>
                <c:pt idx="294" formatCode="General">
                  <c:v>3.7357596475476199E-4</c:v>
                </c:pt>
                <c:pt idx="295" formatCode="General">
                  <c:v>3.7481337167874398E-4</c:v>
                </c:pt>
                <c:pt idx="296" formatCode="General">
                  <c:v>3.7604904790504201E-4</c:v>
                </c:pt>
                <c:pt idx="297" formatCode="General">
                  <c:v>3.7728282860957001E-4</c:v>
                </c:pt>
                <c:pt idx="298" formatCode="General">
                  <c:v>3.7851452605887597E-4</c:v>
                </c:pt>
                <c:pt idx="299" formatCode="General">
                  <c:v>3.7974392556703001E-4</c:v>
                </c:pt>
                <c:pt idx="300" formatCode="General">
                  <c:v>3.8097078065182401E-4</c:v>
                </c:pt>
                <c:pt idx="301" formatCode="General">
                  <c:v>3.8219480725327099E-4</c:v>
                </c:pt>
                <c:pt idx="302" formatCode="General">
                  <c:v>3.8341567689057198E-4</c:v>
                </c:pt>
                <c:pt idx="303" formatCode="General">
                  <c:v>3.8463300869435898E-4</c:v>
                </c:pt>
                <c:pt idx="304" formatCode="General">
                  <c:v>3.8584636041328599E-4</c:v>
                </c:pt>
                <c:pt idx="305" formatCode="General">
                  <c:v>3.8705521886799201E-4</c:v>
                </c:pt>
                <c:pt idx="306" formatCode="General">
                  <c:v>3.8825899113368901E-4</c:v>
                </c:pt>
                <c:pt idx="307" formatCode="General">
                  <c:v>3.8945699942839399E-4</c:v>
                </c:pt>
                <c:pt idx="308" formatCode="General">
                  <c:v>3.9064848619236301E-4</c:v>
                </c:pt>
                <c:pt idx="309" formatCode="General">
                  <c:v>3.9183264305765899E-4</c:v>
                </c:pt>
                <c:pt idx="310" formatCode="General">
                  <c:v>3.93008692175041E-4</c:v>
                </c:pt>
                <c:pt idx="311" formatCode="General">
                  <c:v>3.94176078414508E-4</c:v>
                </c:pt>
                <c:pt idx="312" formatCode="General">
                  <c:v>3.95334891462671E-4</c:v>
                </c:pt>
                <c:pt idx="313" formatCode="General">
                  <c:v>3.96486757713207E-4</c:v>
                </c:pt>
                <c:pt idx="314" formatCode="General">
                  <c:v>3.9763669243888302E-4</c:v>
                </c:pt>
                <c:pt idx="315" formatCode="General">
                  <c:v>3.9879704036466397E-4</c:v>
                </c:pt>
                <c:pt idx="316" formatCode="General">
                  <c:v>3.9999712741124098E-4</c:v>
                </c:pt>
                <c:pt idx="317" formatCode="General">
                  <c:v>4.00726094322926E-4</c:v>
                </c:pt>
                <c:pt idx="318" formatCode="General">
                  <c:v>4.0181309602846502E-4</c:v>
                </c:pt>
                <c:pt idx="319" formatCode="General">
                  <c:v>4.02899705224156E-4</c:v>
                </c:pt>
                <c:pt idx="320" formatCode="General">
                  <c:v>4.03998315468956E-4</c:v>
                </c:pt>
                <c:pt idx="321" formatCode="General">
                  <c:v>4.0510699531538298E-4</c:v>
                </c:pt>
                <c:pt idx="322" formatCode="General">
                  <c:v>4.06224485809397E-4</c:v>
                </c:pt>
                <c:pt idx="323" formatCode="General">
                  <c:v>4.0734964929793399E-4</c:v>
                </c:pt>
                <c:pt idx="324" formatCode="General">
                  <c:v>4.08481473868114E-4</c:v>
                </c:pt>
                <c:pt idx="325" formatCode="General">
                  <c:v>4.09619060606913E-4</c:v>
                </c:pt>
                <c:pt idx="326" formatCode="General">
                  <c:v>4.1076161228285901E-4</c:v>
                </c:pt>
                <c:pt idx="327" formatCode="General">
                  <c:v>4.1190842289543699E-4</c:v>
                </c:pt>
                <c:pt idx="328" formatCode="General">
                  <c:v>4.1305886808753101E-4</c:v>
                </c:pt>
                <c:pt idx="329" formatCode="General">
                  <c:v>4.1421239638959401E-4</c:v>
                </c:pt>
                <c:pt idx="330" formatCode="General">
                  <c:v>4.1536852125636701E-4</c:v>
                </c:pt>
                <c:pt idx="331" formatCode="General">
                  <c:v>4.1652681385137102E-4</c:v>
                </c:pt>
                <c:pt idx="332" formatCode="General">
                  <c:v>4.1768689653095599E-4</c:v>
                </c:pt>
                <c:pt idx="333" formatCode="General">
                  <c:v>4.1884843697810099E-4</c:v>
                </c:pt>
                <c:pt idx="334" formatCode="General">
                  <c:v>4.2001114293585198E-4</c:v>
                </c:pt>
                <c:pt idx="335" formatCode="General">
                  <c:v>4.2117475749116801E-4</c:v>
                </c:pt>
                <c:pt idx="336" formatCode="General">
                  <c:v>4.2233905486149201E-4</c:v>
                </c:pt>
                <c:pt idx="337" formatCode="General">
                  <c:v>4.2350383663856598E-4</c:v>
                </c:pt>
                <c:pt idx="338" formatCode="General">
                  <c:v>4.2466892844654898E-4</c:v>
                </c:pt>
                <c:pt idx="339" formatCode="General">
                  <c:v>4.2583417697421403E-4</c:v>
                </c:pt>
                <c:pt idx="340" formatCode="General">
                  <c:v>4.2699944734393301E-4</c:v>
                </c:pt>
                <c:pt idx="341" formatCode="General">
                  <c:v>4.2816462078298299E-4</c:v>
                </c:pt>
                <c:pt idx="342" formatCode="General">
                  <c:v>4.2932959256559002E-4</c:v>
                </c:pt>
                <c:pt idx="343" formatCode="General">
                  <c:v>4.3049427019684403E-4</c:v>
                </c:pt>
                <c:pt idx="344" formatCode="General">
                  <c:v>4.3165857181225599E-4</c:v>
                </c:pt>
                <c:pt idx="345" formatCode="General">
                  <c:v>4.32822424769177E-4</c:v>
                </c:pt>
                <c:pt idx="346" formatCode="General">
                  <c:v>4.3398576440861303E-4</c:v>
                </c:pt>
                <c:pt idx="347" formatCode="General">
                  <c:v>4.35148532968113E-4</c:v>
                </c:pt>
                <c:pt idx="348" formatCode="General">
                  <c:v>4.3631067862836501E-4</c:v>
                </c:pt>
                <c:pt idx="349" formatCode="General">
                  <c:v>4.3747215467796402E-4</c:v>
                </c:pt>
                <c:pt idx="350" formatCode="General">
                  <c:v>4.3863291878243099E-4</c:v>
                </c:pt>
                <c:pt idx="351" formatCode="General">
                  <c:v>4.3979293234509798E-4</c:v>
                </c:pt>
                <c:pt idx="352" formatCode="General">
                  <c:v>4.4095215994881801E-4</c:v>
                </c:pt>
                <c:pt idx="353" formatCode="General">
                  <c:v>4.4211056886865802E-4</c:v>
                </c:pt>
                <c:pt idx="354" formatCode="General">
                  <c:v>4.4326812864689199E-4</c:v>
                </c:pt>
                <c:pt idx="355" formatCode="General">
                  <c:v>4.4442481072255301E-4</c:v>
                </c:pt>
                <c:pt idx="356" formatCode="General">
                  <c:v>4.4558058810870898E-4</c:v>
                </c:pt>
                <c:pt idx="357" formatCode="General">
                  <c:v>4.4558058810870898E-4</c:v>
                </c:pt>
                <c:pt idx="358" formatCode="General">
                  <c:v>4.4558058810870898E-4</c:v>
                </c:pt>
                <c:pt idx="359" formatCode="General">
                  <c:v>4.4673707179376299E-4</c:v>
                </c:pt>
                <c:pt idx="360" formatCode="General">
                  <c:v>4.4798121334644697E-4</c:v>
                </c:pt>
                <c:pt idx="361" formatCode="General">
                  <c:v>4.4901404038128297E-4</c:v>
                </c:pt>
                <c:pt idx="362" formatCode="General">
                  <c:v>4.4999553469259198E-4</c:v>
                </c:pt>
                <c:pt idx="363" formatCode="General">
                  <c:v>4.5089244241680202E-4</c:v>
                </c:pt>
                <c:pt idx="364" formatCode="General">
                  <c:v>4.5164266585056802E-4</c:v>
                </c:pt>
                <c:pt idx="365" formatCode="General">
                  <c:v>4.5164266585056802E-4</c:v>
                </c:pt>
                <c:pt idx="366" formatCode="General">
                  <c:v>4.5164266585056802E-4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FE-49BC-B1F1-19675E8EE163}"/>
            </c:ext>
          </c:extLst>
        </c:ser>
        <c:ser>
          <c:idx val="2"/>
          <c:order val="2"/>
          <c:tx>
            <c:strRef>
              <c:f>Implicit_Fracs!$BN$1</c:f>
              <c:strCache>
                <c:ptCount val="1"/>
                <c:pt idx="0">
                  <c:v>uF Porosity: Size-dependent aperture</c:v>
                </c:pt>
              </c:strCache>
            </c:strRef>
          </c:tx>
          <c:spPr>
            <a:ln w="19050" cap="rnd">
              <a:solidFill>
                <a:srgbClr val="0000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Implicit_Fracs!$C$5:$C$371</c:f>
              <c:numCache>
                <c:formatCode>General</c:formatCode>
                <c:ptCount val="367"/>
                <c:pt idx="0">
                  <c:v>0.10158646265419501</c:v>
                </c:pt>
                <c:pt idx="1">
                  <c:v>0.102060105178604</c:v>
                </c:pt>
                <c:pt idx="2">
                  <c:v>0.102354758409441</c:v>
                </c:pt>
                <c:pt idx="3">
                  <c:v>0.10257003610151801</c:v>
                </c:pt>
                <c:pt idx="4">
                  <c:v>0.102740146597483</c:v>
                </c:pt>
                <c:pt idx="5">
                  <c:v>0.10288102093448701</c:v>
                </c:pt>
                <c:pt idx="6">
                  <c:v>0.10300139565401099</c:v>
                </c:pt>
                <c:pt idx="7">
                  <c:v>0.10310658737638601</c:v>
                </c:pt>
                <c:pt idx="8">
                  <c:v>0.103200075337502</c:v>
                </c:pt>
                <c:pt idx="9">
                  <c:v>0.103284262204</c:v>
                </c:pt>
                <c:pt idx="10">
                  <c:v>0.103360877526633</c:v>
                </c:pt>
                <c:pt idx="11">
                  <c:v>0.103431208153653</c:v>
                </c:pt>
                <c:pt idx="12">
                  <c:v>0.103496237708407</c:v>
                </c:pt>
                <c:pt idx="13">
                  <c:v>0.103556735084609</c:v>
                </c:pt>
                <c:pt idx="14">
                  <c:v>0.103613312816801</c:v>
                </c:pt>
                <c:pt idx="15">
                  <c:v>0.103666466857375</c:v>
                </c:pt>
                <c:pt idx="16">
                  <c:v>0.10371660444741999</c:v>
                </c:pt>
                <c:pt idx="17">
                  <c:v>0.10376406411969299</c:v>
                </c:pt>
                <c:pt idx="18">
                  <c:v>0.10380913035858701</c:v>
                </c:pt>
                <c:pt idx="19">
                  <c:v>0.103852044544123</c:v>
                </c:pt>
                <c:pt idx="20">
                  <c:v>0.103893013256558</c:v>
                </c:pt>
                <c:pt idx="21">
                  <c:v>0.103932214670875</c:v>
                </c:pt>
                <c:pt idx="22">
                  <c:v>0.10396980354554</c:v>
                </c:pt>
                <c:pt idx="23">
                  <c:v>0.104005915161023</c:v>
                </c:pt>
                <c:pt idx="24">
                  <c:v>0.10404066846285701</c:v>
                </c:pt>
                <c:pt idx="25">
                  <c:v>0.104074168594671</c:v>
                </c:pt>
                <c:pt idx="26">
                  <c:v>0.10410650895807599</c:v>
                </c:pt>
                <c:pt idx="27">
                  <c:v>0.10413777290170501</c:v>
                </c:pt>
                <c:pt idx="28">
                  <c:v>0.104168035116796</c:v>
                </c:pt>
                <c:pt idx="29">
                  <c:v>0.104197362798492</c:v>
                </c:pt>
                <c:pt idx="30">
                  <c:v>0.104225816618547</c:v>
                </c:pt>
                <c:pt idx="31">
                  <c:v>0.104253451545067</c:v>
                </c:pt>
                <c:pt idx="32">
                  <c:v>0.104280317537286</c:v>
                </c:pt>
                <c:pt idx="33">
                  <c:v>0.10430646013757899</c:v>
                </c:pt>
                <c:pt idx="34">
                  <c:v>0.10433192097843901</c:v>
                </c:pt>
                <c:pt idx="35">
                  <c:v>0.104356738218675</c:v>
                </c:pt>
                <c:pt idx="36">
                  <c:v>0.10438094692038</c:v>
                </c:pt>
                <c:pt idx="37">
                  <c:v>0.104404579376061</c:v>
                </c:pt>
                <c:pt idx="38">
                  <c:v>0.10442766539470601</c:v>
                </c:pt>
                <c:pt idx="39">
                  <c:v>0.104450232550895</c:v>
                </c:pt>
                <c:pt idx="40">
                  <c:v>0.104472306403378</c:v>
                </c:pt>
                <c:pt idx="41">
                  <c:v>0.104493910687546</c:v>
                </c:pt>
                <c:pt idx="42">
                  <c:v>0.104515067485448</c:v>
                </c:pt>
                <c:pt idx="43">
                  <c:v>0.104535797376425</c:v>
                </c:pt>
                <c:pt idx="44">
                  <c:v>0.104556119570968</c:v>
                </c:pt>
                <c:pt idx="45">
                  <c:v>0.10457605202998201</c:v>
                </c:pt>
                <c:pt idx="46">
                  <c:v>0.10459561157132601</c:v>
                </c:pt>
                <c:pt idx="47">
                  <c:v>0.10461481396524</c:v>
                </c:pt>
                <c:pt idx="48">
                  <c:v>0.104633674020002</c:v>
                </c:pt>
                <c:pt idx="49">
                  <c:v>0.104652205659008</c:v>
                </c:pt>
                <c:pt idx="50">
                  <c:v>0.10467042199028</c:v>
                </c:pt>
                <c:pt idx="51">
                  <c:v>0.10468833536927501</c:v>
                </c:pt>
                <c:pt idx="52">
                  <c:v>0.104705957455764</c:v>
                </c:pt>
                <c:pt idx="53">
                  <c:v>0.104723299265432</c:v>
                </c:pt>
                <c:pt idx="54">
                  <c:v>0.10474037121678501</c:v>
                </c:pt>
                <c:pt idx="55">
                  <c:v>0.104757183173858</c:v>
                </c:pt>
                <c:pt idx="56">
                  <c:v>0.10477374448518</c:v>
                </c:pt>
                <c:pt idx="57">
                  <c:v>0.104790064019366</c:v>
                </c:pt>
                <c:pt idx="58">
                  <c:v>0.10480615019770299</c:v>
                </c:pt>
                <c:pt idx="59">
                  <c:v>0.104822011024007</c:v>
                </c:pt>
                <c:pt idx="60">
                  <c:v>0.10483765411203801</c:v>
                </c:pt>
                <c:pt idx="61">
                  <c:v>0.104853086710699</c:v>
                </c:pt>
                <c:pt idx="62">
                  <c:v>0.10486831572724099</c:v>
                </c:pt>
                <c:pt idx="63">
                  <c:v>0.104883347748643</c:v>
                </c:pt>
                <c:pt idx="64">
                  <c:v>0.104898189061358</c:v>
                </c:pt>
                <c:pt idx="65">
                  <c:v>0.104912845669559</c:v>
                </c:pt>
                <c:pt idx="66">
                  <c:v>0.10492732331202199</c:v>
                </c:pt>
                <c:pt idx="67">
                  <c:v>0.10494162747777</c:v>
                </c:pt>
                <c:pt idx="68">
                  <c:v>0.10495576342058401</c:v>
                </c:pt>
                <c:pt idx="69">
                  <c:v>0.104969736172476</c:v>
                </c:pt>
                <c:pt idx="70">
                  <c:v>0.104983550556215</c:v>
                </c:pt>
                <c:pt idx="71">
                  <c:v>0.104997211196988</c:v>
                </c:pt>
                <c:pt idx="72">
                  <c:v>0.105010722533251</c:v>
                </c:pt>
                <c:pt idx="73">
                  <c:v>0.10502408882686499</c:v>
                </c:pt>
                <c:pt idx="74">
                  <c:v>0.105037314172539</c:v>
                </c:pt>
                <c:pt idx="75">
                  <c:v>0.10505040250667</c:v>
                </c:pt>
                <c:pt idx="76">
                  <c:v>0.105063357615594</c:v>
                </c:pt>
                <c:pt idx="77">
                  <c:v>0.105076183143323</c:v>
                </c:pt>
                <c:pt idx="78">
                  <c:v>0.10508888259878001</c:v>
                </c:pt>
                <c:pt idx="79">
                  <c:v>0.105101459362598</c:v>
                </c:pt>
                <c:pt idx="80">
                  <c:v>0.10511391669348399</c:v>
                </c:pt>
                <c:pt idx="81">
                  <c:v>0.10512625773421</c:v>
                </c:pt>
                <c:pt idx="82">
                  <c:v>0.10513848551723599</c:v>
                </c:pt>
                <c:pt idx="83">
                  <c:v>0.10515060297000201</c:v>
                </c:pt>
                <c:pt idx="84">
                  <c:v>0.105162612919908</c:v>
                </c:pt>
                <c:pt idx="85">
                  <c:v>0.105174518099013</c:v>
                </c:pt>
                <c:pt idx="86">
                  <c:v>0.105186321148453</c:v>
                </c:pt>
                <c:pt idx="87">
                  <c:v>0.105198024622616</c:v>
                </c:pt>
                <c:pt idx="88">
                  <c:v>0.105209630993088</c:v>
                </c:pt>
                <c:pt idx="89">
                  <c:v>0.10522114265237301</c:v>
                </c:pt>
                <c:pt idx="90">
                  <c:v>0.105232561917411</c:v>
                </c:pt>
                <c:pt idx="91">
                  <c:v>0.105243891032912</c:v>
                </c:pt>
                <c:pt idx="92">
                  <c:v>0.105255132174505</c:v>
                </c:pt>
                <c:pt idx="93">
                  <c:v>0.10526628745172401</c:v>
                </c:pt>
                <c:pt idx="94">
                  <c:v>0.105277358910841</c:v>
                </c:pt>
                <c:pt idx="95">
                  <c:v>0.105288348537545</c:v>
                </c:pt>
                <c:pt idx="96">
                  <c:v>0.10529925825949001</c:v>
                </c:pt>
                <c:pt idx="97">
                  <c:v>0.105310089948715</c:v>
                </c:pt>
                <c:pt idx="98">
                  <c:v>0.10532084542394</c:v>
                </c:pt>
                <c:pt idx="99">
                  <c:v>0.105331526452749</c:v>
                </c:pt>
                <c:pt idx="100">
                  <c:v>0.10534213475366599</c:v>
                </c:pt>
                <c:pt idx="101">
                  <c:v>0.105352671998135</c:v>
                </c:pt>
                <c:pt idx="102">
                  <c:v>0.105363139812398</c:v>
                </c:pt>
                <c:pt idx="103">
                  <c:v>0.10537353977929</c:v>
                </c:pt>
                <c:pt idx="104">
                  <c:v>0.105383873439947</c:v>
                </c:pt>
                <c:pt idx="105">
                  <c:v>0.105394142295438</c:v>
                </c:pt>
                <c:pt idx="106">
                  <c:v>0.10540434780831399</c:v>
                </c:pt>
                <c:pt idx="107">
                  <c:v>0.1054144914041</c:v>
                </c:pt>
                <c:pt idx="108">
                  <c:v>0.105424574472708</c:v>
                </c:pt>
                <c:pt idx="109">
                  <c:v>0.10543459836979301</c:v>
                </c:pt>
                <c:pt idx="110">
                  <c:v>0.105444564418049</c:v>
                </c:pt>
                <c:pt idx="111">
                  <c:v>0.105454473908448</c:v>
                </c:pt>
                <c:pt idx="112">
                  <c:v>0.105464328101426</c:v>
                </c:pt>
                <c:pt idx="113">
                  <c:v>0.10547412822802001</c:v>
                </c:pt>
                <c:pt idx="114">
                  <c:v>0.10548387549095201</c:v>
                </c:pt>
                <c:pt idx="115">
                  <c:v>0.105493571065675</c:v>
                </c:pt>
                <c:pt idx="116">
                  <c:v>0.105503216101374</c:v>
                </c:pt>
                <c:pt idx="117">
                  <c:v>0.10551281172191999</c:v>
                </c:pt>
                <c:pt idx="118">
                  <c:v>0.10552235902679701</c:v>
                </c:pt>
                <c:pt idx="119">
                  <c:v>0.105531859091982</c:v>
                </c:pt>
                <c:pt idx="120">
                  <c:v>0.105541312970793</c:v>
                </c:pt>
                <c:pt idx="121">
                  <c:v>0.105550721694713</c:v>
                </c:pt>
                <c:pt idx="122">
                  <c:v>0.10556008627416701</c:v>
                </c:pt>
                <c:pt idx="123">
                  <c:v>0.105569407699282</c:v>
                </c:pt>
                <c:pt idx="124">
                  <c:v>0.105578686940613</c:v>
                </c:pt>
                <c:pt idx="125">
                  <c:v>0.10558792494984499</c:v>
                </c:pt>
                <c:pt idx="126">
                  <c:v>0.105597122660464</c:v>
                </c:pt>
                <c:pt idx="127">
                  <c:v>0.105606280988415</c:v>
                </c:pt>
                <c:pt idx="128">
                  <c:v>0.105615400832723</c:v>
                </c:pt>
                <c:pt idx="129">
                  <c:v>0.10562448307610101</c:v>
                </c:pt>
                <c:pt idx="130">
                  <c:v>0.105633528585537</c:v>
                </c:pt>
                <c:pt idx="131">
                  <c:v>0.105642538212856</c:v>
                </c:pt>
                <c:pt idx="132">
                  <c:v>0.10565151279527001</c:v>
                </c:pt>
                <c:pt idx="133">
                  <c:v>0.105660453155901</c:v>
                </c:pt>
                <c:pt idx="134">
                  <c:v>0.1056693601043</c:v>
                </c:pt>
                <c:pt idx="135">
                  <c:v>0.105678234436935</c:v>
                </c:pt>
                <c:pt idx="136">
                  <c:v>0.105687076937673</c:v>
                </c:pt>
                <c:pt idx="137">
                  <c:v>0.10569588837824601</c:v>
                </c:pt>
                <c:pt idx="138">
                  <c:v>0.105704669518702</c:v>
                </c:pt>
                <c:pt idx="139">
                  <c:v>0.105713421107842</c:v>
                </c:pt>
                <c:pt idx="140">
                  <c:v>0.105722143883642</c:v>
                </c:pt>
                <c:pt idx="141">
                  <c:v>0.10573083857367301</c:v>
                </c:pt>
                <c:pt idx="142">
                  <c:v>0.10573950589549699</c:v>
                </c:pt>
                <c:pt idx="143">
                  <c:v>0.105748146557059</c:v>
                </c:pt>
                <c:pt idx="144">
                  <c:v>0.105756761257069</c:v>
                </c:pt>
                <c:pt idx="145">
                  <c:v>0.105765350685371</c:v>
                </c:pt>
                <c:pt idx="146">
                  <c:v>0.10577391552330601</c:v>
                </c:pt>
                <c:pt idx="147">
                  <c:v>0.105782456444064</c:v>
                </c:pt>
                <c:pt idx="148">
                  <c:v>0.105790974113029</c:v>
                </c:pt>
                <c:pt idx="149">
                  <c:v>0.105799469188117</c:v>
                </c:pt>
                <c:pt idx="150">
                  <c:v>0.105807942320102</c:v>
                </c:pt>
                <c:pt idx="151">
                  <c:v>0.105816394152941</c:v>
                </c:pt>
                <c:pt idx="152">
                  <c:v>0.10582482532409</c:v>
                </c:pt>
                <c:pt idx="153">
                  <c:v>0.10583323646481201</c:v>
                </c:pt>
                <c:pt idx="154">
                  <c:v>0.105841628200482</c:v>
                </c:pt>
                <c:pt idx="155">
                  <c:v>0.105850001150887</c:v>
                </c:pt>
                <c:pt idx="156">
                  <c:v>0.105858355930516</c:v>
                </c:pt>
                <c:pt idx="157">
                  <c:v>0.105866693148851</c:v>
                </c:pt>
                <c:pt idx="158">
                  <c:v>0.105875013410654</c:v>
                </c:pt>
                <c:pt idx="159">
                  <c:v>0.10588331731624</c:v>
                </c:pt>
                <c:pt idx="160">
                  <c:v>0.105891605461765</c:v>
                </c:pt>
                <c:pt idx="161">
                  <c:v>0.10589987843948701</c:v>
                </c:pt>
                <c:pt idx="162">
                  <c:v>0.10590813683804701</c:v>
                </c:pt>
                <c:pt idx="163">
                  <c:v>0.10591638124273201</c:v>
                </c:pt>
                <c:pt idx="164">
                  <c:v>0.105924612235738</c:v>
                </c:pt>
                <c:pt idx="165">
                  <c:v>0.10593283039644</c:v>
                </c:pt>
                <c:pt idx="166">
                  <c:v>0.105941036301648</c:v>
                </c:pt>
                <c:pt idx="167">
                  <c:v>0.10594923052586901</c:v>
                </c:pt>
                <c:pt idx="168">
                  <c:v>0.105957413641566</c:v>
                </c:pt>
                <c:pt idx="169">
                  <c:v>0.105965586219415</c:v>
                </c:pt>
                <c:pt idx="170">
                  <c:v>0.105973748828566</c:v>
                </c:pt>
                <c:pt idx="171">
                  <c:v>0.10598190203689301</c:v>
                </c:pt>
                <c:pt idx="172">
                  <c:v>0.105990046411258</c:v>
                </c:pt>
                <c:pt idx="173">
                  <c:v>0.10599818251776701</c:v>
                </c:pt>
                <c:pt idx="174">
                  <c:v>0.106006310922025</c:v>
                </c:pt>
                <c:pt idx="175">
                  <c:v>0.106014432189397</c:v>
                </c:pt>
                <c:pt idx="176">
                  <c:v>0.106022546885271</c:v>
                </c:pt>
                <c:pt idx="177">
                  <c:v>0.10603065557531401</c:v>
                </c:pt>
                <c:pt idx="178">
                  <c:v>0.10603875882574</c:v>
                </c:pt>
                <c:pt idx="179">
                  <c:v>0.106046857203577</c:v>
                </c:pt>
                <c:pt idx="180">
                  <c:v>0.106054951276932</c:v>
                </c:pt>
                <c:pt idx="181">
                  <c:v>0.106063041615263</c:v>
                </c:pt>
                <c:pt idx="182">
                  <c:v>0.10607112878965499</c:v>
                </c:pt>
                <c:pt idx="183">
                  <c:v>0.106079213373101</c:v>
                </c:pt>
                <c:pt idx="184">
                  <c:v>0.106087295940776</c:v>
                </c:pt>
                <c:pt idx="185">
                  <c:v>0.10609537707033299</c:v>
                </c:pt>
                <c:pt idx="186">
                  <c:v>0.106103457342189</c:v>
                </c:pt>
                <c:pt idx="187">
                  <c:v>0.106111537339822</c:v>
                </c:pt>
                <c:pt idx="188">
                  <c:v>0.10611961765007601</c:v>
                </c:pt>
                <c:pt idx="189">
                  <c:v>0.106127698863465</c:v>
                </c:pt>
                <c:pt idx="190">
                  <c:v>0.10613578157449099</c:v>
                </c:pt>
                <c:pt idx="191">
                  <c:v>0.106143866381966</c:v>
                </c:pt>
                <c:pt idx="192">
                  <c:v>0.10615195388934</c:v>
                </c:pt>
                <c:pt idx="193">
                  <c:v>0.106160044705038</c:v>
                </c:pt>
                <c:pt idx="194">
                  <c:v>0.106168139442805</c:v>
                </c:pt>
                <c:pt idx="195">
                  <c:v>0.106176238722063</c:v>
                </c:pt>
                <c:pt idx="196">
                  <c:v>0.106184343168276</c:v>
                </c:pt>
                <c:pt idx="197">
                  <c:v>0.10619245341332301</c:v>
                </c:pt>
                <c:pt idx="198">
                  <c:v>0.106200570095885</c:v>
                </c:pt>
                <c:pt idx="199">
                  <c:v>0.10620869386184199</c:v>
                </c:pt>
                <c:pt idx="200">
                  <c:v>0.10621682536468401</c:v>
                </c:pt>
                <c:pt idx="201">
                  <c:v>0.106224965265935</c:v>
                </c:pt>
                <c:pt idx="202">
                  <c:v>0.106233114235588</c:v>
                </c:pt>
                <c:pt idx="203">
                  <c:v>0.10624127295256</c:v>
                </c:pt>
                <c:pt idx="204">
                  <c:v>0.10624944210515699</c:v>
                </c:pt>
                <c:pt idx="205">
                  <c:v>0.106257622391562</c:v>
                </c:pt>
                <c:pt idx="206">
                  <c:v>0.106265814520335</c:v>
                </c:pt>
                <c:pt idx="207">
                  <c:v>0.106274019210935</c:v>
                </c:pt>
                <c:pt idx="208">
                  <c:v>0.10628223719426</c:v>
                </c:pt>
                <c:pt idx="209">
                  <c:v>0.106290469213214</c:v>
                </c:pt>
                <c:pt idx="210">
                  <c:v>0.106298716023284</c:v>
                </c:pt>
                <c:pt idx="211">
                  <c:v>0.106306978393155</c:v>
                </c:pt>
                <c:pt idx="212">
                  <c:v>0.106315257105341</c:v>
                </c:pt>
                <c:pt idx="213">
                  <c:v>0.10632355295684801</c:v>
                </c:pt>
                <c:pt idx="214">
                  <c:v>0.10633186675985799</c:v>
                </c:pt>
                <c:pt idx="215">
                  <c:v>0.10634019934245301</c:v>
                </c:pt>
                <c:pt idx="216">
                  <c:v>0.106348551549366</c:v>
                </c:pt>
                <c:pt idx="217">
                  <c:v>0.106356924242761</c:v>
                </c:pt>
                <c:pt idx="218">
                  <c:v>0.10636531830306099</c:v>
                </c:pt>
                <c:pt idx="219">
                  <c:v>0.106373734629807</c:v>
                </c:pt>
                <c:pt idx="220">
                  <c:v>0.10638217414255299</c:v>
                </c:pt>
                <c:pt idx="221">
                  <c:v>0.106390637781818</c:v>
                </c:pt>
                <c:pt idx="222">
                  <c:v>0.10639912651007299</c:v>
                </c:pt>
                <c:pt idx="223">
                  <c:v>0.10640764131277999</c:v>
                </c:pt>
                <c:pt idx="224">
                  <c:v>0.10641618319948901</c:v>
                </c:pt>
                <c:pt idx="225">
                  <c:v>0.106424753204983</c:v>
                </c:pt>
                <c:pt idx="226">
                  <c:v>0.10643335239049</c:v>
                </c:pt>
                <c:pt idx="227">
                  <c:v>0.106441981844954</c:v>
                </c:pt>
                <c:pt idx="228">
                  <c:v>0.106450642686375</c:v>
                </c:pt>
                <c:pt idx="229">
                  <c:v>0.10645933606322799</c:v>
                </c:pt>
                <c:pt idx="230">
                  <c:v>0.10646806315594901</c:v>
                </c:pt>
                <c:pt idx="231">
                  <c:v>0.106476825178516</c:v>
                </c:pt>
                <c:pt idx="232">
                  <c:v>0.10648562338011</c:v>
                </c:pt>
                <c:pt idx="233">
                  <c:v>0.106494459046881</c:v>
                </c:pt>
                <c:pt idx="234">
                  <c:v>0.106503333503809</c:v>
                </c:pt>
                <c:pt idx="235">
                  <c:v>0.10651224811667701</c:v>
                </c:pt>
                <c:pt idx="236">
                  <c:v>0.106521204294171</c:v>
                </c:pt>
                <c:pt idx="237">
                  <c:v>0.106530203490093</c:v>
                </c:pt>
                <c:pt idx="238">
                  <c:v>0.10653924720572699</c:v>
                </c:pt>
                <c:pt idx="239">
                  <c:v>0.106548336992338</c:v>
                </c:pt>
                <c:pt idx="240">
                  <c:v>0.106557474453844</c:v>
                </c:pt>
                <c:pt idx="241">
                  <c:v>0.106566661249652</c:v>
                </c:pt>
                <c:pt idx="242">
                  <c:v>0.10657589909767901</c:v>
                </c:pt>
                <c:pt idx="243">
                  <c:v>0.10658518977758299</c:v>
                </c:pt>
                <c:pt idx="244">
                  <c:v>0.106594535134197</c:v>
                </c:pt>
                <c:pt idx="245">
                  <c:v>0.106603937081217</c:v>
                </c:pt>
                <c:pt idx="246">
                  <c:v>0.106613397605125</c:v>
                </c:pt>
                <c:pt idx="247">
                  <c:v>0.10662291876941001</c:v>
                </c:pt>
                <c:pt idx="248">
                  <c:v>0.106632502719071</c:v>
                </c:pt>
                <c:pt idx="249">
                  <c:v>0.10664215168546599</c:v>
                </c:pt>
                <c:pt idx="250">
                  <c:v>0.106651867991505</c:v>
                </c:pt>
                <c:pt idx="251">
                  <c:v>0.106661654057239</c:v>
                </c:pt>
                <c:pt idx="252">
                  <c:v>0.106671512405876</c:v>
                </c:pt>
                <c:pt idx="253">
                  <c:v>0.106681445670259</c:v>
                </c:pt>
                <c:pt idx="254">
                  <c:v>0.106691456599855</c:v>
                </c:pt>
                <c:pt idx="255">
                  <c:v>0.10670154806830701</c:v>
                </c:pt>
                <c:pt idx="256">
                  <c:v>0.106711723081597</c:v>
                </c:pt>
                <c:pt idx="257">
                  <c:v>0.106721984786882</c:v>
                </c:pt>
                <c:pt idx="258">
                  <c:v>0.106732336482082</c:v>
                </c:pt>
                <c:pt idx="259">
                  <c:v>0.10674278162628199</c:v>
                </c:pt>
                <c:pt idx="260">
                  <c:v>0.106753323851043</c:v>
                </c:pt>
                <c:pt idx="261">
                  <c:v>0.106763966972719</c:v>
                </c:pt>
                <c:pt idx="262">
                  <c:v>0.10677471500588499</c:v>
                </c:pt>
                <c:pt idx="263">
                  <c:v>0.10678557217800599</c:v>
                </c:pt>
                <c:pt idx="264">
                  <c:v>0.106796542945475</c:v>
                </c:pt>
                <c:pt idx="265">
                  <c:v>0.10680763201119001</c:v>
                </c:pt>
                <c:pt idx="266">
                  <c:v>0.106818844343851</c:v>
                </c:pt>
                <c:pt idx="267">
                  <c:v>0.106830185199162</c:v>
                </c:pt>
                <c:pt idx="268">
                  <c:v>0.1068416601432</c:v>
                </c:pt>
                <c:pt idx="269">
                  <c:v>0.106853275078199</c:v>
                </c:pt>
                <c:pt idx="270">
                  <c:v>0.10686503627105901</c:v>
                </c:pt>
                <c:pt idx="271">
                  <c:v>0.106876950384948</c:v>
                </c:pt>
                <c:pt idx="272">
                  <c:v>0.10688902451438199</c:v>
                </c:pt>
                <c:pt idx="273">
                  <c:v>0.106901266224276</c:v>
                </c:pt>
                <c:pt idx="274">
                  <c:v>0.106913683593506</c:v>
                </c:pt>
                <c:pt idx="275">
                  <c:v>0.106926285263621</c:v>
                </c:pt>
                <c:pt idx="276">
                  <c:v>0.106939080493455</c:v>
                </c:pt>
                <c:pt idx="277">
                  <c:v>0.10695207922051</c:v>
                </c:pt>
                <c:pt idx="278">
                  <c:v>0.10696529213014599</c:v>
                </c:pt>
                <c:pt idx="279">
                  <c:v>0.106978730733797</c:v>
                </c:pt>
                <c:pt idx="280">
                  <c:v>0.106992407457646</c:v>
                </c:pt>
                <c:pt idx="281">
                  <c:v>0.107006335743491</c:v>
                </c:pt>
                <c:pt idx="282">
                  <c:v>0.10702053016384699</c:v>
                </c:pt>
                <c:pt idx="283">
                  <c:v>0.107035006553762</c:v>
                </c:pt>
                <c:pt idx="284">
                  <c:v>0.107049782162317</c:v>
                </c:pt>
                <c:pt idx="285">
                  <c:v>0.10706487582742701</c:v>
                </c:pt>
                <c:pt idx="286">
                  <c:v>0.107080308178348</c:v>
                </c:pt>
                <c:pt idx="287">
                  <c:v>0.10709610187127599</c:v>
                </c:pt>
                <c:pt idx="288">
                  <c:v>0.10711228186470099</c:v>
                </c:pt>
                <c:pt idx="289">
                  <c:v>0.107128875742745</c:v>
                </c:pt>
                <c:pt idx="290">
                  <c:v>0.107145914096787</c:v>
                </c:pt>
                <c:pt idx="291">
                  <c:v>0.10716343097827</c:v>
                </c:pt>
                <c:pt idx="292">
                  <c:v>0.10718146443905199</c:v>
                </c:pt>
                <c:pt idx="293">
                  <c:v>0.107200057180087</c:v>
                </c:pt>
                <c:pt idx="294">
                  <c:v>0.10721925733519</c:v>
                </c:pt>
                <c:pt idx="295">
                  <c:v>0.107239119424452</c:v>
                </c:pt>
                <c:pt idx="296">
                  <c:v>0.10725970552248799</c:v>
                </c:pt>
                <c:pt idx="297">
                  <c:v>0.107281086701057</c:v>
                </c:pt>
                <c:pt idx="298">
                  <c:v>0.10730334482520799</c:v>
                </c:pt>
                <c:pt idx="299">
                  <c:v>0.107326574809414</c:v>
                </c:pt>
                <c:pt idx="300">
                  <c:v>0.10735088747820599</c:v>
                </c:pt>
                <c:pt idx="301">
                  <c:v>0.10737641322982</c:v>
                </c:pt>
                <c:pt idx="302">
                  <c:v>0.107403306778537</c:v>
                </c:pt>
                <c:pt idx="303">
                  <c:v>0.10743175336319</c:v>
                </c:pt>
                <c:pt idx="304">
                  <c:v>0.107461976972791</c:v>
                </c:pt>
                <c:pt idx="305">
                  <c:v>0.107494251381856</c:v>
                </c:pt>
                <c:pt idx="306">
                  <c:v>0.107528915147976</c:v>
                </c:pt>
                <c:pt idx="307">
                  <c:v>0.107566392263413</c:v>
                </c:pt>
                <c:pt idx="308">
                  <c:v>0.10760722096054399</c:v>
                </c:pt>
                <c:pt idx="309">
                  <c:v>0.107652094373539</c:v>
                </c:pt>
                <c:pt idx="310">
                  <c:v>0.107701918517204</c:v>
                </c:pt>
                <c:pt idx="311">
                  <c:v>0.107757895545197</c:v>
                </c:pt>
                <c:pt idx="312">
                  <c:v>0.107821643761701</c:v>
                </c:pt>
                <c:pt idx="313">
                  <c:v>0.107895371464266</c:v>
                </c:pt>
                <c:pt idx="314">
                  <c:v>0.107982136054144</c:v>
                </c:pt>
                <c:pt idx="315">
                  <c:v>0.108086279484475</c:v>
                </c:pt>
                <c:pt idx="316">
                  <c:v>0.10821441051713999</c:v>
                </c:pt>
                <c:pt idx="317">
                  <c:v>0.108378611684964</c:v>
                </c:pt>
                <c:pt idx="318">
                  <c:v>0.10851279142848901</c:v>
                </c:pt>
                <c:pt idx="319">
                  <c:v>0.108646878508965</c:v>
                </c:pt>
                <c:pt idx="320">
                  <c:v>0.108781836007877</c:v>
                </c:pt>
                <c:pt idx="321">
                  <c:v>0.108917703938839</c:v>
                </c:pt>
                <c:pt idx="322">
                  <c:v>0.109054545173906</c:v>
                </c:pt>
                <c:pt idx="323">
                  <c:v>0.109192417872054</c:v>
                </c:pt>
                <c:pt idx="324">
                  <c:v>0.109331376964383</c:v>
                </c:pt>
                <c:pt idx="325">
                  <c:v>0.10947147454287399</c:v>
                </c:pt>
                <c:pt idx="326">
                  <c:v>0.109612760241196</c:v>
                </c:pt>
                <c:pt idx="327">
                  <c:v>0.10975528157779101</c:v>
                </c:pt>
                <c:pt idx="328">
                  <c:v>0.109899084266184</c:v>
                </c:pt>
                <c:pt idx="329">
                  <c:v>0.110044212495958</c:v>
                </c:pt>
                <c:pt idx="330">
                  <c:v>0.11019070918751001</c:v>
                </c:pt>
                <c:pt idx="331">
                  <c:v>0.11033861622334599</c:v>
                </c:pt>
                <c:pt idx="332">
                  <c:v>0.110487974658393</c:v>
                </c:pt>
                <c:pt idx="333">
                  <c:v>0.110638824911563</c:v>
                </c:pt>
                <c:pt idx="334">
                  <c:v>0.110791206940568</c:v>
                </c:pt>
                <c:pt idx="335">
                  <c:v>0.11094516040180299</c:v>
                </c:pt>
                <c:pt idx="336">
                  <c:v>0.11110072479692901</c:v>
                </c:pt>
                <c:pt idx="337">
                  <c:v>0.111257939607629</c:v>
                </c:pt>
                <c:pt idx="338">
                  <c:v>0.111416844419904</c:v>
                </c:pt>
                <c:pt idx="339">
                  <c:v>0.111577479039088</c:v>
                </c:pt>
                <c:pt idx="340">
                  <c:v>0.111739883596728</c:v>
                </c:pt>
                <c:pt idx="341">
                  <c:v>0.111904098650297</c:v>
                </c:pt>
                <c:pt idx="342">
                  <c:v>0.11207016527668</c:v>
                </c:pt>
                <c:pt idx="343">
                  <c:v>0.112238125160255</c:v>
                </c:pt>
                <c:pt idx="344">
                  <c:v>0.11240802067632299</c:v>
                </c:pt>
                <c:pt idx="345">
                  <c:v>0.11257989497059701</c:v>
                </c:pt>
                <c:pt idx="346">
                  <c:v>0.112753792035371</c:v>
                </c:pt>
                <c:pt idx="347">
                  <c:v>0.112929756782956</c:v>
                </c:pt>
                <c:pt idx="348">
                  <c:v>0.113107835116922</c:v>
                </c:pt>
                <c:pt idx="349">
                  <c:v>0.113288074001635</c:v>
                </c:pt>
                <c:pt idx="350">
                  <c:v>0.113470521530551</c:v>
                </c:pt>
                <c:pt idx="351">
                  <c:v>0.113655226993682</c:v>
                </c:pt>
                <c:pt idx="352">
                  <c:v>0.113842240944644</c:v>
                </c:pt>
                <c:pt idx="353">
                  <c:v>0.114031615267637</c:v>
                </c:pt>
                <c:pt idx="354">
                  <c:v>0.11422340324472501</c:v>
                </c:pt>
                <c:pt idx="355">
                  <c:v>0.11441765962373</c:v>
                </c:pt>
                <c:pt idx="356">
                  <c:v>0.114614440687063</c:v>
                </c:pt>
                <c:pt idx="357">
                  <c:v>0.114813804321789</c:v>
                </c:pt>
                <c:pt idx="358">
                  <c:v>0.22425676384167301</c:v>
                </c:pt>
                <c:pt idx="359">
                  <c:v>0.30704288935609397</c:v>
                </c:pt>
                <c:pt idx="360">
                  <c:v>0.30834090817871301</c:v>
                </c:pt>
                <c:pt idx="361">
                  <c:v>0.30921577139060102</c:v>
                </c:pt>
                <c:pt idx="362">
                  <c:v>0.31017471350345399</c:v>
                </c:pt>
                <c:pt idx="363">
                  <c:v>0.31131883897321</c:v>
                </c:pt>
                <c:pt idx="364">
                  <c:v>0.31289797505880901</c:v>
                </c:pt>
                <c:pt idx="365">
                  <c:v>0.51289797505880896</c:v>
                </c:pt>
                <c:pt idx="366">
                  <c:v>0.51289797505880896</c:v>
                </c:pt>
              </c:numCache>
            </c:numRef>
          </c:xVal>
          <c:yVal>
            <c:numRef>
              <c:f>Implicit_Fracs!$BN$5:$BN$371</c:f>
              <c:numCache>
                <c:formatCode>0.00E+00</c:formatCode>
                <c:ptCount val="367"/>
                <c:pt idx="0">
                  <c:v>4.28637032309228E-7</c:v>
                </c:pt>
                <c:pt idx="1">
                  <c:v>4.2666734484370299E-7</c:v>
                </c:pt>
                <c:pt idx="2">
                  <c:v>4.2533253298515801E-7</c:v>
                </c:pt>
                <c:pt idx="3">
                  <c:v>4.2437874270048998E-7</c:v>
                </c:pt>
                <c:pt idx="4">
                  <c:v>4.2359982320300198E-7</c:v>
                </c:pt>
                <c:pt idx="5">
                  <c:v>4.2285653187077499E-7</c:v>
                </c:pt>
                <c:pt idx="6">
                  <c:v>4.2226898022335299E-7</c:v>
                </c:pt>
                <c:pt idx="7">
                  <c:v>4.2166053948663899E-7</c:v>
                </c:pt>
                <c:pt idx="8">
                  <c:v>4.2117594435001902E-7</c:v>
                </c:pt>
                <c:pt idx="9">
                  <c:v>4.2072689869026103E-7</c:v>
                </c:pt>
                <c:pt idx="10">
                  <c:v>4.2022564426992402E-7</c:v>
                </c:pt>
                <c:pt idx="11">
                  <c:v>4.1991112522680002E-7</c:v>
                </c:pt>
                <c:pt idx="12">
                  <c:v>4.1945313247884598E-7</c:v>
                </c:pt>
                <c:pt idx="13">
                  <c:v>4.1909448939385799E-7</c:v>
                </c:pt>
                <c:pt idx="14">
                  <c:v>4.1875077577846703E-7</c:v>
                </c:pt>
                <c:pt idx="15">
                  <c:v>4.1833702250469598E-7</c:v>
                </c:pt>
                <c:pt idx="16">
                  <c:v>4.1801782813717602E-7</c:v>
                </c:pt>
                <c:pt idx="17">
                  <c:v>4.1762525739949601E-7</c:v>
                </c:pt>
                <c:pt idx="18">
                  <c:v>4.1732533078098697E-7</c:v>
                </c:pt>
                <c:pt idx="19">
                  <c:v>4.1694965886604202E-7</c:v>
                </c:pt>
                <c:pt idx="20">
                  <c:v>4.1666526228653801E-7</c:v>
                </c:pt>
                <c:pt idx="21">
                  <c:v>4.16387548820194E-7</c:v>
                </c:pt>
                <c:pt idx="22">
                  <c:v>4.1603166326830102E-7</c:v>
                </c:pt>
                <c:pt idx="23">
                  <c:v>4.1576560458650299E-7</c:v>
                </c:pt>
                <c:pt idx="24">
                  <c:v>4.1542025342745E-7</c:v>
                </c:pt>
                <c:pt idx="25">
                  <c:v>4.1516399736073499E-7</c:v>
                </c:pt>
                <c:pt idx="26">
                  <c:v>4.1482761248680702E-7</c:v>
                </c:pt>
                <c:pt idx="27">
                  <c:v>4.14579702149316E-7</c:v>
                </c:pt>
                <c:pt idx="28">
                  <c:v>4.1441999407782799E-7</c:v>
                </c:pt>
                <c:pt idx="29">
                  <c:v>4.1409480728478798E-7</c:v>
                </c:pt>
                <c:pt idx="30">
                  <c:v>4.1385730671312E-7</c:v>
                </c:pt>
                <c:pt idx="31">
                  <c:v>4.1353841610321902E-7</c:v>
                </c:pt>
                <c:pt idx="32">
                  <c:v>4.1330674326967801E-7</c:v>
                </c:pt>
                <c:pt idx="33">
                  <c:v>4.13077702971453E-7</c:v>
                </c:pt>
                <c:pt idx="34">
                  <c:v>4.12766899711241E-7</c:v>
                </c:pt>
                <c:pt idx="35">
                  <c:v>4.1254265676708099E-7</c:v>
                </c:pt>
                <c:pt idx="36">
                  <c:v>4.12236521463075E-7</c:v>
                </c:pt>
                <c:pt idx="37">
                  <c:v>4.1201651741676702E-7</c:v>
                </c:pt>
                <c:pt idx="38">
                  <c:v>4.1171457221093703E-7</c:v>
                </c:pt>
                <c:pt idx="39">
                  <c:v>4.1149834335777202E-7</c:v>
                </c:pt>
                <c:pt idx="40">
                  <c:v>4.1128385173905298E-7</c:v>
                </c:pt>
                <c:pt idx="41">
                  <c:v>4.1098744458942698E-7</c:v>
                </c:pt>
                <c:pt idx="42">
                  <c:v>4.1077614115197699E-7</c:v>
                </c:pt>
                <c:pt idx="43">
                  <c:v>4.1048302013208399E-7</c:v>
                </c:pt>
                <c:pt idx="44">
                  <c:v>4.1027458258575E-7</c:v>
                </c:pt>
                <c:pt idx="45">
                  <c:v>4.0998445813657299E-7</c:v>
                </c:pt>
                <c:pt idx="46">
                  <c:v>4.0986146337334799E-7</c:v>
                </c:pt>
                <c:pt idx="47">
                  <c:v>4.09656804341193E-7</c:v>
                </c:pt>
                <c:pt idx="48">
                  <c:v>4.0937072565867998E-7</c:v>
                </c:pt>
                <c:pt idx="49">
                  <c:v>4.0916827909675198E-7</c:v>
                </c:pt>
                <c:pt idx="50">
                  <c:v>4.0888463737710699E-7</c:v>
                </c:pt>
                <c:pt idx="51">
                  <c:v>4.0868419570451902E-7</c:v>
                </c:pt>
                <c:pt idx="52">
                  <c:v>4.08484681489251E-7</c:v>
                </c:pt>
                <c:pt idx="53">
                  <c:v>4.0820436673546799E-7</c:v>
                </c:pt>
                <c:pt idx="54">
                  <c:v>4.0800659098810499E-7</c:v>
                </c:pt>
                <c:pt idx="55">
                  <c:v>4.0772829651612399E-7</c:v>
                </c:pt>
                <c:pt idx="56">
                  <c:v>4.07532088359934E-7</c:v>
                </c:pt>
                <c:pt idx="57">
                  <c:v>4.0733660904869299E-7</c:v>
                </c:pt>
                <c:pt idx="58">
                  <c:v>4.0706110334347998E-7</c:v>
                </c:pt>
                <c:pt idx="59">
                  <c:v>4.06866992418543E-7</c:v>
                </c:pt>
                <c:pt idx="60">
                  <c:v>4.0659318871278697E-7</c:v>
                </c:pt>
                <c:pt idx="61">
                  <c:v>4.0640031428064802E-7</c:v>
                </c:pt>
                <c:pt idx="62">
                  <c:v>4.0628791044355199E-7</c:v>
                </c:pt>
                <c:pt idx="63">
                  <c:v>4.0601647850344702E-7</c:v>
                </c:pt>
                <c:pt idx="64">
                  <c:v>4.0582525054194598E-7</c:v>
                </c:pt>
                <c:pt idx="65">
                  <c:v>4.0555528797893402E-7</c:v>
                </c:pt>
                <c:pt idx="66">
                  <c:v>4.0536503388820099E-7</c:v>
                </c:pt>
                <c:pt idx="67">
                  <c:v>4.0517523679387899E-7</c:v>
                </c:pt>
                <c:pt idx="68">
                  <c:v>4.0490731381745502E-7</c:v>
                </c:pt>
                <c:pt idx="69">
                  <c:v>4.0471835558890702E-7</c:v>
                </c:pt>
                <c:pt idx="70">
                  <c:v>4.0452978951694898E-7</c:v>
                </c:pt>
                <c:pt idx="71">
                  <c:v>4.0426374899485802E-7</c:v>
                </c:pt>
                <c:pt idx="72">
                  <c:v>4.0407590814950098E-7</c:v>
                </c:pt>
                <c:pt idx="73">
                  <c:v>4.0381103829608198E-7</c:v>
                </c:pt>
                <c:pt idx="74">
                  <c:v>4.03623853430065E-7</c:v>
                </c:pt>
                <c:pt idx="75">
                  <c:v>4.03436977460463E-7</c:v>
                </c:pt>
                <c:pt idx="76">
                  <c:v>4.0317375558531702E-7</c:v>
                </c:pt>
                <c:pt idx="77">
                  <c:v>4.0298743165409301E-7</c:v>
                </c:pt>
                <c:pt idx="78">
                  <c:v>4.0287749903305901E-7</c:v>
                </c:pt>
                <c:pt idx="79">
                  <c:v>4.02615808613688E-7</c:v>
                </c:pt>
                <c:pt idx="80">
                  <c:v>4.0243022322603101E-7</c:v>
                </c:pt>
                <c:pt idx="81">
                  <c:v>4.0216949905450201E-7</c:v>
                </c:pt>
                <c:pt idx="82">
                  <c:v>4.0198433459406899E-7</c:v>
                </c:pt>
                <c:pt idx="83">
                  <c:v>4.0179936216674201E-7</c:v>
                </c:pt>
                <c:pt idx="84">
                  <c:v>4.0154000258638899E-7</c:v>
                </c:pt>
                <c:pt idx="85">
                  <c:v>4.0135538207627602E-7</c:v>
                </c:pt>
                <c:pt idx="86">
                  <c:v>4.0117091949191601E-7</c:v>
                </c:pt>
                <c:pt idx="87">
                  <c:v>4.00912843342184E-7</c:v>
                </c:pt>
                <c:pt idx="88">
                  <c:v>4.0072866769503802E-7</c:v>
                </c:pt>
                <c:pt idx="89">
                  <c:v>4.0054461903255099E-7</c:v>
                </c:pt>
                <c:pt idx="90">
                  <c:v>4.0028774286529202E-7</c:v>
                </c:pt>
                <c:pt idx="91">
                  <c:v>4.0010392203993398E-7</c:v>
                </c:pt>
                <c:pt idx="92">
                  <c:v>3.9992019999289502E-7</c:v>
                </c:pt>
                <c:pt idx="93">
                  <c:v>3.9966445831478602E-7</c:v>
                </c:pt>
                <c:pt idx="94">
                  <c:v>3.9955274008395398E-7</c:v>
                </c:pt>
                <c:pt idx="95">
                  <c:v>3.9936926746109202E-7</c:v>
                </c:pt>
                <c:pt idx="96">
                  <c:v>3.9911459578324901E-7</c:v>
                </c:pt>
                <c:pt idx="97">
                  <c:v>3.9893124750866002E-7</c:v>
                </c:pt>
                <c:pt idx="98">
                  <c:v>3.9874795103880901E-7</c:v>
                </c:pt>
                <c:pt idx="99">
                  <c:v>3.9849429039105099E-7</c:v>
                </c:pt>
                <c:pt idx="100">
                  <c:v>3.9831107522597299E-7</c:v>
                </c:pt>
                <c:pt idx="101">
                  <c:v>3.9812788740994001E-7</c:v>
                </c:pt>
                <c:pt idx="102">
                  <c:v>3.9794472842525599E-7</c:v>
                </c:pt>
                <c:pt idx="103">
                  <c:v>3.9769233734658202E-7</c:v>
                </c:pt>
                <c:pt idx="104">
                  <c:v>3.9750920075628801E-7</c:v>
                </c:pt>
                <c:pt idx="105">
                  <c:v>3.9732607310399899E-7</c:v>
                </c:pt>
                <c:pt idx="106">
                  <c:v>3.9707458053382201E-7</c:v>
                </c:pt>
                <c:pt idx="107">
                  <c:v>3.9689143956044701E-7</c:v>
                </c:pt>
                <c:pt idx="108">
                  <c:v>3.9670828900451902E-7</c:v>
                </c:pt>
                <c:pt idx="109">
                  <c:v>3.9659258567137598E-7</c:v>
                </c:pt>
                <c:pt idx="110">
                  <c:v>3.9634222683273502E-7</c:v>
                </c:pt>
                <c:pt idx="111">
                  <c:v>3.96159002827735E-7</c:v>
                </c:pt>
                <c:pt idx="112">
                  <c:v>3.9597574717196898E-7</c:v>
                </c:pt>
                <c:pt idx="113">
                  <c:v>3.9572619056612401E-7</c:v>
                </c:pt>
                <c:pt idx="114">
                  <c:v>3.9554285302299999E-7</c:v>
                </c:pt>
                <c:pt idx="115">
                  <c:v>3.9535946547526598E-7</c:v>
                </c:pt>
                <c:pt idx="116">
                  <c:v>3.9517602599487599E-7</c:v>
                </c:pt>
                <c:pt idx="117">
                  <c:v>3.9492749086554697E-7</c:v>
                </c:pt>
                <c:pt idx="118">
                  <c:v>3.9474393253040999E-7</c:v>
                </c:pt>
                <c:pt idx="119">
                  <c:v>3.9456030746077402E-7</c:v>
                </c:pt>
                <c:pt idx="120">
                  <c:v>3.94376614007814E-7</c:v>
                </c:pt>
                <c:pt idx="121">
                  <c:v>3.9412904392230301E-7</c:v>
                </c:pt>
                <c:pt idx="122">
                  <c:v>3.9394519968182198E-7</c:v>
                </c:pt>
                <c:pt idx="123">
                  <c:v>3.9382444442315102E-7</c:v>
                </c:pt>
                <c:pt idx="124">
                  <c:v>3.9364043427725602E-7</c:v>
                </c:pt>
                <c:pt idx="125">
                  <c:v>3.9345633453320901E-7</c:v>
                </c:pt>
                <c:pt idx="126">
                  <c:v>3.9320990327652399E-7</c:v>
                </c:pt>
                <c:pt idx="127">
                  <c:v>3.93025615886406E-7</c:v>
                </c:pt>
                <c:pt idx="128">
                  <c:v>3.9284122606414402E-7</c:v>
                </c:pt>
                <c:pt idx="129">
                  <c:v>3.9265673707736798E-7</c:v>
                </c:pt>
                <c:pt idx="130">
                  <c:v>3.9241117407755098E-7</c:v>
                </c:pt>
                <c:pt idx="131">
                  <c:v>3.9222646774436399E-7</c:v>
                </c:pt>
                <c:pt idx="132">
                  <c:v>3.9204165216104301E-7</c:v>
                </c:pt>
                <c:pt idx="133">
                  <c:v>3.9185672186619599E-7</c:v>
                </c:pt>
                <c:pt idx="134">
                  <c:v>3.9167167579635502E-7</c:v>
                </c:pt>
                <c:pt idx="135">
                  <c:v>3.9142713919086098E-7</c:v>
                </c:pt>
                <c:pt idx="136">
                  <c:v>3.9130089509675899E-7</c:v>
                </c:pt>
                <c:pt idx="137">
                  <c:v>3.9111547620134701E-7</c:v>
                </c:pt>
                <c:pt idx="138">
                  <c:v>3.9092993316920001E-7</c:v>
                </c:pt>
                <c:pt idx="139">
                  <c:v>3.9074425867252902E-7</c:v>
                </c:pt>
                <c:pt idx="140">
                  <c:v>3.90558451760378E-7</c:v>
                </c:pt>
                <c:pt idx="141">
                  <c:v>3.9031508360292501E-7</c:v>
                </c:pt>
                <c:pt idx="142">
                  <c:v>3.9012900069955899E-7</c:v>
                </c:pt>
                <c:pt idx="143">
                  <c:v>3.8994278252769998E-7</c:v>
                </c:pt>
                <c:pt idx="144">
                  <c:v>3.89756419915736E-7</c:v>
                </c:pt>
                <c:pt idx="145">
                  <c:v>3.8956991399735701E-7</c:v>
                </c:pt>
                <c:pt idx="146">
                  <c:v>3.8938325978548401E-7</c:v>
                </c:pt>
                <c:pt idx="147">
                  <c:v>3.8925192131652499E-7</c:v>
                </c:pt>
                <c:pt idx="148">
                  <c:v>3.89064969773773E-7</c:v>
                </c:pt>
                <c:pt idx="149">
                  <c:v>3.8882306086728502E-7</c:v>
                </c:pt>
                <c:pt idx="150">
                  <c:v>3.8863580225615498E-7</c:v>
                </c:pt>
                <c:pt idx="151">
                  <c:v>3.88448386722278E-7</c:v>
                </c:pt>
                <c:pt idx="152">
                  <c:v>3.8826081721771898E-7</c:v>
                </c:pt>
                <c:pt idx="153">
                  <c:v>3.8807308690835599E-7</c:v>
                </c:pt>
                <c:pt idx="154">
                  <c:v>3.8788519289687802E-7</c:v>
                </c:pt>
                <c:pt idx="155">
                  <c:v>3.8769713995810301E-7</c:v>
                </c:pt>
                <c:pt idx="156">
                  <c:v>3.8750891941669299E-7</c:v>
                </c:pt>
                <c:pt idx="157">
                  <c:v>3.8732053406256898E-7</c:v>
                </c:pt>
                <c:pt idx="158">
                  <c:v>3.8718379905076E-7</c:v>
                </c:pt>
                <c:pt idx="159">
                  <c:v>3.86995077115332E-7</c:v>
                </c:pt>
                <c:pt idx="160">
                  <c:v>3.8680618711120203E-7</c:v>
                </c:pt>
                <c:pt idx="161">
                  <c:v>3.8656631018799601E-7</c:v>
                </c:pt>
                <c:pt idx="162">
                  <c:v>3.8637707693072502E-7</c:v>
                </c:pt>
                <c:pt idx="163">
                  <c:v>3.8618766847995502E-7</c:v>
                </c:pt>
                <c:pt idx="164">
                  <c:v>3.8599808545879701E-7</c:v>
                </c:pt>
                <c:pt idx="165">
                  <c:v>3.8580832304516601E-7</c:v>
                </c:pt>
                <c:pt idx="166">
                  <c:v>3.8561838536851799E-7</c:v>
                </c:pt>
                <c:pt idx="167">
                  <c:v>3.8542826757055E-7</c:v>
                </c:pt>
                <c:pt idx="168">
                  <c:v>3.8523797361805202E-7</c:v>
                </c:pt>
                <c:pt idx="169">
                  <c:v>3.85095616333001E-7</c:v>
                </c:pt>
                <c:pt idx="170">
                  <c:v>3.8490495544497001E-7</c:v>
                </c:pt>
                <c:pt idx="171">
                  <c:v>3.84714115886585E-7</c:v>
                </c:pt>
                <c:pt idx="172">
                  <c:v>3.8452309272703898E-7</c:v>
                </c:pt>
                <c:pt idx="173">
                  <c:v>3.8433188615204502E-7</c:v>
                </c:pt>
                <c:pt idx="174">
                  <c:v>3.84140492917169E-7</c:v>
                </c:pt>
                <c:pt idx="175">
                  <c:v>3.8399499733142801E-7</c:v>
                </c:pt>
                <c:pt idx="176">
                  <c:v>3.8380323432329798E-7</c:v>
                </c:pt>
                <c:pt idx="177">
                  <c:v>3.8361128307828202E-7</c:v>
                </c:pt>
                <c:pt idx="178">
                  <c:v>3.8346420446658299E-7</c:v>
                </c:pt>
                <c:pt idx="179">
                  <c:v>3.8327187804880699E-7</c:v>
                </c:pt>
                <c:pt idx="180">
                  <c:v>3.8307936131677399E-7</c:v>
                </c:pt>
                <c:pt idx="181">
                  <c:v>3.8288665719138202E-7</c:v>
                </c:pt>
                <c:pt idx="182">
                  <c:v>3.8269376212638E-7</c:v>
                </c:pt>
                <c:pt idx="183">
                  <c:v>3.8250067885296399E-7</c:v>
                </c:pt>
                <c:pt idx="184">
                  <c:v>3.8230740373337202E-7</c:v>
                </c:pt>
                <c:pt idx="185">
                  <c:v>3.8211393622235002E-7</c:v>
                </c:pt>
                <c:pt idx="186">
                  <c:v>3.8196260585913201E-7</c:v>
                </c:pt>
                <c:pt idx="187">
                  <c:v>3.81768757746484E-7</c:v>
                </c:pt>
                <c:pt idx="188">
                  <c:v>3.8161635613796601E-7</c:v>
                </c:pt>
                <c:pt idx="189">
                  <c:v>3.8142212572714302E-7</c:v>
                </c:pt>
                <c:pt idx="190">
                  <c:v>3.8122770203973798E-7</c:v>
                </c:pt>
                <c:pt idx="191">
                  <c:v>3.8103308554388302E-7</c:v>
                </c:pt>
                <c:pt idx="192">
                  <c:v>3.8087854166699102E-7</c:v>
                </c:pt>
                <c:pt idx="193">
                  <c:v>3.8068354200219099E-7</c:v>
                </c:pt>
                <c:pt idx="194">
                  <c:v>3.8048835030651601E-7</c:v>
                </c:pt>
                <c:pt idx="195">
                  <c:v>3.8029296521761799E-7</c:v>
                </c:pt>
                <c:pt idx="196">
                  <c:v>3.8017516693148001E-7</c:v>
                </c:pt>
                <c:pt idx="197">
                  <c:v>3.7997939908634102E-7</c:v>
                </c:pt>
                <c:pt idx="198">
                  <c:v>3.7978344021679302E-7</c:v>
                </c:pt>
                <c:pt idx="199">
                  <c:v>3.7958728858210898E-7</c:v>
                </c:pt>
                <c:pt idx="200">
                  <c:v>3.7942845654154799E-7</c:v>
                </c:pt>
                <c:pt idx="201">
                  <c:v>3.7923192602711198E-7</c:v>
                </c:pt>
                <c:pt idx="202">
                  <c:v>3.79035202380335E-7</c:v>
                </c:pt>
                <c:pt idx="203">
                  <c:v>3.7887476586831299E-7</c:v>
                </c:pt>
                <c:pt idx="204">
                  <c:v>3.7871379175791102E-7</c:v>
                </c:pt>
                <c:pt idx="205">
                  <c:v>3.7851650193927901E-7</c:v>
                </c:pt>
                <c:pt idx="206">
                  <c:v>3.7835446214465902E-7</c:v>
                </c:pt>
                <c:pt idx="207">
                  <c:v>3.7815679645554E-7</c:v>
                </c:pt>
                <c:pt idx="208">
                  <c:v>3.7795894516942E-7</c:v>
                </c:pt>
                <c:pt idx="209">
                  <c:v>3.7779530755508899E-7</c:v>
                </c:pt>
                <c:pt idx="210">
                  <c:v>3.7759708517471702E-7</c:v>
                </c:pt>
                <c:pt idx="211">
                  <c:v>3.7746609421861002E-7</c:v>
                </c:pt>
                <c:pt idx="212">
                  <c:v>3.7726750440399802E-7</c:v>
                </c:pt>
                <c:pt idx="213">
                  <c:v>3.7710175060351098E-7</c:v>
                </c:pt>
                <c:pt idx="214">
                  <c:v>3.7690279686576299E-7</c:v>
                </c:pt>
                <c:pt idx="215">
                  <c:v>3.76735987331279E-7</c:v>
                </c:pt>
                <c:pt idx="216">
                  <c:v>3.7653667528375103E-7</c:v>
                </c:pt>
                <c:pt idx="217">
                  <c:v>3.7636881952694997E-7</c:v>
                </c:pt>
                <c:pt idx="218">
                  <c:v>3.7620043983831502E-7</c:v>
                </c:pt>
                <c:pt idx="219">
                  <c:v>3.7603153997274199E-7</c:v>
                </c:pt>
                <c:pt idx="220">
                  <c:v>3.7583152634129099E-7</c:v>
                </c:pt>
                <c:pt idx="221">
                  <c:v>3.7566158968572199E-7</c:v>
                </c:pt>
                <c:pt idx="222">
                  <c:v>3.7549113709158801E-7</c:v>
                </c:pt>
                <c:pt idx="223">
                  <c:v>3.7529061283756499E-7</c:v>
                </c:pt>
                <c:pt idx="224">
                  <c:v>3.7514834598967202E-7</c:v>
                </c:pt>
                <c:pt idx="225">
                  <c:v>3.74976355881348E-7</c:v>
                </c:pt>
                <c:pt idx="226">
                  <c:v>3.74775337863228E-7</c:v>
                </c:pt>
                <c:pt idx="227">
                  <c:v>3.7460233460389598E-7</c:v>
                </c:pt>
                <c:pt idx="228">
                  <c:v>3.7442882711834901E-7</c:v>
                </c:pt>
                <c:pt idx="229">
                  <c:v>3.7422733444212902E-7</c:v>
                </c:pt>
                <c:pt idx="230">
                  <c:v>3.74079964845188E-7</c:v>
                </c:pt>
                <c:pt idx="231">
                  <c:v>3.7390496081826398E-7</c:v>
                </c:pt>
                <c:pt idx="232">
                  <c:v>3.73729463597887E-7</c:v>
                </c:pt>
                <c:pt idx="233">
                  <c:v>3.73553474219514E-7</c:v>
                </c:pt>
                <c:pt idx="234">
                  <c:v>3.7337699719216799E-7</c:v>
                </c:pt>
                <c:pt idx="235">
                  <c:v>3.7317462119229801E-7</c:v>
                </c:pt>
                <c:pt idx="236">
                  <c:v>3.7302224993041201E-7</c:v>
                </c:pt>
                <c:pt idx="237">
                  <c:v>3.72844328567223E-7</c:v>
                </c:pt>
                <c:pt idx="238">
                  <c:v>3.7266593372177899E-7</c:v>
                </c:pt>
                <c:pt idx="239">
                  <c:v>3.7248706797411899E-7</c:v>
                </c:pt>
                <c:pt idx="240">
                  <c:v>3.7230773525976099E-7</c:v>
                </c:pt>
                <c:pt idx="241">
                  <c:v>3.7215129093246398E-7</c:v>
                </c:pt>
                <c:pt idx="242">
                  <c:v>3.7199404447508198E-7</c:v>
                </c:pt>
                <c:pt idx="243">
                  <c:v>3.7181333684830701E-7</c:v>
                </c:pt>
                <c:pt idx="244">
                  <c:v>3.7163218022469398E-7</c:v>
                </c:pt>
                <c:pt idx="245">
                  <c:v>3.7145058030750302E-7</c:v>
                </c:pt>
                <c:pt idx="246">
                  <c:v>3.71290175173478E-7</c:v>
                </c:pt>
                <c:pt idx="247">
                  <c:v>3.7112899428364801E-7</c:v>
                </c:pt>
                <c:pt idx="248">
                  <c:v>3.7094609250965801E-7</c:v>
                </c:pt>
                <c:pt idx="249">
                  <c:v>3.7076276789393199E-7</c:v>
                </c:pt>
                <c:pt idx="250">
                  <c:v>3.7061956344584698E-7</c:v>
                </c:pt>
                <c:pt idx="251">
                  <c:v>3.7043541324928202E-7</c:v>
                </c:pt>
                <c:pt idx="252">
                  <c:v>3.7025086113564298E-7</c:v>
                </c:pt>
                <c:pt idx="253">
                  <c:v>3.7008515770099399E-7</c:v>
                </c:pt>
                <c:pt idx="254">
                  <c:v>3.69918725697966E-7</c:v>
                </c:pt>
                <c:pt idx="255">
                  <c:v>3.6975157354963002E-7</c:v>
                </c:pt>
                <c:pt idx="256">
                  <c:v>3.6958370824235302E-7</c:v>
                </c:pt>
                <c:pt idx="257">
                  <c:v>3.6939725551256098E-7</c:v>
                </c:pt>
                <c:pt idx="258">
                  <c:v>3.6924554299975402E-7</c:v>
                </c:pt>
                <c:pt idx="259">
                  <c:v>3.6907559945342001E-7</c:v>
                </c:pt>
                <c:pt idx="260">
                  <c:v>3.68904984268225E-7</c:v>
                </c:pt>
                <c:pt idx="261">
                  <c:v>3.6875024001492503E-7</c:v>
                </c:pt>
                <c:pt idx="262">
                  <c:v>3.6857831292714898E-7</c:v>
                </c:pt>
                <c:pt idx="263">
                  <c:v>3.68405747115913E-7</c:v>
                </c:pt>
                <c:pt idx="264">
                  <c:v>3.6823255718992302E-7</c:v>
                </c:pt>
                <c:pt idx="265">
                  <c:v>3.6807394425644198E-7</c:v>
                </c:pt>
                <c:pt idx="266">
                  <c:v>3.6789954770595998E-7</c:v>
                </c:pt>
                <c:pt idx="267">
                  <c:v>3.67739087683997E-7</c:v>
                </c:pt>
                <c:pt idx="268">
                  <c:v>3.6757772817722802E-7</c:v>
                </c:pt>
                <c:pt idx="269">
                  <c:v>3.6740163941489297E-7</c:v>
                </c:pt>
                <c:pt idx="270">
                  <c:v>3.6723853784042401E-7</c:v>
                </c:pt>
                <c:pt idx="271">
                  <c:v>3.6708777939897399E-7</c:v>
                </c:pt>
                <c:pt idx="272">
                  <c:v>3.6691016385685202E-7</c:v>
                </c:pt>
                <c:pt idx="273">
                  <c:v>3.6674460392424999E-7</c:v>
                </c:pt>
                <c:pt idx="274">
                  <c:v>3.6659046279633499E-7</c:v>
                </c:pt>
                <c:pt idx="275">
                  <c:v>3.6642338384559099E-7</c:v>
                </c:pt>
                <c:pt idx="276">
                  <c:v>3.66267119057215E-7</c:v>
                </c:pt>
                <c:pt idx="277">
                  <c:v>3.6610983790571097E-7</c:v>
                </c:pt>
                <c:pt idx="278">
                  <c:v>3.6595157314243903E-7</c:v>
                </c:pt>
                <c:pt idx="279">
                  <c:v>3.6579236063073698E-7</c:v>
                </c:pt>
                <c:pt idx="280">
                  <c:v>3.65622015393938E-7</c:v>
                </c:pt>
                <c:pt idx="281">
                  <c:v>3.6547092515722702E-7</c:v>
                </c:pt>
                <c:pt idx="282">
                  <c:v>3.6530911328267802E-7</c:v>
                </c:pt>
                <c:pt idx="283">
                  <c:v>3.6515577843290198E-7</c:v>
                </c:pt>
                <c:pt idx="284">
                  <c:v>3.6500140107272498E-7</c:v>
                </c:pt>
                <c:pt idx="285">
                  <c:v>3.6484603943122502E-7</c:v>
                </c:pt>
                <c:pt idx="286">
                  <c:v>3.6469804648829399E-7</c:v>
                </c:pt>
                <c:pt idx="287">
                  <c:v>3.64540915111541E-7</c:v>
                </c:pt>
                <c:pt idx="288">
                  <c:v>3.6439066556306301E-7</c:v>
                </c:pt>
                <c:pt idx="289">
                  <c:v>3.6423207526201099E-7</c:v>
                </c:pt>
                <c:pt idx="290">
                  <c:v>3.6408693960124901E-7</c:v>
                </c:pt>
                <c:pt idx="291">
                  <c:v>3.6394069038420899E-7</c:v>
                </c:pt>
                <c:pt idx="292">
                  <c:v>3.6379984737107099E-7</c:v>
                </c:pt>
                <c:pt idx="293">
                  <c:v>3.6365174613884102E-7</c:v>
                </c:pt>
                <c:pt idx="294">
                  <c:v>3.6350871891137702E-7</c:v>
                </c:pt>
                <c:pt idx="295">
                  <c:v>3.6336484863469301E-7</c:v>
                </c:pt>
                <c:pt idx="296">
                  <c:v>3.6322550336657997E-7</c:v>
                </c:pt>
                <c:pt idx="297">
                  <c:v>3.63090303603662E-7</c:v>
                </c:pt>
                <c:pt idx="298">
                  <c:v>3.6295433703584999E-7</c:v>
                </c:pt>
                <c:pt idx="299">
                  <c:v>3.6282218152898201E-7</c:v>
                </c:pt>
                <c:pt idx="300">
                  <c:v>3.6269360097635001E-7</c:v>
                </c:pt>
                <c:pt idx="301">
                  <c:v>3.6256842865603301E-7</c:v>
                </c:pt>
                <c:pt idx="302">
                  <c:v>3.6244999346807702E-7</c:v>
                </c:pt>
                <c:pt idx="303">
                  <c:v>3.6232836729699997E-7</c:v>
                </c:pt>
                <c:pt idx="304">
                  <c:v>3.6221908110523302E-7</c:v>
                </c:pt>
                <c:pt idx="305">
                  <c:v>3.6211307621290898E-7</c:v>
                </c:pt>
                <c:pt idx="306">
                  <c:v>3.6200857909526598E-7</c:v>
                </c:pt>
                <c:pt idx="307">
                  <c:v>3.6191928247404399E-7</c:v>
                </c:pt>
                <c:pt idx="308">
                  <c:v>3.6183481047454199E-7</c:v>
                </c:pt>
                <c:pt idx="309">
                  <c:v>3.6176313688217298E-7</c:v>
                </c:pt>
                <c:pt idx="310">
                  <c:v>3.6170342432691099E-7</c:v>
                </c:pt>
                <c:pt idx="311">
                  <c:v>3.6166212979245302E-7</c:v>
                </c:pt>
                <c:pt idx="312">
                  <c:v>3.6164090842148202E-7</c:v>
                </c:pt>
                <c:pt idx="313">
                  <c:v>3.6164781983396698E-7</c:v>
                </c:pt>
                <c:pt idx="314">
                  <c:v>3.6168819952700599E-7</c:v>
                </c:pt>
                <c:pt idx="315">
                  <c:v>3.6177380062716502E-7</c:v>
                </c:pt>
                <c:pt idx="316">
                  <c:v>3.61919819018921E-7</c:v>
                </c:pt>
                <c:pt idx="317">
                  <c:v>3.6223633001190697E-7</c:v>
                </c:pt>
                <c:pt idx="318">
                  <c:v>3.62433228721379E-7</c:v>
                </c:pt>
                <c:pt idx="319">
                  <c:v>3.6263855421845601E-7</c:v>
                </c:pt>
                <c:pt idx="320">
                  <c:v>3.62853462944975E-7</c:v>
                </c:pt>
                <c:pt idx="321">
                  <c:v>3.6307850867120699E-7</c:v>
                </c:pt>
                <c:pt idx="322">
                  <c:v>3.6331398709104799E-7</c:v>
                </c:pt>
                <c:pt idx="323">
                  <c:v>3.63560872151999E-7</c:v>
                </c:pt>
                <c:pt idx="324">
                  <c:v>3.6381946763710701E-7</c:v>
                </c:pt>
                <c:pt idx="325">
                  <c:v>3.6409040662218701E-7</c:v>
                </c:pt>
                <c:pt idx="326">
                  <c:v>3.6437418419819598E-7</c:v>
                </c:pt>
                <c:pt idx="327">
                  <c:v>3.6467134758406602E-7</c:v>
                </c:pt>
                <c:pt idx="328">
                  <c:v>3.6498258726215701E-7</c:v>
                </c:pt>
                <c:pt idx="329">
                  <c:v>3.6530845042727902E-7</c:v>
                </c:pt>
                <c:pt idx="330">
                  <c:v>3.6564957913028098E-7</c:v>
                </c:pt>
                <c:pt idx="331">
                  <c:v>3.6600665909047602E-7</c:v>
                </c:pt>
                <c:pt idx="332">
                  <c:v>3.6638035321163397E-7</c:v>
                </c:pt>
                <c:pt idx="333">
                  <c:v>3.6677130079327102E-7</c:v>
                </c:pt>
                <c:pt idx="334">
                  <c:v>3.6718032339389302E-7</c:v>
                </c:pt>
                <c:pt idx="335">
                  <c:v>3.6760805571706599E-7</c:v>
                </c:pt>
                <c:pt idx="336">
                  <c:v>3.6805532313451598E-7</c:v>
                </c:pt>
                <c:pt idx="337">
                  <c:v>3.68522866429924E-7</c:v>
                </c:pt>
                <c:pt idx="338">
                  <c:v>3.6901145750079302E-7</c:v>
                </c:pt>
                <c:pt idx="339">
                  <c:v>3.6952187298650201E-7</c:v>
                </c:pt>
                <c:pt idx="340">
                  <c:v>3.7005488697164499E-7</c:v>
                </c:pt>
                <c:pt idx="341">
                  <c:v>3.7061129907264701E-7</c:v>
                </c:pt>
                <c:pt idx="342">
                  <c:v>3.7119188635074299E-7</c:v>
                </c:pt>
                <c:pt idx="343">
                  <c:v>3.7179741398599698E-7</c:v>
                </c:pt>
                <c:pt idx="344">
                  <c:v>3.72428690004809E-7</c:v>
                </c:pt>
                <c:pt idx="345">
                  <c:v>3.7308651632494903E-7</c:v>
                </c:pt>
                <c:pt idx="346">
                  <c:v>3.7377170396817197E-7</c:v>
                </c:pt>
                <c:pt idx="347">
                  <c:v>3.7448509074950398E-7</c:v>
                </c:pt>
                <c:pt idx="348">
                  <c:v>3.7522755696967102E-7</c:v>
                </c:pt>
                <c:pt idx="349">
                  <c:v>3.7600001549905401E-7</c:v>
                </c:pt>
                <c:pt idx="350">
                  <c:v>3.7680343542114399E-7</c:v>
                </c:pt>
                <c:pt idx="351">
                  <c:v>3.7763884384291602E-7</c:v>
                </c:pt>
                <c:pt idx="352">
                  <c:v>3.7850734242504501E-7</c:v>
                </c:pt>
                <c:pt idx="353">
                  <c:v>3.7941011228905001E-7</c:v>
                </c:pt>
                <c:pt idx="354">
                  <c:v>3.8034842453293703E-7</c:v>
                </c:pt>
                <c:pt idx="355">
                  <c:v>3.8132364773362802E-7</c:v>
                </c:pt>
                <c:pt idx="356">
                  <c:v>3.8233725523618801E-7</c:v>
                </c:pt>
                <c:pt idx="357">
                  <c:v>3.8355819154357802E-7</c:v>
                </c:pt>
                <c:pt idx="358">
                  <c:v>3.8355819154357802E-7</c:v>
                </c:pt>
                <c:pt idx="359">
                  <c:v>3.8112984531965397E-7</c:v>
                </c:pt>
                <c:pt idx="360">
                  <c:v>3.7988895699051701E-7</c:v>
                </c:pt>
                <c:pt idx="361">
                  <c:v>3.7993892245534602E-7</c:v>
                </c:pt>
                <c:pt idx="362">
                  <c:v>3.8019733830726301E-7</c:v>
                </c:pt>
                <c:pt idx="363">
                  <c:v>3.8051391145455399E-7</c:v>
                </c:pt>
                <c:pt idx="364">
                  <c:v>3.8111177143507998E-7</c:v>
                </c:pt>
                <c:pt idx="365">
                  <c:v>3.8111177143507998E-7</c:v>
                </c:pt>
                <c:pt idx="366">
                  <c:v>3.8111177143507998E-7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FE-49BC-B1F1-19675E8EE163}"/>
            </c:ext>
          </c:extLst>
        </c:ser>
        <c:ser>
          <c:idx val="3"/>
          <c:order val="3"/>
          <c:tx>
            <c:strRef>
              <c:f>Implicit_Fracs!$BO$1</c:f>
              <c:strCache>
                <c:ptCount val="1"/>
                <c:pt idx="0">
                  <c:v>MF Porosity: Size-dependent aperture</c:v>
                </c:pt>
              </c:strCache>
            </c:strRef>
          </c:tx>
          <c:spPr>
            <a:ln w="1905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Implicit_Fracs!$C$5:$C$371</c:f>
              <c:numCache>
                <c:formatCode>General</c:formatCode>
                <c:ptCount val="367"/>
                <c:pt idx="0">
                  <c:v>0.10158646265419501</c:v>
                </c:pt>
                <c:pt idx="1">
                  <c:v>0.102060105178604</c:v>
                </c:pt>
                <c:pt idx="2">
                  <c:v>0.102354758409441</c:v>
                </c:pt>
                <c:pt idx="3">
                  <c:v>0.10257003610151801</c:v>
                </c:pt>
                <c:pt idx="4">
                  <c:v>0.102740146597483</c:v>
                </c:pt>
                <c:pt idx="5">
                  <c:v>0.10288102093448701</c:v>
                </c:pt>
                <c:pt idx="6">
                  <c:v>0.10300139565401099</c:v>
                </c:pt>
                <c:pt idx="7">
                  <c:v>0.10310658737638601</c:v>
                </c:pt>
                <c:pt idx="8">
                  <c:v>0.103200075337502</c:v>
                </c:pt>
                <c:pt idx="9">
                  <c:v>0.103284262204</c:v>
                </c:pt>
                <c:pt idx="10">
                  <c:v>0.103360877526633</c:v>
                </c:pt>
                <c:pt idx="11">
                  <c:v>0.103431208153653</c:v>
                </c:pt>
                <c:pt idx="12">
                  <c:v>0.103496237708407</c:v>
                </c:pt>
                <c:pt idx="13">
                  <c:v>0.103556735084609</c:v>
                </c:pt>
                <c:pt idx="14">
                  <c:v>0.103613312816801</c:v>
                </c:pt>
                <c:pt idx="15">
                  <c:v>0.103666466857375</c:v>
                </c:pt>
                <c:pt idx="16">
                  <c:v>0.10371660444741999</c:v>
                </c:pt>
                <c:pt idx="17">
                  <c:v>0.10376406411969299</c:v>
                </c:pt>
                <c:pt idx="18">
                  <c:v>0.10380913035858701</c:v>
                </c:pt>
                <c:pt idx="19">
                  <c:v>0.103852044544123</c:v>
                </c:pt>
                <c:pt idx="20">
                  <c:v>0.103893013256558</c:v>
                </c:pt>
                <c:pt idx="21">
                  <c:v>0.103932214670875</c:v>
                </c:pt>
                <c:pt idx="22">
                  <c:v>0.10396980354554</c:v>
                </c:pt>
                <c:pt idx="23">
                  <c:v>0.104005915161023</c:v>
                </c:pt>
                <c:pt idx="24">
                  <c:v>0.10404066846285701</c:v>
                </c:pt>
                <c:pt idx="25">
                  <c:v>0.104074168594671</c:v>
                </c:pt>
                <c:pt idx="26">
                  <c:v>0.10410650895807599</c:v>
                </c:pt>
                <c:pt idx="27">
                  <c:v>0.10413777290170501</c:v>
                </c:pt>
                <c:pt idx="28">
                  <c:v>0.104168035116796</c:v>
                </c:pt>
                <c:pt idx="29">
                  <c:v>0.104197362798492</c:v>
                </c:pt>
                <c:pt idx="30">
                  <c:v>0.104225816618547</c:v>
                </c:pt>
                <c:pt idx="31">
                  <c:v>0.104253451545067</c:v>
                </c:pt>
                <c:pt idx="32">
                  <c:v>0.104280317537286</c:v>
                </c:pt>
                <c:pt idx="33">
                  <c:v>0.10430646013757899</c:v>
                </c:pt>
                <c:pt idx="34">
                  <c:v>0.10433192097843901</c:v>
                </c:pt>
                <c:pt idx="35">
                  <c:v>0.104356738218675</c:v>
                </c:pt>
                <c:pt idx="36">
                  <c:v>0.10438094692038</c:v>
                </c:pt>
                <c:pt idx="37">
                  <c:v>0.104404579376061</c:v>
                </c:pt>
                <c:pt idx="38">
                  <c:v>0.10442766539470601</c:v>
                </c:pt>
                <c:pt idx="39">
                  <c:v>0.104450232550895</c:v>
                </c:pt>
                <c:pt idx="40">
                  <c:v>0.104472306403378</c:v>
                </c:pt>
                <c:pt idx="41">
                  <c:v>0.104493910687546</c:v>
                </c:pt>
                <c:pt idx="42">
                  <c:v>0.104515067485448</c:v>
                </c:pt>
                <c:pt idx="43">
                  <c:v>0.104535797376425</c:v>
                </c:pt>
                <c:pt idx="44">
                  <c:v>0.104556119570968</c:v>
                </c:pt>
                <c:pt idx="45">
                  <c:v>0.10457605202998201</c:v>
                </c:pt>
                <c:pt idx="46">
                  <c:v>0.10459561157132601</c:v>
                </c:pt>
                <c:pt idx="47">
                  <c:v>0.10461481396524</c:v>
                </c:pt>
                <c:pt idx="48">
                  <c:v>0.104633674020002</c:v>
                </c:pt>
                <c:pt idx="49">
                  <c:v>0.104652205659008</c:v>
                </c:pt>
                <c:pt idx="50">
                  <c:v>0.10467042199028</c:v>
                </c:pt>
                <c:pt idx="51">
                  <c:v>0.10468833536927501</c:v>
                </c:pt>
                <c:pt idx="52">
                  <c:v>0.104705957455764</c:v>
                </c:pt>
                <c:pt idx="53">
                  <c:v>0.104723299265432</c:v>
                </c:pt>
                <c:pt idx="54">
                  <c:v>0.10474037121678501</c:v>
                </c:pt>
                <c:pt idx="55">
                  <c:v>0.104757183173858</c:v>
                </c:pt>
                <c:pt idx="56">
                  <c:v>0.10477374448518</c:v>
                </c:pt>
                <c:pt idx="57">
                  <c:v>0.104790064019366</c:v>
                </c:pt>
                <c:pt idx="58">
                  <c:v>0.10480615019770299</c:v>
                </c:pt>
                <c:pt idx="59">
                  <c:v>0.104822011024007</c:v>
                </c:pt>
                <c:pt idx="60">
                  <c:v>0.10483765411203801</c:v>
                </c:pt>
                <c:pt idx="61">
                  <c:v>0.104853086710699</c:v>
                </c:pt>
                <c:pt idx="62">
                  <c:v>0.10486831572724099</c:v>
                </c:pt>
                <c:pt idx="63">
                  <c:v>0.104883347748643</c:v>
                </c:pt>
                <c:pt idx="64">
                  <c:v>0.104898189061358</c:v>
                </c:pt>
                <c:pt idx="65">
                  <c:v>0.104912845669559</c:v>
                </c:pt>
                <c:pt idx="66">
                  <c:v>0.10492732331202199</c:v>
                </c:pt>
                <c:pt idx="67">
                  <c:v>0.10494162747777</c:v>
                </c:pt>
                <c:pt idx="68">
                  <c:v>0.10495576342058401</c:v>
                </c:pt>
                <c:pt idx="69">
                  <c:v>0.104969736172476</c:v>
                </c:pt>
                <c:pt idx="70">
                  <c:v>0.104983550556215</c:v>
                </c:pt>
                <c:pt idx="71">
                  <c:v>0.104997211196988</c:v>
                </c:pt>
                <c:pt idx="72">
                  <c:v>0.105010722533251</c:v>
                </c:pt>
                <c:pt idx="73">
                  <c:v>0.10502408882686499</c:v>
                </c:pt>
                <c:pt idx="74">
                  <c:v>0.105037314172539</c:v>
                </c:pt>
                <c:pt idx="75">
                  <c:v>0.10505040250667</c:v>
                </c:pt>
                <c:pt idx="76">
                  <c:v>0.105063357615594</c:v>
                </c:pt>
                <c:pt idx="77">
                  <c:v>0.105076183143323</c:v>
                </c:pt>
                <c:pt idx="78">
                  <c:v>0.10508888259878001</c:v>
                </c:pt>
                <c:pt idx="79">
                  <c:v>0.105101459362598</c:v>
                </c:pt>
                <c:pt idx="80">
                  <c:v>0.10511391669348399</c:v>
                </c:pt>
                <c:pt idx="81">
                  <c:v>0.10512625773421</c:v>
                </c:pt>
                <c:pt idx="82">
                  <c:v>0.10513848551723599</c:v>
                </c:pt>
                <c:pt idx="83">
                  <c:v>0.10515060297000201</c:v>
                </c:pt>
                <c:pt idx="84">
                  <c:v>0.105162612919908</c:v>
                </c:pt>
                <c:pt idx="85">
                  <c:v>0.105174518099013</c:v>
                </c:pt>
                <c:pt idx="86">
                  <c:v>0.105186321148453</c:v>
                </c:pt>
                <c:pt idx="87">
                  <c:v>0.105198024622616</c:v>
                </c:pt>
                <c:pt idx="88">
                  <c:v>0.105209630993088</c:v>
                </c:pt>
                <c:pt idx="89">
                  <c:v>0.10522114265237301</c:v>
                </c:pt>
                <c:pt idx="90">
                  <c:v>0.105232561917411</c:v>
                </c:pt>
                <c:pt idx="91">
                  <c:v>0.105243891032912</c:v>
                </c:pt>
                <c:pt idx="92">
                  <c:v>0.105255132174505</c:v>
                </c:pt>
                <c:pt idx="93">
                  <c:v>0.10526628745172401</c:v>
                </c:pt>
                <c:pt idx="94">
                  <c:v>0.105277358910841</c:v>
                </c:pt>
                <c:pt idx="95">
                  <c:v>0.105288348537545</c:v>
                </c:pt>
                <c:pt idx="96">
                  <c:v>0.10529925825949001</c:v>
                </c:pt>
                <c:pt idx="97">
                  <c:v>0.105310089948715</c:v>
                </c:pt>
                <c:pt idx="98">
                  <c:v>0.10532084542394</c:v>
                </c:pt>
                <c:pt idx="99">
                  <c:v>0.105331526452749</c:v>
                </c:pt>
                <c:pt idx="100">
                  <c:v>0.10534213475366599</c:v>
                </c:pt>
                <c:pt idx="101">
                  <c:v>0.105352671998135</c:v>
                </c:pt>
                <c:pt idx="102">
                  <c:v>0.105363139812398</c:v>
                </c:pt>
                <c:pt idx="103">
                  <c:v>0.10537353977929</c:v>
                </c:pt>
                <c:pt idx="104">
                  <c:v>0.105383873439947</c:v>
                </c:pt>
                <c:pt idx="105">
                  <c:v>0.105394142295438</c:v>
                </c:pt>
                <c:pt idx="106">
                  <c:v>0.10540434780831399</c:v>
                </c:pt>
                <c:pt idx="107">
                  <c:v>0.1054144914041</c:v>
                </c:pt>
                <c:pt idx="108">
                  <c:v>0.105424574472708</c:v>
                </c:pt>
                <c:pt idx="109">
                  <c:v>0.10543459836979301</c:v>
                </c:pt>
                <c:pt idx="110">
                  <c:v>0.105444564418049</c:v>
                </c:pt>
                <c:pt idx="111">
                  <c:v>0.105454473908448</c:v>
                </c:pt>
                <c:pt idx="112">
                  <c:v>0.105464328101426</c:v>
                </c:pt>
                <c:pt idx="113">
                  <c:v>0.10547412822802001</c:v>
                </c:pt>
                <c:pt idx="114">
                  <c:v>0.10548387549095201</c:v>
                </c:pt>
                <c:pt idx="115">
                  <c:v>0.105493571065675</c:v>
                </c:pt>
                <c:pt idx="116">
                  <c:v>0.105503216101374</c:v>
                </c:pt>
                <c:pt idx="117">
                  <c:v>0.10551281172191999</c:v>
                </c:pt>
                <c:pt idx="118">
                  <c:v>0.10552235902679701</c:v>
                </c:pt>
                <c:pt idx="119">
                  <c:v>0.105531859091982</c:v>
                </c:pt>
                <c:pt idx="120">
                  <c:v>0.105541312970793</c:v>
                </c:pt>
                <c:pt idx="121">
                  <c:v>0.105550721694713</c:v>
                </c:pt>
                <c:pt idx="122">
                  <c:v>0.10556008627416701</c:v>
                </c:pt>
                <c:pt idx="123">
                  <c:v>0.105569407699282</c:v>
                </c:pt>
                <c:pt idx="124">
                  <c:v>0.105578686940613</c:v>
                </c:pt>
                <c:pt idx="125">
                  <c:v>0.10558792494984499</c:v>
                </c:pt>
                <c:pt idx="126">
                  <c:v>0.105597122660464</c:v>
                </c:pt>
                <c:pt idx="127">
                  <c:v>0.105606280988415</c:v>
                </c:pt>
                <c:pt idx="128">
                  <c:v>0.105615400832723</c:v>
                </c:pt>
                <c:pt idx="129">
                  <c:v>0.10562448307610101</c:v>
                </c:pt>
                <c:pt idx="130">
                  <c:v>0.105633528585537</c:v>
                </c:pt>
                <c:pt idx="131">
                  <c:v>0.105642538212856</c:v>
                </c:pt>
                <c:pt idx="132">
                  <c:v>0.10565151279527001</c:v>
                </c:pt>
                <c:pt idx="133">
                  <c:v>0.105660453155901</c:v>
                </c:pt>
                <c:pt idx="134">
                  <c:v>0.1056693601043</c:v>
                </c:pt>
                <c:pt idx="135">
                  <c:v>0.105678234436935</c:v>
                </c:pt>
                <c:pt idx="136">
                  <c:v>0.105687076937673</c:v>
                </c:pt>
                <c:pt idx="137">
                  <c:v>0.10569588837824601</c:v>
                </c:pt>
                <c:pt idx="138">
                  <c:v>0.105704669518702</c:v>
                </c:pt>
                <c:pt idx="139">
                  <c:v>0.105713421107842</c:v>
                </c:pt>
                <c:pt idx="140">
                  <c:v>0.105722143883642</c:v>
                </c:pt>
                <c:pt idx="141">
                  <c:v>0.10573083857367301</c:v>
                </c:pt>
                <c:pt idx="142">
                  <c:v>0.10573950589549699</c:v>
                </c:pt>
                <c:pt idx="143">
                  <c:v>0.105748146557059</c:v>
                </c:pt>
                <c:pt idx="144">
                  <c:v>0.105756761257069</c:v>
                </c:pt>
                <c:pt idx="145">
                  <c:v>0.105765350685371</c:v>
                </c:pt>
                <c:pt idx="146">
                  <c:v>0.10577391552330601</c:v>
                </c:pt>
                <c:pt idx="147">
                  <c:v>0.105782456444064</c:v>
                </c:pt>
                <c:pt idx="148">
                  <c:v>0.105790974113029</c:v>
                </c:pt>
                <c:pt idx="149">
                  <c:v>0.105799469188117</c:v>
                </c:pt>
                <c:pt idx="150">
                  <c:v>0.105807942320102</c:v>
                </c:pt>
                <c:pt idx="151">
                  <c:v>0.105816394152941</c:v>
                </c:pt>
                <c:pt idx="152">
                  <c:v>0.10582482532409</c:v>
                </c:pt>
                <c:pt idx="153">
                  <c:v>0.10583323646481201</c:v>
                </c:pt>
                <c:pt idx="154">
                  <c:v>0.105841628200482</c:v>
                </c:pt>
                <c:pt idx="155">
                  <c:v>0.105850001150887</c:v>
                </c:pt>
                <c:pt idx="156">
                  <c:v>0.105858355930516</c:v>
                </c:pt>
                <c:pt idx="157">
                  <c:v>0.105866693148851</c:v>
                </c:pt>
                <c:pt idx="158">
                  <c:v>0.105875013410654</c:v>
                </c:pt>
                <c:pt idx="159">
                  <c:v>0.10588331731624</c:v>
                </c:pt>
                <c:pt idx="160">
                  <c:v>0.105891605461765</c:v>
                </c:pt>
                <c:pt idx="161">
                  <c:v>0.10589987843948701</c:v>
                </c:pt>
                <c:pt idx="162">
                  <c:v>0.10590813683804701</c:v>
                </c:pt>
                <c:pt idx="163">
                  <c:v>0.10591638124273201</c:v>
                </c:pt>
                <c:pt idx="164">
                  <c:v>0.105924612235738</c:v>
                </c:pt>
                <c:pt idx="165">
                  <c:v>0.10593283039644</c:v>
                </c:pt>
                <c:pt idx="166">
                  <c:v>0.105941036301648</c:v>
                </c:pt>
                <c:pt idx="167">
                  <c:v>0.10594923052586901</c:v>
                </c:pt>
                <c:pt idx="168">
                  <c:v>0.105957413641566</c:v>
                </c:pt>
                <c:pt idx="169">
                  <c:v>0.105965586219415</c:v>
                </c:pt>
                <c:pt idx="170">
                  <c:v>0.105973748828566</c:v>
                </c:pt>
                <c:pt idx="171">
                  <c:v>0.10598190203689301</c:v>
                </c:pt>
                <c:pt idx="172">
                  <c:v>0.105990046411258</c:v>
                </c:pt>
                <c:pt idx="173">
                  <c:v>0.10599818251776701</c:v>
                </c:pt>
                <c:pt idx="174">
                  <c:v>0.106006310922025</c:v>
                </c:pt>
                <c:pt idx="175">
                  <c:v>0.106014432189397</c:v>
                </c:pt>
                <c:pt idx="176">
                  <c:v>0.106022546885271</c:v>
                </c:pt>
                <c:pt idx="177">
                  <c:v>0.10603065557531401</c:v>
                </c:pt>
                <c:pt idx="178">
                  <c:v>0.10603875882574</c:v>
                </c:pt>
                <c:pt idx="179">
                  <c:v>0.106046857203577</c:v>
                </c:pt>
                <c:pt idx="180">
                  <c:v>0.106054951276932</c:v>
                </c:pt>
                <c:pt idx="181">
                  <c:v>0.106063041615263</c:v>
                </c:pt>
                <c:pt idx="182">
                  <c:v>0.10607112878965499</c:v>
                </c:pt>
                <c:pt idx="183">
                  <c:v>0.106079213373101</c:v>
                </c:pt>
                <c:pt idx="184">
                  <c:v>0.106087295940776</c:v>
                </c:pt>
                <c:pt idx="185">
                  <c:v>0.10609537707033299</c:v>
                </c:pt>
                <c:pt idx="186">
                  <c:v>0.106103457342189</c:v>
                </c:pt>
                <c:pt idx="187">
                  <c:v>0.106111537339822</c:v>
                </c:pt>
                <c:pt idx="188">
                  <c:v>0.10611961765007601</c:v>
                </c:pt>
                <c:pt idx="189">
                  <c:v>0.106127698863465</c:v>
                </c:pt>
                <c:pt idx="190">
                  <c:v>0.10613578157449099</c:v>
                </c:pt>
                <c:pt idx="191">
                  <c:v>0.106143866381966</c:v>
                </c:pt>
                <c:pt idx="192">
                  <c:v>0.10615195388934</c:v>
                </c:pt>
                <c:pt idx="193">
                  <c:v>0.106160044705038</c:v>
                </c:pt>
                <c:pt idx="194">
                  <c:v>0.106168139442805</c:v>
                </c:pt>
                <c:pt idx="195">
                  <c:v>0.106176238722063</c:v>
                </c:pt>
                <c:pt idx="196">
                  <c:v>0.106184343168276</c:v>
                </c:pt>
                <c:pt idx="197">
                  <c:v>0.10619245341332301</c:v>
                </c:pt>
                <c:pt idx="198">
                  <c:v>0.106200570095885</c:v>
                </c:pt>
                <c:pt idx="199">
                  <c:v>0.10620869386184199</c:v>
                </c:pt>
                <c:pt idx="200">
                  <c:v>0.10621682536468401</c:v>
                </c:pt>
                <c:pt idx="201">
                  <c:v>0.106224965265935</c:v>
                </c:pt>
                <c:pt idx="202">
                  <c:v>0.106233114235588</c:v>
                </c:pt>
                <c:pt idx="203">
                  <c:v>0.10624127295256</c:v>
                </c:pt>
                <c:pt idx="204">
                  <c:v>0.10624944210515699</c:v>
                </c:pt>
                <c:pt idx="205">
                  <c:v>0.106257622391562</c:v>
                </c:pt>
                <c:pt idx="206">
                  <c:v>0.106265814520335</c:v>
                </c:pt>
                <c:pt idx="207">
                  <c:v>0.106274019210935</c:v>
                </c:pt>
                <c:pt idx="208">
                  <c:v>0.10628223719426</c:v>
                </c:pt>
                <c:pt idx="209">
                  <c:v>0.106290469213214</c:v>
                </c:pt>
                <c:pt idx="210">
                  <c:v>0.106298716023284</c:v>
                </c:pt>
                <c:pt idx="211">
                  <c:v>0.106306978393155</c:v>
                </c:pt>
                <c:pt idx="212">
                  <c:v>0.106315257105341</c:v>
                </c:pt>
                <c:pt idx="213">
                  <c:v>0.10632355295684801</c:v>
                </c:pt>
                <c:pt idx="214">
                  <c:v>0.10633186675985799</c:v>
                </c:pt>
                <c:pt idx="215">
                  <c:v>0.10634019934245301</c:v>
                </c:pt>
                <c:pt idx="216">
                  <c:v>0.106348551549366</c:v>
                </c:pt>
                <c:pt idx="217">
                  <c:v>0.106356924242761</c:v>
                </c:pt>
                <c:pt idx="218">
                  <c:v>0.10636531830306099</c:v>
                </c:pt>
                <c:pt idx="219">
                  <c:v>0.106373734629807</c:v>
                </c:pt>
                <c:pt idx="220">
                  <c:v>0.10638217414255299</c:v>
                </c:pt>
                <c:pt idx="221">
                  <c:v>0.106390637781818</c:v>
                </c:pt>
                <c:pt idx="222">
                  <c:v>0.10639912651007299</c:v>
                </c:pt>
                <c:pt idx="223">
                  <c:v>0.10640764131277999</c:v>
                </c:pt>
                <c:pt idx="224">
                  <c:v>0.10641618319948901</c:v>
                </c:pt>
                <c:pt idx="225">
                  <c:v>0.106424753204983</c:v>
                </c:pt>
                <c:pt idx="226">
                  <c:v>0.10643335239049</c:v>
                </c:pt>
                <c:pt idx="227">
                  <c:v>0.106441981844954</c:v>
                </c:pt>
                <c:pt idx="228">
                  <c:v>0.106450642686375</c:v>
                </c:pt>
                <c:pt idx="229">
                  <c:v>0.10645933606322799</c:v>
                </c:pt>
                <c:pt idx="230">
                  <c:v>0.10646806315594901</c:v>
                </c:pt>
                <c:pt idx="231">
                  <c:v>0.106476825178516</c:v>
                </c:pt>
                <c:pt idx="232">
                  <c:v>0.10648562338011</c:v>
                </c:pt>
                <c:pt idx="233">
                  <c:v>0.106494459046881</c:v>
                </c:pt>
                <c:pt idx="234">
                  <c:v>0.106503333503809</c:v>
                </c:pt>
                <c:pt idx="235">
                  <c:v>0.10651224811667701</c:v>
                </c:pt>
                <c:pt idx="236">
                  <c:v>0.106521204294171</c:v>
                </c:pt>
                <c:pt idx="237">
                  <c:v>0.106530203490093</c:v>
                </c:pt>
                <c:pt idx="238">
                  <c:v>0.10653924720572699</c:v>
                </c:pt>
                <c:pt idx="239">
                  <c:v>0.106548336992338</c:v>
                </c:pt>
                <c:pt idx="240">
                  <c:v>0.106557474453844</c:v>
                </c:pt>
                <c:pt idx="241">
                  <c:v>0.106566661249652</c:v>
                </c:pt>
                <c:pt idx="242">
                  <c:v>0.10657589909767901</c:v>
                </c:pt>
                <c:pt idx="243">
                  <c:v>0.10658518977758299</c:v>
                </c:pt>
                <c:pt idx="244">
                  <c:v>0.106594535134197</c:v>
                </c:pt>
                <c:pt idx="245">
                  <c:v>0.106603937081217</c:v>
                </c:pt>
                <c:pt idx="246">
                  <c:v>0.106613397605125</c:v>
                </c:pt>
                <c:pt idx="247">
                  <c:v>0.10662291876941001</c:v>
                </c:pt>
                <c:pt idx="248">
                  <c:v>0.106632502719071</c:v>
                </c:pt>
                <c:pt idx="249">
                  <c:v>0.10664215168546599</c:v>
                </c:pt>
                <c:pt idx="250">
                  <c:v>0.106651867991505</c:v>
                </c:pt>
                <c:pt idx="251">
                  <c:v>0.106661654057239</c:v>
                </c:pt>
                <c:pt idx="252">
                  <c:v>0.106671512405876</c:v>
                </c:pt>
                <c:pt idx="253">
                  <c:v>0.106681445670259</c:v>
                </c:pt>
                <c:pt idx="254">
                  <c:v>0.106691456599855</c:v>
                </c:pt>
                <c:pt idx="255">
                  <c:v>0.10670154806830701</c:v>
                </c:pt>
                <c:pt idx="256">
                  <c:v>0.106711723081597</c:v>
                </c:pt>
                <c:pt idx="257">
                  <c:v>0.106721984786882</c:v>
                </c:pt>
                <c:pt idx="258">
                  <c:v>0.106732336482082</c:v>
                </c:pt>
                <c:pt idx="259">
                  <c:v>0.10674278162628199</c:v>
                </c:pt>
                <c:pt idx="260">
                  <c:v>0.106753323851043</c:v>
                </c:pt>
                <c:pt idx="261">
                  <c:v>0.106763966972719</c:v>
                </c:pt>
                <c:pt idx="262">
                  <c:v>0.10677471500588499</c:v>
                </c:pt>
                <c:pt idx="263">
                  <c:v>0.10678557217800599</c:v>
                </c:pt>
                <c:pt idx="264">
                  <c:v>0.106796542945475</c:v>
                </c:pt>
                <c:pt idx="265">
                  <c:v>0.10680763201119001</c:v>
                </c:pt>
                <c:pt idx="266">
                  <c:v>0.106818844343851</c:v>
                </c:pt>
                <c:pt idx="267">
                  <c:v>0.106830185199162</c:v>
                </c:pt>
                <c:pt idx="268">
                  <c:v>0.1068416601432</c:v>
                </c:pt>
                <c:pt idx="269">
                  <c:v>0.106853275078199</c:v>
                </c:pt>
                <c:pt idx="270">
                  <c:v>0.10686503627105901</c:v>
                </c:pt>
                <c:pt idx="271">
                  <c:v>0.106876950384948</c:v>
                </c:pt>
                <c:pt idx="272">
                  <c:v>0.10688902451438199</c:v>
                </c:pt>
                <c:pt idx="273">
                  <c:v>0.106901266224276</c:v>
                </c:pt>
                <c:pt idx="274">
                  <c:v>0.106913683593506</c:v>
                </c:pt>
                <c:pt idx="275">
                  <c:v>0.106926285263621</c:v>
                </c:pt>
                <c:pt idx="276">
                  <c:v>0.106939080493455</c:v>
                </c:pt>
                <c:pt idx="277">
                  <c:v>0.10695207922051</c:v>
                </c:pt>
                <c:pt idx="278">
                  <c:v>0.10696529213014599</c:v>
                </c:pt>
                <c:pt idx="279">
                  <c:v>0.106978730733797</c:v>
                </c:pt>
                <c:pt idx="280">
                  <c:v>0.106992407457646</c:v>
                </c:pt>
                <c:pt idx="281">
                  <c:v>0.107006335743491</c:v>
                </c:pt>
                <c:pt idx="282">
                  <c:v>0.10702053016384699</c:v>
                </c:pt>
                <c:pt idx="283">
                  <c:v>0.107035006553762</c:v>
                </c:pt>
                <c:pt idx="284">
                  <c:v>0.107049782162317</c:v>
                </c:pt>
                <c:pt idx="285">
                  <c:v>0.10706487582742701</c:v>
                </c:pt>
                <c:pt idx="286">
                  <c:v>0.107080308178348</c:v>
                </c:pt>
                <c:pt idx="287">
                  <c:v>0.10709610187127599</c:v>
                </c:pt>
                <c:pt idx="288">
                  <c:v>0.10711228186470099</c:v>
                </c:pt>
                <c:pt idx="289">
                  <c:v>0.107128875742745</c:v>
                </c:pt>
                <c:pt idx="290">
                  <c:v>0.107145914096787</c:v>
                </c:pt>
                <c:pt idx="291">
                  <c:v>0.10716343097827</c:v>
                </c:pt>
                <c:pt idx="292">
                  <c:v>0.10718146443905199</c:v>
                </c:pt>
                <c:pt idx="293">
                  <c:v>0.107200057180087</c:v>
                </c:pt>
                <c:pt idx="294">
                  <c:v>0.10721925733519</c:v>
                </c:pt>
                <c:pt idx="295">
                  <c:v>0.107239119424452</c:v>
                </c:pt>
                <c:pt idx="296">
                  <c:v>0.10725970552248799</c:v>
                </c:pt>
                <c:pt idx="297">
                  <c:v>0.107281086701057</c:v>
                </c:pt>
                <c:pt idx="298">
                  <c:v>0.10730334482520799</c:v>
                </c:pt>
                <c:pt idx="299">
                  <c:v>0.107326574809414</c:v>
                </c:pt>
                <c:pt idx="300">
                  <c:v>0.10735088747820599</c:v>
                </c:pt>
                <c:pt idx="301">
                  <c:v>0.10737641322982</c:v>
                </c:pt>
                <c:pt idx="302">
                  <c:v>0.107403306778537</c:v>
                </c:pt>
                <c:pt idx="303">
                  <c:v>0.10743175336319</c:v>
                </c:pt>
                <c:pt idx="304">
                  <c:v>0.107461976972791</c:v>
                </c:pt>
                <c:pt idx="305">
                  <c:v>0.107494251381856</c:v>
                </c:pt>
                <c:pt idx="306">
                  <c:v>0.107528915147976</c:v>
                </c:pt>
                <c:pt idx="307">
                  <c:v>0.107566392263413</c:v>
                </c:pt>
                <c:pt idx="308">
                  <c:v>0.10760722096054399</c:v>
                </c:pt>
                <c:pt idx="309">
                  <c:v>0.107652094373539</c:v>
                </c:pt>
                <c:pt idx="310">
                  <c:v>0.107701918517204</c:v>
                </c:pt>
                <c:pt idx="311">
                  <c:v>0.107757895545197</c:v>
                </c:pt>
                <c:pt idx="312">
                  <c:v>0.107821643761701</c:v>
                </c:pt>
                <c:pt idx="313">
                  <c:v>0.107895371464266</c:v>
                </c:pt>
                <c:pt idx="314">
                  <c:v>0.107982136054144</c:v>
                </c:pt>
                <c:pt idx="315">
                  <c:v>0.108086279484475</c:v>
                </c:pt>
                <c:pt idx="316">
                  <c:v>0.10821441051713999</c:v>
                </c:pt>
                <c:pt idx="317">
                  <c:v>0.108378611684964</c:v>
                </c:pt>
                <c:pt idx="318">
                  <c:v>0.10851279142848901</c:v>
                </c:pt>
                <c:pt idx="319">
                  <c:v>0.108646878508965</c:v>
                </c:pt>
                <c:pt idx="320">
                  <c:v>0.108781836007877</c:v>
                </c:pt>
                <c:pt idx="321">
                  <c:v>0.108917703938839</c:v>
                </c:pt>
                <c:pt idx="322">
                  <c:v>0.109054545173906</c:v>
                </c:pt>
                <c:pt idx="323">
                  <c:v>0.109192417872054</c:v>
                </c:pt>
                <c:pt idx="324">
                  <c:v>0.109331376964383</c:v>
                </c:pt>
                <c:pt idx="325">
                  <c:v>0.10947147454287399</c:v>
                </c:pt>
                <c:pt idx="326">
                  <c:v>0.109612760241196</c:v>
                </c:pt>
                <c:pt idx="327">
                  <c:v>0.10975528157779101</c:v>
                </c:pt>
                <c:pt idx="328">
                  <c:v>0.109899084266184</c:v>
                </c:pt>
                <c:pt idx="329">
                  <c:v>0.110044212495958</c:v>
                </c:pt>
                <c:pt idx="330">
                  <c:v>0.11019070918751001</c:v>
                </c:pt>
                <c:pt idx="331">
                  <c:v>0.11033861622334599</c:v>
                </c:pt>
                <c:pt idx="332">
                  <c:v>0.110487974658393</c:v>
                </c:pt>
                <c:pt idx="333">
                  <c:v>0.110638824911563</c:v>
                </c:pt>
                <c:pt idx="334">
                  <c:v>0.110791206940568</c:v>
                </c:pt>
                <c:pt idx="335">
                  <c:v>0.11094516040180299</c:v>
                </c:pt>
                <c:pt idx="336">
                  <c:v>0.11110072479692901</c:v>
                </c:pt>
                <c:pt idx="337">
                  <c:v>0.111257939607629</c:v>
                </c:pt>
                <c:pt idx="338">
                  <c:v>0.111416844419904</c:v>
                </c:pt>
                <c:pt idx="339">
                  <c:v>0.111577479039088</c:v>
                </c:pt>
                <c:pt idx="340">
                  <c:v>0.111739883596728</c:v>
                </c:pt>
                <c:pt idx="341">
                  <c:v>0.111904098650297</c:v>
                </c:pt>
                <c:pt idx="342">
                  <c:v>0.11207016527668</c:v>
                </c:pt>
                <c:pt idx="343">
                  <c:v>0.112238125160255</c:v>
                </c:pt>
                <c:pt idx="344">
                  <c:v>0.11240802067632299</c:v>
                </c:pt>
                <c:pt idx="345">
                  <c:v>0.11257989497059701</c:v>
                </c:pt>
                <c:pt idx="346">
                  <c:v>0.112753792035371</c:v>
                </c:pt>
                <c:pt idx="347">
                  <c:v>0.112929756782956</c:v>
                </c:pt>
                <c:pt idx="348">
                  <c:v>0.113107835116922</c:v>
                </c:pt>
                <c:pt idx="349">
                  <c:v>0.113288074001635</c:v>
                </c:pt>
                <c:pt idx="350">
                  <c:v>0.113470521530551</c:v>
                </c:pt>
                <c:pt idx="351">
                  <c:v>0.113655226993682</c:v>
                </c:pt>
                <c:pt idx="352">
                  <c:v>0.113842240944644</c:v>
                </c:pt>
                <c:pt idx="353">
                  <c:v>0.114031615267637</c:v>
                </c:pt>
                <c:pt idx="354">
                  <c:v>0.11422340324472501</c:v>
                </c:pt>
                <c:pt idx="355">
                  <c:v>0.11441765962373</c:v>
                </c:pt>
                <c:pt idx="356">
                  <c:v>0.114614440687063</c:v>
                </c:pt>
                <c:pt idx="357">
                  <c:v>0.114813804321789</c:v>
                </c:pt>
                <c:pt idx="358">
                  <c:v>0.22425676384167301</c:v>
                </c:pt>
                <c:pt idx="359">
                  <c:v>0.30704288935609397</c:v>
                </c:pt>
                <c:pt idx="360">
                  <c:v>0.30834090817871301</c:v>
                </c:pt>
                <c:pt idx="361">
                  <c:v>0.30921577139060102</c:v>
                </c:pt>
                <c:pt idx="362">
                  <c:v>0.31017471350345399</c:v>
                </c:pt>
                <c:pt idx="363">
                  <c:v>0.31131883897321</c:v>
                </c:pt>
                <c:pt idx="364">
                  <c:v>0.31289797505880901</c:v>
                </c:pt>
                <c:pt idx="365">
                  <c:v>0.51289797505880896</c:v>
                </c:pt>
                <c:pt idx="366">
                  <c:v>0.51289797505880896</c:v>
                </c:pt>
              </c:numCache>
            </c:numRef>
          </c:xVal>
          <c:yVal>
            <c:numRef>
              <c:f>Implicit_Fracs!$BO$5:$BO$371</c:f>
              <c:numCache>
                <c:formatCode>0.00E+00</c:formatCode>
                <c:ptCount val="367"/>
                <c:pt idx="0">
                  <c:v>1.99999999999992E-8</c:v>
                </c:pt>
                <c:pt idx="1">
                  <c:v>3.9959200571050897E-8</c:v>
                </c:pt>
                <c:pt idx="2">
                  <c:v>5.9919056125384302E-8</c:v>
                </c:pt>
                <c:pt idx="3">
                  <c:v>7.9879068764700106E-8</c:v>
                </c:pt>
                <c:pt idx="4">
                  <c:v>9.9839137697233694E-8</c:v>
                </c:pt>
                <c:pt idx="5">
                  <c:v>1.1979922426002E-7</c:v>
                </c:pt>
                <c:pt idx="6">
                  <c:v>1.39759305036487E-7</c:v>
                </c:pt>
                <c:pt idx="7">
                  <c:v>1.5971936243417399E-7</c:v>
                </c:pt>
                <c:pt idx="8">
                  <c:v>1.7967938222338301E-7</c:v>
                </c:pt>
                <c:pt idx="9">
                  <c:v>1.9963935261654701E-7</c:v>
                </c:pt>
                <c:pt idx="10">
                  <c:v>2.19599263748411E-7</c:v>
                </c:pt>
                <c:pt idx="11">
                  <c:v>2.3955910729808402E-7</c:v>
                </c:pt>
                <c:pt idx="12">
                  <c:v>2.5951887618981303E-7</c:v>
                </c:pt>
                <c:pt idx="13">
                  <c:v>2.79478564352554E-7</c:v>
                </c:pt>
                <c:pt idx="14">
                  <c:v>2.99438166527529E-7</c:v>
                </c:pt>
                <c:pt idx="15">
                  <c:v>3.1939767811495699E-7</c:v>
                </c:pt>
                <c:pt idx="16">
                  <c:v>3.3935709505241698E-7</c:v>
                </c:pt>
                <c:pt idx="17">
                  <c:v>3.5931641371816999E-7</c:v>
                </c:pt>
                <c:pt idx="18">
                  <c:v>3.7927563085422899E-7</c:v>
                </c:pt>
                <c:pt idx="19">
                  <c:v>3.9923474350476298E-7</c:v>
                </c:pt>
                <c:pt idx="20">
                  <c:v>4.1919374896660697E-7</c:v>
                </c:pt>
                <c:pt idx="21">
                  <c:v>4.39152644749159E-7</c:v>
                </c:pt>
                <c:pt idx="22">
                  <c:v>4.5911142854174499E-7</c:v>
                </c:pt>
                <c:pt idx="23">
                  <c:v>4.7907009818677505E-7</c:v>
                </c:pt>
                <c:pt idx="24">
                  <c:v>4.9902865165762904E-7</c:v>
                </c:pt>
                <c:pt idx="25">
                  <c:v>5.1898708704022505E-7</c:v>
                </c:pt>
                <c:pt idx="26">
                  <c:v>5.3894540251759599E-7</c:v>
                </c:pt>
                <c:pt idx="27">
                  <c:v>5.5890359635691001E-7</c:v>
                </c:pt>
                <c:pt idx="28">
                  <c:v>5.7886166689844196E-7</c:v>
                </c:pt>
                <c:pt idx="29">
                  <c:v>5.98819612546233E-7</c:v>
                </c:pt>
                <c:pt idx="30">
                  <c:v>6.1877743175997203E-7</c:v>
                </c:pt>
                <c:pt idx="31">
                  <c:v>6.3873512304813705E-7</c:v>
                </c:pt>
                <c:pt idx="32">
                  <c:v>6.5869268496193495E-7</c:v>
                </c:pt>
                <c:pt idx="33">
                  <c:v>6.78650116090143E-7</c:v>
                </c:pt>
                <c:pt idx="34">
                  <c:v>6.9860741505448696E-7</c:v>
                </c:pt>
                <c:pt idx="35">
                  <c:v>7.1856458050566304E-7</c:v>
                </c:pt>
                <c:pt idx="36">
                  <c:v>7.3852161111979697E-7</c:v>
                </c:pt>
                <c:pt idx="37">
                  <c:v>7.5847850513267805E-7</c:v>
                </c:pt>
                <c:pt idx="38">
                  <c:v>7.7843526080105995E-7</c:v>
                </c:pt>
                <c:pt idx="39">
                  <c:v>7.9839187641677898E-7</c:v>
                </c:pt>
                <c:pt idx="40">
                  <c:v>8.1834835030209199E-7</c:v>
                </c:pt>
                <c:pt idx="41">
                  <c:v>8.3830468080551596E-7</c:v>
                </c:pt>
                <c:pt idx="42">
                  <c:v>8.58260866298148E-7</c:v>
                </c:pt>
                <c:pt idx="43">
                  <c:v>8.7821690517036197E-7</c:v>
                </c:pt>
                <c:pt idx="44">
                  <c:v>8.9817279582888095E-7</c:v>
                </c:pt>
                <c:pt idx="45">
                  <c:v>9.18128536694109E-7</c:v>
                </c:pt>
                <c:pt idx="46">
                  <c:v>9.3808412619779001E-7</c:v>
                </c:pt>
                <c:pt idx="47">
                  <c:v>9.5803956278079806E-7</c:v>
                </c:pt>
                <c:pt idx="48">
                  <c:v>9.7799484489119908E-7</c:v>
                </c:pt>
                <c:pt idx="49">
                  <c:v>9.9794997098241995E-7</c:v>
                </c:pt>
                <c:pt idx="50">
                  <c:v>1.01790493951166E-6</c:v>
                </c:pt>
                <c:pt idx="51">
                  <c:v>1.0378597489383299E-6</c:v>
                </c:pt>
                <c:pt idx="52">
                  <c:v>1.0578143977227199E-6</c:v>
                </c:pt>
                <c:pt idx="53">
                  <c:v>1.07776888432466E-6</c:v>
                </c:pt>
                <c:pt idx="54">
                  <c:v>1.09772320720234E-6</c:v>
                </c:pt>
                <c:pt idx="55">
                  <c:v>1.11767736481124E-6</c:v>
                </c:pt>
                <c:pt idx="56">
                  <c:v>1.13763135560301E-6</c:v>
                </c:pt>
                <c:pt idx="57">
                  <c:v>1.1575851780245601E-6</c:v>
                </c:pt>
                <c:pt idx="58">
                  <c:v>1.1775388305170901E-6</c:v>
                </c:pt>
                <c:pt idx="59">
                  <c:v>1.1974923115153299E-6</c:v>
                </c:pt>
                <c:pt idx="60">
                  <c:v>1.2174456194465299E-6</c:v>
                </c:pt>
                <c:pt idx="61">
                  <c:v>1.2373987527299001E-6</c:v>
                </c:pt>
                <c:pt idx="62">
                  <c:v>1.2573517097756999E-6</c:v>
                </c:pt>
                <c:pt idx="63">
                  <c:v>1.2773044889845801E-6</c:v>
                </c:pt>
                <c:pt idx="64">
                  <c:v>1.2972570887469399E-6</c:v>
                </c:pt>
                <c:pt idx="65">
                  <c:v>1.3172095074422E-6</c:v>
                </c:pt>
                <c:pt idx="66">
                  <c:v>1.33716174343822E-6</c:v>
                </c:pt>
                <c:pt idx="67">
                  <c:v>1.35711379509064E-6</c:v>
                </c:pt>
                <c:pt idx="68">
                  <c:v>1.3770656607423101E-6</c:v>
                </c:pt>
                <c:pt idx="69">
                  <c:v>1.3970173387227299E-6</c:v>
                </c:pt>
                <c:pt idx="70">
                  <c:v>1.4169688273474199E-6</c:v>
                </c:pt>
                <c:pt idx="71">
                  <c:v>1.43692012491742E-6</c:v>
                </c:pt>
                <c:pt idx="72">
                  <c:v>1.4568712297187201E-6</c:v>
                </c:pt>
                <c:pt idx="73">
                  <c:v>1.47682214002173E-6</c:v>
                </c:pt>
                <c:pt idx="74">
                  <c:v>1.4967728540807301E-6</c:v>
                </c:pt>
                <c:pt idx="75">
                  <c:v>1.5167233701333701E-6</c:v>
                </c:pt>
                <c:pt idx="76">
                  <c:v>1.5366736864001399E-6</c:v>
                </c:pt>
                <c:pt idx="77">
                  <c:v>1.5566238010838801E-6</c:v>
                </c:pt>
                <c:pt idx="78">
                  <c:v>1.5765737123692401E-6</c:v>
                </c:pt>
                <c:pt idx="79">
                  <c:v>1.5965234184221601E-6</c:v>
                </c:pt>
                <c:pt idx="80">
                  <c:v>1.61647291738937E-6</c:v>
                </c:pt>
                <c:pt idx="81">
                  <c:v>1.63642220739794E-6</c:v>
                </c:pt>
                <c:pt idx="82">
                  <c:v>1.6563712865546799E-6</c:v>
                </c:pt>
                <c:pt idx="83">
                  <c:v>1.67632015294566E-6</c:v>
                </c:pt>
                <c:pt idx="84">
                  <c:v>1.69626880463579E-6</c:v>
                </c:pt>
                <c:pt idx="85">
                  <c:v>1.71621723966812E-6</c:v>
                </c:pt>
                <c:pt idx="86">
                  <c:v>1.7361654560635099E-6</c:v>
                </c:pt>
                <c:pt idx="87">
                  <c:v>1.7561134518199899E-6</c:v>
                </c:pt>
                <c:pt idx="88">
                  <c:v>1.7760612249122801E-6</c:v>
                </c:pt>
                <c:pt idx="89">
                  <c:v>1.79600877329128E-6</c:v>
                </c:pt>
                <c:pt idx="90">
                  <c:v>1.8159560948834501E-6</c:v>
                </c:pt>
                <c:pt idx="91">
                  <c:v>1.83590318759033E-6</c:v>
                </c:pt>
                <c:pt idx="92">
                  <c:v>1.85585004928803E-6</c:v>
                </c:pt>
                <c:pt idx="93">
                  <c:v>1.8757966778266099E-6</c:v>
                </c:pt>
                <c:pt idx="94">
                  <c:v>1.89574307102946E-6</c:v>
                </c:pt>
                <c:pt idx="95">
                  <c:v>1.91568922669291E-6</c:v>
                </c:pt>
                <c:pt idx="96">
                  <c:v>1.9356351425854801E-6</c:v>
                </c:pt>
                <c:pt idx="97">
                  <c:v>1.95558081644732E-6</c:v>
                </c:pt>
                <c:pt idx="98">
                  <c:v>1.9755262459897298E-6</c:v>
                </c:pt>
                <c:pt idx="99">
                  <c:v>1.9954714288943701E-6</c:v>
                </c:pt>
                <c:pt idx="100">
                  <c:v>2.0154163628127599E-6</c:v>
                </c:pt>
                <c:pt idx="101">
                  <c:v>2.0353610453655998E-6</c:v>
                </c:pt>
                <c:pt idx="102">
                  <c:v>2.0553054741422098E-6</c:v>
                </c:pt>
                <c:pt idx="103">
                  <c:v>2.0752496466997499E-6</c:v>
                </c:pt>
                <c:pt idx="104">
                  <c:v>2.0951935605625999E-6</c:v>
                </c:pt>
                <c:pt idx="105">
                  <c:v>2.1151372132217499E-6</c:v>
                </c:pt>
                <c:pt idx="106">
                  <c:v>2.13508060213395E-6</c:v>
                </c:pt>
                <c:pt idx="107">
                  <c:v>2.1550237247211801E-6</c:v>
                </c:pt>
                <c:pt idx="108">
                  <c:v>2.17496657836976E-6</c:v>
                </c:pt>
                <c:pt idx="109">
                  <c:v>2.1949091604298198E-6</c:v>
                </c:pt>
                <c:pt idx="110">
                  <c:v>2.2148514682142399E-6</c:v>
                </c:pt>
                <c:pt idx="111">
                  <c:v>2.2347934989981598E-6</c:v>
                </c:pt>
                <c:pt idx="112">
                  <c:v>2.2547352500180701E-6</c:v>
                </c:pt>
                <c:pt idx="113">
                  <c:v>2.2746767184710198E-6</c:v>
                </c:pt>
                <c:pt idx="114">
                  <c:v>2.2946179015137899E-6</c:v>
                </c:pt>
                <c:pt idx="115">
                  <c:v>2.3145587962619901E-6</c:v>
                </c:pt>
                <c:pt idx="116">
                  <c:v>2.3344993997893198E-6</c:v>
                </c:pt>
                <c:pt idx="117">
                  <c:v>2.3544397091266202E-6</c:v>
                </c:pt>
                <c:pt idx="118">
                  <c:v>2.37437972126094E-6</c:v>
                </c:pt>
                <c:pt idx="119">
                  <c:v>2.3943194331346301E-6</c:v>
                </c:pt>
                <c:pt idx="120">
                  <c:v>2.4142588416443799E-6</c:v>
                </c:pt>
                <c:pt idx="121">
                  <c:v>2.4341979436403198E-6</c:v>
                </c:pt>
                <c:pt idx="122">
                  <c:v>2.4541367359249298E-6</c:v>
                </c:pt>
                <c:pt idx="123">
                  <c:v>2.4740752152521E-6</c:v>
                </c:pt>
                <c:pt idx="124">
                  <c:v>2.4940133783259902E-6</c:v>
                </c:pt>
                <c:pt idx="125">
                  <c:v>2.51395122180002E-6</c:v>
                </c:pt>
                <c:pt idx="126">
                  <c:v>2.5338887422758101E-6</c:v>
                </c:pt>
                <c:pt idx="127">
                  <c:v>2.55382593630193E-6</c:v>
                </c:pt>
                <c:pt idx="128">
                  <c:v>2.5737628003728698E-6</c:v>
                </c:pt>
                <c:pt idx="129">
                  <c:v>2.5936993309277901E-6</c:v>
                </c:pt>
                <c:pt idx="130">
                  <c:v>2.6136355243492499E-6</c:v>
                </c:pt>
                <c:pt idx="131">
                  <c:v>2.6335713769620198E-6</c:v>
                </c:pt>
                <c:pt idx="132">
                  <c:v>2.65350688503187E-6</c:v>
                </c:pt>
                <c:pt idx="133">
                  <c:v>2.6734420447641098E-6</c:v>
                </c:pt>
                <c:pt idx="134">
                  <c:v>2.6933768523022699E-6</c:v>
                </c:pt>
                <c:pt idx="135">
                  <c:v>2.7133113037268101E-6</c:v>
                </c:pt>
                <c:pt idx="136">
                  <c:v>2.7332453950535299E-6</c:v>
                </c:pt>
                <c:pt idx="137">
                  <c:v>2.7531791222322399E-6</c:v>
                </c:pt>
                <c:pt idx="138">
                  <c:v>2.7731124811451201E-6</c:v>
                </c:pt>
                <c:pt idx="139">
                  <c:v>2.7930454676053402E-6</c:v>
                </c:pt>
                <c:pt idx="140">
                  <c:v>2.8129780773552998E-6</c:v>
                </c:pt>
                <c:pt idx="141">
                  <c:v>2.8329103060650199E-6</c:v>
                </c:pt>
                <c:pt idx="142">
                  <c:v>2.8528421493305499E-6</c:v>
                </c:pt>
                <c:pt idx="143">
                  <c:v>2.8727736026720902E-6</c:v>
                </c:pt>
                <c:pt idx="144">
                  <c:v>2.8927046615323701E-6</c:v>
                </c:pt>
                <c:pt idx="145">
                  <c:v>2.9126353212746199E-6</c:v>
                </c:pt>
                <c:pt idx="146">
                  <c:v>2.9325655771807899E-6</c:v>
                </c:pt>
                <c:pt idx="147">
                  <c:v>2.9524954244496102E-6</c:v>
                </c:pt>
                <c:pt idx="148">
                  <c:v>2.97242485819456E-6</c:v>
                </c:pt>
                <c:pt idx="149">
                  <c:v>2.99235387344178E-6</c:v>
                </c:pt>
                <c:pt idx="150">
                  <c:v>3.01228246512795E-6</c:v>
                </c:pt>
                <c:pt idx="151">
                  <c:v>3.03221062809808E-6</c:v>
                </c:pt>
                <c:pt idx="152">
                  <c:v>3.0521383571033102E-6</c:v>
                </c:pt>
                <c:pt idx="153">
                  <c:v>3.0720656467985101E-6</c:v>
                </c:pt>
                <c:pt idx="154">
                  <c:v>3.0919924917399101E-6</c:v>
                </c:pt>
                <c:pt idx="155">
                  <c:v>3.1119188863826301E-6</c:v>
                </c:pt>
                <c:pt idx="156">
                  <c:v>3.13184482507808E-6</c:v>
                </c:pt>
                <c:pt idx="157">
                  <c:v>3.1517703020713698E-6</c:v>
                </c:pt>
                <c:pt idx="158">
                  <c:v>3.1716953114985802E-6</c:v>
                </c:pt>
                <c:pt idx="159">
                  <c:v>3.1916198473839301E-6</c:v>
                </c:pt>
                <c:pt idx="160">
                  <c:v>3.2115439036369402E-6</c:v>
                </c:pt>
                <c:pt idx="161">
                  <c:v>3.2314674740493501E-6</c:v>
                </c:pt>
                <c:pt idx="162">
                  <c:v>3.25139055229217E-6</c:v>
                </c:pt>
                <c:pt idx="163">
                  <c:v>3.2713131319122098E-6</c:v>
                </c:pt>
                <c:pt idx="164">
                  <c:v>3.2912352063291798E-6</c:v>
                </c:pt>
                <c:pt idx="165">
                  <c:v>3.3111567688319901E-6</c:v>
                </c:pt>
                <c:pt idx="166">
                  <c:v>3.3310778125752999E-6</c:v>
                </c:pt>
                <c:pt idx="167">
                  <c:v>3.3509983305759801E-6</c:v>
                </c:pt>
                <c:pt idx="168">
                  <c:v>3.3709183157092099E-6</c:v>
                </c:pt>
                <c:pt idx="169">
                  <c:v>3.3908377607046399E-6</c:v>
                </c:pt>
                <c:pt idx="170">
                  <c:v>3.4107566581424601E-6</c:v>
                </c:pt>
                <c:pt idx="171">
                  <c:v>3.4306750004490799E-6</c:v>
                </c:pt>
                <c:pt idx="172">
                  <c:v>3.4505927798929398E-6</c:v>
                </c:pt>
                <c:pt idx="173">
                  <c:v>3.4705099885799502E-6</c:v>
                </c:pt>
                <c:pt idx="174">
                  <c:v>3.4904266184490298E-6</c:v>
                </c:pt>
                <c:pt idx="175">
                  <c:v>3.51034266126712E-6</c:v>
                </c:pt>
                <c:pt idx="176">
                  <c:v>3.5302581086243598E-6</c:v>
                </c:pt>
                <c:pt idx="177">
                  <c:v>3.5501729519289801E-6</c:v>
                </c:pt>
                <c:pt idx="178">
                  <c:v>3.57008718240185E-6</c:v>
                </c:pt>
                <c:pt idx="179">
                  <c:v>3.5900007910710499E-6</c:v>
                </c:pt>
                <c:pt idx="180">
                  <c:v>3.6099137687662001E-6</c:v>
                </c:pt>
                <c:pt idx="181">
                  <c:v>3.6298261061123399E-6</c:v>
                </c:pt>
                <c:pt idx="182">
                  <c:v>3.6497377935240201E-6</c:v>
                </c:pt>
                <c:pt idx="183">
                  <c:v>3.6696488211986902E-6</c:v>
                </c:pt>
                <c:pt idx="184">
                  <c:v>3.68955917911018E-6</c:v>
                </c:pt>
                <c:pt idx="185">
                  <c:v>3.70946885700179E-6</c:v>
                </c:pt>
                <c:pt idx="186">
                  <c:v>3.72937784437912E-6</c:v>
                </c:pt>
                <c:pt idx="187">
                  <c:v>3.74928613050266E-6</c:v>
                </c:pt>
                <c:pt idx="188">
                  <c:v>3.7691937043800199E-6</c:v>
                </c:pt>
                <c:pt idx="189">
                  <c:v>3.78910055475795E-6</c:v>
                </c:pt>
                <c:pt idx="190">
                  <c:v>3.8090066701138799E-6</c:v>
                </c:pt>
                <c:pt idx="191">
                  <c:v>3.82891203864742E-6</c:v>
                </c:pt>
                <c:pt idx="192">
                  <c:v>3.8488166482710503E-6</c:v>
                </c:pt>
                <c:pt idx="193">
                  <c:v>3.8687204866009503E-6</c:v>
                </c:pt>
                <c:pt idx="194">
                  <c:v>3.88862354094703E-6</c:v>
                </c:pt>
                <c:pt idx="195">
                  <c:v>3.9085257983028097E-6</c:v>
                </c:pt>
                <c:pt idx="196">
                  <c:v>3.92842724533475E-6</c:v>
                </c:pt>
                <c:pt idx="197">
                  <c:v>3.9483278683711002E-6</c:v>
                </c:pt>
                <c:pt idx="198">
                  <c:v>3.96822765339041E-6</c:v>
                </c:pt>
                <c:pt idx="199">
                  <c:v>3.9881265860095203E-6</c:v>
                </c:pt>
                <c:pt idx="200">
                  <c:v>4.0080246514707997E-6</c:v>
                </c:pt>
                <c:pt idx="201">
                  <c:v>4.0279218346291704E-6</c:v>
                </c:pt>
                <c:pt idx="202">
                  <c:v>4.0478181199381904E-6</c:v>
                </c:pt>
                <c:pt idx="203">
                  <c:v>4.0677134914360102E-6</c:v>
                </c:pt>
                <c:pt idx="204">
                  <c:v>4.0876079327302102E-6</c:v>
                </c:pt>
                <c:pt idx="205">
                  <c:v>4.1075014269820999E-6</c:v>
                </c:pt>
                <c:pt idx="206">
                  <c:v>4.1273939568905096E-6</c:v>
                </c:pt>
                <c:pt idx="207">
                  <c:v>4.1472855046745898E-6</c:v>
                </c:pt>
                <c:pt idx="208">
                  <c:v>4.1671760520557996E-6</c:v>
                </c:pt>
                <c:pt idx="209">
                  <c:v>4.1870655802392802E-6</c:v>
                </c:pt>
                <c:pt idx="210">
                  <c:v>4.2069540698941498E-6</c:v>
                </c:pt>
                <c:pt idx="211">
                  <c:v>4.2268415011328703E-6</c:v>
                </c:pt>
                <c:pt idx="212">
                  <c:v>4.2467278534896601E-6</c:v>
                </c:pt>
                <c:pt idx="213">
                  <c:v>4.2666131058978697E-6</c:v>
                </c:pt>
                <c:pt idx="214">
                  <c:v>4.2864972366662E-6</c:v>
                </c:pt>
                <c:pt idx="215">
                  <c:v>4.3063802234537597E-6</c:v>
                </c:pt>
                <c:pt idx="216">
                  <c:v>4.3262620432437804E-6</c:v>
                </c:pt>
                <c:pt idx="217">
                  <c:v>4.34614267231618E-6</c:v>
                </c:pt>
                <c:pt idx="218">
                  <c:v>4.36602208621861E-6</c:v>
                </c:pt>
                <c:pt idx="219">
                  <c:v>4.3859002597359098E-6</c:v>
                </c:pt>
                <c:pt idx="220">
                  <c:v>4.4057771668581102E-6</c:v>
                </c:pt>
                <c:pt idx="221">
                  <c:v>4.4256527807467799E-6</c:v>
                </c:pt>
                <c:pt idx="222">
                  <c:v>4.4455270736992904E-6</c:v>
                </c:pt>
                <c:pt idx="223">
                  <c:v>4.4654000171115102E-6</c:v>
                </c:pt>
                <c:pt idx="224">
                  <c:v>4.4852715814382398E-6</c:v>
                </c:pt>
                <c:pt idx="225">
                  <c:v>4.5051417361514902E-6</c:v>
                </c:pt>
                <c:pt idx="226">
                  <c:v>4.5250104496965499E-6</c:v>
                </c:pt>
                <c:pt idx="227">
                  <c:v>4.5448776894453396E-6</c:v>
                </c:pt>
                <c:pt idx="228">
                  <c:v>4.56474342164743E-6</c:v>
                </c:pt>
                <c:pt idx="229">
                  <c:v>4.5846076113779697E-6</c:v>
                </c:pt>
                <c:pt idx="230">
                  <c:v>4.60447022248261E-6</c:v>
                </c:pt>
                <c:pt idx="231">
                  <c:v>4.6243312175193498E-6</c:v>
                </c:pt>
                <c:pt idx="232">
                  <c:v>4.6441905576967802E-6</c:v>
                </c:pt>
                <c:pt idx="233">
                  <c:v>4.6640482028085199E-6</c:v>
                </c:pt>
                <c:pt idx="234">
                  <c:v>4.6839041111637996E-6</c:v>
                </c:pt>
                <c:pt idx="235">
                  <c:v>4.7037582395137996E-6</c:v>
                </c:pt>
                <c:pt idx="236">
                  <c:v>4.72361054297312E-6</c:v>
                </c:pt>
                <c:pt idx="237">
                  <c:v>4.7434609749364302E-6</c:v>
                </c:pt>
                <c:pt idx="238">
                  <c:v>4.7633094869899499E-6</c:v>
                </c:pt>
                <c:pt idx="239">
                  <c:v>4.78315602881689E-6</c:v>
                </c:pt>
                <c:pt idx="240">
                  <c:v>4.8030005480967603E-6</c:v>
                </c:pt>
                <c:pt idx="241">
                  <c:v>4.8228429903979701E-6</c:v>
                </c:pt>
                <c:pt idx="242">
                  <c:v>4.8426832990633902E-6</c:v>
                </c:pt>
                <c:pt idx="243">
                  <c:v>4.8625214150876898E-6</c:v>
                </c:pt>
                <c:pt idx="244">
                  <c:v>4.8823572769865897E-6</c:v>
                </c:pt>
                <c:pt idx="245">
                  <c:v>4.90219082065665E-6</c:v>
                </c:pt>
                <c:pt idx="246">
                  <c:v>4.9220219792250701E-6</c:v>
                </c:pt>
                <c:pt idx="247">
                  <c:v>4.9418506828889201E-6</c:v>
                </c:pt>
                <c:pt idx="248">
                  <c:v>4.9616768587422998E-6</c:v>
                </c:pt>
                <c:pt idx="249">
                  <c:v>4.9815004305908603E-6</c:v>
                </c:pt>
                <c:pt idx="250">
                  <c:v>5.0013213187522799E-6</c:v>
                </c:pt>
                <c:pt idx="251">
                  <c:v>5.0211394398414702E-6</c:v>
                </c:pt>
                <c:pt idx="252">
                  <c:v>5.0409547065392096E-6</c:v>
                </c:pt>
                <c:pt idx="253">
                  <c:v>5.0607670273424298E-6</c:v>
                </c:pt>
                <c:pt idx="254">
                  <c:v>5.0805763062947898E-6</c:v>
                </c:pt>
                <c:pt idx="255">
                  <c:v>5.1003824426950396E-6</c:v>
                </c:pt>
                <c:pt idx="256">
                  <c:v>5.1201853307817001E-6</c:v>
                </c:pt>
                <c:pt idx="257">
                  <c:v>5.1399848593910702E-6</c:v>
                </c:pt>
                <c:pt idx="258">
                  <c:v>5.1597809115862298E-6</c:v>
                </c:pt>
                <c:pt idx="259">
                  <c:v>5.1795733642540301E-6</c:v>
                </c:pt>
                <c:pt idx="260">
                  <c:v>5.1993620876665496E-6</c:v>
                </c:pt>
                <c:pt idx="261">
                  <c:v>5.2191469450033298E-6</c:v>
                </c:pt>
                <c:pt idx="262">
                  <c:v>5.2389277918302097E-6</c:v>
                </c:pt>
                <c:pt idx="263">
                  <c:v>5.2587044755299796E-6</c:v>
                </c:pt>
                <c:pt idx="264">
                  <c:v>5.2784768346792001E-6</c:v>
                </c:pt>
                <c:pt idx="265">
                  <c:v>5.2982446983656003E-6</c:v>
                </c:pt>
                <c:pt idx="266">
                  <c:v>5.3180078854384898E-6</c:v>
                </c:pt>
                <c:pt idx="267">
                  <c:v>5.3377662036849103E-6</c:v>
                </c:pt>
                <c:pt idx="268">
                  <c:v>5.3575194489221599E-6</c:v>
                </c:pt>
                <c:pt idx="269">
                  <c:v>5.3772674039966602E-6</c:v>
                </c:pt>
                <c:pt idx="270">
                  <c:v>5.3970098376774004E-6</c:v>
                </c:pt>
                <c:pt idx="271">
                  <c:v>5.4167465034304697E-6</c:v>
                </c:pt>
                <c:pt idx="272">
                  <c:v>5.4364771380596204E-6</c:v>
                </c:pt>
                <c:pt idx="273">
                  <c:v>5.4562014601944696E-6</c:v>
                </c:pt>
                <c:pt idx="274">
                  <c:v>5.4759191686064998E-6</c:v>
                </c:pt>
                <c:pt idx="275">
                  <c:v>5.4956299403284804E-6</c:v>
                </c:pt>
                <c:pt idx="276">
                  <c:v>5.5153334285501598E-6</c:v>
                </c:pt>
                <c:pt idx="277">
                  <c:v>5.5350292602577498E-6</c:v>
                </c:pt>
                <c:pt idx="278">
                  <c:v>5.5547170335796304E-6</c:v>
                </c:pt>
                <c:pt idx="279">
                  <c:v>5.5743963147944596E-6</c:v>
                </c:pt>
                <c:pt idx="280">
                  <c:v>5.59406663494942E-6</c:v>
                </c:pt>
                <c:pt idx="281">
                  <c:v>5.6137274860279801E-6</c:v>
                </c:pt>
                <c:pt idx="282">
                  <c:v>5.6333783165946297E-6</c:v>
                </c:pt>
                <c:pt idx="283">
                  <c:v>5.6530185268307898E-6</c:v>
                </c:pt>
                <c:pt idx="284">
                  <c:v>5.6726474628597597E-6</c:v>
                </c:pt>
                <c:pt idx="285">
                  <c:v>5.6922644102385304E-6</c:v>
                </c:pt>
                <c:pt idx="286">
                  <c:v>5.7118685864699098E-6</c:v>
                </c:pt>
                <c:pt idx="287">
                  <c:v>5.73145913235899E-6</c:v>
                </c:pt>
                <c:pt idx="288">
                  <c:v>5.7510351020004203E-6</c:v>
                </c:pt>
                <c:pt idx="289">
                  <c:v>5.7705954511395097E-6</c:v>
                </c:pt>
                <c:pt idx="290">
                  <c:v>5.79013902359296E-6</c:v>
                </c:pt>
                <c:pt idx="291">
                  <c:v>5.8096645353479699E-6</c:v>
                </c:pt>
                <c:pt idx="292">
                  <c:v>5.8291705558726701E-6</c:v>
                </c:pt>
                <c:pt idx="293">
                  <c:v>5.8486554860673197E-6</c:v>
                </c:pt>
                <c:pt idx="294">
                  <c:v>5.8681175321563998E-6</c:v>
                </c:pt>
                <c:pt idx="295">
                  <c:v>5.8875546746658203E-6</c:v>
                </c:pt>
                <c:pt idx="296">
                  <c:v>5.9069646314395699E-6</c:v>
                </c:pt>
                <c:pt idx="297">
                  <c:v>5.92634481342702E-6</c:v>
                </c:pt>
                <c:pt idx="298">
                  <c:v>5.9456922717179402E-6</c:v>
                </c:pt>
                <c:pt idx="299">
                  <c:v>5.9650036340336601E-6</c:v>
                </c:pt>
                <c:pt idx="300">
                  <c:v>5.9842750286407E-6</c:v>
                </c:pt>
                <c:pt idx="301">
                  <c:v>6.0035019935352098E-6</c:v>
                </c:pt>
                <c:pt idx="302">
                  <c:v>6.0226793689528999E-6</c:v>
                </c:pt>
                <c:pt idx="303">
                  <c:v>6.0418011722116904E-6</c:v>
                </c:pt>
                <c:pt idx="304">
                  <c:v>6.0608604564437E-6</c:v>
                </c:pt>
                <c:pt idx="305">
                  <c:v>6.0798491606463601E-6</c:v>
                </c:pt>
                <c:pt idx="306">
                  <c:v>6.0987579711789104E-6</c:v>
                </c:pt>
                <c:pt idx="307">
                  <c:v>6.1175762414668399E-6</c:v>
                </c:pt>
                <c:pt idx="308">
                  <c:v>6.1362920717895098E-6</c:v>
                </c:pt>
                <c:pt idx="309">
                  <c:v>6.15489276433307E-6</c:v>
                </c:pt>
                <c:pt idx="310">
                  <c:v>6.1733661006702101E-6</c:v>
                </c:pt>
                <c:pt idx="311">
                  <c:v>6.1917033608392697E-6</c:v>
                </c:pt>
                <c:pt idx="312">
                  <c:v>6.2099059536342298E-6</c:v>
                </c:pt>
                <c:pt idx="313">
                  <c:v>6.2279994263872403E-6</c:v>
                </c:pt>
                <c:pt idx="314">
                  <c:v>6.2460625588186897E-6</c:v>
                </c:pt>
                <c:pt idx="315">
                  <c:v>6.26428926141491E-6</c:v>
                </c:pt>
                <c:pt idx="316">
                  <c:v>6.2831401846608798E-6</c:v>
                </c:pt>
                <c:pt idx="317">
                  <c:v>6.2945907701331799E-6</c:v>
                </c:pt>
                <c:pt idx="318">
                  <c:v>6.31166535299598E-6</c:v>
                </c:pt>
                <c:pt idx="319">
                  <c:v>6.3287337703285103E-6</c:v>
                </c:pt>
                <c:pt idx="320">
                  <c:v>6.3459906996996197E-6</c:v>
                </c:pt>
                <c:pt idx="321">
                  <c:v>6.3634058020032098E-6</c:v>
                </c:pt>
                <c:pt idx="322">
                  <c:v>6.3809593016354603E-6</c:v>
                </c:pt>
                <c:pt idx="323">
                  <c:v>6.3986333283838404E-6</c:v>
                </c:pt>
                <c:pt idx="324">
                  <c:v>6.4164119871579899E-6</c:v>
                </c:pt>
                <c:pt idx="325">
                  <c:v>6.43428115786516E-6</c:v>
                </c:pt>
                <c:pt idx="326">
                  <c:v>6.4522283176226496E-6</c:v>
                </c:pt>
                <c:pt idx="327">
                  <c:v>6.4702423766003201E-6</c:v>
                </c:pt>
                <c:pt idx="328">
                  <c:v>6.48831352741952E-6</c:v>
                </c:pt>
                <c:pt idx="329">
                  <c:v>6.5064331076168602E-6</c:v>
                </c:pt>
                <c:pt idx="330">
                  <c:v>6.5245934745573003E-6</c:v>
                </c:pt>
                <c:pt idx="331">
                  <c:v>6.5427878920931499E-6</c:v>
                </c:pt>
                <c:pt idx="332">
                  <c:v>6.5610104282118697E-6</c:v>
                </c:pt>
                <c:pt idx="333">
                  <c:v>6.5792558628898403E-6</c:v>
                </c:pt>
                <c:pt idx="334">
                  <c:v>6.59751960536563E-6</c:v>
                </c:pt>
                <c:pt idx="335">
                  <c:v>6.6157976200585796E-6</c:v>
                </c:pt>
                <c:pt idx="336">
                  <c:v>6.6340863603845896E-6</c:v>
                </c:pt>
                <c:pt idx="337">
                  <c:v>6.65238270975406E-6</c:v>
                </c:pt>
                <c:pt idx="338">
                  <c:v>6.6706839290776297E-6</c:v>
                </c:pt>
                <c:pt idx="339">
                  <c:v>6.6889876101482303E-6</c:v>
                </c:pt>
                <c:pt idx="340">
                  <c:v>6.7072916343130101E-6</c:v>
                </c:pt>
                <c:pt idx="341">
                  <c:v>6.7255941358943999E-6</c:v>
                </c:pt>
                <c:pt idx="342">
                  <c:v>6.7438934698637803E-6</c:v>
                </c:pt>
                <c:pt idx="343">
                  <c:v>6.7621881833145197E-6</c:v>
                </c:pt>
                <c:pt idx="344">
                  <c:v>6.7804769903222303E-6</c:v>
                </c:pt>
                <c:pt idx="345">
                  <c:v>6.7987587498188397E-6</c:v>
                </c:pt>
                <c:pt idx="346">
                  <c:v>6.8170324461432497E-6</c:v>
                </c:pt>
                <c:pt idx="347">
                  <c:v>6.8352971719649904E-6</c:v>
                </c:pt>
                <c:pt idx="348">
                  <c:v>6.8535521133082498E-6</c:v>
                </c:pt>
                <c:pt idx="349">
                  <c:v>6.8717965364319497E-6</c:v>
                </c:pt>
                <c:pt idx="350">
                  <c:v>6.8900297763476601E-6</c:v>
                </c:pt>
                <c:pt idx="351">
                  <c:v>6.9082512267803701E-6</c:v>
                </c:pt>
                <c:pt idx="352">
                  <c:v>6.9264603313987898E-6</c:v>
                </c:pt>
                <c:pt idx="353">
                  <c:v>6.9446565761608996E-6</c:v>
                </c:pt>
                <c:pt idx="354">
                  <c:v>6.9628394826378602E-6</c:v>
                </c:pt>
                <c:pt idx="355">
                  <c:v>6.9810086021950304E-6</c:v>
                </c:pt>
                <c:pt idx="356">
                  <c:v>6.9991635109226999E-6</c:v>
                </c:pt>
                <c:pt idx="357">
                  <c:v>6.9991635109226999E-6</c:v>
                </c:pt>
                <c:pt idx="358">
                  <c:v>6.9991635109226999E-6</c:v>
                </c:pt>
                <c:pt idx="359">
                  <c:v>7.0173295141675099E-6</c:v>
                </c:pt>
                <c:pt idx="360">
                  <c:v>7.0368724439771902E-6</c:v>
                </c:pt>
                <c:pt idx="361">
                  <c:v>7.0530960531025497E-6</c:v>
                </c:pt>
                <c:pt idx="362">
                  <c:v>7.0685133296922899E-6</c:v>
                </c:pt>
                <c:pt idx="363">
                  <c:v>7.0826019232789102E-6</c:v>
                </c:pt>
                <c:pt idx="364">
                  <c:v>7.0943864054192702E-6</c:v>
                </c:pt>
                <c:pt idx="365">
                  <c:v>7.0943864054192702E-6</c:v>
                </c:pt>
                <c:pt idx="366">
                  <c:v>7.0943864054192702E-6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DFE-49BC-B1F1-19675E8EE163}"/>
            </c:ext>
          </c:extLst>
        </c:ser>
        <c:ser>
          <c:idx val="4"/>
          <c:order val="4"/>
          <c:tx>
            <c:strRef>
              <c:f>Implicit_Fracs!$BP$1</c:f>
              <c:strCache>
                <c:ptCount val="1"/>
                <c:pt idx="0">
                  <c:v>uF Porosity: Dynamic aperture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Implicit_Fracs!$C$5:$C$371</c:f>
              <c:numCache>
                <c:formatCode>General</c:formatCode>
                <c:ptCount val="367"/>
                <c:pt idx="0">
                  <c:v>0.10158646265419501</c:v>
                </c:pt>
                <c:pt idx="1">
                  <c:v>0.102060105178604</c:v>
                </c:pt>
                <c:pt idx="2">
                  <c:v>0.102354758409441</c:v>
                </c:pt>
                <c:pt idx="3">
                  <c:v>0.10257003610151801</c:v>
                </c:pt>
                <c:pt idx="4">
                  <c:v>0.102740146597483</c:v>
                </c:pt>
                <c:pt idx="5">
                  <c:v>0.10288102093448701</c:v>
                </c:pt>
                <c:pt idx="6">
                  <c:v>0.10300139565401099</c:v>
                </c:pt>
                <c:pt idx="7">
                  <c:v>0.10310658737638601</c:v>
                </c:pt>
                <c:pt idx="8">
                  <c:v>0.103200075337502</c:v>
                </c:pt>
                <c:pt idx="9">
                  <c:v>0.103284262204</c:v>
                </c:pt>
                <c:pt idx="10">
                  <c:v>0.103360877526633</c:v>
                </c:pt>
                <c:pt idx="11">
                  <c:v>0.103431208153653</c:v>
                </c:pt>
                <c:pt idx="12">
                  <c:v>0.103496237708407</c:v>
                </c:pt>
                <c:pt idx="13">
                  <c:v>0.103556735084609</c:v>
                </c:pt>
                <c:pt idx="14">
                  <c:v>0.103613312816801</c:v>
                </c:pt>
                <c:pt idx="15">
                  <c:v>0.103666466857375</c:v>
                </c:pt>
                <c:pt idx="16">
                  <c:v>0.10371660444741999</c:v>
                </c:pt>
                <c:pt idx="17">
                  <c:v>0.10376406411969299</c:v>
                </c:pt>
                <c:pt idx="18">
                  <c:v>0.10380913035858701</c:v>
                </c:pt>
                <c:pt idx="19">
                  <c:v>0.103852044544123</c:v>
                </c:pt>
                <c:pt idx="20">
                  <c:v>0.103893013256558</c:v>
                </c:pt>
                <c:pt idx="21">
                  <c:v>0.103932214670875</c:v>
                </c:pt>
                <c:pt idx="22">
                  <c:v>0.10396980354554</c:v>
                </c:pt>
                <c:pt idx="23">
                  <c:v>0.104005915161023</c:v>
                </c:pt>
                <c:pt idx="24">
                  <c:v>0.10404066846285701</c:v>
                </c:pt>
                <c:pt idx="25">
                  <c:v>0.104074168594671</c:v>
                </c:pt>
                <c:pt idx="26">
                  <c:v>0.10410650895807599</c:v>
                </c:pt>
                <c:pt idx="27">
                  <c:v>0.10413777290170501</c:v>
                </c:pt>
                <c:pt idx="28">
                  <c:v>0.104168035116796</c:v>
                </c:pt>
                <c:pt idx="29">
                  <c:v>0.104197362798492</c:v>
                </c:pt>
                <c:pt idx="30">
                  <c:v>0.104225816618547</c:v>
                </c:pt>
                <c:pt idx="31">
                  <c:v>0.104253451545067</c:v>
                </c:pt>
                <c:pt idx="32">
                  <c:v>0.104280317537286</c:v>
                </c:pt>
                <c:pt idx="33">
                  <c:v>0.10430646013757899</c:v>
                </c:pt>
                <c:pt idx="34">
                  <c:v>0.10433192097843901</c:v>
                </c:pt>
                <c:pt idx="35">
                  <c:v>0.104356738218675</c:v>
                </c:pt>
                <c:pt idx="36">
                  <c:v>0.10438094692038</c:v>
                </c:pt>
                <c:pt idx="37">
                  <c:v>0.104404579376061</c:v>
                </c:pt>
                <c:pt idx="38">
                  <c:v>0.10442766539470601</c:v>
                </c:pt>
                <c:pt idx="39">
                  <c:v>0.104450232550895</c:v>
                </c:pt>
                <c:pt idx="40">
                  <c:v>0.104472306403378</c:v>
                </c:pt>
                <c:pt idx="41">
                  <c:v>0.104493910687546</c:v>
                </c:pt>
                <c:pt idx="42">
                  <c:v>0.104515067485448</c:v>
                </c:pt>
                <c:pt idx="43">
                  <c:v>0.104535797376425</c:v>
                </c:pt>
                <c:pt idx="44">
                  <c:v>0.104556119570968</c:v>
                </c:pt>
                <c:pt idx="45">
                  <c:v>0.10457605202998201</c:v>
                </c:pt>
                <c:pt idx="46">
                  <c:v>0.10459561157132601</c:v>
                </c:pt>
                <c:pt idx="47">
                  <c:v>0.10461481396524</c:v>
                </c:pt>
                <c:pt idx="48">
                  <c:v>0.104633674020002</c:v>
                </c:pt>
                <c:pt idx="49">
                  <c:v>0.104652205659008</c:v>
                </c:pt>
                <c:pt idx="50">
                  <c:v>0.10467042199028</c:v>
                </c:pt>
                <c:pt idx="51">
                  <c:v>0.10468833536927501</c:v>
                </c:pt>
                <c:pt idx="52">
                  <c:v>0.104705957455764</c:v>
                </c:pt>
                <c:pt idx="53">
                  <c:v>0.104723299265432</c:v>
                </c:pt>
                <c:pt idx="54">
                  <c:v>0.10474037121678501</c:v>
                </c:pt>
                <c:pt idx="55">
                  <c:v>0.104757183173858</c:v>
                </c:pt>
                <c:pt idx="56">
                  <c:v>0.10477374448518</c:v>
                </c:pt>
                <c:pt idx="57">
                  <c:v>0.104790064019366</c:v>
                </c:pt>
                <c:pt idx="58">
                  <c:v>0.10480615019770299</c:v>
                </c:pt>
                <c:pt idx="59">
                  <c:v>0.104822011024007</c:v>
                </c:pt>
                <c:pt idx="60">
                  <c:v>0.10483765411203801</c:v>
                </c:pt>
                <c:pt idx="61">
                  <c:v>0.104853086710699</c:v>
                </c:pt>
                <c:pt idx="62">
                  <c:v>0.10486831572724099</c:v>
                </c:pt>
                <c:pt idx="63">
                  <c:v>0.104883347748643</c:v>
                </c:pt>
                <c:pt idx="64">
                  <c:v>0.104898189061358</c:v>
                </c:pt>
                <c:pt idx="65">
                  <c:v>0.104912845669559</c:v>
                </c:pt>
                <c:pt idx="66">
                  <c:v>0.10492732331202199</c:v>
                </c:pt>
                <c:pt idx="67">
                  <c:v>0.10494162747777</c:v>
                </c:pt>
                <c:pt idx="68">
                  <c:v>0.10495576342058401</c:v>
                </c:pt>
                <c:pt idx="69">
                  <c:v>0.104969736172476</c:v>
                </c:pt>
                <c:pt idx="70">
                  <c:v>0.104983550556215</c:v>
                </c:pt>
                <c:pt idx="71">
                  <c:v>0.104997211196988</c:v>
                </c:pt>
                <c:pt idx="72">
                  <c:v>0.105010722533251</c:v>
                </c:pt>
                <c:pt idx="73">
                  <c:v>0.10502408882686499</c:v>
                </c:pt>
                <c:pt idx="74">
                  <c:v>0.105037314172539</c:v>
                </c:pt>
                <c:pt idx="75">
                  <c:v>0.10505040250667</c:v>
                </c:pt>
                <c:pt idx="76">
                  <c:v>0.105063357615594</c:v>
                </c:pt>
                <c:pt idx="77">
                  <c:v>0.105076183143323</c:v>
                </c:pt>
                <c:pt idx="78">
                  <c:v>0.10508888259878001</c:v>
                </c:pt>
                <c:pt idx="79">
                  <c:v>0.105101459362598</c:v>
                </c:pt>
                <c:pt idx="80">
                  <c:v>0.10511391669348399</c:v>
                </c:pt>
                <c:pt idx="81">
                  <c:v>0.10512625773421</c:v>
                </c:pt>
                <c:pt idx="82">
                  <c:v>0.10513848551723599</c:v>
                </c:pt>
                <c:pt idx="83">
                  <c:v>0.10515060297000201</c:v>
                </c:pt>
                <c:pt idx="84">
                  <c:v>0.105162612919908</c:v>
                </c:pt>
                <c:pt idx="85">
                  <c:v>0.105174518099013</c:v>
                </c:pt>
                <c:pt idx="86">
                  <c:v>0.105186321148453</c:v>
                </c:pt>
                <c:pt idx="87">
                  <c:v>0.105198024622616</c:v>
                </c:pt>
                <c:pt idx="88">
                  <c:v>0.105209630993088</c:v>
                </c:pt>
                <c:pt idx="89">
                  <c:v>0.10522114265237301</c:v>
                </c:pt>
                <c:pt idx="90">
                  <c:v>0.105232561917411</c:v>
                </c:pt>
                <c:pt idx="91">
                  <c:v>0.105243891032912</c:v>
                </c:pt>
                <c:pt idx="92">
                  <c:v>0.105255132174505</c:v>
                </c:pt>
                <c:pt idx="93">
                  <c:v>0.10526628745172401</c:v>
                </c:pt>
                <c:pt idx="94">
                  <c:v>0.105277358910841</c:v>
                </c:pt>
                <c:pt idx="95">
                  <c:v>0.105288348537545</c:v>
                </c:pt>
                <c:pt idx="96">
                  <c:v>0.10529925825949001</c:v>
                </c:pt>
                <c:pt idx="97">
                  <c:v>0.105310089948715</c:v>
                </c:pt>
                <c:pt idx="98">
                  <c:v>0.10532084542394</c:v>
                </c:pt>
                <c:pt idx="99">
                  <c:v>0.105331526452749</c:v>
                </c:pt>
                <c:pt idx="100">
                  <c:v>0.10534213475366599</c:v>
                </c:pt>
                <c:pt idx="101">
                  <c:v>0.105352671998135</c:v>
                </c:pt>
                <c:pt idx="102">
                  <c:v>0.105363139812398</c:v>
                </c:pt>
                <c:pt idx="103">
                  <c:v>0.10537353977929</c:v>
                </c:pt>
                <c:pt idx="104">
                  <c:v>0.105383873439947</c:v>
                </c:pt>
                <c:pt idx="105">
                  <c:v>0.105394142295438</c:v>
                </c:pt>
                <c:pt idx="106">
                  <c:v>0.10540434780831399</c:v>
                </c:pt>
                <c:pt idx="107">
                  <c:v>0.1054144914041</c:v>
                </c:pt>
                <c:pt idx="108">
                  <c:v>0.105424574472708</c:v>
                </c:pt>
                <c:pt idx="109">
                  <c:v>0.10543459836979301</c:v>
                </c:pt>
                <c:pt idx="110">
                  <c:v>0.105444564418049</c:v>
                </c:pt>
                <c:pt idx="111">
                  <c:v>0.105454473908448</c:v>
                </c:pt>
                <c:pt idx="112">
                  <c:v>0.105464328101426</c:v>
                </c:pt>
                <c:pt idx="113">
                  <c:v>0.10547412822802001</c:v>
                </c:pt>
                <c:pt idx="114">
                  <c:v>0.10548387549095201</c:v>
                </c:pt>
                <c:pt idx="115">
                  <c:v>0.105493571065675</c:v>
                </c:pt>
                <c:pt idx="116">
                  <c:v>0.105503216101374</c:v>
                </c:pt>
                <c:pt idx="117">
                  <c:v>0.10551281172191999</c:v>
                </c:pt>
                <c:pt idx="118">
                  <c:v>0.10552235902679701</c:v>
                </c:pt>
                <c:pt idx="119">
                  <c:v>0.105531859091982</c:v>
                </c:pt>
                <c:pt idx="120">
                  <c:v>0.105541312970793</c:v>
                </c:pt>
                <c:pt idx="121">
                  <c:v>0.105550721694713</c:v>
                </c:pt>
                <c:pt idx="122">
                  <c:v>0.10556008627416701</c:v>
                </c:pt>
                <c:pt idx="123">
                  <c:v>0.105569407699282</c:v>
                </c:pt>
                <c:pt idx="124">
                  <c:v>0.105578686940613</c:v>
                </c:pt>
                <c:pt idx="125">
                  <c:v>0.10558792494984499</c:v>
                </c:pt>
                <c:pt idx="126">
                  <c:v>0.105597122660464</c:v>
                </c:pt>
                <c:pt idx="127">
                  <c:v>0.105606280988415</c:v>
                </c:pt>
                <c:pt idx="128">
                  <c:v>0.105615400832723</c:v>
                </c:pt>
                <c:pt idx="129">
                  <c:v>0.10562448307610101</c:v>
                </c:pt>
                <c:pt idx="130">
                  <c:v>0.105633528585537</c:v>
                </c:pt>
                <c:pt idx="131">
                  <c:v>0.105642538212856</c:v>
                </c:pt>
                <c:pt idx="132">
                  <c:v>0.10565151279527001</c:v>
                </c:pt>
                <c:pt idx="133">
                  <c:v>0.105660453155901</c:v>
                </c:pt>
                <c:pt idx="134">
                  <c:v>0.1056693601043</c:v>
                </c:pt>
                <c:pt idx="135">
                  <c:v>0.105678234436935</c:v>
                </c:pt>
                <c:pt idx="136">
                  <c:v>0.105687076937673</c:v>
                </c:pt>
                <c:pt idx="137">
                  <c:v>0.10569588837824601</c:v>
                </c:pt>
                <c:pt idx="138">
                  <c:v>0.105704669518702</c:v>
                </c:pt>
                <c:pt idx="139">
                  <c:v>0.105713421107842</c:v>
                </c:pt>
                <c:pt idx="140">
                  <c:v>0.105722143883642</c:v>
                </c:pt>
                <c:pt idx="141">
                  <c:v>0.10573083857367301</c:v>
                </c:pt>
                <c:pt idx="142">
                  <c:v>0.10573950589549699</c:v>
                </c:pt>
                <c:pt idx="143">
                  <c:v>0.105748146557059</c:v>
                </c:pt>
                <c:pt idx="144">
                  <c:v>0.105756761257069</c:v>
                </c:pt>
                <c:pt idx="145">
                  <c:v>0.105765350685371</c:v>
                </c:pt>
                <c:pt idx="146">
                  <c:v>0.10577391552330601</c:v>
                </c:pt>
                <c:pt idx="147">
                  <c:v>0.105782456444064</c:v>
                </c:pt>
                <c:pt idx="148">
                  <c:v>0.105790974113029</c:v>
                </c:pt>
                <c:pt idx="149">
                  <c:v>0.105799469188117</c:v>
                </c:pt>
                <c:pt idx="150">
                  <c:v>0.105807942320102</c:v>
                </c:pt>
                <c:pt idx="151">
                  <c:v>0.105816394152941</c:v>
                </c:pt>
                <c:pt idx="152">
                  <c:v>0.10582482532409</c:v>
                </c:pt>
                <c:pt idx="153">
                  <c:v>0.10583323646481201</c:v>
                </c:pt>
                <c:pt idx="154">
                  <c:v>0.105841628200482</c:v>
                </c:pt>
                <c:pt idx="155">
                  <c:v>0.105850001150887</c:v>
                </c:pt>
                <c:pt idx="156">
                  <c:v>0.105858355930516</c:v>
                </c:pt>
                <c:pt idx="157">
                  <c:v>0.105866693148851</c:v>
                </c:pt>
                <c:pt idx="158">
                  <c:v>0.105875013410654</c:v>
                </c:pt>
                <c:pt idx="159">
                  <c:v>0.10588331731624</c:v>
                </c:pt>
                <c:pt idx="160">
                  <c:v>0.105891605461765</c:v>
                </c:pt>
                <c:pt idx="161">
                  <c:v>0.10589987843948701</c:v>
                </c:pt>
                <c:pt idx="162">
                  <c:v>0.10590813683804701</c:v>
                </c:pt>
                <c:pt idx="163">
                  <c:v>0.10591638124273201</c:v>
                </c:pt>
                <c:pt idx="164">
                  <c:v>0.105924612235738</c:v>
                </c:pt>
                <c:pt idx="165">
                  <c:v>0.10593283039644</c:v>
                </c:pt>
                <c:pt idx="166">
                  <c:v>0.105941036301648</c:v>
                </c:pt>
                <c:pt idx="167">
                  <c:v>0.10594923052586901</c:v>
                </c:pt>
                <c:pt idx="168">
                  <c:v>0.105957413641566</c:v>
                </c:pt>
                <c:pt idx="169">
                  <c:v>0.105965586219415</c:v>
                </c:pt>
                <c:pt idx="170">
                  <c:v>0.105973748828566</c:v>
                </c:pt>
                <c:pt idx="171">
                  <c:v>0.10598190203689301</c:v>
                </c:pt>
                <c:pt idx="172">
                  <c:v>0.105990046411258</c:v>
                </c:pt>
                <c:pt idx="173">
                  <c:v>0.10599818251776701</c:v>
                </c:pt>
                <c:pt idx="174">
                  <c:v>0.106006310922025</c:v>
                </c:pt>
                <c:pt idx="175">
                  <c:v>0.106014432189397</c:v>
                </c:pt>
                <c:pt idx="176">
                  <c:v>0.106022546885271</c:v>
                </c:pt>
                <c:pt idx="177">
                  <c:v>0.10603065557531401</c:v>
                </c:pt>
                <c:pt idx="178">
                  <c:v>0.10603875882574</c:v>
                </c:pt>
                <c:pt idx="179">
                  <c:v>0.106046857203577</c:v>
                </c:pt>
                <c:pt idx="180">
                  <c:v>0.106054951276932</c:v>
                </c:pt>
                <c:pt idx="181">
                  <c:v>0.106063041615263</c:v>
                </c:pt>
                <c:pt idx="182">
                  <c:v>0.10607112878965499</c:v>
                </c:pt>
                <c:pt idx="183">
                  <c:v>0.106079213373101</c:v>
                </c:pt>
                <c:pt idx="184">
                  <c:v>0.106087295940776</c:v>
                </c:pt>
                <c:pt idx="185">
                  <c:v>0.10609537707033299</c:v>
                </c:pt>
                <c:pt idx="186">
                  <c:v>0.106103457342189</c:v>
                </c:pt>
                <c:pt idx="187">
                  <c:v>0.106111537339822</c:v>
                </c:pt>
                <c:pt idx="188">
                  <c:v>0.10611961765007601</c:v>
                </c:pt>
                <c:pt idx="189">
                  <c:v>0.106127698863465</c:v>
                </c:pt>
                <c:pt idx="190">
                  <c:v>0.10613578157449099</c:v>
                </c:pt>
                <c:pt idx="191">
                  <c:v>0.106143866381966</c:v>
                </c:pt>
                <c:pt idx="192">
                  <c:v>0.10615195388934</c:v>
                </c:pt>
                <c:pt idx="193">
                  <c:v>0.106160044705038</c:v>
                </c:pt>
                <c:pt idx="194">
                  <c:v>0.106168139442805</c:v>
                </c:pt>
                <c:pt idx="195">
                  <c:v>0.106176238722063</c:v>
                </c:pt>
                <c:pt idx="196">
                  <c:v>0.106184343168276</c:v>
                </c:pt>
                <c:pt idx="197">
                  <c:v>0.10619245341332301</c:v>
                </c:pt>
                <c:pt idx="198">
                  <c:v>0.106200570095885</c:v>
                </c:pt>
                <c:pt idx="199">
                  <c:v>0.10620869386184199</c:v>
                </c:pt>
                <c:pt idx="200">
                  <c:v>0.10621682536468401</c:v>
                </c:pt>
                <c:pt idx="201">
                  <c:v>0.106224965265935</c:v>
                </c:pt>
                <c:pt idx="202">
                  <c:v>0.106233114235588</c:v>
                </c:pt>
                <c:pt idx="203">
                  <c:v>0.10624127295256</c:v>
                </c:pt>
                <c:pt idx="204">
                  <c:v>0.10624944210515699</c:v>
                </c:pt>
                <c:pt idx="205">
                  <c:v>0.106257622391562</c:v>
                </c:pt>
                <c:pt idx="206">
                  <c:v>0.106265814520335</c:v>
                </c:pt>
                <c:pt idx="207">
                  <c:v>0.106274019210935</c:v>
                </c:pt>
                <c:pt idx="208">
                  <c:v>0.10628223719426</c:v>
                </c:pt>
                <c:pt idx="209">
                  <c:v>0.106290469213214</c:v>
                </c:pt>
                <c:pt idx="210">
                  <c:v>0.106298716023284</c:v>
                </c:pt>
                <c:pt idx="211">
                  <c:v>0.106306978393155</c:v>
                </c:pt>
                <c:pt idx="212">
                  <c:v>0.106315257105341</c:v>
                </c:pt>
                <c:pt idx="213">
                  <c:v>0.10632355295684801</c:v>
                </c:pt>
                <c:pt idx="214">
                  <c:v>0.10633186675985799</c:v>
                </c:pt>
                <c:pt idx="215">
                  <c:v>0.10634019934245301</c:v>
                </c:pt>
                <c:pt idx="216">
                  <c:v>0.106348551549366</c:v>
                </c:pt>
                <c:pt idx="217">
                  <c:v>0.106356924242761</c:v>
                </c:pt>
                <c:pt idx="218">
                  <c:v>0.10636531830306099</c:v>
                </c:pt>
                <c:pt idx="219">
                  <c:v>0.106373734629807</c:v>
                </c:pt>
                <c:pt idx="220">
                  <c:v>0.10638217414255299</c:v>
                </c:pt>
                <c:pt idx="221">
                  <c:v>0.106390637781818</c:v>
                </c:pt>
                <c:pt idx="222">
                  <c:v>0.10639912651007299</c:v>
                </c:pt>
                <c:pt idx="223">
                  <c:v>0.10640764131277999</c:v>
                </c:pt>
                <c:pt idx="224">
                  <c:v>0.10641618319948901</c:v>
                </c:pt>
                <c:pt idx="225">
                  <c:v>0.106424753204983</c:v>
                </c:pt>
                <c:pt idx="226">
                  <c:v>0.10643335239049</c:v>
                </c:pt>
                <c:pt idx="227">
                  <c:v>0.106441981844954</c:v>
                </c:pt>
                <c:pt idx="228">
                  <c:v>0.106450642686375</c:v>
                </c:pt>
                <c:pt idx="229">
                  <c:v>0.10645933606322799</c:v>
                </c:pt>
                <c:pt idx="230">
                  <c:v>0.10646806315594901</c:v>
                </c:pt>
                <c:pt idx="231">
                  <c:v>0.106476825178516</c:v>
                </c:pt>
                <c:pt idx="232">
                  <c:v>0.10648562338011</c:v>
                </c:pt>
                <c:pt idx="233">
                  <c:v>0.106494459046881</c:v>
                </c:pt>
                <c:pt idx="234">
                  <c:v>0.106503333503809</c:v>
                </c:pt>
                <c:pt idx="235">
                  <c:v>0.10651224811667701</c:v>
                </c:pt>
                <c:pt idx="236">
                  <c:v>0.106521204294171</c:v>
                </c:pt>
                <c:pt idx="237">
                  <c:v>0.106530203490093</c:v>
                </c:pt>
                <c:pt idx="238">
                  <c:v>0.10653924720572699</c:v>
                </c:pt>
                <c:pt idx="239">
                  <c:v>0.106548336992338</c:v>
                </c:pt>
                <c:pt idx="240">
                  <c:v>0.106557474453844</c:v>
                </c:pt>
                <c:pt idx="241">
                  <c:v>0.106566661249652</c:v>
                </c:pt>
                <c:pt idx="242">
                  <c:v>0.10657589909767901</c:v>
                </c:pt>
                <c:pt idx="243">
                  <c:v>0.10658518977758299</c:v>
                </c:pt>
                <c:pt idx="244">
                  <c:v>0.106594535134197</c:v>
                </c:pt>
                <c:pt idx="245">
                  <c:v>0.106603937081217</c:v>
                </c:pt>
                <c:pt idx="246">
                  <c:v>0.106613397605125</c:v>
                </c:pt>
                <c:pt idx="247">
                  <c:v>0.10662291876941001</c:v>
                </c:pt>
                <c:pt idx="248">
                  <c:v>0.106632502719071</c:v>
                </c:pt>
                <c:pt idx="249">
                  <c:v>0.10664215168546599</c:v>
                </c:pt>
                <c:pt idx="250">
                  <c:v>0.106651867991505</c:v>
                </c:pt>
                <c:pt idx="251">
                  <c:v>0.106661654057239</c:v>
                </c:pt>
                <c:pt idx="252">
                  <c:v>0.106671512405876</c:v>
                </c:pt>
                <c:pt idx="253">
                  <c:v>0.106681445670259</c:v>
                </c:pt>
                <c:pt idx="254">
                  <c:v>0.106691456599855</c:v>
                </c:pt>
                <c:pt idx="255">
                  <c:v>0.10670154806830701</c:v>
                </c:pt>
                <c:pt idx="256">
                  <c:v>0.106711723081597</c:v>
                </c:pt>
                <c:pt idx="257">
                  <c:v>0.106721984786882</c:v>
                </c:pt>
                <c:pt idx="258">
                  <c:v>0.106732336482082</c:v>
                </c:pt>
                <c:pt idx="259">
                  <c:v>0.10674278162628199</c:v>
                </c:pt>
                <c:pt idx="260">
                  <c:v>0.106753323851043</c:v>
                </c:pt>
                <c:pt idx="261">
                  <c:v>0.106763966972719</c:v>
                </c:pt>
                <c:pt idx="262">
                  <c:v>0.10677471500588499</c:v>
                </c:pt>
                <c:pt idx="263">
                  <c:v>0.10678557217800599</c:v>
                </c:pt>
                <c:pt idx="264">
                  <c:v>0.106796542945475</c:v>
                </c:pt>
                <c:pt idx="265">
                  <c:v>0.10680763201119001</c:v>
                </c:pt>
                <c:pt idx="266">
                  <c:v>0.106818844343851</c:v>
                </c:pt>
                <c:pt idx="267">
                  <c:v>0.106830185199162</c:v>
                </c:pt>
                <c:pt idx="268">
                  <c:v>0.1068416601432</c:v>
                </c:pt>
                <c:pt idx="269">
                  <c:v>0.106853275078199</c:v>
                </c:pt>
                <c:pt idx="270">
                  <c:v>0.10686503627105901</c:v>
                </c:pt>
                <c:pt idx="271">
                  <c:v>0.106876950384948</c:v>
                </c:pt>
                <c:pt idx="272">
                  <c:v>0.10688902451438199</c:v>
                </c:pt>
                <c:pt idx="273">
                  <c:v>0.106901266224276</c:v>
                </c:pt>
                <c:pt idx="274">
                  <c:v>0.106913683593506</c:v>
                </c:pt>
                <c:pt idx="275">
                  <c:v>0.106926285263621</c:v>
                </c:pt>
                <c:pt idx="276">
                  <c:v>0.106939080493455</c:v>
                </c:pt>
                <c:pt idx="277">
                  <c:v>0.10695207922051</c:v>
                </c:pt>
                <c:pt idx="278">
                  <c:v>0.10696529213014599</c:v>
                </c:pt>
                <c:pt idx="279">
                  <c:v>0.106978730733797</c:v>
                </c:pt>
                <c:pt idx="280">
                  <c:v>0.106992407457646</c:v>
                </c:pt>
                <c:pt idx="281">
                  <c:v>0.107006335743491</c:v>
                </c:pt>
                <c:pt idx="282">
                  <c:v>0.10702053016384699</c:v>
                </c:pt>
                <c:pt idx="283">
                  <c:v>0.107035006553762</c:v>
                </c:pt>
                <c:pt idx="284">
                  <c:v>0.107049782162317</c:v>
                </c:pt>
                <c:pt idx="285">
                  <c:v>0.10706487582742701</c:v>
                </c:pt>
                <c:pt idx="286">
                  <c:v>0.107080308178348</c:v>
                </c:pt>
                <c:pt idx="287">
                  <c:v>0.10709610187127599</c:v>
                </c:pt>
                <c:pt idx="288">
                  <c:v>0.10711228186470099</c:v>
                </c:pt>
                <c:pt idx="289">
                  <c:v>0.107128875742745</c:v>
                </c:pt>
                <c:pt idx="290">
                  <c:v>0.107145914096787</c:v>
                </c:pt>
                <c:pt idx="291">
                  <c:v>0.10716343097827</c:v>
                </c:pt>
                <c:pt idx="292">
                  <c:v>0.10718146443905199</c:v>
                </c:pt>
                <c:pt idx="293">
                  <c:v>0.107200057180087</c:v>
                </c:pt>
                <c:pt idx="294">
                  <c:v>0.10721925733519</c:v>
                </c:pt>
                <c:pt idx="295">
                  <c:v>0.107239119424452</c:v>
                </c:pt>
                <c:pt idx="296">
                  <c:v>0.10725970552248799</c:v>
                </c:pt>
                <c:pt idx="297">
                  <c:v>0.107281086701057</c:v>
                </c:pt>
                <c:pt idx="298">
                  <c:v>0.10730334482520799</c:v>
                </c:pt>
                <c:pt idx="299">
                  <c:v>0.107326574809414</c:v>
                </c:pt>
                <c:pt idx="300">
                  <c:v>0.10735088747820599</c:v>
                </c:pt>
                <c:pt idx="301">
                  <c:v>0.10737641322982</c:v>
                </c:pt>
                <c:pt idx="302">
                  <c:v>0.107403306778537</c:v>
                </c:pt>
                <c:pt idx="303">
                  <c:v>0.10743175336319</c:v>
                </c:pt>
                <c:pt idx="304">
                  <c:v>0.107461976972791</c:v>
                </c:pt>
                <c:pt idx="305">
                  <c:v>0.107494251381856</c:v>
                </c:pt>
                <c:pt idx="306">
                  <c:v>0.107528915147976</c:v>
                </c:pt>
                <c:pt idx="307">
                  <c:v>0.107566392263413</c:v>
                </c:pt>
                <c:pt idx="308">
                  <c:v>0.10760722096054399</c:v>
                </c:pt>
                <c:pt idx="309">
                  <c:v>0.107652094373539</c:v>
                </c:pt>
                <c:pt idx="310">
                  <c:v>0.107701918517204</c:v>
                </c:pt>
                <c:pt idx="311">
                  <c:v>0.107757895545197</c:v>
                </c:pt>
                <c:pt idx="312">
                  <c:v>0.107821643761701</c:v>
                </c:pt>
                <c:pt idx="313">
                  <c:v>0.107895371464266</c:v>
                </c:pt>
                <c:pt idx="314">
                  <c:v>0.107982136054144</c:v>
                </c:pt>
                <c:pt idx="315">
                  <c:v>0.108086279484475</c:v>
                </c:pt>
                <c:pt idx="316">
                  <c:v>0.10821441051713999</c:v>
                </c:pt>
                <c:pt idx="317">
                  <c:v>0.108378611684964</c:v>
                </c:pt>
                <c:pt idx="318">
                  <c:v>0.10851279142848901</c:v>
                </c:pt>
                <c:pt idx="319">
                  <c:v>0.108646878508965</c:v>
                </c:pt>
                <c:pt idx="320">
                  <c:v>0.108781836007877</c:v>
                </c:pt>
                <c:pt idx="321">
                  <c:v>0.108917703938839</c:v>
                </c:pt>
                <c:pt idx="322">
                  <c:v>0.109054545173906</c:v>
                </c:pt>
                <c:pt idx="323">
                  <c:v>0.109192417872054</c:v>
                </c:pt>
                <c:pt idx="324">
                  <c:v>0.109331376964383</c:v>
                </c:pt>
                <c:pt idx="325">
                  <c:v>0.10947147454287399</c:v>
                </c:pt>
                <c:pt idx="326">
                  <c:v>0.109612760241196</c:v>
                </c:pt>
                <c:pt idx="327">
                  <c:v>0.10975528157779101</c:v>
                </c:pt>
                <c:pt idx="328">
                  <c:v>0.109899084266184</c:v>
                </c:pt>
                <c:pt idx="329">
                  <c:v>0.110044212495958</c:v>
                </c:pt>
                <c:pt idx="330">
                  <c:v>0.11019070918751001</c:v>
                </c:pt>
                <c:pt idx="331">
                  <c:v>0.11033861622334599</c:v>
                </c:pt>
                <c:pt idx="332">
                  <c:v>0.110487974658393</c:v>
                </c:pt>
                <c:pt idx="333">
                  <c:v>0.110638824911563</c:v>
                </c:pt>
                <c:pt idx="334">
                  <c:v>0.110791206940568</c:v>
                </c:pt>
                <c:pt idx="335">
                  <c:v>0.11094516040180299</c:v>
                </c:pt>
                <c:pt idx="336">
                  <c:v>0.11110072479692901</c:v>
                </c:pt>
                <c:pt idx="337">
                  <c:v>0.111257939607629</c:v>
                </c:pt>
                <c:pt idx="338">
                  <c:v>0.111416844419904</c:v>
                </c:pt>
                <c:pt idx="339">
                  <c:v>0.111577479039088</c:v>
                </c:pt>
                <c:pt idx="340">
                  <c:v>0.111739883596728</c:v>
                </c:pt>
                <c:pt idx="341">
                  <c:v>0.111904098650297</c:v>
                </c:pt>
                <c:pt idx="342">
                  <c:v>0.11207016527668</c:v>
                </c:pt>
                <c:pt idx="343">
                  <c:v>0.112238125160255</c:v>
                </c:pt>
                <c:pt idx="344">
                  <c:v>0.11240802067632299</c:v>
                </c:pt>
                <c:pt idx="345">
                  <c:v>0.11257989497059701</c:v>
                </c:pt>
                <c:pt idx="346">
                  <c:v>0.112753792035371</c:v>
                </c:pt>
                <c:pt idx="347">
                  <c:v>0.112929756782956</c:v>
                </c:pt>
                <c:pt idx="348">
                  <c:v>0.113107835116922</c:v>
                </c:pt>
                <c:pt idx="349">
                  <c:v>0.113288074001635</c:v>
                </c:pt>
                <c:pt idx="350">
                  <c:v>0.113470521530551</c:v>
                </c:pt>
                <c:pt idx="351">
                  <c:v>0.113655226993682</c:v>
                </c:pt>
                <c:pt idx="352">
                  <c:v>0.113842240944644</c:v>
                </c:pt>
                <c:pt idx="353">
                  <c:v>0.114031615267637</c:v>
                </c:pt>
                <c:pt idx="354">
                  <c:v>0.11422340324472501</c:v>
                </c:pt>
                <c:pt idx="355">
                  <c:v>0.11441765962373</c:v>
                </c:pt>
                <c:pt idx="356">
                  <c:v>0.114614440687063</c:v>
                </c:pt>
                <c:pt idx="357">
                  <c:v>0.114813804321789</c:v>
                </c:pt>
                <c:pt idx="358">
                  <c:v>0.22425676384167301</c:v>
                </c:pt>
                <c:pt idx="359">
                  <c:v>0.30704288935609397</c:v>
                </c:pt>
                <c:pt idx="360">
                  <c:v>0.30834090817871301</c:v>
                </c:pt>
                <c:pt idx="361">
                  <c:v>0.30921577139060102</c:v>
                </c:pt>
                <c:pt idx="362">
                  <c:v>0.31017471350345399</c:v>
                </c:pt>
                <c:pt idx="363">
                  <c:v>0.31131883897321</c:v>
                </c:pt>
                <c:pt idx="364">
                  <c:v>0.31289797505880901</c:v>
                </c:pt>
                <c:pt idx="365">
                  <c:v>0.51289797505880896</c:v>
                </c:pt>
                <c:pt idx="366">
                  <c:v>0.51289797505880896</c:v>
                </c:pt>
              </c:numCache>
            </c:numRef>
          </c:xVal>
          <c:yVal>
            <c:numRef>
              <c:f>Implicit_Fracs!$BP$5:$BP$371</c:f>
              <c:numCache>
                <c:formatCode>General</c:formatCode>
                <c:ptCount val="3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 formatCode="0.00E+00">
                  <c:v>1.0231730464434199E-6</c:v>
                </c:pt>
                <c:pt idx="360" formatCode="0.00E+00">
                  <c:v>1.01327107425047E-6</c:v>
                </c:pt>
                <c:pt idx="361" formatCode="0.00E+00">
                  <c:v>1.0256893009108699E-6</c:v>
                </c:pt>
                <c:pt idx="362" formatCode="0.00E+00">
                  <c:v>1.0437502394272901E-6</c:v>
                </c:pt>
                <c:pt idx="363" formatCode="0.00E+00">
                  <c:v>1.0643186188345499E-6</c:v>
                </c:pt>
                <c:pt idx="364" formatCode="0.00E+00">
                  <c:v>1.0946656415770599E-6</c:v>
                </c:pt>
                <c:pt idx="365" formatCode="0.00E+00">
                  <c:v>2.5404723647986798E-6</c:v>
                </c:pt>
                <c:pt idx="366" formatCode="0.00E+00">
                  <c:v>2.5404723647986798E-6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DFE-49BC-B1F1-19675E8EE163}"/>
            </c:ext>
          </c:extLst>
        </c:ser>
        <c:ser>
          <c:idx val="5"/>
          <c:order val="5"/>
          <c:tx>
            <c:strRef>
              <c:f>Implicit_Fracs!$BQ$1</c:f>
              <c:strCache>
                <c:ptCount val="1"/>
                <c:pt idx="0">
                  <c:v>MF Porosity: Dynamic aperture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Implicit_Fracs!$C$5:$C$371</c:f>
              <c:numCache>
                <c:formatCode>General</c:formatCode>
                <c:ptCount val="367"/>
                <c:pt idx="0">
                  <c:v>0.10158646265419501</c:v>
                </c:pt>
                <c:pt idx="1">
                  <c:v>0.102060105178604</c:v>
                </c:pt>
                <c:pt idx="2">
                  <c:v>0.102354758409441</c:v>
                </c:pt>
                <c:pt idx="3">
                  <c:v>0.10257003610151801</c:v>
                </c:pt>
                <c:pt idx="4">
                  <c:v>0.102740146597483</c:v>
                </c:pt>
                <c:pt idx="5">
                  <c:v>0.10288102093448701</c:v>
                </c:pt>
                <c:pt idx="6">
                  <c:v>0.10300139565401099</c:v>
                </c:pt>
                <c:pt idx="7">
                  <c:v>0.10310658737638601</c:v>
                </c:pt>
                <c:pt idx="8">
                  <c:v>0.103200075337502</c:v>
                </c:pt>
                <c:pt idx="9">
                  <c:v>0.103284262204</c:v>
                </c:pt>
                <c:pt idx="10">
                  <c:v>0.103360877526633</c:v>
                </c:pt>
                <c:pt idx="11">
                  <c:v>0.103431208153653</c:v>
                </c:pt>
                <c:pt idx="12">
                  <c:v>0.103496237708407</c:v>
                </c:pt>
                <c:pt idx="13">
                  <c:v>0.103556735084609</c:v>
                </c:pt>
                <c:pt idx="14">
                  <c:v>0.103613312816801</c:v>
                </c:pt>
                <c:pt idx="15">
                  <c:v>0.103666466857375</c:v>
                </c:pt>
                <c:pt idx="16">
                  <c:v>0.10371660444741999</c:v>
                </c:pt>
                <c:pt idx="17">
                  <c:v>0.10376406411969299</c:v>
                </c:pt>
                <c:pt idx="18">
                  <c:v>0.10380913035858701</c:v>
                </c:pt>
                <c:pt idx="19">
                  <c:v>0.103852044544123</c:v>
                </c:pt>
                <c:pt idx="20">
                  <c:v>0.103893013256558</c:v>
                </c:pt>
                <c:pt idx="21">
                  <c:v>0.103932214670875</c:v>
                </c:pt>
                <c:pt idx="22">
                  <c:v>0.10396980354554</c:v>
                </c:pt>
                <c:pt idx="23">
                  <c:v>0.104005915161023</c:v>
                </c:pt>
                <c:pt idx="24">
                  <c:v>0.10404066846285701</c:v>
                </c:pt>
                <c:pt idx="25">
                  <c:v>0.104074168594671</c:v>
                </c:pt>
                <c:pt idx="26">
                  <c:v>0.10410650895807599</c:v>
                </c:pt>
                <c:pt idx="27">
                  <c:v>0.10413777290170501</c:v>
                </c:pt>
                <c:pt idx="28">
                  <c:v>0.104168035116796</c:v>
                </c:pt>
                <c:pt idx="29">
                  <c:v>0.104197362798492</c:v>
                </c:pt>
                <c:pt idx="30">
                  <c:v>0.104225816618547</c:v>
                </c:pt>
                <c:pt idx="31">
                  <c:v>0.104253451545067</c:v>
                </c:pt>
                <c:pt idx="32">
                  <c:v>0.104280317537286</c:v>
                </c:pt>
                <c:pt idx="33">
                  <c:v>0.10430646013757899</c:v>
                </c:pt>
                <c:pt idx="34">
                  <c:v>0.10433192097843901</c:v>
                </c:pt>
                <c:pt idx="35">
                  <c:v>0.104356738218675</c:v>
                </c:pt>
                <c:pt idx="36">
                  <c:v>0.10438094692038</c:v>
                </c:pt>
                <c:pt idx="37">
                  <c:v>0.104404579376061</c:v>
                </c:pt>
                <c:pt idx="38">
                  <c:v>0.10442766539470601</c:v>
                </c:pt>
                <c:pt idx="39">
                  <c:v>0.104450232550895</c:v>
                </c:pt>
                <c:pt idx="40">
                  <c:v>0.104472306403378</c:v>
                </c:pt>
                <c:pt idx="41">
                  <c:v>0.104493910687546</c:v>
                </c:pt>
                <c:pt idx="42">
                  <c:v>0.104515067485448</c:v>
                </c:pt>
                <c:pt idx="43">
                  <c:v>0.104535797376425</c:v>
                </c:pt>
                <c:pt idx="44">
                  <c:v>0.104556119570968</c:v>
                </c:pt>
                <c:pt idx="45">
                  <c:v>0.10457605202998201</c:v>
                </c:pt>
                <c:pt idx="46">
                  <c:v>0.10459561157132601</c:v>
                </c:pt>
                <c:pt idx="47">
                  <c:v>0.10461481396524</c:v>
                </c:pt>
                <c:pt idx="48">
                  <c:v>0.104633674020002</c:v>
                </c:pt>
                <c:pt idx="49">
                  <c:v>0.104652205659008</c:v>
                </c:pt>
                <c:pt idx="50">
                  <c:v>0.10467042199028</c:v>
                </c:pt>
                <c:pt idx="51">
                  <c:v>0.10468833536927501</c:v>
                </c:pt>
                <c:pt idx="52">
                  <c:v>0.104705957455764</c:v>
                </c:pt>
                <c:pt idx="53">
                  <c:v>0.104723299265432</c:v>
                </c:pt>
                <c:pt idx="54">
                  <c:v>0.10474037121678501</c:v>
                </c:pt>
                <c:pt idx="55">
                  <c:v>0.104757183173858</c:v>
                </c:pt>
                <c:pt idx="56">
                  <c:v>0.10477374448518</c:v>
                </c:pt>
                <c:pt idx="57">
                  <c:v>0.104790064019366</c:v>
                </c:pt>
                <c:pt idx="58">
                  <c:v>0.10480615019770299</c:v>
                </c:pt>
                <c:pt idx="59">
                  <c:v>0.104822011024007</c:v>
                </c:pt>
                <c:pt idx="60">
                  <c:v>0.10483765411203801</c:v>
                </c:pt>
                <c:pt idx="61">
                  <c:v>0.104853086710699</c:v>
                </c:pt>
                <c:pt idx="62">
                  <c:v>0.10486831572724099</c:v>
                </c:pt>
                <c:pt idx="63">
                  <c:v>0.104883347748643</c:v>
                </c:pt>
                <c:pt idx="64">
                  <c:v>0.104898189061358</c:v>
                </c:pt>
                <c:pt idx="65">
                  <c:v>0.104912845669559</c:v>
                </c:pt>
                <c:pt idx="66">
                  <c:v>0.10492732331202199</c:v>
                </c:pt>
                <c:pt idx="67">
                  <c:v>0.10494162747777</c:v>
                </c:pt>
                <c:pt idx="68">
                  <c:v>0.10495576342058401</c:v>
                </c:pt>
                <c:pt idx="69">
                  <c:v>0.104969736172476</c:v>
                </c:pt>
                <c:pt idx="70">
                  <c:v>0.104983550556215</c:v>
                </c:pt>
                <c:pt idx="71">
                  <c:v>0.104997211196988</c:v>
                </c:pt>
                <c:pt idx="72">
                  <c:v>0.105010722533251</c:v>
                </c:pt>
                <c:pt idx="73">
                  <c:v>0.10502408882686499</c:v>
                </c:pt>
                <c:pt idx="74">
                  <c:v>0.105037314172539</c:v>
                </c:pt>
                <c:pt idx="75">
                  <c:v>0.10505040250667</c:v>
                </c:pt>
                <c:pt idx="76">
                  <c:v>0.105063357615594</c:v>
                </c:pt>
                <c:pt idx="77">
                  <c:v>0.105076183143323</c:v>
                </c:pt>
                <c:pt idx="78">
                  <c:v>0.10508888259878001</c:v>
                </c:pt>
                <c:pt idx="79">
                  <c:v>0.105101459362598</c:v>
                </c:pt>
                <c:pt idx="80">
                  <c:v>0.10511391669348399</c:v>
                </c:pt>
                <c:pt idx="81">
                  <c:v>0.10512625773421</c:v>
                </c:pt>
                <c:pt idx="82">
                  <c:v>0.10513848551723599</c:v>
                </c:pt>
                <c:pt idx="83">
                  <c:v>0.10515060297000201</c:v>
                </c:pt>
                <c:pt idx="84">
                  <c:v>0.105162612919908</c:v>
                </c:pt>
                <c:pt idx="85">
                  <c:v>0.105174518099013</c:v>
                </c:pt>
                <c:pt idx="86">
                  <c:v>0.105186321148453</c:v>
                </c:pt>
                <c:pt idx="87">
                  <c:v>0.105198024622616</c:v>
                </c:pt>
                <c:pt idx="88">
                  <c:v>0.105209630993088</c:v>
                </c:pt>
                <c:pt idx="89">
                  <c:v>0.10522114265237301</c:v>
                </c:pt>
                <c:pt idx="90">
                  <c:v>0.105232561917411</c:v>
                </c:pt>
                <c:pt idx="91">
                  <c:v>0.105243891032912</c:v>
                </c:pt>
                <c:pt idx="92">
                  <c:v>0.105255132174505</c:v>
                </c:pt>
                <c:pt idx="93">
                  <c:v>0.10526628745172401</c:v>
                </c:pt>
                <c:pt idx="94">
                  <c:v>0.105277358910841</c:v>
                </c:pt>
                <c:pt idx="95">
                  <c:v>0.105288348537545</c:v>
                </c:pt>
                <c:pt idx="96">
                  <c:v>0.10529925825949001</c:v>
                </c:pt>
                <c:pt idx="97">
                  <c:v>0.105310089948715</c:v>
                </c:pt>
                <c:pt idx="98">
                  <c:v>0.10532084542394</c:v>
                </c:pt>
                <c:pt idx="99">
                  <c:v>0.105331526452749</c:v>
                </c:pt>
                <c:pt idx="100">
                  <c:v>0.10534213475366599</c:v>
                </c:pt>
                <c:pt idx="101">
                  <c:v>0.105352671998135</c:v>
                </c:pt>
                <c:pt idx="102">
                  <c:v>0.105363139812398</c:v>
                </c:pt>
                <c:pt idx="103">
                  <c:v>0.10537353977929</c:v>
                </c:pt>
                <c:pt idx="104">
                  <c:v>0.105383873439947</c:v>
                </c:pt>
                <c:pt idx="105">
                  <c:v>0.105394142295438</c:v>
                </c:pt>
                <c:pt idx="106">
                  <c:v>0.10540434780831399</c:v>
                </c:pt>
                <c:pt idx="107">
                  <c:v>0.1054144914041</c:v>
                </c:pt>
                <c:pt idx="108">
                  <c:v>0.105424574472708</c:v>
                </c:pt>
                <c:pt idx="109">
                  <c:v>0.10543459836979301</c:v>
                </c:pt>
                <c:pt idx="110">
                  <c:v>0.105444564418049</c:v>
                </c:pt>
                <c:pt idx="111">
                  <c:v>0.105454473908448</c:v>
                </c:pt>
                <c:pt idx="112">
                  <c:v>0.105464328101426</c:v>
                </c:pt>
                <c:pt idx="113">
                  <c:v>0.10547412822802001</c:v>
                </c:pt>
                <c:pt idx="114">
                  <c:v>0.10548387549095201</c:v>
                </c:pt>
                <c:pt idx="115">
                  <c:v>0.105493571065675</c:v>
                </c:pt>
                <c:pt idx="116">
                  <c:v>0.105503216101374</c:v>
                </c:pt>
                <c:pt idx="117">
                  <c:v>0.10551281172191999</c:v>
                </c:pt>
                <c:pt idx="118">
                  <c:v>0.10552235902679701</c:v>
                </c:pt>
                <c:pt idx="119">
                  <c:v>0.105531859091982</c:v>
                </c:pt>
                <c:pt idx="120">
                  <c:v>0.105541312970793</c:v>
                </c:pt>
                <c:pt idx="121">
                  <c:v>0.105550721694713</c:v>
                </c:pt>
                <c:pt idx="122">
                  <c:v>0.10556008627416701</c:v>
                </c:pt>
                <c:pt idx="123">
                  <c:v>0.105569407699282</c:v>
                </c:pt>
                <c:pt idx="124">
                  <c:v>0.105578686940613</c:v>
                </c:pt>
                <c:pt idx="125">
                  <c:v>0.10558792494984499</c:v>
                </c:pt>
                <c:pt idx="126">
                  <c:v>0.105597122660464</c:v>
                </c:pt>
                <c:pt idx="127">
                  <c:v>0.105606280988415</c:v>
                </c:pt>
                <c:pt idx="128">
                  <c:v>0.105615400832723</c:v>
                </c:pt>
                <c:pt idx="129">
                  <c:v>0.10562448307610101</c:v>
                </c:pt>
                <c:pt idx="130">
                  <c:v>0.105633528585537</c:v>
                </c:pt>
                <c:pt idx="131">
                  <c:v>0.105642538212856</c:v>
                </c:pt>
                <c:pt idx="132">
                  <c:v>0.10565151279527001</c:v>
                </c:pt>
                <c:pt idx="133">
                  <c:v>0.105660453155901</c:v>
                </c:pt>
                <c:pt idx="134">
                  <c:v>0.1056693601043</c:v>
                </c:pt>
                <c:pt idx="135">
                  <c:v>0.105678234436935</c:v>
                </c:pt>
                <c:pt idx="136">
                  <c:v>0.105687076937673</c:v>
                </c:pt>
                <c:pt idx="137">
                  <c:v>0.10569588837824601</c:v>
                </c:pt>
                <c:pt idx="138">
                  <c:v>0.105704669518702</c:v>
                </c:pt>
                <c:pt idx="139">
                  <c:v>0.105713421107842</c:v>
                </c:pt>
                <c:pt idx="140">
                  <c:v>0.105722143883642</c:v>
                </c:pt>
                <c:pt idx="141">
                  <c:v>0.10573083857367301</c:v>
                </c:pt>
                <c:pt idx="142">
                  <c:v>0.10573950589549699</c:v>
                </c:pt>
                <c:pt idx="143">
                  <c:v>0.105748146557059</c:v>
                </c:pt>
                <c:pt idx="144">
                  <c:v>0.105756761257069</c:v>
                </c:pt>
                <c:pt idx="145">
                  <c:v>0.105765350685371</c:v>
                </c:pt>
                <c:pt idx="146">
                  <c:v>0.10577391552330601</c:v>
                </c:pt>
                <c:pt idx="147">
                  <c:v>0.105782456444064</c:v>
                </c:pt>
                <c:pt idx="148">
                  <c:v>0.105790974113029</c:v>
                </c:pt>
                <c:pt idx="149">
                  <c:v>0.105799469188117</c:v>
                </c:pt>
                <c:pt idx="150">
                  <c:v>0.105807942320102</c:v>
                </c:pt>
                <c:pt idx="151">
                  <c:v>0.105816394152941</c:v>
                </c:pt>
                <c:pt idx="152">
                  <c:v>0.10582482532409</c:v>
                </c:pt>
                <c:pt idx="153">
                  <c:v>0.10583323646481201</c:v>
                </c:pt>
                <c:pt idx="154">
                  <c:v>0.105841628200482</c:v>
                </c:pt>
                <c:pt idx="155">
                  <c:v>0.105850001150887</c:v>
                </c:pt>
                <c:pt idx="156">
                  <c:v>0.105858355930516</c:v>
                </c:pt>
                <c:pt idx="157">
                  <c:v>0.105866693148851</c:v>
                </c:pt>
                <c:pt idx="158">
                  <c:v>0.105875013410654</c:v>
                </c:pt>
                <c:pt idx="159">
                  <c:v>0.10588331731624</c:v>
                </c:pt>
                <c:pt idx="160">
                  <c:v>0.105891605461765</c:v>
                </c:pt>
                <c:pt idx="161">
                  <c:v>0.10589987843948701</c:v>
                </c:pt>
                <c:pt idx="162">
                  <c:v>0.10590813683804701</c:v>
                </c:pt>
                <c:pt idx="163">
                  <c:v>0.10591638124273201</c:v>
                </c:pt>
                <c:pt idx="164">
                  <c:v>0.105924612235738</c:v>
                </c:pt>
                <c:pt idx="165">
                  <c:v>0.10593283039644</c:v>
                </c:pt>
                <c:pt idx="166">
                  <c:v>0.105941036301648</c:v>
                </c:pt>
                <c:pt idx="167">
                  <c:v>0.10594923052586901</c:v>
                </c:pt>
                <c:pt idx="168">
                  <c:v>0.105957413641566</c:v>
                </c:pt>
                <c:pt idx="169">
                  <c:v>0.105965586219415</c:v>
                </c:pt>
                <c:pt idx="170">
                  <c:v>0.105973748828566</c:v>
                </c:pt>
                <c:pt idx="171">
                  <c:v>0.10598190203689301</c:v>
                </c:pt>
                <c:pt idx="172">
                  <c:v>0.105990046411258</c:v>
                </c:pt>
                <c:pt idx="173">
                  <c:v>0.10599818251776701</c:v>
                </c:pt>
                <c:pt idx="174">
                  <c:v>0.106006310922025</c:v>
                </c:pt>
                <c:pt idx="175">
                  <c:v>0.106014432189397</c:v>
                </c:pt>
                <c:pt idx="176">
                  <c:v>0.106022546885271</c:v>
                </c:pt>
                <c:pt idx="177">
                  <c:v>0.10603065557531401</c:v>
                </c:pt>
                <c:pt idx="178">
                  <c:v>0.10603875882574</c:v>
                </c:pt>
                <c:pt idx="179">
                  <c:v>0.106046857203577</c:v>
                </c:pt>
                <c:pt idx="180">
                  <c:v>0.106054951276932</c:v>
                </c:pt>
                <c:pt idx="181">
                  <c:v>0.106063041615263</c:v>
                </c:pt>
                <c:pt idx="182">
                  <c:v>0.10607112878965499</c:v>
                </c:pt>
                <c:pt idx="183">
                  <c:v>0.106079213373101</c:v>
                </c:pt>
                <c:pt idx="184">
                  <c:v>0.106087295940776</c:v>
                </c:pt>
                <c:pt idx="185">
                  <c:v>0.10609537707033299</c:v>
                </c:pt>
                <c:pt idx="186">
                  <c:v>0.106103457342189</c:v>
                </c:pt>
                <c:pt idx="187">
                  <c:v>0.106111537339822</c:v>
                </c:pt>
                <c:pt idx="188">
                  <c:v>0.10611961765007601</c:v>
                </c:pt>
                <c:pt idx="189">
                  <c:v>0.106127698863465</c:v>
                </c:pt>
                <c:pt idx="190">
                  <c:v>0.10613578157449099</c:v>
                </c:pt>
                <c:pt idx="191">
                  <c:v>0.106143866381966</c:v>
                </c:pt>
                <c:pt idx="192">
                  <c:v>0.10615195388934</c:v>
                </c:pt>
                <c:pt idx="193">
                  <c:v>0.106160044705038</c:v>
                </c:pt>
                <c:pt idx="194">
                  <c:v>0.106168139442805</c:v>
                </c:pt>
                <c:pt idx="195">
                  <c:v>0.106176238722063</c:v>
                </c:pt>
                <c:pt idx="196">
                  <c:v>0.106184343168276</c:v>
                </c:pt>
                <c:pt idx="197">
                  <c:v>0.10619245341332301</c:v>
                </c:pt>
                <c:pt idx="198">
                  <c:v>0.106200570095885</c:v>
                </c:pt>
                <c:pt idx="199">
                  <c:v>0.10620869386184199</c:v>
                </c:pt>
                <c:pt idx="200">
                  <c:v>0.10621682536468401</c:v>
                </c:pt>
                <c:pt idx="201">
                  <c:v>0.106224965265935</c:v>
                </c:pt>
                <c:pt idx="202">
                  <c:v>0.106233114235588</c:v>
                </c:pt>
                <c:pt idx="203">
                  <c:v>0.10624127295256</c:v>
                </c:pt>
                <c:pt idx="204">
                  <c:v>0.10624944210515699</c:v>
                </c:pt>
                <c:pt idx="205">
                  <c:v>0.106257622391562</c:v>
                </c:pt>
                <c:pt idx="206">
                  <c:v>0.106265814520335</c:v>
                </c:pt>
                <c:pt idx="207">
                  <c:v>0.106274019210935</c:v>
                </c:pt>
                <c:pt idx="208">
                  <c:v>0.10628223719426</c:v>
                </c:pt>
                <c:pt idx="209">
                  <c:v>0.106290469213214</c:v>
                </c:pt>
                <c:pt idx="210">
                  <c:v>0.106298716023284</c:v>
                </c:pt>
                <c:pt idx="211">
                  <c:v>0.106306978393155</c:v>
                </c:pt>
                <c:pt idx="212">
                  <c:v>0.106315257105341</c:v>
                </c:pt>
                <c:pt idx="213">
                  <c:v>0.10632355295684801</c:v>
                </c:pt>
                <c:pt idx="214">
                  <c:v>0.10633186675985799</c:v>
                </c:pt>
                <c:pt idx="215">
                  <c:v>0.10634019934245301</c:v>
                </c:pt>
                <c:pt idx="216">
                  <c:v>0.106348551549366</c:v>
                </c:pt>
                <c:pt idx="217">
                  <c:v>0.106356924242761</c:v>
                </c:pt>
                <c:pt idx="218">
                  <c:v>0.10636531830306099</c:v>
                </c:pt>
                <c:pt idx="219">
                  <c:v>0.106373734629807</c:v>
                </c:pt>
                <c:pt idx="220">
                  <c:v>0.10638217414255299</c:v>
                </c:pt>
                <c:pt idx="221">
                  <c:v>0.106390637781818</c:v>
                </c:pt>
                <c:pt idx="222">
                  <c:v>0.10639912651007299</c:v>
                </c:pt>
                <c:pt idx="223">
                  <c:v>0.10640764131277999</c:v>
                </c:pt>
                <c:pt idx="224">
                  <c:v>0.10641618319948901</c:v>
                </c:pt>
                <c:pt idx="225">
                  <c:v>0.106424753204983</c:v>
                </c:pt>
                <c:pt idx="226">
                  <c:v>0.10643335239049</c:v>
                </c:pt>
                <c:pt idx="227">
                  <c:v>0.106441981844954</c:v>
                </c:pt>
                <c:pt idx="228">
                  <c:v>0.106450642686375</c:v>
                </c:pt>
                <c:pt idx="229">
                  <c:v>0.10645933606322799</c:v>
                </c:pt>
                <c:pt idx="230">
                  <c:v>0.10646806315594901</c:v>
                </c:pt>
                <c:pt idx="231">
                  <c:v>0.106476825178516</c:v>
                </c:pt>
                <c:pt idx="232">
                  <c:v>0.10648562338011</c:v>
                </c:pt>
                <c:pt idx="233">
                  <c:v>0.106494459046881</c:v>
                </c:pt>
                <c:pt idx="234">
                  <c:v>0.106503333503809</c:v>
                </c:pt>
                <c:pt idx="235">
                  <c:v>0.10651224811667701</c:v>
                </c:pt>
                <c:pt idx="236">
                  <c:v>0.106521204294171</c:v>
                </c:pt>
                <c:pt idx="237">
                  <c:v>0.106530203490093</c:v>
                </c:pt>
                <c:pt idx="238">
                  <c:v>0.10653924720572699</c:v>
                </c:pt>
                <c:pt idx="239">
                  <c:v>0.106548336992338</c:v>
                </c:pt>
                <c:pt idx="240">
                  <c:v>0.106557474453844</c:v>
                </c:pt>
                <c:pt idx="241">
                  <c:v>0.106566661249652</c:v>
                </c:pt>
                <c:pt idx="242">
                  <c:v>0.10657589909767901</c:v>
                </c:pt>
                <c:pt idx="243">
                  <c:v>0.10658518977758299</c:v>
                </c:pt>
                <c:pt idx="244">
                  <c:v>0.106594535134197</c:v>
                </c:pt>
                <c:pt idx="245">
                  <c:v>0.106603937081217</c:v>
                </c:pt>
                <c:pt idx="246">
                  <c:v>0.106613397605125</c:v>
                </c:pt>
                <c:pt idx="247">
                  <c:v>0.10662291876941001</c:v>
                </c:pt>
                <c:pt idx="248">
                  <c:v>0.106632502719071</c:v>
                </c:pt>
                <c:pt idx="249">
                  <c:v>0.10664215168546599</c:v>
                </c:pt>
                <c:pt idx="250">
                  <c:v>0.106651867991505</c:v>
                </c:pt>
                <c:pt idx="251">
                  <c:v>0.106661654057239</c:v>
                </c:pt>
                <c:pt idx="252">
                  <c:v>0.106671512405876</c:v>
                </c:pt>
                <c:pt idx="253">
                  <c:v>0.106681445670259</c:v>
                </c:pt>
                <c:pt idx="254">
                  <c:v>0.106691456599855</c:v>
                </c:pt>
                <c:pt idx="255">
                  <c:v>0.10670154806830701</c:v>
                </c:pt>
                <c:pt idx="256">
                  <c:v>0.106711723081597</c:v>
                </c:pt>
                <c:pt idx="257">
                  <c:v>0.106721984786882</c:v>
                </c:pt>
                <c:pt idx="258">
                  <c:v>0.106732336482082</c:v>
                </c:pt>
                <c:pt idx="259">
                  <c:v>0.10674278162628199</c:v>
                </c:pt>
                <c:pt idx="260">
                  <c:v>0.106753323851043</c:v>
                </c:pt>
                <c:pt idx="261">
                  <c:v>0.106763966972719</c:v>
                </c:pt>
                <c:pt idx="262">
                  <c:v>0.10677471500588499</c:v>
                </c:pt>
                <c:pt idx="263">
                  <c:v>0.10678557217800599</c:v>
                </c:pt>
                <c:pt idx="264">
                  <c:v>0.106796542945475</c:v>
                </c:pt>
                <c:pt idx="265">
                  <c:v>0.10680763201119001</c:v>
                </c:pt>
                <c:pt idx="266">
                  <c:v>0.106818844343851</c:v>
                </c:pt>
                <c:pt idx="267">
                  <c:v>0.106830185199162</c:v>
                </c:pt>
                <c:pt idx="268">
                  <c:v>0.1068416601432</c:v>
                </c:pt>
                <c:pt idx="269">
                  <c:v>0.106853275078199</c:v>
                </c:pt>
                <c:pt idx="270">
                  <c:v>0.10686503627105901</c:v>
                </c:pt>
                <c:pt idx="271">
                  <c:v>0.106876950384948</c:v>
                </c:pt>
                <c:pt idx="272">
                  <c:v>0.10688902451438199</c:v>
                </c:pt>
                <c:pt idx="273">
                  <c:v>0.106901266224276</c:v>
                </c:pt>
                <c:pt idx="274">
                  <c:v>0.106913683593506</c:v>
                </c:pt>
                <c:pt idx="275">
                  <c:v>0.106926285263621</c:v>
                </c:pt>
                <c:pt idx="276">
                  <c:v>0.106939080493455</c:v>
                </c:pt>
                <c:pt idx="277">
                  <c:v>0.10695207922051</c:v>
                </c:pt>
                <c:pt idx="278">
                  <c:v>0.10696529213014599</c:v>
                </c:pt>
                <c:pt idx="279">
                  <c:v>0.106978730733797</c:v>
                </c:pt>
                <c:pt idx="280">
                  <c:v>0.106992407457646</c:v>
                </c:pt>
                <c:pt idx="281">
                  <c:v>0.107006335743491</c:v>
                </c:pt>
                <c:pt idx="282">
                  <c:v>0.10702053016384699</c:v>
                </c:pt>
                <c:pt idx="283">
                  <c:v>0.107035006553762</c:v>
                </c:pt>
                <c:pt idx="284">
                  <c:v>0.107049782162317</c:v>
                </c:pt>
                <c:pt idx="285">
                  <c:v>0.10706487582742701</c:v>
                </c:pt>
                <c:pt idx="286">
                  <c:v>0.107080308178348</c:v>
                </c:pt>
                <c:pt idx="287">
                  <c:v>0.10709610187127599</c:v>
                </c:pt>
                <c:pt idx="288">
                  <c:v>0.10711228186470099</c:v>
                </c:pt>
                <c:pt idx="289">
                  <c:v>0.107128875742745</c:v>
                </c:pt>
                <c:pt idx="290">
                  <c:v>0.107145914096787</c:v>
                </c:pt>
                <c:pt idx="291">
                  <c:v>0.10716343097827</c:v>
                </c:pt>
                <c:pt idx="292">
                  <c:v>0.10718146443905199</c:v>
                </c:pt>
                <c:pt idx="293">
                  <c:v>0.107200057180087</c:v>
                </c:pt>
                <c:pt idx="294">
                  <c:v>0.10721925733519</c:v>
                </c:pt>
                <c:pt idx="295">
                  <c:v>0.107239119424452</c:v>
                </c:pt>
                <c:pt idx="296">
                  <c:v>0.10725970552248799</c:v>
                </c:pt>
                <c:pt idx="297">
                  <c:v>0.107281086701057</c:v>
                </c:pt>
                <c:pt idx="298">
                  <c:v>0.10730334482520799</c:v>
                </c:pt>
                <c:pt idx="299">
                  <c:v>0.107326574809414</c:v>
                </c:pt>
                <c:pt idx="300">
                  <c:v>0.10735088747820599</c:v>
                </c:pt>
                <c:pt idx="301">
                  <c:v>0.10737641322982</c:v>
                </c:pt>
                <c:pt idx="302">
                  <c:v>0.107403306778537</c:v>
                </c:pt>
                <c:pt idx="303">
                  <c:v>0.10743175336319</c:v>
                </c:pt>
                <c:pt idx="304">
                  <c:v>0.107461976972791</c:v>
                </c:pt>
                <c:pt idx="305">
                  <c:v>0.107494251381856</c:v>
                </c:pt>
                <c:pt idx="306">
                  <c:v>0.107528915147976</c:v>
                </c:pt>
                <c:pt idx="307">
                  <c:v>0.107566392263413</c:v>
                </c:pt>
                <c:pt idx="308">
                  <c:v>0.10760722096054399</c:v>
                </c:pt>
                <c:pt idx="309">
                  <c:v>0.107652094373539</c:v>
                </c:pt>
                <c:pt idx="310">
                  <c:v>0.107701918517204</c:v>
                </c:pt>
                <c:pt idx="311">
                  <c:v>0.107757895545197</c:v>
                </c:pt>
                <c:pt idx="312">
                  <c:v>0.107821643761701</c:v>
                </c:pt>
                <c:pt idx="313">
                  <c:v>0.107895371464266</c:v>
                </c:pt>
                <c:pt idx="314">
                  <c:v>0.107982136054144</c:v>
                </c:pt>
                <c:pt idx="315">
                  <c:v>0.108086279484475</c:v>
                </c:pt>
                <c:pt idx="316">
                  <c:v>0.10821441051713999</c:v>
                </c:pt>
                <c:pt idx="317">
                  <c:v>0.108378611684964</c:v>
                </c:pt>
                <c:pt idx="318">
                  <c:v>0.10851279142848901</c:v>
                </c:pt>
                <c:pt idx="319">
                  <c:v>0.108646878508965</c:v>
                </c:pt>
                <c:pt idx="320">
                  <c:v>0.108781836007877</c:v>
                </c:pt>
                <c:pt idx="321">
                  <c:v>0.108917703938839</c:v>
                </c:pt>
                <c:pt idx="322">
                  <c:v>0.109054545173906</c:v>
                </c:pt>
                <c:pt idx="323">
                  <c:v>0.109192417872054</c:v>
                </c:pt>
                <c:pt idx="324">
                  <c:v>0.109331376964383</c:v>
                </c:pt>
                <c:pt idx="325">
                  <c:v>0.10947147454287399</c:v>
                </c:pt>
                <c:pt idx="326">
                  <c:v>0.109612760241196</c:v>
                </c:pt>
                <c:pt idx="327">
                  <c:v>0.10975528157779101</c:v>
                </c:pt>
                <c:pt idx="328">
                  <c:v>0.109899084266184</c:v>
                </c:pt>
                <c:pt idx="329">
                  <c:v>0.110044212495958</c:v>
                </c:pt>
                <c:pt idx="330">
                  <c:v>0.11019070918751001</c:v>
                </c:pt>
                <c:pt idx="331">
                  <c:v>0.11033861622334599</c:v>
                </c:pt>
                <c:pt idx="332">
                  <c:v>0.110487974658393</c:v>
                </c:pt>
                <c:pt idx="333">
                  <c:v>0.110638824911563</c:v>
                </c:pt>
                <c:pt idx="334">
                  <c:v>0.110791206940568</c:v>
                </c:pt>
                <c:pt idx="335">
                  <c:v>0.11094516040180299</c:v>
                </c:pt>
                <c:pt idx="336">
                  <c:v>0.11110072479692901</c:v>
                </c:pt>
                <c:pt idx="337">
                  <c:v>0.111257939607629</c:v>
                </c:pt>
                <c:pt idx="338">
                  <c:v>0.111416844419904</c:v>
                </c:pt>
                <c:pt idx="339">
                  <c:v>0.111577479039088</c:v>
                </c:pt>
                <c:pt idx="340">
                  <c:v>0.111739883596728</c:v>
                </c:pt>
                <c:pt idx="341">
                  <c:v>0.111904098650297</c:v>
                </c:pt>
                <c:pt idx="342">
                  <c:v>0.11207016527668</c:v>
                </c:pt>
                <c:pt idx="343">
                  <c:v>0.112238125160255</c:v>
                </c:pt>
                <c:pt idx="344">
                  <c:v>0.11240802067632299</c:v>
                </c:pt>
                <c:pt idx="345">
                  <c:v>0.11257989497059701</c:v>
                </c:pt>
                <c:pt idx="346">
                  <c:v>0.112753792035371</c:v>
                </c:pt>
                <c:pt idx="347">
                  <c:v>0.112929756782956</c:v>
                </c:pt>
                <c:pt idx="348">
                  <c:v>0.113107835116922</c:v>
                </c:pt>
                <c:pt idx="349">
                  <c:v>0.113288074001635</c:v>
                </c:pt>
                <c:pt idx="350">
                  <c:v>0.113470521530551</c:v>
                </c:pt>
                <c:pt idx="351">
                  <c:v>0.113655226993682</c:v>
                </c:pt>
                <c:pt idx="352">
                  <c:v>0.113842240944644</c:v>
                </c:pt>
                <c:pt idx="353">
                  <c:v>0.114031615267637</c:v>
                </c:pt>
                <c:pt idx="354">
                  <c:v>0.11422340324472501</c:v>
                </c:pt>
                <c:pt idx="355">
                  <c:v>0.11441765962373</c:v>
                </c:pt>
                <c:pt idx="356">
                  <c:v>0.114614440687063</c:v>
                </c:pt>
                <c:pt idx="357">
                  <c:v>0.114813804321789</c:v>
                </c:pt>
                <c:pt idx="358">
                  <c:v>0.22425676384167301</c:v>
                </c:pt>
                <c:pt idx="359">
                  <c:v>0.30704288935609397</c:v>
                </c:pt>
                <c:pt idx="360">
                  <c:v>0.30834090817871301</c:v>
                </c:pt>
                <c:pt idx="361">
                  <c:v>0.30921577139060102</c:v>
                </c:pt>
                <c:pt idx="362">
                  <c:v>0.31017471350345399</c:v>
                </c:pt>
                <c:pt idx="363">
                  <c:v>0.31131883897321</c:v>
                </c:pt>
                <c:pt idx="364">
                  <c:v>0.31289797505880901</c:v>
                </c:pt>
                <c:pt idx="365">
                  <c:v>0.51289797505880896</c:v>
                </c:pt>
                <c:pt idx="366">
                  <c:v>0.51289797505880896</c:v>
                </c:pt>
              </c:numCache>
            </c:numRef>
          </c:xVal>
          <c:yVal>
            <c:numRef>
              <c:f>Implicit_Fracs!$BQ$5:$BQ$371</c:f>
              <c:numCache>
                <c:formatCode>General</c:formatCode>
                <c:ptCount val="3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 formatCode="0.00E+00">
                  <c:v>7.0260002248650897E-7</c:v>
                </c:pt>
                <c:pt idx="360" formatCode="0.00E+00">
                  <c:v>1.4718568144705301E-6</c:v>
                </c:pt>
                <c:pt idx="361" formatCode="0.00E+00">
                  <c:v>2.1179326993066998E-6</c:v>
                </c:pt>
                <c:pt idx="362" formatCode="0.00E+00">
                  <c:v>2.7413810059435199E-6</c:v>
                </c:pt>
                <c:pt idx="363" formatCode="0.00E+00">
                  <c:v>3.3240308403959501E-6</c:v>
                </c:pt>
                <c:pt idx="364" formatCode="0.00E+00">
                  <c:v>3.8338013028150197E-6</c:v>
                </c:pt>
                <c:pt idx="365" formatCode="0.00E+00">
                  <c:v>8.8973892045236899E-6</c:v>
                </c:pt>
                <c:pt idx="366" formatCode="0.00E+00">
                  <c:v>8.8973892045236899E-6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DFE-49BC-B1F1-19675E8EE163}"/>
            </c:ext>
          </c:extLst>
        </c:ser>
        <c:ser>
          <c:idx val="6"/>
          <c:order val="6"/>
          <c:tx>
            <c:strRef>
              <c:f>Implicit_Fracs!$BR$1</c:f>
              <c:strCache>
                <c:ptCount val="1"/>
                <c:pt idx="0">
                  <c:v>uF Porosity: Barton-Bandis aperture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Implicit_Fracs!$C$5:$C$371</c:f>
              <c:numCache>
                <c:formatCode>General</c:formatCode>
                <c:ptCount val="367"/>
                <c:pt idx="0">
                  <c:v>0.10158646265419501</c:v>
                </c:pt>
                <c:pt idx="1">
                  <c:v>0.102060105178604</c:v>
                </c:pt>
                <c:pt idx="2">
                  <c:v>0.102354758409441</c:v>
                </c:pt>
                <c:pt idx="3">
                  <c:v>0.10257003610151801</c:v>
                </c:pt>
                <c:pt idx="4">
                  <c:v>0.102740146597483</c:v>
                </c:pt>
                <c:pt idx="5">
                  <c:v>0.10288102093448701</c:v>
                </c:pt>
                <c:pt idx="6">
                  <c:v>0.10300139565401099</c:v>
                </c:pt>
                <c:pt idx="7">
                  <c:v>0.10310658737638601</c:v>
                </c:pt>
                <c:pt idx="8">
                  <c:v>0.103200075337502</c:v>
                </c:pt>
                <c:pt idx="9">
                  <c:v>0.103284262204</c:v>
                </c:pt>
                <c:pt idx="10">
                  <c:v>0.103360877526633</c:v>
                </c:pt>
                <c:pt idx="11">
                  <c:v>0.103431208153653</c:v>
                </c:pt>
                <c:pt idx="12">
                  <c:v>0.103496237708407</c:v>
                </c:pt>
                <c:pt idx="13">
                  <c:v>0.103556735084609</c:v>
                </c:pt>
                <c:pt idx="14">
                  <c:v>0.103613312816801</c:v>
                </c:pt>
                <c:pt idx="15">
                  <c:v>0.103666466857375</c:v>
                </c:pt>
                <c:pt idx="16">
                  <c:v>0.10371660444741999</c:v>
                </c:pt>
                <c:pt idx="17">
                  <c:v>0.10376406411969299</c:v>
                </c:pt>
                <c:pt idx="18">
                  <c:v>0.10380913035858701</c:v>
                </c:pt>
                <c:pt idx="19">
                  <c:v>0.103852044544123</c:v>
                </c:pt>
                <c:pt idx="20">
                  <c:v>0.103893013256558</c:v>
                </c:pt>
                <c:pt idx="21">
                  <c:v>0.103932214670875</c:v>
                </c:pt>
                <c:pt idx="22">
                  <c:v>0.10396980354554</c:v>
                </c:pt>
                <c:pt idx="23">
                  <c:v>0.104005915161023</c:v>
                </c:pt>
                <c:pt idx="24">
                  <c:v>0.10404066846285701</c:v>
                </c:pt>
                <c:pt idx="25">
                  <c:v>0.104074168594671</c:v>
                </c:pt>
                <c:pt idx="26">
                  <c:v>0.10410650895807599</c:v>
                </c:pt>
                <c:pt idx="27">
                  <c:v>0.10413777290170501</c:v>
                </c:pt>
                <c:pt idx="28">
                  <c:v>0.104168035116796</c:v>
                </c:pt>
                <c:pt idx="29">
                  <c:v>0.104197362798492</c:v>
                </c:pt>
                <c:pt idx="30">
                  <c:v>0.104225816618547</c:v>
                </c:pt>
                <c:pt idx="31">
                  <c:v>0.104253451545067</c:v>
                </c:pt>
                <c:pt idx="32">
                  <c:v>0.104280317537286</c:v>
                </c:pt>
                <c:pt idx="33">
                  <c:v>0.10430646013757899</c:v>
                </c:pt>
                <c:pt idx="34">
                  <c:v>0.10433192097843901</c:v>
                </c:pt>
                <c:pt idx="35">
                  <c:v>0.104356738218675</c:v>
                </c:pt>
                <c:pt idx="36">
                  <c:v>0.10438094692038</c:v>
                </c:pt>
                <c:pt idx="37">
                  <c:v>0.104404579376061</c:v>
                </c:pt>
                <c:pt idx="38">
                  <c:v>0.10442766539470601</c:v>
                </c:pt>
                <c:pt idx="39">
                  <c:v>0.104450232550895</c:v>
                </c:pt>
                <c:pt idx="40">
                  <c:v>0.104472306403378</c:v>
                </c:pt>
                <c:pt idx="41">
                  <c:v>0.104493910687546</c:v>
                </c:pt>
                <c:pt idx="42">
                  <c:v>0.104515067485448</c:v>
                </c:pt>
                <c:pt idx="43">
                  <c:v>0.104535797376425</c:v>
                </c:pt>
                <c:pt idx="44">
                  <c:v>0.104556119570968</c:v>
                </c:pt>
                <c:pt idx="45">
                  <c:v>0.10457605202998201</c:v>
                </c:pt>
                <c:pt idx="46">
                  <c:v>0.10459561157132601</c:v>
                </c:pt>
                <c:pt idx="47">
                  <c:v>0.10461481396524</c:v>
                </c:pt>
                <c:pt idx="48">
                  <c:v>0.104633674020002</c:v>
                </c:pt>
                <c:pt idx="49">
                  <c:v>0.104652205659008</c:v>
                </c:pt>
                <c:pt idx="50">
                  <c:v>0.10467042199028</c:v>
                </c:pt>
                <c:pt idx="51">
                  <c:v>0.10468833536927501</c:v>
                </c:pt>
                <c:pt idx="52">
                  <c:v>0.104705957455764</c:v>
                </c:pt>
                <c:pt idx="53">
                  <c:v>0.104723299265432</c:v>
                </c:pt>
                <c:pt idx="54">
                  <c:v>0.10474037121678501</c:v>
                </c:pt>
                <c:pt idx="55">
                  <c:v>0.104757183173858</c:v>
                </c:pt>
                <c:pt idx="56">
                  <c:v>0.10477374448518</c:v>
                </c:pt>
                <c:pt idx="57">
                  <c:v>0.104790064019366</c:v>
                </c:pt>
                <c:pt idx="58">
                  <c:v>0.10480615019770299</c:v>
                </c:pt>
                <c:pt idx="59">
                  <c:v>0.104822011024007</c:v>
                </c:pt>
                <c:pt idx="60">
                  <c:v>0.10483765411203801</c:v>
                </c:pt>
                <c:pt idx="61">
                  <c:v>0.104853086710699</c:v>
                </c:pt>
                <c:pt idx="62">
                  <c:v>0.10486831572724099</c:v>
                </c:pt>
                <c:pt idx="63">
                  <c:v>0.104883347748643</c:v>
                </c:pt>
                <c:pt idx="64">
                  <c:v>0.104898189061358</c:v>
                </c:pt>
                <c:pt idx="65">
                  <c:v>0.104912845669559</c:v>
                </c:pt>
                <c:pt idx="66">
                  <c:v>0.10492732331202199</c:v>
                </c:pt>
                <c:pt idx="67">
                  <c:v>0.10494162747777</c:v>
                </c:pt>
                <c:pt idx="68">
                  <c:v>0.10495576342058401</c:v>
                </c:pt>
                <c:pt idx="69">
                  <c:v>0.104969736172476</c:v>
                </c:pt>
                <c:pt idx="70">
                  <c:v>0.104983550556215</c:v>
                </c:pt>
                <c:pt idx="71">
                  <c:v>0.104997211196988</c:v>
                </c:pt>
                <c:pt idx="72">
                  <c:v>0.105010722533251</c:v>
                </c:pt>
                <c:pt idx="73">
                  <c:v>0.10502408882686499</c:v>
                </c:pt>
                <c:pt idx="74">
                  <c:v>0.105037314172539</c:v>
                </c:pt>
                <c:pt idx="75">
                  <c:v>0.10505040250667</c:v>
                </c:pt>
                <c:pt idx="76">
                  <c:v>0.105063357615594</c:v>
                </c:pt>
                <c:pt idx="77">
                  <c:v>0.105076183143323</c:v>
                </c:pt>
                <c:pt idx="78">
                  <c:v>0.10508888259878001</c:v>
                </c:pt>
                <c:pt idx="79">
                  <c:v>0.105101459362598</c:v>
                </c:pt>
                <c:pt idx="80">
                  <c:v>0.10511391669348399</c:v>
                </c:pt>
                <c:pt idx="81">
                  <c:v>0.10512625773421</c:v>
                </c:pt>
                <c:pt idx="82">
                  <c:v>0.10513848551723599</c:v>
                </c:pt>
                <c:pt idx="83">
                  <c:v>0.10515060297000201</c:v>
                </c:pt>
                <c:pt idx="84">
                  <c:v>0.105162612919908</c:v>
                </c:pt>
                <c:pt idx="85">
                  <c:v>0.105174518099013</c:v>
                </c:pt>
                <c:pt idx="86">
                  <c:v>0.105186321148453</c:v>
                </c:pt>
                <c:pt idx="87">
                  <c:v>0.105198024622616</c:v>
                </c:pt>
                <c:pt idx="88">
                  <c:v>0.105209630993088</c:v>
                </c:pt>
                <c:pt idx="89">
                  <c:v>0.10522114265237301</c:v>
                </c:pt>
                <c:pt idx="90">
                  <c:v>0.105232561917411</c:v>
                </c:pt>
                <c:pt idx="91">
                  <c:v>0.105243891032912</c:v>
                </c:pt>
                <c:pt idx="92">
                  <c:v>0.105255132174505</c:v>
                </c:pt>
                <c:pt idx="93">
                  <c:v>0.10526628745172401</c:v>
                </c:pt>
                <c:pt idx="94">
                  <c:v>0.105277358910841</c:v>
                </c:pt>
                <c:pt idx="95">
                  <c:v>0.105288348537545</c:v>
                </c:pt>
                <c:pt idx="96">
                  <c:v>0.10529925825949001</c:v>
                </c:pt>
                <c:pt idx="97">
                  <c:v>0.105310089948715</c:v>
                </c:pt>
                <c:pt idx="98">
                  <c:v>0.10532084542394</c:v>
                </c:pt>
                <c:pt idx="99">
                  <c:v>0.105331526452749</c:v>
                </c:pt>
                <c:pt idx="100">
                  <c:v>0.10534213475366599</c:v>
                </c:pt>
                <c:pt idx="101">
                  <c:v>0.105352671998135</c:v>
                </c:pt>
                <c:pt idx="102">
                  <c:v>0.105363139812398</c:v>
                </c:pt>
                <c:pt idx="103">
                  <c:v>0.10537353977929</c:v>
                </c:pt>
                <c:pt idx="104">
                  <c:v>0.105383873439947</c:v>
                </c:pt>
                <c:pt idx="105">
                  <c:v>0.105394142295438</c:v>
                </c:pt>
                <c:pt idx="106">
                  <c:v>0.10540434780831399</c:v>
                </c:pt>
                <c:pt idx="107">
                  <c:v>0.1054144914041</c:v>
                </c:pt>
                <c:pt idx="108">
                  <c:v>0.105424574472708</c:v>
                </c:pt>
                <c:pt idx="109">
                  <c:v>0.10543459836979301</c:v>
                </c:pt>
                <c:pt idx="110">
                  <c:v>0.105444564418049</c:v>
                </c:pt>
                <c:pt idx="111">
                  <c:v>0.105454473908448</c:v>
                </c:pt>
                <c:pt idx="112">
                  <c:v>0.105464328101426</c:v>
                </c:pt>
                <c:pt idx="113">
                  <c:v>0.10547412822802001</c:v>
                </c:pt>
                <c:pt idx="114">
                  <c:v>0.10548387549095201</c:v>
                </c:pt>
                <c:pt idx="115">
                  <c:v>0.105493571065675</c:v>
                </c:pt>
                <c:pt idx="116">
                  <c:v>0.105503216101374</c:v>
                </c:pt>
                <c:pt idx="117">
                  <c:v>0.10551281172191999</c:v>
                </c:pt>
                <c:pt idx="118">
                  <c:v>0.10552235902679701</c:v>
                </c:pt>
                <c:pt idx="119">
                  <c:v>0.105531859091982</c:v>
                </c:pt>
                <c:pt idx="120">
                  <c:v>0.105541312970793</c:v>
                </c:pt>
                <c:pt idx="121">
                  <c:v>0.105550721694713</c:v>
                </c:pt>
                <c:pt idx="122">
                  <c:v>0.10556008627416701</c:v>
                </c:pt>
                <c:pt idx="123">
                  <c:v>0.105569407699282</c:v>
                </c:pt>
                <c:pt idx="124">
                  <c:v>0.105578686940613</c:v>
                </c:pt>
                <c:pt idx="125">
                  <c:v>0.10558792494984499</c:v>
                </c:pt>
                <c:pt idx="126">
                  <c:v>0.105597122660464</c:v>
                </c:pt>
                <c:pt idx="127">
                  <c:v>0.105606280988415</c:v>
                </c:pt>
                <c:pt idx="128">
                  <c:v>0.105615400832723</c:v>
                </c:pt>
                <c:pt idx="129">
                  <c:v>0.10562448307610101</c:v>
                </c:pt>
                <c:pt idx="130">
                  <c:v>0.105633528585537</c:v>
                </c:pt>
                <c:pt idx="131">
                  <c:v>0.105642538212856</c:v>
                </c:pt>
                <c:pt idx="132">
                  <c:v>0.10565151279527001</c:v>
                </c:pt>
                <c:pt idx="133">
                  <c:v>0.105660453155901</c:v>
                </c:pt>
                <c:pt idx="134">
                  <c:v>0.1056693601043</c:v>
                </c:pt>
                <c:pt idx="135">
                  <c:v>0.105678234436935</c:v>
                </c:pt>
                <c:pt idx="136">
                  <c:v>0.105687076937673</c:v>
                </c:pt>
                <c:pt idx="137">
                  <c:v>0.10569588837824601</c:v>
                </c:pt>
                <c:pt idx="138">
                  <c:v>0.105704669518702</c:v>
                </c:pt>
                <c:pt idx="139">
                  <c:v>0.105713421107842</c:v>
                </c:pt>
                <c:pt idx="140">
                  <c:v>0.105722143883642</c:v>
                </c:pt>
                <c:pt idx="141">
                  <c:v>0.10573083857367301</c:v>
                </c:pt>
                <c:pt idx="142">
                  <c:v>0.10573950589549699</c:v>
                </c:pt>
                <c:pt idx="143">
                  <c:v>0.105748146557059</c:v>
                </c:pt>
                <c:pt idx="144">
                  <c:v>0.105756761257069</c:v>
                </c:pt>
                <c:pt idx="145">
                  <c:v>0.105765350685371</c:v>
                </c:pt>
                <c:pt idx="146">
                  <c:v>0.10577391552330601</c:v>
                </c:pt>
                <c:pt idx="147">
                  <c:v>0.105782456444064</c:v>
                </c:pt>
                <c:pt idx="148">
                  <c:v>0.105790974113029</c:v>
                </c:pt>
                <c:pt idx="149">
                  <c:v>0.105799469188117</c:v>
                </c:pt>
                <c:pt idx="150">
                  <c:v>0.105807942320102</c:v>
                </c:pt>
                <c:pt idx="151">
                  <c:v>0.105816394152941</c:v>
                </c:pt>
                <c:pt idx="152">
                  <c:v>0.10582482532409</c:v>
                </c:pt>
                <c:pt idx="153">
                  <c:v>0.10583323646481201</c:v>
                </c:pt>
                <c:pt idx="154">
                  <c:v>0.105841628200482</c:v>
                </c:pt>
                <c:pt idx="155">
                  <c:v>0.105850001150887</c:v>
                </c:pt>
                <c:pt idx="156">
                  <c:v>0.105858355930516</c:v>
                </c:pt>
                <c:pt idx="157">
                  <c:v>0.105866693148851</c:v>
                </c:pt>
                <c:pt idx="158">
                  <c:v>0.105875013410654</c:v>
                </c:pt>
                <c:pt idx="159">
                  <c:v>0.10588331731624</c:v>
                </c:pt>
                <c:pt idx="160">
                  <c:v>0.105891605461765</c:v>
                </c:pt>
                <c:pt idx="161">
                  <c:v>0.10589987843948701</c:v>
                </c:pt>
                <c:pt idx="162">
                  <c:v>0.10590813683804701</c:v>
                </c:pt>
                <c:pt idx="163">
                  <c:v>0.10591638124273201</c:v>
                </c:pt>
                <c:pt idx="164">
                  <c:v>0.105924612235738</c:v>
                </c:pt>
                <c:pt idx="165">
                  <c:v>0.10593283039644</c:v>
                </c:pt>
                <c:pt idx="166">
                  <c:v>0.105941036301648</c:v>
                </c:pt>
                <c:pt idx="167">
                  <c:v>0.10594923052586901</c:v>
                </c:pt>
                <c:pt idx="168">
                  <c:v>0.105957413641566</c:v>
                </c:pt>
                <c:pt idx="169">
                  <c:v>0.105965586219415</c:v>
                </c:pt>
                <c:pt idx="170">
                  <c:v>0.105973748828566</c:v>
                </c:pt>
                <c:pt idx="171">
                  <c:v>0.10598190203689301</c:v>
                </c:pt>
                <c:pt idx="172">
                  <c:v>0.105990046411258</c:v>
                </c:pt>
                <c:pt idx="173">
                  <c:v>0.10599818251776701</c:v>
                </c:pt>
                <c:pt idx="174">
                  <c:v>0.106006310922025</c:v>
                </c:pt>
                <c:pt idx="175">
                  <c:v>0.106014432189397</c:v>
                </c:pt>
                <c:pt idx="176">
                  <c:v>0.106022546885271</c:v>
                </c:pt>
                <c:pt idx="177">
                  <c:v>0.10603065557531401</c:v>
                </c:pt>
                <c:pt idx="178">
                  <c:v>0.10603875882574</c:v>
                </c:pt>
                <c:pt idx="179">
                  <c:v>0.106046857203577</c:v>
                </c:pt>
                <c:pt idx="180">
                  <c:v>0.106054951276932</c:v>
                </c:pt>
                <c:pt idx="181">
                  <c:v>0.106063041615263</c:v>
                </c:pt>
                <c:pt idx="182">
                  <c:v>0.10607112878965499</c:v>
                </c:pt>
                <c:pt idx="183">
                  <c:v>0.106079213373101</c:v>
                </c:pt>
                <c:pt idx="184">
                  <c:v>0.106087295940776</c:v>
                </c:pt>
                <c:pt idx="185">
                  <c:v>0.10609537707033299</c:v>
                </c:pt>
                <c:pt idx="186">
                  <c:v>0.106103457342189</c:v>
                </c:pt>
                <c:pt idx="187">
                  <c:v>0.106111537339822</c:v>
                </c:pt>
                <c:pt idx="188">
                  <c:v>0.10611961765007601</c:v>
                </c:pt>
                <c:pt idx="189">
                  <c:v>0.106127698863465</c:v>
                </c:pt>
                <c:pt idx="190">
                  <c:v>0.10613578157449099</c:v>
                </c:pt>
                <c:pt idx="191">
                  <c:v>0.106143866381966</c:v>
                </c:pt>
                <c:pt idx="192">
                  <c:v>0.10615195388934</c:v>
                </c:pt>
                <c:pt idx="193">
                  <c:v>0.106160044705038</c:v>
                </c:pt>
                <c:pt idx="194">
                  <c:v>0.106168139442805</c:v>
                </c:pt>
                <c:pt idx="195">
                  <c:v>0.106176238722063</c:v>
                </c:pt>
                <c:pt idx="196">
                  <c:v>0.106184343168276</c:v>
                </c:pt>
                <c:pt idx="197">
                  <c:v>0.10619245341332301</c:v>
                </c:pt>
                <c:pt idx="198">
                  <c:v>0.106200570095885</c:v>
                </c:pt>
                <c:pt idx="199">
                  <c:v>0.10620869386184199</c:v>
                </c:pt>
                <c:pt idx="200">
                  <c:v>0.10621682536468401</c:v>
                </c:pt>
                <c:pt idx="201">
                  <c:v>0.106224965265935</c:v>
                </c:pt>
                <c:pt idx="202">
                  <c:v>0.106233114235588</c:v>
                </c:pt>
                <c:pt idx="203">
                  <c:v>0.10624127295256</c:v>
                </c:pt>
                <c:pt idx="204">
                  <c:v>0.10624944210515699</c:v>
                </c:pt>
                <c:pt idx="205">
                  <c:v>0.106257622391562</c:v>
                </c:pt>
                <c:pt idx="206">
                  <c:v>0.106265814520335</c:v>
                </c:pt>
                <c:pt idx="207">
                  <c:v>0.106274019210935</c:v>
                </c:pt>
                <c:pt idx="208">
                  <c:v>0.10628223719426</c:v>
                </c:pt>
                <c:pt idx="209">
                  <c:v>0.106290469213214</c:v>
                </c:pt>
                <c:pt idx="210">
                  <c:v>0.106298716023284</c:v>
                </c:pt>
                <c:pt idx="211">
                  <c:v>0.106306978393155</c:v>
                </c:pt>
                <c:pt idx="212">
                  <c:v>0.106315257105341</c:v>
                </c:pt>
                <c:pt idx="213">
                  <c:v>0.10632355295684801</c:v>
                </c:pt>
                <c:pt idx="214">
                  <c:v>0.10633186675985799</c:v>
                </c:pt>
                <c:pt idx="215">
                  <c:v>0.10634019934245301</c:v>
                </c:pt>
                <c:pt idx="216">
                  <c:v>0.106348551549366</c:v>
                </c:pt>
                <c:pt idx="217">
                  <c:v>0.106356924242761</c:v>
                </c:pt>
                <c:pt idx="218">
                  <c:v>0.10636531830306099</c:v>
                </c:pt>
                <c:pt idx="219">
                  <c:v>0.106373734629807</c:v>
                </c:pt>
                <c:pt idx="220">
                  <c:v>0.10638217414255299</c:v>
                </c:pt>
                <c:pt idx="221">
                  <c:v>0.106390637781818</c:v>
                </c:pt>
                <c:pt idx="222">
                  <c:v>0.10639912651007299</c:v>
                </c:pt>
                <c:pt idx="223">
                  <c:v>0.10640764131277999</c:v>
                </c:pt>
                <c:pt idx="224">
                  <c:v>0.10641618319948901</c:v>
                </c:pt>
                <c:pt idx="225">
                  <c:v>0.106424753204983</c:v>
                </c:pt>
                <c:pt idx="226">
                  <c:v>0.10643335239049</c:v>
                </c:pt>
                <c:pt idx="227">
                  <c:v>0.106441981844954</c:v>
                </c:pt>
                <c:pt idx="228">
                  <c:v>0.106450642686375</c:v>
                </c:pt>
                <c:pt idx="229">
                  <c:v>0.10645933606322799</c:v>
                </c:pt>
                <c:pt idx="230">
                  <c:v>0.10646806315594901</c:v>
                </c:pt>
                <c:pt idx="231">
                  <c:v>0.106476825178516</c:v>
                </c:pt>
                <c:pt idx="232">
                  <c:v>0.10648562338011</c:v>
                </c:pt>
                <c:pt idx="233">
                  <c:v>0.106494459046881</c:v>
                </c:pt>
                <c:pt idx="234">
                  <c:v>0.106503333503809</c:v>
                </c:pt>
                <c:pt idx="235">
                  <c:v>0.10651224811667701</c:v>
                </c:pt>
                <c:pt idx="236">
                  <c:v>0.106521204294171</c:v>
                </c:pt>
                <c:pt idx="237">
                  <c:v>0.106530203490093</c:v>
                </c:pt>
                <c:pt idx="238">
                  <c:v>0.10653924720572699</c:v>
                </c:pt>
                <c:pt idx="239">
                  <c:v>0.106548336992338</c:v>
                </c:pt>
                <c:pt idx="240">
                  <c:v>0.106557474453844</c:v>
                </c:pt>
                <c:pt idx="241">
                  <c:v>0.106566661249652</c:v>
                </c:pt>
                <c:pt idx="242">
                  <c:v>0.10657589909767901</c:v>
                </c:pt>
                <c:pt idx="243">
                  <c:v>0.10658518977758299</c:v>
                </c:pt>
                <c:pt idx="244">
                  <c:v>0.106594535134197</c:v>
                </c:pt>
                <c:pt idx="245">
                  <c:v>0.106603937081217</c:v>
                </c:pt>
                <c:pt idx="246">
                  <c:v>0.106613397605125</c:v>
                </c:pt>
                <c:pt idx="247">
                  <c:v>0.10662291876941001</c:v>
                </c:pt>
                <c:pt idx="248">
                  <c:v>0.106632502719071</c:v>
                </c:pt>
                <c:pt idx="249">
                  <c:v>0.10664215168546599</c:v>
                </c:pt>
                <c:pt idx="250">
                  <c:v>0.106651867991505</c:v>
                </c:pt>
                <c:pt idx="251">
                  <c:v>0.106661654057239</c:v>
                </c:pt>
                <c:pt idx="252">
                  <c:v>0.106671512405876</c:v>
                </c:pt>
                <c:pt idx="253">
                  <c:v>0.106681445670259</c:v>
                </c:pt>
                <c:pt idx="254">
                  <c:v>0.106691456599855</c:v>
                </c:pt>
                <c:pt idx="255">
                  <c:v>0.10670154806830701</c:v>
                </c:pt>
                <c:pt idx="256">
                  <c:v>0.106711723081597</c:v>
                </c:pt>
                <c:pt idx="257">
                  <c:v>0.106721984786882</c:v>
                </c:pt>
                <c:pt idx="258">
                  <c:v>0.106732336482082</c:v>
                </c:pt>
                <c:pt idx="259">
                  <c:v>0.10674278162628199</c:v>
                </c:pt>
                <c:pt idx="260">
                  <c:v>0.106753323851043</c:v>
                </c:pt>
                <c:pt idx="261">
                  <c:v>0.106763966972719</c:v>
                </c:pt>
                <c:pt idx="262">
                  <c:v>0.10677471500588499</c:v>
                </c:pt>
                <c:pt idx="263">
                  <c:v>0.10678557217800599</c:v>
                </c:pt>
                <c:pt idx="264">
                  <c:v>0.106796542945475</c:v>
                </c:pt>
                <c:pt idx="265">
                  <c:v>0.10680763201119001</c:v>
                </c:pt>
                <c:pt idx="266">
                  <c:v>0.106818844343851</c:v>
                </c:pt>
                <c:pt idx="267">
                  <c:v>0.106830185199162</c:v>
                </c:pt>
                <c:pt idx="268">
                  <c:v>0.1068416601432</c:v>
                </c:pt>
                <c:pt idx="269">
                  <c:v>0.106853275078199</c:v>
                </c:pt>
                <c:pt idx="270">
                  <c:v>0.10686503627105901</c:v>
                </c:pt>
                <c:pt idx="271">
                  <c:v>0.106876950384948</c:v>
                </c:pt>
                <c:pt idx="272">
                  <c:v>0.10688902451438199</c:v>
                </c:pt>
                <c:pt idx="273">
                  <c:v>0.106901266224276</c:v>
                </c:pt>
                <c:pt idx="274">
                  <c:v>0.106913683593506</c:v>
                </c:pt>
                <c:pt idx="275">
                  <c:v>0.106926285263621</c:v>
                </c:pt>
                <c:pt idx="276">
                  <c:v>0.106939080493455</c:v>
                </c:pt>
                <c:pt idx="277">
                  <c:v>0.10695207922051</c:v>
                </c:pt>
                <c:pt idx="278">
                  <c:v>0.10696529213014599</c:v>
                </c:pt>
                <c:pt idx="279">
                  <c:v>0.106978730733797</c:v>
                </c:pt>
                <c:pt idx="280">
                  <c:v>0.106992407457646</c:v>
                </c:pt>
                <c:pt idx="281">
                  <c:v>0.107006335743491</c:v>
                </c:pt>
                <c:pt idx="282">
                  <c:v>0.10702053016384699</c:v>
                </c:pt>
                <c:pt idx="283">
                  <c:v>0.107035006553762</c:v>
                </c:pt>
                <c:pt idx="284">
                  <c:v>0.107049782162317</c:v>
                </c:pt>
                <c:pt idx="285">
                  <c:v>0.10706487582742701</c:v>
                </c:pt>
                <c:pt idx="286">
                  <c:v>0.107080308178348</c:v>
                </c:pt>
                <c:pt idx="287">
                  <c:v>0.10709610187127599</c:v>
                </c:pt>
                <c:pt idx="288">
                  <c:v>0.10711228186470099</c:v>
                </c:pt>
                <c:pt idx="289">
                  <c:v>0.107128875742745</c:v>
                </c:pt>
                <c:pt idx="290">
                  <c:v>0.107145914096787</c:v>
                </c:pt>
                <c:pt idx="291">
                  <c:v>0.10716343097827</c:v>
                </c:pt>
                <c:pt idx="292">
                  <c:v>0.10718146443905199</c:v>
                </c:pt>
                <c:pt idx="293">
                  <c:v>0.107200057180087</c:v>
                </c:pt>
                <c:pt idx="294">
                  <c:v>0.10721925733519</c:v>
                </c:pt>
                <c:pt idx="295">
                  <c:v>0.107239119424452</c:v>
                </c:pt>
                <c:pt idx="296">
                  <c:v>0.10725970552248799</c:v>
                </c:pt>
                <c:pt idx="297">
                  <c:v>0.107281086701057</c:v>
                </c:pt>
                <c:pt idx="298">
                  <c:v>0.10730334482520799</c:v>
                </c:pt>
                <c:pt idx="299">
                  <c:v>0.107326574809414</c:v>
                </c:pt>
                <c:pt idx="300">
                  <c:v>0.10735088747820599</c:v>
                </c:pt>
                <c:pt idx="301">
                  <c:v>0.10737641322982</c:v>
                </c:pt>
                <c:pt idx="302">
                  <c:v>0.107403306778537</c:v>
                </c:pt>
                <c:pt idx="303">
                  <c:v>0.10743175336319</c:v>
                </c:pt>
                <c:pt idx="304">
                  <c:v>0.107461976972791</c:v>
                </c:pt>
                <c:pt idx="305">
                  <c:v>0.107494251381856</c:v>
                </c:pt>
                <c:pt idx="306">
                  <c:v>0.107528915147976</c:v>
                </c:pt>
                <c:pt idx="307">
                  <c:v>0.107566392263413</c:v>
                </c:pt>
                <c:pt idx="308">
                  <c:v>0.10760722096054399</c:v>
                </c:pt>
                <c:pt idx="309">
                  <c:v>0.107652094373539</c:v>
                </c:pt>
                <c:pt idx="310">
                  <c:v>0.107701918517204</c:v>
                </c:pt>
                <c:pt idx="311">
                  <c:v>0.107757895545197</c:v>
                </c:pt>
                <c:pt idx="312">
                  <c:v>0.107821643761701</c:v>
                </c:pt>
                <c:pt idx="313">
                  <c:v>0.107895371464266</c:v>
                </c:pt>
                <c:pt idx="314">
                  <c:v>0.107982136054144</c:v>
                </c:pt>
                <c:pt idx="315">
                  <c:v>0.108086279484475</c:v>
                </c:pt>
                <c:pt idx="316">
                  <c:v>0.10821441051713999</c:v>
                </c:pt>
                <c:pt idx="317">
                  <c:v>0.108378611684964</c:v>
                </c:pt>
                <c:pt idx="318">
                  <c:v>0.10851279142848901</c:v>
                </c:pt>
                <c:pt idx="319">
                  <c:v>0.108646878508965</c:v>
                </c:pt>
                <c:pt idx="320">
                  <c:v>0.108781836007877</c:v>
                </c:pt>
                <c:pt idx="321">
                  <c:v>0.108917703938839</c:v>
                </c:pt>
                <c:pt idx="322">
                  <c:v>0.109054545173906</c:v>
                </c:pt>
                <c:pt idx="323">
                  <c:v>0.109192417872054</c:v>
                </c:pt>
                <c:pt idx="324">
                  <c:v>0.109331376964383</c:v>
                </c:pt>
                <c:pt idx="325">
                  <c:v>0.10947147454287399</c:v>
                </c:pt>
                <c:pt idx="326">
                  <c:v>0.109612760241196</c:v>
                </c:pt>
                <c:pt idx="327">
                  <c:v>0.10975528157779101</c:v>
                </c:pt>
                <c:pt idx="328">
                  <c:v>0.109899084266184</c:v>
                </c:pt>
                <c:pt idx="329">
                  <c:v>0.110044212495958</c:v>
                </c:pt>
                <c:pt idx="330">
                  <c:v>0.11019070918751001</c:v>
                </c:pt>
                <c:pt idx="331">
                  <c:v>0.11033861622334599</c:v>
                </c:pt>
                <c:pt idx="332">
                  <c:v>0.110487974658393</c:v>
                </c:pt>
                <c:pt idx="333">
                  <c:v>0.110638824911563</c:v>
                </c:pt>
                <c:pt idx="334">
                  <c:v>0.110791206940568</c:v>
                </c:pt>
                <c:pt idx="335">
                  <c:v>0.11094516040180299</c:v>
                </c:pt>
                <c:pt idx="336">
                  <c:v>0.11110072479692901</c:v>
                </c:pt>
                <c:pt idx="337">
                  <c:v>0.111257939607629</c:v>
                </c:pt>
                <c:pt idx="338">
                  <c:v>0.111416844419904</c:v>
                </c:pt>
                <c:pt idx="339">
                  <c:v>0.111577479039088</c:v>
                </c:pt>
                <c:pt idx="340">
                  <c:v>0.111739883596728</c:v>
                </c:pt>
                <c:pt idx="341">
                  <c:v>0.111904098650297</c:v>
                </c:pt>
                <c:pt idx="342">
                  <c:v>0.11207016527668</c:v>
                </c:pt>
                <c:pt idx="343">
                  <c:v>0.112238125160255</c:v>
                </c:pt>
                <c:pt idx="344">
                  <c:v>0.11240802067632299</c:v>
                </c:pt>
                <c:pt idx="345">
                  <c:v>0.11257989497059701</c:v>
                </c:pt>
                <c:pt idx="346">
                  <c:v>0.112753792035371</c:v>
                </c:pt>
                <c:pt idx="347">
                  <c:v>0.112929756782956</c:v>
                </c:pt>
                <c:pt idx="348">
                  <c:v>0.113107835116922</c:v>
                </c:pt>
                <c:pt idx="349">
                  <c:v>0.113288074001635</c:v>
                </c:pt>
                <c:pt idx="350">
                  <c:v>0.113470521530551</c:v>
                </c:pt>
                <c:pt idx="351">
                  <c:v>0.113655226993682</c:v>
                </c:pt>
                <c:pt idx="352">
                  <c:v>0.113842240944644</c:v>
                </c:pt>
                <c:pt idx="353">
                  <c:v>0.114031615267637</c:v>
                </c:pt>
                <c:pt idx="354">
                  <c:v>0.11422340324472501</c:v>
                </c:pt>
                <c:pt idx="355">
                  <c:v>0.11441765962373</c:v>
                </c:pt>
                <c:pt idx="356">
                  <c:v>0.114614440687063</c:v>
                </c:pt>
                <c:pt idx="357">
                  <c:v>0.114813804321789</c:v>
                </c:pt>
                <c:pt idx="358">
                  <c:v>0.22425676384167301</c:v>
                </c:pt>
                <c:pt idx="359">
                  <c:v>0.30704288935609397</c:v>
                </c:pt>
                <c:pt idx="360">
                  <c:v>0.30834090817871301</c:v>
                </c:pt>
                <c:pt idx="361">
                  <c:v>0.30921577139060102</c:v>
                </c:pt>
                <c:pt idx="362">
                  <c:v>0.31017471350345399</c:v>
                </c:pt>
                <c:pt idx="363">
                  <c:v>0.31131883897321</c:v>
                </c:pt>
                <c:pt idx="364">
                  <c:v>0.31289797505880901</c:v>
                </c:pt>
                <c:pt idx="365">
                  <c:v>0.51289797505880896</c:v>
                </c:pt>
                <c:pt idx="366">
                  <c:v>0.51289797505880896</c:v>
                </c:pt>
              </c:numCache>
            </c:numRef>
          </c:xVal>
          <c:yVal>
            <c:numRef>
              <c:f>Implicit_Fracs!$BR$5:$BR$371</c:f>
              <c:numCache>
                <c:formatCode>0.00E+00</c:formatCode>
                <c:ptCount val="367"/>
                <c:pt idx="0">
                  <c:v>6.3567142584765294E-5</c:v>
                </c:pt>
                <c:pt idx="1">
                  <c:v>6.3454180122886895E-5</c:v>
                </c:pt>
                <c:pt idx="2">
                  <c:v>6.3355073517572095E-5</c:v>
                </c:pt>
                <c:pt idx="3">
                  <c:v>6.3290641640393296E-5</c:v>
                </c:pt>
                <c:pt idx="4">
                  <c:v>6.3234867458574398E-5</c:v>
                </c:pt>
                <c:pt idx="5">
                  <c:v>6.3163586111216803E-5</c:v>
                </c:pt>
                <c:pt idx="6">
                  <c:v>6.3117501504922997E-5</c:v>
                </c:pt>
                <c:pt idx="7">
                  <c:v>6.3052679663770894E-5</c:v>
                </c:pt>
                <c:pt idx="8">
                  <c:v>6.3011947009978706E-5</c:v>
                </c:pt>
                <c:pt idx="9">
                  <c:v>6.29730931017015E-5</c:v>
                </c:pt>
                <c:pt idx="10">
                  <c:v>6.2913461049208494E-5</c:v>
                </c:pt>
                <c:pt idx="11">
                  <c:v>6.2899891863253004E-5</c:v>
                </c:pt>
                <c:pt idx="12">
                  <c:v>6.2842374165371096E-5</c:v>
                </c:pt>
                <c:pt idx="13">
                  <c:v>6.2808373763677193E-5</c:v>
                </c:pt>
                <c:pt idx="14">
                  <c:v>6.2775184631147306E-5</c:v>
                </c:pt>
                <c:pt idx="15">
                  <c:v>6.2719841741096401E-5</c:v>
                </c:pt>
                <c:pt idx="16">
                  <c:v>6.2687988552226898E-5</c:v>
                </c:pt>
                <c:pt idx="17">
                  <c:v>6.2633692534220706E-5</c:v>
                </c:pt>
                <c:pt idx="18">
                  <c:v>6.2602888546704497E-5</c:v>
                </c:pt>
                <c:pt idx="19">
                  <c:v>6.2549430910071799E-5</c:v>
                </c:pt>
                <c:pt idx="20">
                  <c:v>6.2519468774227405E-5</c:v>
                </c:pt>
                <c:pt idx="21">
                  <c:v>6.2489867152411405E-5</c:v>
                </c:pt>
                <c:pt idx="22">
                  <c:v>6.2437395186737106E-5</c:v>
                </c:pt>
                <c:pt idx="23">
                  <c:v>6.2408416044041696E-5</c:v>
                </c:pt>
                <c:pt idx="24">
                  <c:v>6.2356470459306804E-5</c:v>
                </c:pt>
                <c:pt idx="25">
                  <c:v>6.2328006089964894E-5</c:v>
                </c:pt>
                <c:pt idx="26">
                  <c:v>6.2276509753920903E-5</c:v>
                </c:pt>
                <c:pt idx="27">
                  <c:v>6.2248474082573496E-5</c:v>
                </c:pt>
                <c:pt idx="28">
                  <c:v>6.2243888102884995E-5</c:v>
                </c:pt>
                <c:pt idx="29">
                  <c:v>6.2192955416854305E-5</c:v>
                </c:pt>
                <c:pt idx="30">
                  <c:v>6.2165437858815705E-5</c:v>
                </c:pt>
                <c:pt idx="31">
                  <c:v>6.2114822308214206E-5</c:v>
                </c:pt>
                <c:pt idx="32">
                  <c:v>6.2087581617711204E-5</c:v>
                </c:pt>
                <c:pt idx="33">
                  <c:v>6.2060461778323206E-5</c:v>
                </c:pt>
                <c:pt idx="34">
                  <c:v>6.2010254327892606E-5</c:v>
                </c:pt>
                <c:pt idx="35">
                  <c:v>6.1983346859896497E-5</c:v>
                </c:pt>
                <c:pt idx="36">
                  <c:v>6.1933375807523696E-5</c:v>
                </c:pt>
                <c:pt idx="37">
                  <c:v>6.1906644656997096E-5</c:v>
                </c:pt>
                <c:pt idx="38">
                  <c:v>6.1856885948705198E-5</c:v>
                </c:pt>
                <c:pt idx="39">
                  <c:v>6.1830301468595593E-5</c:v>
                </c:pt>
                <c:pt idx="40">
                  <c:v>6.1803781079487497E-5</c:v>
                </c:pt>
                <c:pt idx="41">
                  <c:v>6.17543032107996E-5</c:v>
                </c:pt>
                <c:pt idx="42">
                  <c:v>6.1727890517163699E-5</c:v>
                </c:pt>
                <c:pt idx="43">
                  <c:v>6.1678580235751104E-5</c:v>
                </c:pt>
                <c:pt idx="44">
                  <c:v>6.1652253899040598E-5</c:v>
                </c:pt>
                <c:pt idx="45">
                  <c:v>6.1603095909167394E-5</c:v>
                </c:pt>
                <c:pt idx="46">
                  <c:v>6.1599663772686695E-5</c:v>
                </c:pt>
                <c:pt idx="47">
                  <c:v>6.1573432494230995E-5</c:v>
                </c:pt>
                <c:pt idx="48">
                  <c:v>6.1524481345203797E-5</c:v>
                </c:pt>
                <c:pt idx="49">
                  <c:v>6.1498291369060104E-5</c:v>
                </c:pt>
                <c:pt idx="50">
                  <c:v>6.1449464516815706E-5</c:v>
                </c:pt>
                <c:pt idx="51">
                  <c:v>6.1423301414963299E-5</c:v>
                </c:pt>
                <c:pt idx="52">
                  <c:v>6.1397146369716405E-5</c:v>
                </c:pt>
                <c:pt idx="53">
                  <c:v>6.1348489948101495E-5</c:v>
                </c:pt>
                <c:pt idx="54">
                  <c:v>6.1322343241349304E-5</c:v>
                </c:pt>
                <c:pt idx="55">
                  <c:v>6.1273789931400098E-5</c:v>
                </c:pt>
                <c:pt idx="56">
                  <c:v>6.1247638299931294E-5</c:v>
                </c:pt>
                <c:pt idx="57">
                  <c:v>6.1221480345725302E-5</c:v>
                </c:pt>
                <c:pt idx="58">
                  <c:v>6.1173070551171098E-5</c:v>
                </c:pt>
                <c:pt idx="59">
                  <c:v>6.1146893738321306E-5</c:v>
                </c:pt>
                <c:pt idx="60">
                  <c:v>6.1098570668805197E-5</c:v>
                </c:pt>
                <c:pt idx="61">
                  <c:v>6.1072364538993298E-5</c:v>
                </c:pt>
                <c:pt idx="62">
                  <c:v>6.1068156664568897E-5</c:v>
                </c:pt>
                <c:pt idx="63">
                  <c:v>6.1019956239633598E-5</c:v>
                </c:pt>
                <c:pt idx="64">
                  <c:v>6.09936907954178E-5</c:v>
                </c:pt>
                <c:pt idx="65">
                  <c:v>6.0945566462022498E-5</c:v>
                </c:pt>
                <c:pt idx="66">
                  <c:v>6.0919251638632197E-5</c:v>
                </c:pt>
                <c:pt idx="67">
                  <c:v>6.0892910242254799E-5</c:v>
                </c:pt>
                <c:pt idx="68">
                  <c:v>6.08448907954113E-5</c:v>
                </c:pt>
                <c:pt idx="69">
                  <c:v>6.0818489252806399E-5</c:v>
                </c:pt>
                <c:pt idx="70">
                  <c:v>6.0792055819252097E-5</c:v>
                </c:pt>
                <c:pt idx="71">
                  <c:v>6.0744133840427002E-5</c:v>
                </c:pt>
                <c:pt idx="72">
                  <c:v>6.0717631398881897E-5</c:v>
                </c:pt>
                <c:pt idx="73">
                  <c:v>6.0669769676938501E-5</c:v>
                </c:pt>
                <c:pt idx="74">
                  <c:v>6.0643192700904199E-5</c:v>
                </c:pt>
                <c:pt idx="75">
                  <c:v>6.0616577403659699E-5</c:v>
                </c:pt>
                <c:pt idx="76">
                  <c:v>6.0568800759207701E-5</c:v>
                </c:pt>
                <c:pt idx="77">
                  <c:v>6.05421018970653E-5</c:v>
                </c:pt>
                <c:pt idx="78">
                  <c:v>6.0536343259574801E-5</c:v>
                </c:pt>
                <c:pt idx="79">
                  <c:v>6.0488646074591098E-5</c:v>
                </c:pt>
                <c:pt idx="80">
                  <c:v>6.0461815962777599E-5</c:v>
                </c:pt>
                <c:pt idx="81">
                  <c:v>6.0414169040769597E-5</c:v>
                </c:pt>
                <c:pt idx="82">
                  <c:v>6.0387244803981201E-5</c:v>
                </c:pt>
                <c:pt idx="83">
                  <c:v>6.03602720702899E-5</c:v>
                </c:pt>
                <c:pt idx="84">
                  <c:v>6.0312695853700603E-5</c:v>
                </c:pt>
                <c:pt idx="85">
                  <c:v>6.0285623263594797E-5</c:v>
                </c:pt>
                <c:pt idx="86">
                  <c:v>6.0258499234968501E-5</c:v>
                </c:pt>
                <c:pt idx="87">
                  <c:v>6.0210990084626597E-5</c:v>
                </c:pt>
                <c:pt idx="88">
                  <c:v>6.0183760557309002E-5</c:v>
                </c:pt>
                <c:pt idx="89">
                  <c:v>6.0156476878950301E-5</c:v>
                </c:pt>
                <c:pt idx="90">
                  <c:v>6.0109030001202203E-5</c:v>
                </c:pt>
                <c:pt idx="91">
                  <c:v>6.0081635607131898E-5</c:v>
                </c:pt>
                <c:pt idx="92">
                  <c:v>6.00541845478606E-5</c:v>
                </c:pt>
                <c:pt idx="93">
                  <c:v>6.00067970357952E-5</c:v>
                </c:pt>
                <c:pt idx="94">
                  <c:v>5.99990324415668E-5</c:v>
                </c:pt>
                <c:pt idx="95">
                  <c:v>5.9971407422871501E-5</c:v>
                </c:pt>
                <c:pt idx="96">
                  <c:v>5.9924076112695998E-5</c:v>
                </c:pt>
                <c:pt idx="97">
                  <c:v>5.98963310103801E-5</c:v>
                </c:pt>
                <c:pt idx="98">
                  <c:v>5.9868525086388097E-5</c:v>
                </c:pt>
                <c:pt idx="99">
                  <c:v>5.9821246601394702E-5</c:v>
                </c:pt>
                <c:pt idx="100">
                  <c:v>5.9793316730234598E-5</c:v>
                </c:pt>
                <c:pt idx="101">
                  <c:v>5.9765323612171898E-5</c:v>
                </c:pt>
                <c:pt idx="102">
                  <c:v>5.9737267809827999E-5</c:v>
                </c:pt>
                <c:pt idx="103">
                  <c:v>5.9690056021185703E-5</c:v>
                </c:pt>
                <c:pt idx="104">
                  <c:v>5.9661870518781697E-5</c:v>
                </c:pt>
                <c:pt idx="105">
                  <c:v>5.9633620417416697E-5</c:v>
                </c:pt>
                <c:pt idx="106">
                  <c:v>5.9586455939493302E-5</c:v>
                </c:pt>
                <c:pt idx="107">
                  <c:v>5.9558072804907598E-5</c:v>
                </c:pt>
                <c:pt idx="108">
                  <c:v>5.9529623257165101E-5</c:v>
                </c:pt>
                <c:pt idx="109">
                  <c:v>5.9519708387581603E-5</c:v>
                </c:pt>
                <c:pt idx="110">
                  <c:v>5.9472604051970297E-5</c:v>
                </c:pt>
                <c:pt idx="111">
                  <c:v>5.94439503687781E-5</c:v>
                </c:pt>
                <c:pt idx="112">
                  <c:v>5.9415228099948197E-5</c:v>
                </c:pt>
                <c:pt idx="113">
                  <c:v>5.9368165866102799E-5</c:v>
                </c:pt>
                <c:pt idx="114">
                  <c:v>5.9339304241636999E-5</c:v>
                </c:pt>
                <c:pt idx="115">
                  <c:v>5.9310372053688998E-5</c:v>
                </c:pt>
                <c:pt idx="116">
                  <c:v>5.9281369235110603E-5</c:v>
                </c:pt>
                <c:pt idx="117">
                  <c:v>5.9234361213970297E-5</c:v>
                </c:pt>
                <c:pt idx="118">
                  <c:v>5.9205215390045101E-5</c:v>
                </c:pt>
                <c:pt idx="119">
                  <c:v>5.9175997385935901E-5</c:v>
                </c:pt>
                <c:pt idx="120">
                  <c:v>5.9146707148226998E-5</c:v>
                </c:pt>
                <c:pt idx="121">
                  <c:v>5.90997503107963E-5</c:v>
                </c:pt>
                <c:pt idx="122">
                  <c:v>5.9070313932173797E-5</c:v>
                </c:pt>
                <c:pt idx="123">
                  <c:v>5.90582247703022E-5</c:v>
                </c:pt>
                <c:pt idx="124">
                  <c:v>5.9028641074612901E-5</c:v>
                </c:pt>
                <c:pt idx="125">
                  <c:v>5.8998982909016799E-5</c:v>
                </c:pt>
                <c:pt idx="126">
                  <c:v>5.8952086911772003E-5</c:v>
                </c:pt>
                <c:pt idx="127">
                  <c:v>5.8922278866510697E-5</c:v>
                </c:pt>
                <c:pt idx="128">
                  <c:v>5.8892394931408599E-5</c:v>
                </c:pt>
                <c:pt idx="129">
                  <c:v>5.8862435718280602E-5</c:v>
                </c:pt>
                <c:pt idx="130">
                  <c:v>5.88155865924158E-5</c:v>
                </c:pt>
                <c:pt idx="131">
                  <c:v>5.8785474299471098E-5</c:v>
                </c:pt>
                <c:pt idx="132">
                  <c:v>5.87552856521743E-5</c:v>
                </c:pt>
                <c:pt idx="133">
                  <c:v>5.87250199782404E-5</c:v>
                </c:pt>
                <c:pt idx="134">
                  <c:v>5.8694677239897501E-5</c:v>
                </c:pt>
                <c:pt idx="135">
                  <c:v>5.86478832451948E-5</c:v>
                </c:pt>
                <c:pt idx="136">
                  <c:v>5.8633669419536201E-5</c:v>
                </c:pt>
                <c:pt idx="137">
                  <c:v>5.8603092446818702E-5</c:v>
                </c:pt>
                <c:pt idx="138">
                  <c:v>5.8572437624705599E-5</c:v>
                </c:pt>
                <c:pt idx="139">
                  <c:v>5.8541703987763403E-5</c:v>
                </c:pt>
                <c:pt idx="140">
                  <c:v>5.85108914929703E-5</c:v>
                </c:pt>
                <c:pt idx="141">
                  <c:v>5.8464161146821901E-5</c:v>
                </c:pt>
                <c:pt idx="142">
                  <c:v>5.8433189444365097E-5</c:v>
                </c:pt>
                <c:pt idx="143">
                  <c:v>5.8402138736415003E-5</c:v>
                </c:pt>
                <c:pt idx="144">
                  <c:v>5.8371007774268697E-5</c:v>
                </c:pt>
                <c:pt idx="145">
                  <c:v>5.8339796802023598E-5</c:v>
                </c:pt>
                <c:pt idx="146">
                  <c:v>5.8308505172660002E-5</c:v>
                </c:pt>
                <c:pt idx="147">
                  <c:v>5.8292431217605701E-5</c:v>
                </c:pt>
                <c:pt idx="148">
                  <c:v>5.8260978522540497E-5</c:v>
                </c:pt>
                <c:pt idx="149">
                  <c:v>5.8214327993605497E-5</c:v>
                </c:pt>
                <c:pt idx="150">
                  <c:v>5.8182712822455799E-5</c:v>
                </c:pt>
                <c:pt idx="151">
                  <c:v>5.8151016085991398E-5</c:v>
                </c:pt>
                <c:pt idx="152">
                  <c:v>5.8119238273999602E-5</c:v>
                </c:pt>
                <c:pt idx="153">
                  <c:v>5.8087378453257002E-5</c:v>
                </c:pt>
                <c:pt idx="154">
                  <c:v>5.8055436259794002E-5</c:v>
                </c:pt>
                <c:pt idx="155">
                  <c:v>5.8023412441100102E-5</c:v>
                </c:pt>
                <c:pt idx="156">
                  <c:v>5.7991305789896403E-5</c:v>
                </c:pt>
                <c:pt idx="157">
                  <c:v>5.7959116761032699E-5</c:v>
                </c:pt>
                <c:pt idx="158">
                  <c:v>5.7941138877655503E-5</c:v>
                </c:pt>
                <c:pt idx="159">
                  <c:v>5.7908784349457598E-5</c:v>
                </c:pt>
                <c:pt idx="160">
                  <c:v>5.7876347107842102E-5</c:v>
                </c:pt>
                <c:pt idx="161">
                  <c:v>5.7829809196762499E-5</c:v>
                </c:pt>
                <c:pt idx="162">
                  <c:v>5.7797205496086601E-5</c:v>
                </c:pt>
                <c:pt idx="163">
                  <c:v>5.7764518166300298E-5</c:v>
                </c:pt>
                <c:pt idx="164">
                  <c:v>5.7731747333541602E-5</c:v>
                </c:pt>
                <c:pt idx="165">
                  <c:v>5.76988923314872E-5</c:v>
                </c:pt>
                <c:pt idx="166">
                  <c:v>5.7665953791408298E-5</c:v>
                </c:pt>
                <c:pt idx="167">
                  <c:v>5.76329310380079E-5</c:v>
                </c:pt>
                <c:pt idx="168">
                  <c:v>5.75998246754314E-5</c:v>
                </c:pt>
                <c:pt idx="169">
                  <c:v>5.7579908668674103E-5</c:v>
                </c:pt>
                <c:pt idx="170">
                  <c:v>5.7546633154627598E-5</c:v>
                </c:pt>
                <c:pt idx="171">
                  <c:v>5.7513273739613797E-5</c:v>
                </c:pt>
                <c:pt idx="172">
                  <c:v>5.7479829728388701E-5</c:v>
                </c:pt>
                <c:pt idx="173">
                  <c:v>5.7446301167250899E-5</c:v>
                </c:pt>
                <c:pt idx="174">
                  <c:v>5.7412687602537102E-5</c:v>
                </c:pt>
                <c:pt idx="175">
                  <c:v>5.7391703147270098E-5</c:v>
                </c:pt>
                <c:pt idx="176">
                  <c:v>5.7357920244090802E-5</c:v>
                </c:pt>
                <c:pt idx="177">
                  <c:v>5.7324052150204398E-5</c:v>
                </c:pt>
                <c:pt idx="178">
                  <c:v>5.73025311735477E-5</c:v>
                </c:pt>
                <c:pt idx="179">
                  <c:v>5.7268493022784702E-5</c:v>
                </c:pt>
                <c:pt idx="180">
                  <c:v>5.7234369406027097E-5</c:v>
                </c:pt>
                <c:pt idx="181">
                  <c:v>5.7200160752985997E-5</c:v>
                </c:pt>
                <c:pt idx="182">
                  <c:v>5.7165866552103801E-5</c:v>
                </c:pt>
                <c:pt idx="183">
                  <c:v>5.71314872021586E-5</c:v>
                </c:pt>
                <c:pt idx="184">
                  <c:v>5.7097022174937097E-5</c:v>
                </c:pt>
                <c:pt idx="185">
                  <c:v>5.7062471389779299E-5</c:v>
                </c:pt>
                <c:pt idx="186">
                  <c:v>5.7039513827929898E-5</c:v>
                </c:pt>
                <c:pt idx="187">
                  <c:v>5.7004792221418199E-5</c:v>
                </c:pt>
                <c:pt idx="188">
                  <c:v>5.6981474056888703E-5</c:v>
                </c:pt>
                <c:pt idx="189">
                  <c:v>5.6946581353574797E-5</c:v>
                </c:pt>
                <c:pt idx="190">
                  <c:v>5.6911602729370501E-5</c:v>
                </c:pt>
                <c:pt idx="191">
                  <c:v>5.6876538240040803E-5</c:v>
                </c:pt>
                <c:pt idx="192">
                  <c:v>5.6852498367966602E-5</c:v>
                </c:pt>
                <c:pt idx="193">
                  <c:v>5.6817262553577398E-5</c:v>
                </c:pt>
                <c:pt idx="194">
                  <c:v>5.6781940938765798E-5</c:v>
                </c:pt>
                <c:pt idx="195">
                  <c:v>5.6746533305663203E-5</c:v>
                </c:pt>
                <c:pt idx="196">
                  <c:v>5.67325019048243E-5</c:v>
                </c:pt>
                <c:pt idx="197">
                  <c:v>5.6696922935353597E-5</c:v>
                </c:pt>
                <c:pt idx="198">
                  <c:v>5.6661258219978601E-5</c:v>
                </c:pt>
                <c:pt idx="199">
                  <c:v>5.6625507477742799E-5</c:v>
                </c:pt>
                <c:pt idx="200">
                  <c:v>5.6600021791419899E-5</c:v>
                </c:pt>
                <c:pt idx="201">
                  <c:v>5.6564099956893398E-5</c:v>
                </c:pt>
                <c:pt idx="202">
                  <c:v>5.6528091945030899E-5</c:v>
                </c:pt>
                <c:pt idx="203">
                  <c:v>5.6502063820073699E-5</c:v>
                </c:pt>
                <c:pt idx="204">
                  <c:v>5.64758544329285E-5</c:v>
                </c:pt>
                <c:pt idx="205">
                  <c:v>5.6439589750425503E-5</c:v>
                </c:pt>
                <c:pt idx="206">
                  <c:v>5.6413018970470902E-5</c:v>
                </c:pt>
                <c:pt idx="207">
                  <c:v>5.6376583156460902E-5</c:v>
                </c:pt>
                <c:pt idx="208">
                  <c:v>5.6340062001712303E-5</c:v>
                </c:pt>
                <c:pt idx="209">
                  <c:v>5.6312948757962499E-5</c:v>
                </c:pt>
                <c:pt idx="210">
                  <c:v>5.6276256859420203E-5</c:v>
                </c:pt>
                <c:pt idx="211">
                  <c:v>5.6258084899706998E-5</c:v>
                </c:pt>
                <c:pt idx="212">
                  <c:v>5.6221222638047798E-5</c:v>
                </c:pt>
                <c:pt idx="213">
                  <c:v>5.6193387424264499E-5</c:v>
                </c:pt>
                <c:pt idx="214">
                  <c:v>5.6156354973352899E-5</c:v>
                </c:pt>
                <c:pt idx="215">
                  <c:v>5.6128158658958403E-5</c:v>
                </c:pt>
                <c:pt idx="216">
                  <c:v>5.6090956552820798E-5</c:v>
                </c:pt>
                <c:pt idx="217">
                  <c:v>5.6062400215839703E-5</c:v>
                </c:pt>
                <c:pt idx="218">
                  <c:v>5.6033663666247599E-5</c:v>
                </c:pt>
                <c:pt idx="219">
                  <c:v>5.6004747365409198E-5</c:v>
                </c:pt>
                <c:pt idx="220">
                  <c:v>5.5967207254069898E-5</c:v>
                </c:pt>
                <c:pt idx="221">
                  <c:v>5.5937931629172201E-5</c:v>
                </c:pt>
                <c:pt idx="222">
                  <c:v>5.5908476597970298E-5</c:v>
                </c:pt>
                <c:pt idx="223">
                  <c:v>5.58706842665416E-5</c:v>
                </c:pt>
                <c:pt idx="224">
                  <c:v>5.5848933612141201E-5</c:v>
                </c:pt>
                <c:pt idx="225">
                  <c:v>5.5818941262550399E-5</c:v>
                </c:pt>
                <c:pt idx="226">
                  <c:v>5.5780898281393697E-5</c:v>
                </c:pt>
                <c:pt idx="227">
                  <c:v>5.57505488377566E-5</c:v>
                </c:pt>
                <c:pt idx="228">
                  <c:v>5.5720021051187799E-5</c:v>
                </c:pt>
                <c:pt idx="229">
                  <c:v>5.56817290390727E-5</c:v>
                </c:pt>
                <c:pt idx="230">
                  <c:v>5.5658336207841001E-5</c:v>
                </c:pt>
                <c:pt idx="231">
                  <c:v>5.5627274989716302E-5</c:v>
                </c:pt>
                <c:pt idx="232">
                  <c:v>5.5596036516967999E-5</c:v>
                </c:pt>
                <c:pt idx="233">
                  <c:v>5.5564620797998198E-5</c:v>
                </c:pt>
                <c:pt idx="234">
                  <c:v>5.5533028339967497E-5</c:v>
                </c:pt>
                <c:pt idx="235">
                  <c:v>5.5494244108202701E-5</c:v>
                </c:pt>
                <c:pt idx="236">
                  <c:v>5.5469219558673197E-5</c:v>
                </c:pt>
                <c:pt idx="237">
                  <c:v>5.5437098633632503E-5</c:v>
                </c:pt>
                <c:pt idx="238">
                  <c:v>5.5404802369174398E-5</c:v>
                </c:pt>
                <c:pt idx="239">
                  <c:v>5.5372330956961202E-5</c:v>
                </c:pt>
                <c:pt idx="240">
                  <c:v>5.5339684777348798E-5</c:v>
                </c:pt>
                <c:pt idx="241">
                  <c:v>5.5313310256939799E-5</c:v>
                </c:pt>
                <c:pt idx="242">
                  <c:v>5.5286667081845897E-5</c:v>
                </c:pt>
                <c:pt idx="243">
                  <c:v>5.5253499261263599E-5</c:v>
                </c:pt>
                <c:pt idx="244">
                  <c:v>5.5220158425975399E-5</c:v>
                </c:pt>
                <c:pt idx="245">
                  <c:v>5.518664516385E-5</c:v>
                </c:pt>
                <c:pt idx="246">
                  <c:v>5.51589323973608E-5</c:v>
                </c:pt>
                <c:pt idx="247">
                  <c:v>5.5130953740752602E-5</c:v>
                </c:pt>
                <c:pt idx="248">
                  <c:v>5.5096925822909699E-5</c:v>
                </c:pt>
                <c:pt idx="249">
                  <c:v>5.5062727362421103E-5</c:v>
                </c:pt>
                <c:pt idx="250">
                  <c:v>5.5039550087711601E-5</c:v>
                </c:pt>
                <c:pt idx="251">
                  <c:v>5.50050126396574E-5</c:v>
                </c:pt>
                <c:pt idx="252">
                  <c:v>5.4970306719199E-5</c:v>
                </c:pt>
                <c:pt idx="253">
                  <c:v>5.4940746081122202E-5</c:v>
                </c:pt>
                <c:pt idx="254">
                  <c:v>5.4910924385556599E-5</c:v>
                </c:pt>
                <c:pt idx="255">
                  <c:v>5.4880842500347302E-5</c:v>
                </c:pt>
                <c:pt idx="256">
                  <c:v>5.4850501064133298E-5</c:v>
                </c:pt>
                <c:pt idx="257">
                  <c:v>5.4814963052149903E-5</c:v>
                </c:pt>
                <c:pt idx="258">
                  <c:v>5.4788950720211098E-5</c:v>
                </c:pt>
                <c:pt idx="259">
                  <c:v>5.4757837039940897E-5</c:v>
                </c:pt>
                <c:pt idx="260">
                  <c:v>5.4726468097945501E-5</c:v>
                </c:pt>
                <c:pt idx="261">
                  <c:v>5.4699409778993099E-5</c:v>
                </c:pt>
                <c:pt idx="262">
                  <c:v>5.4667533377705898E-5</c:v>
                </c:pt>
                <c:pt idx="263">
                  <c:v>5.4635404885372599E-5</c:v>
                </c:pt>
                <c:pt idx="264">
                  <c:v>5.46030258163884E-5</c:v>
                </c:pt>
                <c:pt idx="265">
                  <c:v>5.4574591139659598E-5</c:v>
                </c:pt>
                <c:pt idx="266">
                  <c:v>5.4541715021869003E-5</c:v>
                </c:pt>
                <c:pt idx="267">
                  <c:v>5.4512601250715098E-5</c:v>
                </c:pt>
                <c:pt idx="268">
                  <c:v>5.4483150392322402E-5</c:v>
                </c:pt>
                <c:pt idx="269">
                  <c:v>5.4449540141378598E-5</c:v>
                </c:pt>
                <c:pt idx="270">
                  <c:v>5.4419420941482898E-5</c:v>
                </c:pt>
                <c:pt idx="271">
                  <c:v>5.4392611376206602E-5</c:v>
                </c:pt>
                <c:pt idx="272">
                  <c:v>5.43582828600099E-5</c:v>
                </c:pt>
                <c:pt idx="273">
                  <c:v>5.4327176768045002E-5</c:v>
                </c:pt>
                <c:pt idx="274">
                  <c:v>5.4299112993319199E-5</c:v>
                </c:pt>
                <c:pt idx="275">
                  <c:v>5.4267360909331698E-5</c:v>
                </c:pt>
                <c:pt idx="276">
                  <c:v>5.4238474604217497E-5</c:v>
                </c:pt>
                <c:pt idx="277">
                  <c:v>5.4209181701442801E-5</c:v>
                </c:pt>
                <c:pt idx="278">
                  <c:v>5.4179485494300602E-5</c:v>
                </c:pt>
                <c:pt idx="279">
                  <c:v>5.4149389592434898E-5</c:v>
                </c:pt>
                <c:pt idx="280">
                  <c:v>5.4116074342228101E-5</c:v>
                </c:pt>
                <c:pt idx="281">
                  <c:v>5.4087924701629001E-5</c:v>
                </c:pt>
                <c:pt idx="282">
                  <c:v>5.4056653934873203E-5</c:v>
                </c:pt>
                <c:pt idx="283">
                  <c:v>5.4027555716812197E-5</c:v>
                </c:pt>
                <c:pt idx="284">
                  <c:v>5.3997991292249802E-5</c:v>
                </c:pt>
                <c:pt idx="285">
                  <c:v>5.3967966423619198E-5</c:v>
                </c:pt>
                <c:pt idx="286">
                  <c:v>5.3939776861564701E-5</c:v>
                </c:pt>
                <c:pt idx="287">
                  <c:v>5.3908850686971203E-5</c:v>
                </c:pt>
                <c:pt idx="288">
                  <c:v>5.3879598849621703E-5</c:v>
                </c:pt>
                <c:pt idx="289">
                  <c:v>5.38478015137963E-5</c:v>
                </c:pt>
                <c:pt idx="290">
                  <c:v>5.3819461675823E-5</c:v>
                </c:pt>
                <c:pt idx="291">
                  <c:v>5.3790536507788701E-5</c:v>
                </c:pt>
                <c:pt idx="292">
                  <c:v>5.37628055579953E-5</c:v>
                </c:pt>
                <c:pt idx="293">
                  <c:v>5.37327466356281E-5</c:v>
                </c:pt>
                <c:pt idx="294">
                  <c:v>5.3703739160655003E-5</c:v>
                </c:pt>
                <c:pt idx="295">
                  <c:v>5.3674117848309197E-5</c:v>
                </c:pt>
                <c:pt idx="296">
                  <c:v>5.3645330549511298E-5</c:v>
                </c:pt>
                <c:pt idx="297">
                  <c:v>5.3617232221429801E-5</c:v>
                </c:pt>
                <c:pt idx="298">
                  <c:v>5.3588419293840502E-5</c:v>
                </c:pt>
                <c:pt idx="299">
                  <c:v>5.3560102463774297E-5</c:v>
                </c:pt>
                <c:pt idx="300">
                  <c:v>5.3532153254349602E-5</c:v>
                </c:pt>
                <c:pt idx="301">
                  <c:v>5.35044510030992E-5</c:v>
                </c:pt>
                <c:pt idx="302">
                  <c:v>5.3477826727382797E-5</c:v>
                </c:pt>
                <c:pt idx="303">
                  <c:v>5.3449430815570998E-5</c:v>
                </c:pt>
                <c:pt idx="304">
                  <c:v>5.3423425252765998E-5</c:v>
                </c:pt>
                <c:pt idx="305">
                  <c:v>5.3397148849584999E-5</c:v>
                </c:pt>
                <c:pt idx="306">
                  <c:v>5.3369915047773302E-5</c:v>
                </c:pt>
                <c:pt idx="307">
                  <c:v>5.3345260951816401E-5</c:v>
                </c:pt>
                <c:pt idx="308">
                  <c:v>5.3320005419582803E-5</c:v>
                </c:pt>
                <c:pt idx="309">
                  <c:v>5.3295946460830503E-5</c:v>
                </c:pt>
                <c:pt idx="310">
                  <c:v>5.3272321097862601E-5</c:v>
                </c:pt>
                <c:pt idx="311">
                  <c:v>5.3250206642112899E-5</c:v>
                </c:pt>
                <c:pt idx="312">
                  <c:v>5.3229105931179499E-5</c:v>
                </c:pt>
                <c:pt idx="313">
                  <c:v>5.3209940883051197E-5</c:v>
                </c:pt>
                <c:pt idx="314">
                  <c:v>5.3192375255786902E-5</c:v>
                </c:pt>
                <c:pt idx="315">
                  <c:v>5.3177088110609198E-5</c:v>
                </c:pt>
                <c:pt idx="316">
                  <c:v>5.3164408491037099E-5</c:v>
                </c:pt>
                <c:pt idx="317">
                  <c:v>5.3169114098627897E-5</c:v>
                </c:pt>
                <c:pt idx="318">
                  <c:v>5.3161081058447899E-5</c:v>
                </c:pt>
                <c:pt idx="319">
                  <c:v>5.3153410851882501E-5</c:v>
                </c:pt>
                <c:pt idx="320">
                  <c:v>5.3146012733880101E-5</c:v>
                </c:pt>
                <c:pt idx="321">
                  <c:v>5.3138945853455202E-5</c:v>
                </c:pt>
                <c:pt idx="322">
                  <c:v>5.3132189687708898E-5</c:v>
                </c:pt>
                <c:pt idx="323">
                  <c:v>5.3125910867578897E-5</c:v>
                </c:pt>
                <c:pt idx="324">
                  <c:v>5.3120088688928698E-5</c:v>
                </c:pt>
                <c:pt idx="325">
                  <c:v>5.3114790825510099E-5</c:v>
                </c:pt>
                <c:pt idx="326">
                  <c:v>5.3110043156100497E-5</c:v>
                </c:pt>
                <c:pt idx="327">
                  <c:v>5.3105881661351301E-5</c:v>
                </c:pt>
                <c:pt idx="328">
                  <c:v>5.3102377056565997E-5</c:v>
                </c:pt>
                <c:pt idx="329">
                  <c:v>5.3099554953427898E-5</c:v>
                </c:pt>
                <c:pt idx="330">
                  <c:v>5.3097461490111503E-5</c:v>
                </c:pt>
                <c:pt idx="331">
                  <c:v>5.3096149012903499E-5</c:v>
                </c:pt>
                <c:pt idx="332">
                  <c:v>5.3095657682885202E-5</c:v>
                </c:pt>
                <c:pt idx="333">
                  <c:v>5.3096015469849198E-5</c:v>
                </c:pt>
                <c:pt idx="334">
                  <c:v>5.3097295620207902E-5</c:v>
                </c:pt>
                <c:pt idx="335">
                  <c:v>5.30995148927525E-5</c:v>
                </c:pt>
                <c:pt idx="336">
                  <c:v>5.3102738909944598E-5</c:v>
                </c:pt>
                <c:pt idx="337">
                  <c:v>5.31070066008299E-5</c:v>
                </c:pt>
                <c:pt idx="338">
                  <c:v>5.3112363053669202E-5</c:v>
                </c:pt>
                <c:pt idx="339">
                  <c:v>5.3118852909449402E-5</c:v>
                </c:pt>
                <c:pt idx="340">
                  <c:v>5.3126518897591303E-5</c:v>
                </c:pt>
                <c:pt idx="341">
                  <c:v>5.3135409970359099E-5</c:v>
                </c:pt>
                <c:pt idx="342">
                  <c:v>5.3145568009260497E-5</c:v>
                </c:pt>
                <c:pt idx="343">
                  <c:v>5.3157030502830201E-5</c:v>
                </c:pt>
                <c:pt idx="344">
                  <c:v>5.3169845109084003E-5</c:v>
                </c:pt>
                <c:pt idx="345">
                  <c:v>5.3184055082864598E-5</c:v>
                </c:pt>
                <c:pt idx="346">
                  <c:v>5.3199702196611801E-5</c:v>
                </c:pt>
                <c:pt idx="347">
                  <c:v>5.3216830080086603E-5</c:v>
                </c:pt>
                <c:pt idx="348">
                  <c:v>5.3235486795244401E-5</c:v>
                </c:pt>
                <c:pt idx="349">
                  <c:v>5.3255720146189403E-5</c:v>
                </c:pt>
                <c:pt idx="350">
                  <c:v>5.32775822272839E-5</c:v>
                </c:pt>
                <c:pt idx="351">
                  <c:v>5.3301127874056101E-5</c:v>
                </c:pt>
                <c:pt idx="352">
                  <c:v>5.3326417226427199E-5</c:v>
                </c:pt>
                <c:pt idx="353">
                  <c:v>5.3353515125896897E-5</c:v>
                </c:pt>
                <c:pt idx="354">
                  <c:v>5.3382492180913401E-5</c:v>
                </c:pt>
                <c:pt idx="355">
                  <c:v>5.3413425149350097E-5</c:v>
                </c:pt>
                <c:pt idx="356">
                  <c:v>5.3446397470680497E-5</c:v>
                </c:pt>
                <c:pt idx="357">
                  <c:v>5.3510901397285502E-5</c:v>
                </c:pt>
                <c:pt idx="358">
                  <c:v>6.3100903563114794E-5</c:v>
                </c:pt>
                <c:pt idx="359">
                  <c:v>6.4242244231035704E-5</c:v>
                </c:pt>
                <c:pt idx="360">
                  <c:v>6.40469651458395E-5</c:v>
                </c:pt>
                <c:pt idx="361">
                  <c:v>6.3978214994953199E-5</c:v>
                </c:pt>
                <c:pt idx="362">
                  <c:v>6.4007692835464807E-5</c:v>
                </c:pt>
                <c:pt idx="363">
                  <c:v>6.4016758749151106E-5</c:v>
                </c:pt>
                <c:pt idx="364">
                  <c:v>6.4066197939474605E-5</c:v>
                </c:pt>
                <c:pt idx="365">
                  <c:v>6.6810977700622494E-5</c:v>
                </c:pt>
                <c:pt idx="366">
                  <c:v>6.6810977700622494E-5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DFE-49BC-B1F1-19675E8EE163}"/>
            </c:ext>
          </c:extLst>
        </c:ser>
        <c:ser>
          <c:idx val="7"/>
          <c:order val="7"/>
          <c:tx>
            <c:strRef>
              <c:f>Implicit_Fracs!$BS$1</c:f>
              <c:strCache>
                <c:ptCount val="1"/>
                <c:pt idx="0">
                  <c:v>MF Porosity: Barton-Bandis aperture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Implicit_Fracs!$C$5:$C$371</c:f>
              <c:numCache>
                <c:formatCode>General</c:formatCode>
                <c:ptCount val="367"/>
                <c:pt idx="0">
                  <c:v>0.10158646265419501</c:v>
                </c:pt>
                <c:pt idx="1">
                  <c:v>0.102060105178604</c:v>
                </c:pt>
                <c:pt idx="2">
                  <c:v>0.102354758409441</c:v>
                </c:pt>
                <c:pt idx="3">
                  <c:v>0.10257003610151801</c:v>
                </c:pt>
                <c:pt idx="4">
                  <c:v>0.102740146597483</c:v>
                </c:pt>
                <c:pt idx="5">
                  <c:v>0.10288102093448701</c:v>
                </c:pt>
                <c:pt idx="6">
                  <c:v>0.10300139565401099</c:v>
                </c:pt>
                <c:pt idx="7">
                  <c:v>0.10310658737638601</c:v>
                </c:pt>
                <c:pt idx="8">
                  <c:v>0.103200075337502</c:v>
                </c:pt>
                <c:pt idx="9">
                  <c:v>0.103284262204</c:v>
                </c:pt>
                <c:pt idx="10">
                  <c:v>0.103360877526633</c:v>
                </c:pt>
                <c:pt idx="11">
                  <c:v>0.103431208153653</c:v>
                </c:pt>
                <c:pt idx="12">
                  <c:v>0.103496237708407</c:v>
                </c:pt>
                <c:pt idx="13">
                  <c:v>0.103556735084609</c:v>
                </c:pt>
                <c:pt idx="14">
                  <c:v>0.103613312816801</c:v>
                </c:pt>
                <c:pt idx="15">
                  <c:v>0.103666466857375</c:v>
                </c:pt>
                <c:pt idx="16">
                  <c:v>0.10371660444741999</c:v>
                </c:pt>
                <c:pt idx="17">
                  <c:v>0.10376406411969299</c:v>
                </c:pt>
                <c:pt idx="18">
                  <c:v>0.10380913035858701</c:v>
                </c:pt>
                <c:pt idx="19">
                  <c:v>0.103852044544123</c:v>
                </c:pt>
                <c:pt idx="20">
                  <c:v>0.103893013256558</c:v>
                </c:pt>
                <c:pt idx="21">
                  <c:v>0.103932214670875</c:v>
                </c:pt>
                <c:pt idx="22">
                  <c:v>0.10396980354554</c:v>
                </c:pt>
                <c:pt idx="23">
                  <c:v>0.104005915161023</c:v>
                </c:pt>
                <c:pt idx="24">
                  <c:v>0.10404066846285701</c:v>
                </c:pt>
                <c:pt idx="25">
                  <c:v>0.104074168594671</c:v>
                </c:pt>
                <c:pt idx="26">
                  <c:v>0.10410650895807599</c:v>
                </c:pt>
                <c:pt idx="27">
                  <c:v>0.10413777290170501</c:v>
                </c:pt>
                <c:pt idx="28">
                  <c:v>0.104168035116796</c:v>
                </c:pt>
                <c:pt idx="29">
                  <c:v>0.104197362798492</c:v>
                </c:pt>
                <c:pt idx="30">
                  <c:v>0.104225816618547</c:v>
                </c:pt>
                <c:pt idx="31">
                  <c:v>0.104253451545067</c:v>
                </c:pt>
                <c:pt idx="32">
                  <c:v>0.104280317537286</c:v>
                </c:pt>
                <c:pt idx="33">
                  <c:v>0.10430646013757899</c:v>
                </c:pt>
                <c:pt idx="34">
                  <c:v>0.10433192097843901</c:v>
                </c:pt>
                <c:pt idx="35">
                  <c:v>0.104356738218675</c:v>
                </c:pt>
                <c:pt idx="36">
                  <c:v>0.10438094692038</c:v>
                </c:pt>
                <c:pt idx="37">
                  <c:v>0.104404579376061</c:v>
                </c:pt>
                <c:pt idx="38">
                  <c:v>0.10442766539470601</c:v>
                </c:pt>
                <c:pt idx="39">
                  <c:v>0.104450232550895</c:v>
                </c:pt>
                <c:pt idx="40">
                  <c:v>0.104472306403378</c:v>
                </c:pt>
                <c:pt idx="41">
                  <c:v>0.104493910687546</c:v>
                </c:pt>
                <c:pt idx="42">
                  <c:v>0.104515067485448</c:v>
                </c:pt>
                <c:pt idx="43">
                  <c:v>0.104535797376425</c:v>
                </c:pt>
                <c:pt idx="44">
                  <c:v>0.104556119570968</c:v>
                </c:pt>
                <c:pt idx="45">
                  <c:v>0.10457605202998201</c:v>
                </c:pt>
                <c:pt idx="46">
                  <c:v>0.10459561157132601</c:v>
                </c:pt>
                <c:pt idx="47">
                  <c:v>0.10461481396524</c:v>
                </c:pt>
                <c:pt idx="48">
                  <c:v>0.104633674020002</c:v>
                </c:pt>
                <c:pt idx="49">
                  <c:v>0.104652205659008</c:v>
                </c:pt>
                <c:pt idx="50">
                  <c:v>0.10467042199028</c:v>
                </c:pt>
                <c:pt idx="51">
                  <c:v>0.10468833536927501</c:v>
                </c:pt>
                <c:pt idx="52">
                  <c:v>0.104705957455764</c:v>
                </c:pt>
                <c:pt idx="53">
                  <c:v>0.104723299265432</c:v>
                </c:pt>
                <c:pt idx="54">
                  <c:v>0.10474037121678501</c:v>
                </c:pt>
                <c:pt idx="55">
                  <c:v>0.104757183173858</c:v>
                </c:pt>
                <c:pt idx="56">
                  <c:v>0.10477374448518</c:v>
                </c:pt>
                <c:pt idx="57">
                  <c:v>0.104790064019366</c:v>
                </c:pt>
                <c:pt idx="58">
                  <c:v>0.10480615019770299</c:v>
                </c:pt>
                <c:pt idx="59">
                  <c:v>0.104822011024007</c:v>
                </c:pt>
                <c:pt idx="60">
                  <c:v>0.10483765411203801</c:v>
                </c:pt>
                <c:pt idx="61">
                  <c:v>0.104853086710699</c:v>
                </c:pt>
                <c:pt idx="62">
                  <c:v>0.10486831572724099</c:v>
                </c:pt>
                <c:pt idx="63">
                  <c:v>0.104883347748643</c:v>
                </c:pt>
                <c:pt idx="64">
                  <c:v>0.104898189061358</c:v>
                </c:pt>
                <c:pt idx="65">
                  <c:v>0.104912845669559</c:v>
                </c:pt>
                <c:pt idx="66">
                  <c:v>0.10492732331202199</c:v>
                </c:pt>
                <c:pt idx="67">
                  <c:v>0.10494162747777</c:v>
                </c:pt>
                <c:pt idx="68">
                  <c:v>0.10495576342058401</c:v>
                </c:pt>
                <c:pt idx="69">
                  <c:v>0.104969736172476</c:v>
                </c:pt>
                <c:pt idx="70">
                  <c:v>0.104983550556215</c:v>
                </c:pt>
                <c:pt idx="71">
                  <c:v>0.104997211196988</c:v>
                </c:pt>
                <c:pt idx="72">
                  <c:v>0.105010722533251</c:v>
                </c:pt>
                <c:pt idx="73">
                  <c:v>0.10502408882686499</c:v>
                </c:pt>
                <c:pt idx="74">
                  <c:v>0.105037314172539</c:v>
                </c:pt>
                <c:pt idx="75">
                  <c:v>0.10505040250667</c:v>
                </c:pt>
                <c:pt idx="76">
                  <c:v>0.105063357615594</c:v>
                </c:pt>
                <c:pt idx="77">
                  <c:v>0.105076183143323</c:v>
                </c:pt>
                <c:pt idx="78">
                  <c:v>0.10508888259878001</c:v>
                </c:pt>
                <c:pt idx="79">
                  <c:v>0.105101459362598</c:v>
                </c:pt>
                <c:pt idx="80">
                  <c:v>0.10511391669348399</c:v>
                </c:pt>
                <c:pt idx="81">
                  <c:v>0.10512625773421</c:v>
                </c:pt>
                <c:pt idx="82">
                  <c:v>0.10513848551723599</c:v>
                </c:pt>
                <c:pt idx="83">
                  <c:v>0.10515060297000201</c:v>
                </c:pt>
                <c:pt idx="84">
                  <c:v>0.105162612919908</c:v>
                </c:pt>
                <c:pt idx="85">
                  <c:v>0.105174518099013</c:v>
                </c:pt>
                <c:pt idx="86">
                  <c:v>0.105186321148453</c:v>
                </c:pt>
                <c:pt idx="87">
                  <c:v>0.105198024622616</c:v>
                </c:pt>
                <c:pt idx="88">
                  <c:v>0.105209630993088</c:v>
                </c:pt>
                <c:pt idx="89">
                  <c:v>0.10522114265237301</c:v>
                </c:pt>
                <c:pt idx="90">
                  <c:v>0.105232561917411</c:v>
                </c:pt>
                <c:pt idx="91">
                  <c:v>0.105243891032912</c:v>
                </c:pt>
                <c:pt idx="92">
                  <c:v>0.105255132174505</c:v>
                </c:pt>
                <c:pt idx="93">
                  <c:v>0.10526628745172401</c:v>
                </c:pt>
                <c:pt idx="94">
                  <c:v>0.105277358910841</c:v>
                </c:pt>
                <c:pt idx="95">
                  <c:v>0.105288348537545</c:v>
                </c:pt>
                <c:pt idx="96">
                  <c:v>0.10529925825949001</c:v>
                </c:pt>
                <c:pt idx="97">
                  <c:v>0.105310089948715</c:v>
                </c:pt>
                <c:pt idx="98">
                  <c:v>0.10532084542394</c:v>
                </c:pt>
                <c:pt idx="99">
                  <c:v>0.105331526452749</c:v>
                </c:pt>
                <c:pt idx="100">
                  <c:v>0.10534213475366599</c:v>
                </c:pt>
                <c:pt idx="101">
                  <c:v>0.105352671998135</c:v>
                </c:pt>
                <c:pt idx="102">
                  <c:v>0.105363139812398</c:v>
                </c:pt>
                <c:pt idx="103">
                  <c:v>0.10537353977929</c:v>
                </c:pt>
                <c:pt idx="104">
                  <c:v>0.105383873439947</c:v>
                </c:pt>
                <c:pt idx="105">
                  <c:v>0.105394142295438</c:v>
                </c:pt>
                <c:pt idx="106">
                  <c:v>0.10540434780831399</c:v>
                </c:pt>
                <c:pt idx="107">
                  <c:v>0.1054144914041</c:v>
                </c:pt>
                <c:pt idx="108">
                  <c:v>0.105424574472708</c:v>
                </c:pt>
                <c:pt idx="109">
                  <c:v>0.10543459836979301</c:v>
                </c:pt>
                <c:pt idx="110">
                  <c:v>0.105444564418049</c:v>
                </c:pt>
                <c:pt idx="111">
                  <c:v>0.105454473908448</c:v>
                </c:pt>
                <c:pt idx="112">
                  <c:v>0.105464328101426</c:v>
                </c:pt>
                <c:pt idx="113">
                  <c:v>0.10547412822802001</c:v>
                </c:pt>
                <c:pt idx="114">
                  <c:v>0.10548387549095201</c:v>
                </c:pt>
                <c:pt idx="115">
                  <c:v>0.105493571065675</c:v>
                </c:pt>
                <c:pt idx="116">
                  <c:v>0.105503216101374</c:v>
                </c:pt>
                <c:pt idx="117">
                  <c:v>0.10551281172191999</c:v>
                </c:pt>
                <c:pt idx="118">
                  <c:v>0.10552235902679701</c:v>
                </c:pt>
                <c:pt idx="119">
                  <c:v>0.105531859091982</c:v>
                </c:pt>
                <c:pt idx="120">
                  <c:v>0.105541312970793</c:v>
                </c:pt>
                <c:pt idx="121">
                  <c:v>0.105550721694713</c:v>
                </c:pt>
                <c:pt idx="122">
                  <c:v>0.10556008627416701</c:v>
                </c:pt>
                <c:pt idx="123">
                  <c:v>0.105569407699282</c:v>
                </c:pt>
                <c:pt idx="124">
                  <c:v>0.105578686940613</c:v>
                </c:pt>
                <c:pt idx="125">
                  <c:v>0.10558792494984499</c:v>
                </c:pt>
                <c:pt idx="126">
                  <c:v>0.105597122660464</c:v>
                </c:pt>
                <c:pt idx="127">
                  <c:v>0.105606280988415</c:v>
                </c:pt>
                <c:pt idx="128">
                  <c:v>0.105615400832723</c:v>
                </c:pt>
                <c:pt idx="129">
                  <c:v>0.10562448307610101</c:v>
                </c:pt>
                <c:pt idx="130">
                  <c:v>0.105633528585537</c:v>
                </c:pt>
                <c:pt idx="131">
                  <c:v>0.105642538212856</c:v>
                </c:pt>
                <c:pt idx="132">
                  <c:v>0.10565151279527001</c:v>
                </c:pt>
                <c:pt idx="133">
                  <c:v>0.105660453155901</c:v>
                </c:pt>
                <c:pt idx="134">
                  <c:v>0.1056693601043</c:v>
                </c:pt>
                <c:pt idx="135">
                  <c:v>0.105678234436935</c:v>
                </c:pt>
                <c:pt idx="136">
                  <c:v>0.105687076937673</c:v>
                </c:pt>
                <c:pt idx="137">
                  <c:v>0.10569588837824601</c:v>
                </c:pt>
                <c:pt idx="138">
                  <c:v>0.105704669518702</c:v>
                </c:pt>
                <c:pt idx="139">
                  <c:v>0.105713421107842</c:v>
                </c:pt>
                <c:pt idx="140">
                  <c:v>0.105722143883642</c:v>
                </c:pt>
                <c:pt idx="141">
                  <c:v>0.10573083857367301</c:v>
                </c:pt>
                <c:pt idx="142">
                  <c:v>0.10573950589549699</c:v>
                </c:pt>
                <c:pt idx="143">
                  <c:v>0.105748146557059</c:v>
                </c:pt>
                <c:pt idx="144">
                  <c:v>0.105756761257069</c:v>
                </c:pt>
                <c:pt idx="145">
                  <c:v>0.105765350685371</c:v>
                </c:pt>
                <c:pt idx="146">
                  <c:v>0.10577391552330601</c:v>
                </c:pt>
                <c:pt idx="147">
                  <c:v>0.105782456444064</c:v>
                </c:pt>
                <c:pt idx="148">
                  <c:v>0.105790974113029</c:v>
                </c:pt>
                <c:pt idx="149">
                  <c:v>0.105799469188117</c:v>
                </c:pt>
                <c:pt idx="150">
                  <c:v>0.105807942320102</c:v>
                </c:pt>
                <c:pt idx="151">
                  <c:v>0.105816394152941</c:v>
                </c:pt>
                <c:pt idx="152">
                  <c:v>0.10582482532409</c:v>
                </c:pt>
                <c:pt idx="153">
                  <c:v>0.10583323646481201</c:v>
                </c:pt>
                <c:pt idx="154">
                  <c:v>0.105841628200482</c:v>
                </c:pt>
                <c:pt idx="155">
                  <c:v>0.105850001150887</c:v>
                </c:pt>
                <c:pt idx="156">
                  <c:v>0.105858355930516</c:v>
                </c:pt>
                <c:pt idx="157">
                  <c:v>0.105866693148851</c:v>
                </c:pt>
                <c:pt idx="158">
                  <c:v>0.105875013410654</c:v>
                </c:pt>
                <c:pt idx="159">
                  <c:v>0.10588331731624</c:v>
                </c:pt>
                <c:pt idx="160">
                  <c:v>0.105891605461765</c:v>
                </c:pt>
                <c:pt idx="161">
                  <c:v>0.10589987843948701</c:v>
                </c:pt>
                <c:pt idx="162">
                  <c:v>0.10590813683804701</c:v>
                </c:pt>
                <c:pt idx="163">
                  <c:v>0.10591638124273201</c:v>
                </c:pt>
                <c:pt idx="164">
                  <c:v>0.105924612235738</c:v>
                </c:pt>
                <c:pt idx="165">
                  <c:v>0.10593283039644</c:v>
                </c:pt>
                <c:pt idx="166">
                  <c:v>0.105941036301648</c:v>
                </c:pt>
                <c:pt idx="167">
                  <c:v>0.10594923052586901</c:v>
                </c:pt>
                <c:pt idx="168">
                  <c:v>0.105957413641566</c:v>
                </c:pt>
                <c:pt idx="169">
                  <c:v>0.105965586219415</c:v>
                </c:pt>
                <c:pt idx="170">
                  <c:v>0.105973748828566</c:v>
                </c:pt>
                <c:pt idx="171">
                  <c:v>0.10598190203689301</c:v>
                </c:pt>
                <c:pt idx="172">
                  <c:v>0.105990046411258</c:v>
                </c:pt>
                <c:pt idx="173">
                  <c:v>0.10599818251776701</c:v>
                </c:pt>
                <c:pt idx="174">
                  <c:v>0.106006310922025</c:v>
                </c:pt>
                <c:pt idx="175">
                  <c:v>0.106014432189397</c:v>
                </c:pt>
                <c:pt idx="176">
                  <c:v>0.106022546885271</c:v>
                </c:pt>
                <c:pt idx="177">
                  <c:v>0.10603065557531401</c:v>
                </c:pt>
                <c:pt idx="178">
                  <c:v>0.10603875882574</c:v>
                </c:pt>
                <c:pt idx="179">
                  <c:v>0.106046857203577</c:v>
                </c:pt>
                <c:pt idx="180">
                  <c:v>0.106054951276932</c:v>
                </c:pt>
                <c:pt idx="181">
                  <c:v>0.106063041615263</c:v>
                </c:pt>
                <c:pt idx="182">
                  <c:v>0.10607112878965499</c:v>
                </c:pt>
                <c:pt idx="183">
                  <c:v>0.106079213373101</c:v>
                </c:pt>
                <c:pt idx="184">
                  <c:v>0.106087295940776</c:v>
                </c:pt>
                <c:pt idx="185">
                  <c:v>0.10609537707033299</c:v>
                </c:pt>
                <c:pt idx="186">
                  <c:v>0.106103457342189</c:v>
                </c:pt>
                <c:pt idx="187">
                  <c:v>0.106111537339822</c:v>
                </c:pt>
                <c:pt idx="188">
                  <c:v>0.10611961765007601</c:v>
                </c:pt>
                <c:pt idx="189">
                  <c:v>0.106127698863465</c:v>
                </c:pt>
                <c:pt idx="190">
                  <c:v>0.10613578157449099</c:v>
                </c:pt>
                <c:pt idx="191">
                  <c:v>0.106143866381966</c:v>
                </c:pt>
                <c:pt idx="192">
                  <c:v>0.10615195388934</c:v>
                </c:pt>
                <c:pt idx="193">
                  <c:v>0.106160044705038</c:v>
                </c:pt>
                <c:pt idx="194">
                  <c:v>0.106168139442805</c:v>
                </c:pt>
                <c:pt idx="195">
                  <c:v>0.106176238722063</c:v>
                </c:pt>
                <c:pt idx="196">
                  <c:v>0.106184343168276</c:v>
                </c:pt>
                <c:pt idx="197">
                  <c:v>0.10619245341332301</c:v>
                </c:pt>
                <c:pt idx="198">
                  <c:v>0.106200570095885</c:v>
                </c:pt>
                <c:pt idx="199">
                  <c:v>0.10620869386184199</c:v>
                </c:pt>
                <c:pt idx="200">
                  <c:v>0.10621682536468401</c:v>
                </c:pt>
                <c:pt idx="201">
                  <c:v>0.106224965265935</c:v>
                </c:pt>
                <c:pt idx="202">
                  <c:v>0.106233114235588</c:v>
                </c:pt>
                <c:pt idx="203">
                  <c:v>0.10624127295256</c:v>
                </c:pt>
                <c:pt idx="204">
                  <c:v>0.10624944210515699</c:v>
                </c:pt>
                <c:pt idx="205">
                  <c:v>0.106257622391562</c:v>
                </c:pt>
                <c:pt idx="206">
                  <c:v>0.106265814520335</c:v>
                </c:pt>
                <c:pt idx="207">
                  <c:v>0.106274019210935</c:v>
                </c:pt>
                <c:pt idx="208">
                  <c:v>0.10628223719426</c:v>
                </c:pt>
                <c:pt idx="209">
                  <c:v>0.106290469213214</c:v>
                </c:pt>
                <c:pt idx="210">
                  <c:v>0.106298716023284</c:v>
                </c:pt>
                <c:pt idx="211">
                  <c:v>0.106306978393155</c:v>
                </c:pt>
                <c:pt idx="212">
                  <c:v>0.106315257105341</c:v>
                </c:pt>
                <c:pt idx="213">
                  <c:v>0.10632355295684801</c:v>
                </c:pt>
                <c:pt idx="214">
                  <c:v>0.10633186675985799</c:v>
                </c:pt>
                <c:pt idx="215">
                  <c:v>0.10634019934245301</c:v>
                </c:pt>
                <c:pt idx="216">
                  <c:v>0.106348551549366</c:v>
                </c:pt>
                <c:pt idx="217">
                  <c:v>0.106356924242761</c:v>
                </c:pt>
                <c:pt idx="218">
                  <c:v>0.10636531830306099</c:v>
                </c:pt>
                <c:pt idx="219">
                  <c:v>0.106373734629807</c:v>
                </c:pt>
                <c:pt idx="220">
                  <c:v>0.10638217414255299</c:v>
                </c:pt>
                <c:pt idx="221">
                  <c:v>0.106390637781818</c:v>
                </c:pt>
                <c:pt idx="222">
                  <c:v>0.10639912651007299</c:v>
                </c:pt>
                <c:pt idx="223">
                  <c:v>0.10640764131277999</c:v>
                </c:pt>
                <c:pt idx="224">
                  <c:v>0.10641618319948901</c:v>
                </c:pt>
                <c:pt idx="225">
                  <c:v>0.106424753204983</c:v>
                </c:pt>
                <c:pt idx="226">
                  <c:v>0.10643335239049</c:v>
                </c:pt>
                <c:pt idx="227">
                  <c:v>0.106441981844954</c:v>
                </c:pt>
                <c:pt idx="228">
                  <c:v>0.106450642686375</c:v>
                </c:pt>
                <c:pt idx="229">
                  <c:v>0.10645933606322799</c:v>
                </c:pt>
                <c:pt idx="230">
                  <c:v>0.10646806315594901</c:v>
                </c:pt>
                <c:pt idx="231">
                  <c:v>0.106476825178516</c:v>
                </c:pt>
                <c:pt idx="232">
                  <c:v>0.10648562338011</c:v>
                </c:pt>
                <c:pt idx="233">
                  <c:v>0.106494459046881</c:v>
                </c:pt>
                <c:pt idx="234">
                  <c:v>0.106503333503809</c:v>
                </c:pt>
                <c:pt idx="235">
                  <c:v>0.10651224811667701</c:v>
                </c:pt>
                <c:pt idx="236">
                  <c:v>0.106521204294171</c:v>
                </c:pt>
                <c:pt idx="237">
                  <c:v>0.106530203490093</c:v>
                </c:pt>
                <c:pt idx="238">
                  <c:v>0.10653924720572699</c:v>
                </c:pt>
                <c:pt idx="239">
                  <c:v>0.106548336992338</c:v>
                </c:pt>
                <c:pt idx="240">
                  <c:v>0.106557474453844</c:v>
                </c:pt>
                <c:pt idx="241">
                  <c:v>0.106566661249652</c:v>
                </c:pt>
                <c:pt idx="242">
                  <c:v>0.10657589909767901</c:v>
                </c:pt>
                <c:pt idx="243">
                  <c:v>0.10658518977758299</c:v>
                </c:pt>
                <c:pt idx="244">
                  <c:v>0.106594535134197</c:v>
                </c:pt>
                <c:pt idx="245">
                  <c:v>0.106603937081217</c:v>
                </c:pt>
                <c:pt idx="246">
                  <c:v>0.106613397605125</c:v>
                </c:pt>
                <c:pt idx="247">
                  <c:v>0.10662291876941001</c:v>
                </c:pt>
                <c:pt idx="248">
                  <c:v>0.106632502719071</c:v>
                </c:pt>
                <c:pt idx="249">
                  <c:v>0.10664215168546599</c:v>
                </c:pt>
                <c:pt idx="250">
                  <c:v>0.106651867991505</c:v>
                </c:pt>
                <c:pt idx="251">
                  <c:v>0.106661654057239</c:v>
                </c:pt>
                <c:pt idx="252">
                  <c:v>0.106671512405876</c:v>
                </c:pt>
                <c:pt idx="253">
                  <c:v>0.106681445670259</c:v>
                </c:pt>
                <c:pt idx="254">
                  <c:v>0.106691456599855</c:v>
                </c:pt>
                <c:pt idx="255">
                  <c:v>0.10670154806830701</c:v>
                </c:pt>
                <c:pt idx="256">
                  <c:v>0.106711723081597</c:v>
                </c:pt>
                <c:pt idx="257">
                  <c:v>0.106721984786882</c:v>
                </c:pt>
                <c:pt idx="258">
                  <c:v>0.106732336482082</c:v>
                </c:pt>
                <c:pt idx="259">
                  <c:v>0.10674278162628199</c:v>
                </c:pt>
                <c:pt idx="260">
                  <c:v>0.106753323851043</c:v>
                </c:pt>
                <c:pt idx="261">
                  <c:v>0.106763966972719</c:v>
                </c:pt>
                <c:pt idx="262">
                  <c:v>0.10677471500588499</c:v>
                </c:pt>
                <c:pt idx="263">
                  <c:v>0.10678557217800599</c:v>
                </c:pt>
                <c:pt idx="264">
                  <c:v>0.106796542945475</c:v>
                </c:pt>
                <c:pt idx="265">
                  <c:v>0.10680763201119001</c:v>
                </c:pt>
                <c:pt idx="266">
                  <c:v>0.106818844343851</c:v>
                </c:pt>
                <c:pt idx="267">
                  <c:v>0.106830185199162</c:v>
                </c:pt>
                <c:pt idx="268">
                  <c:v>0.1068416601432</c:v>
                </c:pt>
                <c:pt idx="269">
                  <c:v>0.106853275078199</c:v>
                </c:pt>
                <c:pt idx="270">
                  <c:v>0.10686503627105901</c:v>
                </c:pt>
                <c:pt idx="271">
                  <c:v>0.106876950384948</c:v>
                </c:pt>
                <c:pt idx="272">
                  <c:v>0.10688902451438199</c:v>
                </c:pt>
                <c:pt idx="273">
                  <c:v>0.106901266224276</c:v>
                </c:pt>
                <c:pt idx="274">
                  <c:v>0.106913683593506</c:v>
                </c:pt>
                <c:pt idx="275">
                  <c:v>0.106926285263621</c:v>
                </c:pt>
                <c:pt idx="276">
                  <c:v>0.106939080493455</c:v>
                </c:pt>
                <c:pt idx="277">
                  <c:v>0.10695207922051</c:v>
                </c:pt>
                <c:pt idx="278">
                  <c:v>0.10696529213014599</c:v>
                </c:pt>
                <c:pt idx="279">
                  <c:v>0.106978730733797</c:v>
                </c:pt>
                <c:pt idx="280">
                  <c:v>0.106992407457646</c:v>
                </c:pt>
                <c:pt idx="281">
                  <c:v>0.107006335743491</c:v>
                </c:pt>
                <c:pt idx="282">
                  <c:v>0.10702053016384699</c:v>
                </c:pt>
                <c:pt idx="283">
                  <c:v>0.107035006553762</c:v>
                </c:pt>
                <c:pt idx="284">
                  <c:v>0.107049782162317</c:v>
                </c:pt>
                <c:pt idx="285">
                  <c:v>0.10706487582742701</c:v>
                </c:pt>
                <c:pt idx="286">
                  <c:v>0.107080308178348</c:v>
                </c:pt>
                <c:pt idx="287">
                  <c:v>0.10709610187127599</c:v>
                </c:pt>
                <c:pt idx="288">
                  <c:v>0.10711228186470099</c:v>
                </c:pt>
                <c:pt idx="289">
                  <c:v>0.107128875742745</c:v>
                </c:pt>
                <c:pt idx="290">
                  <c:v>0.107145914096787</c:v>
                </c:pt>
                <c:pt idx="291">
                  <c:v>0.10716343097827</c:v>
                </c:pt>
                <c:pt idx="292">
                  <c:v>0.10718146443905199</c:v>
                </c:pt>
                <c:pt idx="293">
                  <c:v>0.107200057180087</c:v>
                </c:pt>
                <c:pt idx="294">
                  <c:v>0.10721925733519</c:v>
                </c:pt>
                <c:pt idx="295">
                  <c:v>0.107239119424452</c:v>
                </c:pt>
                <c:pt idx="296">
                  <c:v>0.10725970552248799</c:v>
                </c:pt>
                <c:pt idx="297">
                  <c:v>0.107281086701057</c:v>
                </c:pt>
                <c:pt idx="298">
                  <c:v>0.10730334482520799</c:v>
                </c:pt>
                <c:pt idx="299">
                  <c:v>0.107326574809414</c:v>
                </c:pt>
                <c:pt idx="300">
                  <c:v>0.10735088747820599</c:v>
                </c:pt>
                <c:pt idx="301">
                  <c:v>0.10737641322982</c:v>
                </c:pt>
                <c:pt idx="302">
                  <c:v>0.107403306778537</c:v>
                </c:pt>
                <c:pt idx="303">
                  <c:v>0.10743175336319</c:v>
                </c:pt>
                <c:pt idx="304">
                  <c:v>0.107461976972791</c:v>
                </c:pt>
                <c:pt idx="305">
                  <c:v>0.107494251381856</c:v>
                </c:pt>
                <c:pt idx="306">
                  <c:v>0.107528915147976</c:v>
                </c:pt>
                <c:pt idx="307">
                  <c:v>0.107566392263413</c:v>
                </c:pt>
                <c:pt idx="308">
                  <c:v>0.10760722096054399</c:v>
                </c:pt>
                <c:pt idx="309">
                  <c:v>0.107652094373539</c:v>
                </c:pt>
                <c:pt idx="310">
                  <c:v>0.107701918517204</c:v>
                </c:pt>
                <c:pt idx="311">
                  <c:v>0.107757895545197</c:v>
                </c:pt>
                <c:pt idx="312">
                  <c:v>0.107821643761701</c:v>
                </c:pt>
                <c:pt idx="313">
                  <c:v>0.107895371464266</c:v>
                </c:pt>
                <c:pt idx="314">
                  <c:v>0.107982136054144</c:v>
                </c:pt>
                <c:pt idx="315">
                  <c:v>0.108086279484475</c:v>
                </c:pt>
                <c:pt idx="316">
                  <c:v>0.10821441051713999</c:v>
                </c:pt>
                <c:pt idx="317">
                  <c:v>0.108378611684964</c:v>
                </c:pt>
                <c:pt idx="318">
                  <c:v>0.10851279142848901</c:v>
                </c:pt>
                <c:pt idx="319">
                  <c:v>0.108646878508965</c:v>
                </c:pt>
                <c:pt idx="320">
                  <c:v>0.108781836007877</c:v>
                </c:pt>
                <c:pt idx="321">
                  <c:v>0.108917703938839</c:v>
                </c:pt>
                <c:pt idx="322">
                  <c:v>0.109054545173906</c:v>
                </c:pt>
                <c:pt idx="323">
                  <c:v>0.109192417872054</c:v>
                </c:pt>
                <c:pt idx="324">
                  <c:v>0.109331376964383</c:v>
                </c:pt>
                <c:pt idx="325">
                  <c:v>0.10947147454287399</c:v>
                </c:pt>
                <c:pt idx="326">
                  <c:v>0.109612760241196</c:v>
                </c:pt>
                <c:pt idx="327">
                  <c:v>0.10975528157779101</c:v>
                </c:pt>
                <c:pt idx="328">
                  <c:v>0.109899084266184</c:v>
                </c:pt>
                <c:pt idx="329">
                  <c:v>0.110044212495958</c:v>
                </c:pt>
                <c:pt idx="330">
                  <c:v>0.11019070918751001</c:v>
                </c:pt>
                <c:pt idx="331">
                  <c:v>0.11033861622334599</c:v>
                </c:pt>
                <c:pt idx="332">
                  <c:v>0.110487974658393</c:v>
                </c:pt>
                <c:pt idx="333">
                  <c:v>0.110638824911563</c:v>
                </c:pt>
                <c:pt idx="334">
                  <c:v>0.110791206940568</c:v>
                </c:pt>
                <c:pt idx="335">
                  <c:v>0.11094516040180299</c:v>
                </c:pt>
                <c:pt idx="336">
                  <c:v>0.11110072479692901</c:v>
                </c:pt>
                <c:pt idx="337">
                  <c:v>0.111257939607629</c:v>
                </c:pt>
                <c:pt idx="338">
                  <c:v>0.111416844419904</c:v>
                </c:pt>
                <c:pt idx="339">
                  <c:v>0.111577479039088</c:v>
                </c:pt>
                <c:pt idx="340">
                  <c:v>0.111739883596728</c:v>
                </c:pt>
                <c:pt idx="341">
                  <c:v>0.111904098650297</c:v>
                </c:pt>
                <c:pt idx="342">
                  <c:v>0.11207016527668</c:v>
                </c:pt>
                <c:pt idx="343">
                  <c:v>0.112238125160255</c:v>
                </c:pt>
                <c:pt idx="344">
                  <c:v>0.11240802067632299</c:v>
                </c:pt>
                <c:pt idx="345">
                  <c:v>0.11257989497059701</c:v>
                </c:pt>
                <c:pt idx="346">
                  <c:v>0.112753792035371</c:v>
                </c:pt>
                <c:pt idx="347">
                  <c:v>0.112929756782956</c:v>
                </c:pt>
                <c:pt idx="348">
                  <c:v>0.113107835116922</c:v>
                </c:pt>
                <c:pt idx="349">
                  <c:v>0.113288074001635</c:v>
                </c:pt>
                <c:pt idx="350">
                  <c:v>0.113470521530551</c:v>
                </c:pt>
                <c:pt idx="351">
                  <c:v>0.113655226993682</c:v>
                </c:pt>
                <c:pt idx="352">
                  <c:v>0.113842240944644</c:v>
                </c:pt>
                <c:pt idx="353">
                  <c:v>0.114031615267637</c:v>
                </c:pt>
                <c:pt idx="354">
                  <c:v>0.11422340324472501</c:v>
                </c:pt>
                <c:pt idx="355">
                  <c:v>0.11441765962373</c:v>
                </c:pt>
                <c:pt idx="356">
                  <c:v>0.114614440687063</c:v>
                </c:pt>
                <c:pt idx="357">
                  <c:v>0.114813804321789</c:v>
                </c:pt>
                <c:pt idx="358">
                  <c:v>0.22425676384167301</c:v>
                </c:pt>
                <c:pt idx="359">
                  <c:v>0.30704288935609397</c:v>
                </c:pt>
                <c:pt idx="360">
                  <c:v>0.30834090817871301</c:v>
                </c:pt>
                <c:pt idx="361">
                  <c:v>0.30921577139060102</c:v>
                </c:pt>
                <c:pt idx="362">
                  <c:v>0.31017471350345399</c:v>
                </c:pt>
                <c:pt idx="363">
                  <c:v>0.31131883897321</c:v>
                </c:pt>
                <c:pt idx="364">
                  <c:v>0.31289797505880901</c:v>
                </c:pt>
                <c:pt idx="365">
                  <c:v>0.51289797505880896</c:v>
                </c:pt>
                <c:pt idx="366">
                  <c:v>0.51289797505880896</c:v>
                </c:pt>
              </c:numCache>
            </c:numRef>
          </c:xVal>
          <c:yVal>
            <c:numRef>
              <c:f>Implicit_Fracs!$BS$5:$BS$371</c:f>
              <c:numCache>
                <c:formatCode>0.00E+00</c:formatCode>
                <c:ptCount val="367"/>
                <c:pt idx="0">
                  <c:v>6.9927885428032097E-7</c:v>
                </c:pt>
                <c:pt idx="1">
                  <c:v>1.3978339245768199E-6</c:v>
                </c:pt>
                <c:pt idx="2">
                  <c:v>2.0967150818714302E-6</c:v>
                </c:pt>
                <c:pt idx="3">
                  <c:v>2.7958025106485202E-6</c:v>
                </c:pt>
                <c:pt idx="4">
                  <c:v>3.4950430963843298E-6</c:v>
                </c:pt>
                <c:pt idx="5">
                  <c:v>4.1944059851337702E-6</c:v>
                </c:pt>
                <c:pt idx="6">
                  <c:v>4.8938707347706397E-6</c:v>
                </c:pt>
                <c:pt idx="7">
                  <c:v>5.5934227149763297E-6</c:v>
                </c:pt>
                <c:pt idx="8">
                  <c:v>6.2930509091531898E-6</c:v>
                </c:pt>
                <c:pt idx="9">
                  <c:v>6.9927467151425304E-6</c:v>
                </c:pt>
                <c:pt idx="10">
                  <c:v>7.6925032286179697E-6</c:v>
                </c:pt>
                <c:pt idx="11">
                  <c:v>8.3923147859236393E-6</c:v>
                </c:pt>
                <c:pt idx="12">
                  <c:v>9.0921766577414108E-6</c:v>
                </c:pt>
                <c:pt idx="13">
                  <c:v>9.7920848358169895E-6</c:v>
                </c:pt>
                <c:pt idx="14">
                  <c:v>1.04920358798305E-5</c:v>
                </c:pt>
                <c:pt idx="15">
                  <c:v>1.11920268046097E-5</c:v>
                </c:pt>
                <c:pt idx="16">
                  <c:v>1.18920549952467E-5</c:v>
                </c:pt>
                <c:pt idx="17">
                  <c:v>1.25921181420108E-5</c:v>
                </c:pt>
                <c:pt idx="18">
                  <c:v>1.32922141896246E-5</c:v>
                </c:pt>
                <c:pt idx="19">
                  <c:v>1.39923412971577E-5</c:v>
                </c:pt>
                <c:pt idx="20">
                  <c:v>1.46924978059087E-5</c:v>
                </c:pt>
                <c:pt idx="21">
                  <c:v>1.5392682213382998E-5</c:v>
                </c:pt>
                <c:pt idx="22">
                  <c:v>1.6092893151992301E-5</c:v>
                </c:pt>
                <c:pt idx="23">
                  <c:v>1.6793129371449199E-5</c:v>
                </c:pt>
                <c:pt idx="24">
                  <c:v>1.74933897240942E-5</c:v>
                </c:pt>
                <c:pt idx="25">
                  <c:v>1.8193673152566502E-5</c:v>
                </c:pt>
                <c:pt idx="26">
                  <c:v>1.8893978679370899E-5</c:v>
                </c:pt>
                <c:pt idx="27">
                  <c:v>1.9594305397989401E-5</c:v>
                </c:pt>
                <c:pt idx="28">
                  <c:v>2.0294652465261201E-5</c:v>
                </c:pt>
                <c:pt idx="29">
                  <c:v>2.0995019094815699E-5</c:v>
                </c:pt>
                <c:pt idx="30">
                  <c:v>2.16954045513763E-5</c:v>
                </c:pt>
                <c:pt idx="31">
                  <c:v>2.2395808145804001E-5</c:v>
                </c:pt>
                <c:pt idx="32">
                  <c:v>2.30962292307558E-5</c:v>
                </c:pt>
                <c:pt idx="33">
                  <c:v>2.37966671968738E-5</c:v>
                </c:pt>
                <c:pt idx="34">
                  <c:v>2.4497121469417E-5</c:v>
                </c:pt>
                <c:pt idx="35">
                  <c:v>2.51975915052822E-5</c:v>
                </c:pt>
                <c:pt idx="36">
                  <c:v>2.58980767903529E-5</c:v>
                </c:pt>
                <c:pt idx="37">
                  <c:v>2.65985768209122E-5</c:v>
                </c:pt>
                <c:pt idx="38">
                  <c:v>2.7299091117830201E-5</c:v>
                </c:pt>
                <c:pt idx="39">
                  <c:v>2.7999619225248E-5</c:v>
                </c:pt>
                <c:pt idx="40">
                  <c:v>2.8700160708781901E-5</c:v>
                </c:pt>
                <c:pt idx="41">
                  <c:v>2.9400715153904601E-5</c:v>
                </c:pt>
                <c:pt idx="42">
                  <c:v>3.0101282164482401E-5</c:v>
                </c:pt>
                <c:pt idx="43">
                  <c:v>3.08018613614492E-5</c:v>
                </c:pt>
                <c:pt idx="44">
                  <c:v>3.1502452381603997E-5</c:v>
                </c:pt>
                <c:pt idx="45">
                  <c:v>3.2203054876514699E-5</c:v>
                </c:pt>
                <c:pt idx="46">
                  <c:v>3.2903668511519599E-5</c:v>
                </c:pt>
                <c:pt idx="47">
                  <c:v>3.36042929648127E-5</c:v>
                </c:pt>
                <c:pt idx="48">
                  <c:v>3.4304927926606798E-5</c:v>
                </c:pt>
                <c:pt idx="49">
                  <c:v>3.5005573098363702E-5</c:v>
                </c:pt>
                <c:pt idx="50">
                  <c:v>3.57062281920892E-5</c:v>
                </c:pt>
                <c:pt idx="51">
                  <c:v>3.64068929296803E-5</c:v>
                </c:pt>
                <c:pt idx="52">
                  <c:v>3.7107567042325098E-5</c:v>
                </c:pt>
                <c:pt idx="53">
                  <c:v>3.7808250269944703E-5</c:v>
                </c:pt>
                <c:pt idx="54">
                  <c:v>3.8508942360681003E-5</c:v>
                </c:pt>
                <c:pt idx="55">
                  <c:v>3.9209643070417897E-5</c:v>
                </c:pt>
                <c:pt idx="56">
                  <c:v>3.9910352162336302E-5</c:v>
                </c:pt>
                <c:pt idx="57">
                  <c:v>4.0611069406503902E-5</c:v>
                </c:pt>
                <c:pt idx="58">
                  <c:v>4.1311794579487599E-5</c:v>
                </c:pt>
                <c:pt idx="59">
                  <c:v>4.2012527463998298E-5</c:v>
                </c:pt>
                <c:pt idx="60">
                  <c:v>4.2713267848551101E-5</c:v>
                </c:pt>
                <c:pt idx="61">
                  <c:v>4.3414015527155802E-5</c:v>
                </c:pt>
                <c:pt idx="62">
                  <c:v>4.4114770299021202E-5</c:v>
                </c:pt>
                <c:pt idx="63">
                  <c:v>4.4815531968278303E-5</c:v>
                </c:pt>
                <c:pt idx="64">
                  <c:v>4.5516300343724103E-5</c:v>
                </c:pt>
                <c:pt idx="65">
                  <c:v>4.62170752385753E-5</c:v>
                </c:pt>
                <c:pt idx="66">
                  <c:v>4.69178564702427E-5</c:v>
                </c:pt>
                <c:pt idx="67">
                  <c:v>4.7618643860111498E-5</c:v>
                </c:pt>
                <c:pt idx="68">
                  <c:v>4.8319437233339198E-5</c:v>
                </c:pt>
                <c:pt idx="69">
                  <c:v>4.9020236418665103E-5</c:v>
                </c:pt>
                <c:pt idx="70">
                  <c:v>4.9721041248224997E-5</c:v>
                </c:pt>
                <c:pt idx="71">
                  <c:v>5.04218515573816E-5</c:v>
                </c:pt>
                <c:pt idx="72">
                  <c:v>5.1122667184558498E-5</c:v>
                </c:pt>
                <c:pt idx="73">
                  <c:v>5.1823487971089197E-5</c:v>
                </c:pt>
                <c:pt idx="74">
                  <c:v>5.25243137610653E-5</c:v>
                </c:pt>
                <c:pt idx="75">
                  <c:v>5.3225144401200503E-5</c:v>
                </c:pt>
                <c:pt idx="76">
                  <c:v>5.3925979740694901E-5</c:v>
                </c:pt>
                <c:pt idx="77">
                  <c:v>5.4626819631110401E-5</c:v>
                </c:pt>
                <c:pt idx="78">
                  <c:v>5.5327663926248499E-5</c:v>
                </c:pt>
                <c:pt idx="79">
                  <c:v>5.6028512482034097E-5</c:v>
                </c:pt>
                <c:pt idx="80">
                  <c:v>5.6729365156405898E-5</c:v>
                </c:pt>
                <c:pt idx="81">
                  <c:v>5.7430221809211498E-5</c:v>
                </c:pt>
                <c:pt idx="82">
                  <c:v>5.8131082302105401E-5</c:v>
                </c:pt>
                <c:pt idx="83">
                  <c:v>5.8831946498450999E-5</c:v>
                </c:pt>
                <c:pt idx="84">
                  <c:v>5.9532814263231703E-5</c:v>
                </c:pt>
                <c:pt idx="85">
                  <c:v>6.0233685462955301E-5</c:v>
                </c:pt>
                <c:pt idx="86">
                  <c:v>6.0934559965573899E-5</c:v>
                </c:pt>
                <c:pt idx="87">
                  <c:v>6.1635437640397394E-5</c:v>
                </c:pt>
                <c:pt idx="88">
                  <c:v>6.2336318358015196E-5</c:v>
                </c:pt>
                <c:pt idx="89">
                  <c:v>6.3037201990220001E-5</c:v>
                </c:pt>
                <c:pt idx="90">
                  <c:v>6.3738088409931006E-5</c:v>
                </c:pt>
                <c:pt idx="91">
                  <c:v>6.44389774911239E-5</c:v>
                </c:pt>
                <c:pt idx="92">
                  <c:v>6.5139869108761603E-5</c:v>
                </c:pt>
                <c:pt idx="93">
                  <c:v>6.5840763138727497E-5</c:v>
                </c:pt>
                <c:pt idx="94">
                  <c:v>6.6541659457755193E-5</c:v>
                </c:pt>
                <c:pt idx="95">
                  <c:v>6.7242557943372606E-5</c:v>
                </c:pt>
                <c:pt idx="96">
                  <c:v>6.7943458473834794E-5</c:v>
                </c:pt>
                <c:pt idx="97">
                  <c:v>6.8644360928064795E-5</c:v>
                </c:pt>
                <c:pt idx="98">
                  <c:v>6.9345265185598301E-5</c:v>
                </c:pt>
                <c:pt idx="99">
                  <c:v>7.0046171126521495E-5</c:v>
                </c:pt>
                <c:pt idx="100">
                  <c:v>7.07470786314189E-5</c:v>
                </c:pt>
                <c:pt idx="101">
                  <c:v>7.1447987581317894E-5</c:v>
                </c:pt>
                <c:pt idx="102">
                  <c:v>7.2148897857636602E-5</c:v>
                </c:pt>
                <c:pt idx="103">
                  <c:v>7.2849809342129794E-5</c:v>
                </c:pt>
                <c:pt idx="104">
                  <c:v>7.3550721916836707E-5</c:v>
                </c:pt>
                <c:pt idx="105">
                  <c:v>7.4251635464035496E-5</c:v>
                </c:pt>
                <c:pt idx="106">
                  <c:v>7.4952549866185906E-5</c:v>
                </c:pt>
                <c:pt idx="107">
                  <c:v>7.5653465005889496E-5</c:v>
                </c:pt>
                <c:pt idx="108">
                  <c:v>7.6354380765832405E-5</c:v>
                </c:pt>
                <c:pt idx="109">
                  <c:v>7.7055297028748697E-5</c:v>
                </c:pt>
                <c:pt idx="110">
                  <c:v>7.7756213677360804E-5</c:v>
                </c:pt>
                <c:pt idx="111">
                  <c:v>7.8457130594342602E-5</c:v>
                </c:pt>
                <c:pt idx="112">
                  <c:v>7.9158047662271404E-5</c:v>
                </c:pt>
                <c:pt idx="113">
                  <c:v>7.9858964763579999E-5</c:v>
                </c:pt>
                <c:pt idx="114">
                  <c:v>8.0559881780514002E-5</c:v>
                </c:pt>
                <c:pt idx="115">
                  <c:v>8.1260798595083499E-5</c:v>
                </c:pt>
                <c:pt idx="116">
                  <c:v>8.1961715089023406E-5</c:v>
                </c:pt>
                <c:pt idx="117">
                  <c:v>8.2662631143745396E-5</c:v>
                </c:pt>
                <c:pt idx="118">
                  <c:v>8.3363546640293802E-5</c:v>
                </c:pt>
                <c:pt idx="119">
                  <c:v>8.4064461459301706E-5</c:v>
                </c:pt>
                <c:pt idx="120">
                  <c:v>8.4765375480945604E-5</c:v>
                </c:pt>
                <c:pt idx="121">
                  <c:v>8.5466288584904194E-5</c:v>
                </c:pt>
                <c:pt idx="122">
                  <c:v>8.6167200650310295E-5</c:v>
                </c:pt>
                <c:pt idx="123">
                  <c:v>8.6868111555709896E-5</c:v>
                </c:pt>
                <c:pt idx="124">
                  <c:v>8.7569021179013202E-5</c:v>
                </c:pt>
                <c:pt idx="125">
                  <c:v>8.8269929397452503E-5</c:v>
                </c:pt>
                <c:pt idx="126">
                  <c:v>8.8970836087538203E-5</c:v>
                </c:pt>
                <c:pt idx="127">
                  <c:v>8.9671741125009794E-5</c:v>
                </c:pt>
                <c:pt idx="128">
                  <c:v>9.0372644384793796E-5</c:v>
                </c:pt>
                <c:pt idx="129">
                  <c:v>9.1073545740955695E-5</c:v>
                </c:pt>
                <c:pt idx="130">
                  <c:v>9.1774445066652199E-5</c:v>
                </c:pt>
                <c:pt idx="131">
                  <c:v>9.2475342234084304E-5</c:v>
                </c:pt>
                <c:pt idx="132">
                  <c:v>9.3176237114455895E-5</c:v>
                </c:pt>
                <c:pt idx="133">
                  <c:v>9.3877129577916901E-5</c:v>
                </c:pt>
                <c:pt idx="134">
                  <c:v>9.4578019493517506E-5</c:v>
                </c:pt>
                <c:pt idx="135">
                  <c:v>9.5278906729162502E-5</c:v>
                </c:pt>
                <c:pt idx="136">
                  <c:v>9.5979791151556103E-5</c:v>
                </c:pt>
                <c:pt idx="137">
                  <c:v>9.6680672626152695E-5</c:v>
                </c:pt>
                <c:pt idx="138">
                  <c:v>9.7381551017105297E-5</c:v>
                </c:pt>
                <c:pt idx="139">
                  <c:v>9.8082426187214602E-5</c:v>
                </c:pt>
                <c:pt idx="140">
                  <c:v>9.8783297997872803E-5</c:v>
                </c:pt>
                <c:pt idx="141">
                  <c:v>9.9484166309009002E-5</c:v>
                </c:pt>
                <c:pt idx="142" formatCode="General">
                  <c:v>1.0018503097903699E-4</c:v>
                </c:pt>
                <c:pt idx="143" formatCode="General">
                  <c:v>1.00885891864793E-4</c:v>
                </c:pt>
                <c:pt idx="144" formatCode="General">
                  <c:v>1.0158674882148699E-4</c:v>
                </c:pt>
                <c:pt idx="145" formatCode="General">
                  <c:v>1.0228760170263201E-4</c:v>
                </c:pt>
                <c:pt idx="146" formatCode="General">
                  <c:v>1.02988450359993E-4</c:v>
                </c:pt>
                <c:pt idx="147" formatCode="General">
                  <c:v>1.03689294643521E-4</c:v>
                </c:pt>
                <c:pt idx="148" formatCode="General">
                  <c:v>1.0439013440129501E-4</c:v>
                </c:pt>
                <c:pt idx="149" formatCode="General">
                  <c:v>1.0509096947945001E-4</c:v>
                </c:pt>
                <c:pt idx="150" formatCode="General">
                  <c:v>1.05791799722117E-4</c:v>
                </c:pt>
                <c:pt idx="151" formatCode="General">
                  <c:v>1.06492624971353E-4</c:v>
                </c:pt>
                <c:pt idx="152" formatCode="General">
                  <c:v>1.07193445067072E-4</c:v>
                </c:pt>
                <c:pt idx="153" formatCode="General">
                  <c:v>1.07894259846976E-4</c:v>
                </c:pt>
                <c:pt idx="154" formatCode="General">
                  <c:v>1.0859506914648E-4</c:v>
                </c:pt>
                <c:pt idx="155" formatCode="General">
                  <c:v>1.09295872798638E-4</c:v>
                </c:pt>
                <c:pt idx="156" formatCode="General">
                  <c:v>1.09996670634064E-4</c:v>
                </c:pt>
                <c:pt idx="157" formatCode="General">
                  <c:v>1.1069746248086001E-4</c:v>
                </c:pt>
                <c:pt idx="158" formatCode="General">
                  <c:v>1.11398248164529E-4</c:v>
                </c:pt>
                <c:pt idx="159" formatCode="General">
                  <c:v>1.1209902750788999E-4</c:v>
                </c:pt>
                <c:pt idx="160" formatCode="General">
                  <c:v>1.12799800331003E-4</c:v>
                </c:pt>
                <c:pt idx="161" formatCode="General">
                  <c:v>1.13500566451067E-4</c:v>
                </c:pt>
                <c:pt idx="162" formatCode="General">
                  <c:v>1.14201325682341E-4</c:v>
                </c:pt>
                <c:pt idx="163" formatCode="General">
                  <c:v>1.14902077836041E-4</c:v>
                </c:pt>
                <c:pt idx="164" formatCode="General">
                  <c:v>1.15602822720253E-4</c:v>
                </c:pt>
                <c:pt idx="165" formatCode="General">
                  <c:v>1.16303560139829E-4</c:v>
                </c:pt>
                <c:pt idx="166" formatCode="General">
                  <c:v>1.1700428989628199E-4</c:v>
                </c:pt>
                <c:pt idx="167" formatCode="General">
                  <c:v>1.17705011787688E-4</c:v>
                </c:pt>
                <c:pt idx="168" formatCode="General">
                  <c:v>1.1840572560857101E-4</c:v>
                </c:pt>
                <c:pt idx="169" formatCode="General">
                  <c:v>1.1910643114979099E-4</c:v>
                </c:pt>
                <c:pt idx="170" formatCode="General">
                  <c:v>1.19807128198436E-4</c:v>
                </c:pt>
                <c:pt idx="171" formatCode="General">
                  <c:v>1.2050781653769099E-4</c:v>
                </c:pt>
                <c:pt idx="172" formatCode="General">
                  <c:v>1.21208495946721E-4</c:v>
                </c:pt>
                <c:pt idx="173" formatCode="General">
                  <c:v>1.21909166200541E-4</c:v>
                </c:pt>
                <c:pt idx="174" formatCode="General">
                  <c:v>1.2260982706988901E-4</c:v>
                </c:pt>
                <c:pt idx="175" formatCode="General">
                  <c:v>1.2331047832107899E-4</c:v>
                </c:pt>
                <c:pt idx="176" formatCode="General">
                  <c:v>1.2401111971586701E-4</c:v>
                </c:pt>
                <c:pt idx="177" formatCode="General">
                  <c:v>1.2471175101130399E-4</c:v>
                </c:pt>
                <c:pt idx="178" formatCode="General">
                  <c:v>1.2541237195958299E-4</c:v>
                </c:pt>
                <c:pt idx="179" formatCode="General">
                  <c:v>1.2611298230788101E-4</c:v>
                </c:pt>
                <c:pt idx="180" formatCode="General">
                  <c:v>1.26813581798198E-4</c:v>
                </c:pt>
                <c:pt idx="181" formatCode="General">
                  <c:v>1.2751417016718699E-4</c:v>
                </c:pt>
                <c:pt idx="182" formatCode="General">
                  <c:v>1.2821474714598199E-4</c:v>
                </c:pt>
                <c:pt idx="183" formatCode="General">
                  <c:v>1.2891531246001E-4</c:v>
                </c:pt>
                <c:pt idx="184" formatCode="General">
                  <c:v>1.2961586582880999E-4</c:v>
                </c:pt>
                <c:pt idx="185" formatCode="General">
                  <c:v>1.30316406965835E-4</c:v>
                </c:pt>
                <c:pt idx="186" formatCode="General">
                  <c:v>1.31016935578245E-4</c:v>
                </c:pt>
                <c:pt idx="187" formatCode="General">
                  <c:v>1.31717451366705E-4</c:v>
                </c:pt>
                <c:pt idx="188" formatCode="General">
                  <c:v>1.3241795402515701E-4</c:v>
                </c:pt>
                <c:pt idx="189" formatCode="General">
                  <c:v>1.3311844324060101E-4</c:v>
                </c:pt>
                <c:pt idx="190" formatCode="General">
                  <c:v>1.3381891869284699E-4</c:v>
                </c:pt>
                <c:pt idx="191" formatCode="General">
                  <c:v>1.3451938005428301E-4</c:v>
                </c:pt>
                <c:pt idx="192" formatCode="General">
                  <c:v>1.3521982698960899E-4</c:v>
                </c:pt>
                <c:pt idx="193" formatCode="General">
                  <c:v>1.3592025915557199E-4</c:v>
                </c:pt>
                <c:pt idx="194" formatCode="General">
                  <c:v>1.3662067620069199E-4</c:v>
                </c:pt>
                <c:pt idx="195" formatCode="General">
                  <c:v>1.3732107776497199E-4</c:v>
                </c:pt>
                <c:pt idx="196" formatCode="General">
                  <c:v>1.38021463479592E-4</c:v>
                </c:pt>
                <c:pt idx="197" formatCode="General">
                  <c:v>1.3872183296660399E-4</c:v>
                </c:pt>
                <c:pt idx="198" formatCode="General">
                  <c:v>1.39422185838595E-4</c:v>
                </c:pt>
                <c:pt idx="199" formatCode="General">
                  <c:v>1.4012252169835599E-4</c:v>
                </c:pt>
                <c:pt idx="200" formatCode="General">
                  <c:v>1.4082284013851599E-4</c:v>
                </c:pt>
                <c:pt idx="201" formatCode="General">
                  <c:v>1.41523140741179E-4</c:v>
                </c:pt>
                <c:pt idx="202" formatCode="General">
                  <c:v>1.4222342307752299E-4</c:v>
                </c:pt>
                <c:pt idx="203" formatCode="General">
                  <c:v>1.42923686707412E-4</c:v>
                </c:pt>
                <c:pt idx="204" formatCode="General">
                  <c:v>1.43623931178956E-4</c:v>
                </c:pt>
                <c:pt idx="205" formatCode="General">
                  <c:v>1.44324156028078E-4</c:v>
                </c:pt>
                <c:pt idx="206" formatCode="General">
                  <c:v>1.4502436077804299E-4</c:v>
                </c:pt>
                <c:pt idx="207" formatCode="General">
                  <c:v>1.4572454493898E-4</c:v>
                </c:pt>
                <c:pt idx="208" formatCode="General">
                  <c:v>1.4642470800736699E-4</c:v>
                </c:pt>
                <c:pt idx="209" formatCode="General">
                  <c:v>1.4712484946550301E-4</c:v>
                </c:pt>
                <c:pt idx="210" formatCode="General">
                  <c:v>1.4782496878095101E-4</c:v>
                </c:pt>
                <c:pt idx="211" formatCode="General">
                  <c:v>1.4852506540595099E-4</c:v>
                </c:pt>
                <c:pt idx="212" formatCode="General">
                  <c:v>1.49225138776807E-4</c:v>
                </c:pt>
                <c:pt idx="213" formatCode="General">
                  <c:v>1.49925188313248E-4</c:v>
                </c:pt>
                <c:pt idx="214" formatCode="General">
                  <c:v>1.5062521341774901E-4</c:v>
                </c:pt>
                <c:pt idx="215" formatCode="General">
                  <c:v>1.5132521347482601E-4</c:v>
                </c:pt>
                <c:pt idx="216" formatCode="General">
                  <c:v>1.5202518785028499E-4</c:v>
                </c:pt>
                <c:pt idx="217" formatCode="General">
                  <c:v>1.5272513589044499E-4</c:v>
                </c:pt>
                <c:pt idx="218" formatCode="General">
                  <c:v>1.5342505692131499E-4</c:v>
                </c:pt>
                <c:pt idx="219" formatCode="General">
                  <c:v>1.5412495024772201E-4</c:v>
                </c:pt>
                <c:pt idx="220" formatCode="General">
                  <c:v>1.5482481515240401E-4</c:v>
                </c:pt>
                <c:pt idx="221" formatCode="General">
                  <c:v>1.5552465089505E-4</c:v>
                </c:pt>
                <c:pt idx="222" formatCode="General">
                  <c:v>1.56224456711283E-4</c:v>
                </c:pt>
                <c:pt idx="223" formatCode="General">
                  <c:v>1.56924231811596E-4</c:v>
                </c:pt>
                <c:pt idx="224" formatCode="General">
                  <c:v>1.5762397538022401E-4</c:v>
                </c:pt>
                <c:pt idx="225" formatCode="General">
                  <c:v>1.5832368657395601E-4</c:v>
                </c:pt>
                <c:pt idx="226" formatCode="General">
                  <c:v>1.5902336452088E-4</c:v>
                </c:pt>
                <c:pt idx="227" formatCode="General">
                  <c:v>1.5972300831905301E-4</c:v>
                </c:pt>
                <c:pt idx="228" formatCode="General">
                  <c:v>1.6042261703510101E-4</c:v>
                </c:pt>
                <c:pt idx="229" formatCode="General">
                  <c:v>1.6112218970273199E-4</c:v>
                </c:pt>
                <c:pt idx="230" formatCode="General">
                  <c:v>1.61821725321161E-4</c:v>
                </c:pt>
                <c:pt idx="231" formatCode="General">
                  <c:v>1.62521222853452E-4</c:v>
                </c:pt>
                <c:pt idx="232" formatCode="General">
                  <c:v>1.6322068122474401E-4</c:v>
                </c:pt>
                <c:pt idx="233" formatCode="General">
                  <c:v>1.6392009932038001E-4</c:v>
                </c:pt>
                <c:pt idx="234" formatCode="General">
                  <c:v>1.6461947598391999E-4</c:v>
                </c:pt>
                <c:pt idx="235" formatCode="General">
                  <c:v>1.6531881001502499E-4</c:v>
                </c:pt>
                <c:pt idx="236" formatCode="General">
                  <c:v>1.66018100167215E-4</c:v>
                </c:pt>
                <c:pt idx="237" formatCode="General">
                  <c:v>1.6671734514547501E-4</c:v>
                </c:pt>
                <c:pt idx="238" formatCode="General">
                  <c:v>1.6741654360371601E-4</c:v>
                </c:pt>
                <c:pt idx="239" formatCode="General">
                  <c:v>1.6811569414206299E-4</c:v>
                </c:pt>
                <c:pt idx="240" formatCode="General">
                  <c:v>1.68814795303965E-4</c:v>
                </c:pt>
                <c:pt idx="241" formatCode="General">
                  <c:v>1.6951384557310699E-4</c:v>
                </c:pt>
                <c:pt idx="242" formatCode="General">
                  <c:v>1.7021284337012901E-4</c:v>
                </c:pt>
                <c:pt idx="243" formatCode="General">
                  <c:v>1.7091178704909399E-4</c:v>
                </c:pt>
                <c:pt idx="244" formatCode="General">
                  <c:v>1.7161067489373E-4</c:v>
                </c:pt>
                <c:pt idx="245" formatCode="General">
                  <c:v>1.7230950511339701E-4</c:v>
                </c:pt>
                <c:pt idx="246" formatCode="General">
                  <c:v>1.7300827583876399E-4</c:v>
                </c:pt>
                <c:pt idx="247" formatCode="General">
                  <c:v>1.7370698511718301E-4</c:v>
                </c:pt>
                <c:pt idx="248" formatCode="General">
                  <c:v>1.7440563090770201E-4</c:v>
                </c:pt>
                <c:pt idx="249" formatCode="General">
                  <c:v>1.7510421107572901E-4</c:v>
                </c:pt>
                <c:pt idx="250" formatCode="General">
                  <c:v>1.75802723387277E-4</c:v>
                </c:pt>
                <c:pt idx="251" formatCode="General">
                  <c:v>1.7650116550276901E-4</c:v>
                </c:pt>
                <c:pt idx="252" formatCode="General">
                  <c:v>1.7719953497036299E-4</c:v>
                </c:pt>
                <c:pt idx="253" formatCode="General">
                  <c:v>1.7789782921874599E-4</c:v>
                </c:pt>
                <c:pt idx="254" formatCode="General">
                  <c:v>1.7859604554935299E-4</c:v>
                </c:pt>
                <c:pt idx="255" formatCode="General">
                  <c:v>1.7929418112794799E-4</c:v>
                </c:pt>
                <c:pt idx="256" formatCode="General">
                  <c:v>1.79992232975511E-4</c:v>
                </c:pt>
                <c:pt idx="257" formatCode="General">
                  <c:v>1.8069019795835E-4</c:v>
                </c:pt>
                <c:pt idx="258" formatCode="General">
                  <c:v>1.8138807277738299E-4</c:v>
                </c:pt>
                <c:pt idx="259" formatCode="General">
                  <c:v>1.82085853956476E-4</c:v>
                </c:pt>
                <c:pt idx="260" formatCode="General">
                  <c:v>1.82783537829758E-4</c:v>
                </c:pt>
                <c:pt idx="261" formatCode="General">
                  <c:v>1.8348112052779601E-4</c:v>
                </c:pt>
                <c:pt idx="262" formatCode="General">
                  <c:v>1.8417859796251E-4</c:v>
                </c:pt>
                <c:pt idx="263" formatCode="General">
                  <c:v>1.84875965810688E-4</c:v>
                </c:pt>
                <c:pt idx="264" formatCode="General">
                  <c:v>1.8557321949594E-4</c:v>
                </c:pt>
                <c:pt idx="265" formatCode="General">
                  <c:v>1.8627035416892199E-4</c:v>
                </c:pt>
                <c:pt idx="266" formatCode="General">
                  <c:v>1.86967364685625E-4</c:v>
                </c:pt>
                <c:pt idx="267" formatCode="General">
                  <c:v>1.8766424558350301E-4</c:v>
                </c:pt>
                <c:pt idx="268" formatCode="General">
                  <c:v>1.8836099105517E-4</c:v>
                </c:pt>
                <c:pt idx="269" formatCode="General">
                  <c:v>1.8905759491938799E-4</c:v>
                </c:pt>
                <c:pt idx="270" formatCode="General">
                  <c:v>1.89754050588994E-4</c:v>
                </c:pt>
                <c:pt idx="271" formatCode="General">
                  <c:v>1.9045035103538001E-4</c:v>
                </c:pt>
                <c:pt idx="272" formatCode="General">
                  <c:v>1.9114648874908201E-4</c:v>
                </c:pt>
                <c:pt idx="273" formatCode="General">
                  <c:v>1.9184245569597299E-4</c:v>
                </c:pt>
                <c:pt idx="274" formatCode="General">
                  <c:v>1.9253824326844699E-4</c:v>
                </c:pt>
                <c:pt idx="275" formatCode="General">
                  <c:v>1.9323384223093201E-4</c:v>
                </c:pt>
                <c:pt idx="276" formatCode="General">
                  <c:v>1.93929242658921E-4</c:v>
                </c:pt>
                <c:pt idx="277" formatCode="General">
                  <c:v>1.9462443387060501E-4</c:v>
                </c:pt>
                <c:pt idx="278" formatCode="General">
                  <c:v>1.95319404350021E-4</c:v>
                </c:pt>
                <c:pt idx="279" formatCode="General">
                  <c:v>1.96014141660459E-4</c:v>
                </c:pt>
                <c:pt idx="280" formatCode="General">
                  <c:v>1.9670863234664E-4</c:v>
                </c:pt>
                <c:pt idx="281" formatCode="General">
                  <c:v>1.9740286182392801E-4</c:v>
                </c:pt>
                <c:pt idx="282" formatCode="General">
                  <c:v>1.9809681425250999E-4</c:v>
                </c:pt>
                <c:pt idx="283" formatCode="General">
                  <c:v>1.9879047239411299E-4</c:v>
                </c:pt>
                <c:pt idx="284" formatCode="General">
                  <c:v>1.9948381744836299E-4</c:v>
                </c:pt>
                <c:pt idx="285" formatCode="General">
                  <c:v>2.0017682886533299E-4</c:v>
                </c:pt>
                <c:pt idx="286" formatCode="General">
                  <c:v>2.0086948413017001E-4</c:v>
                </c:pt>
                <c:pt idx="287" formatCode="General">
                  <c:v>2.0156175851487399E-4</c:v>
                </c:pt>
                <c:pt idx="288" formatCode="General">
                  <c:v>2.0225362479127501E-4</c:v>
                </c:pt>
                <c:pt idx="289" formatCode="General">
                  <c:v>2.0294505289811899E-4</c:v>
                </c:pt>
                <c:pt idx="290" formatCode="General">
                  <c:v>2.03636009553608E-4</c:v>
                </c:pt>
                <c:pt idx="291" formatCode="General">
                  <c:v>2.0432645780302399E-4</c:v>
                </c:pt>
                <c:pt idx="292" formatCode="General">
                  <c:v>2.05016356488849E-4</c:v>
                </c:pt>
                <c:pt idx="293" formatCode="General">
                  <c:v>2.0570565962816099E-4</c:v>
                </c:pt>
                <c:pt idx="294" formatCode="General">
                  <c:v>2.06394315678994E-4</c:v>
                </c:pt>
                <c:pt idx="295" formatCode="General">
                  <c:v>2.0708226667362801E-4</c:v>
                </c:pt>
                <c:pt idx="296" formatCode="General">
                  <c:v>2.0776944719263899E-4</c:v>
                </c:pt>
                <c:pt idx="297" formatCode="General">
                  <c:v>2.08455783149002E-4</c:v>
                </c:pt>
                <c:pt idx="298" formatCode="General">
                  <c:v>2.09141190347235E-4</c:v>
                </c:pt>
                <c:pt idx="299" formatCode="General">
                  <c:v>2.0982557277948101E-4</c:v>
                </c:pt>
                <c:pt idx="300" formatCode="General">
                  <c:v>2.10508820620856E-4</c:v>
                </c:pt>
                <c:pt idx="301" formatCode="General">
                  <c:v>2.1119080789484999E-4</c:v>
                </c:pt>
                <c:pt idx="302" formatCode="General">
                  <c:v>2.1187138980495899E-4</c:v>
                </c:pt>
                <c:pt idx="303" formatCode="General">
                  <c:v>2.12550399788429E-4</c:v>
                </c:pt>
                <c:pt idx="304" formatCode="General">
                  <c:v>2.13227646476081E-4</c:v>
                </c:pt>
                <c:pt idx="305" formatCode="General">
                  <c:v>2.13902911005589E-4</c:v>
                </c:pt>
                <c:pt idx="306" formatCode="General">
                  <c:v>2.14575945667055E-4</c:v>
                </c:pt>
                <c:pt idx="307" formatCode="General">
                  <c:v>2.1524647592410399E-4</c:v>
                </c:pt>
                <c:pt idx="308" formatCode="General">
                  <c:v>2.1591420998415099E-4</c:v>
                </c:pt>
                <c:pt idx="309" formatCode="General">
                  <c:v>2.1657886436432001E-4</c:v>
                </c:pt>
                <c:pt idx="310" formatCode="General">
                  <c:v>2.17240222483632E-4</c:v>
                </c:pt>
                <c:pt idx="311" formatCode="General">
                  <c:v>2.1789826052799301E-4</c:v>
                </c:pt>
                <c:pt idx="312" formatCode="General">
                  <c:v>2.1855340914808701E-4</c:v>
                </c:pt>
                <c:pt idx="313" formatCode="General">
                  <c:v>2.1920708777647401E-4</c:v>
                </c:pt>
                <c:pt idx="314" formatCode="General">
                  <c:v>2.1986279044683199E-4</c:v>
                </c:pt>
                <c:pt idx="315" formatCode="General">
                  <c:v>2.20528368914793E-4</c:v>
                </c:pt>
                <c:pt idx="316" formatCode="General">
                  <c:v>2.2122160483175699E-4</c:v>
                </c:pt>
                <c:pt idx="317" formatCode="General">
                  <c:v>2.2166277233509499E-4</c:v>
                </c:pt>
                <c:pt idx="318" formatCode="General">
                  <c:v>2.2229518351969099E-4</c:v>
                </c:pt>
                <c:pt idx="319" formatCode="General">
                  <c:v>2.2292751857699801E-4</c:v>
                </c:pt>
                <c:pt idx="320" formatCode="General">
                  <c:v>2.2356686026041899E-4</c:v>
                </c:pt>
                <c:pt idx="321" formatCode="General">
                  <c:v>2.2421215323818901E-4</c:v>
                </c:pt>
                <c:pt idx="322" formatCode="General">
                  <c:v>2.2486271931167399E-4</c:v>
                </c:pt>
                <c:pt idx="323" formatCode="General">
                  <c:v>2.2551794611007801E-4</c:v>
                </c:pt>
                <c:pt idx="324" formatCode="General">
                  <c:v>2.2617728992821201E-4</c:v>
                </c:pt>
                <c:pt idx="325" formatCode="General">
                  <c:v>2.2684026879910799E-4</c:v>
                </c:pt>
                <c:pt idx="326" formatCode="General">
                  <c:v>2.27506456347969E-4</c:v>
                </c:pt>
                <c:pt idx="327" formatCode="General">
                  <c:v>2.2817547611411401E-4</c:v>
                </c:pt>
                <c:pt idx="328" formatCode="General">
                  <c:v>2.28846996339859E-4</c:v>
                </c:pt>
                <c:pt idx="329" formatCode="General">
                  <c:v>2.2952072521013E-4</c:v>
                </c:pt>
                <c:pt idx="330" formatCode="General">
                  <c:v>2.30196406522183E-4</c:v>
                </c:pt>
                <c:pt idx="331" formatCode="General">
                  <c:v>2.30873815761565E-4</c:v>
                </c:pt>
                <c:pt idx="332" formatCode="General">
                  <c:v>2.3155275655849499E-4</c:v>
                </c:pt>
                <c:pt idx="333" formatCode="General">
                  <c:v>2.3223305749783699E-4</c:v>
                </c:pt>
                <c:pt idx="334" formatCode="General">
                  <c:v>2.3291456925563799E-4</c:v>
                </c:pt>
                <c:pt idx="335" formatCode="General">
                  <c:v>2.3359716203558199E-4</c:v>
                </c:pt>
                <c:pt idx="336" formatCode="General">
                  <c:v>2.3428072327953301E-4</c:v>
                </c:pt>
                <c:pt idx="337" formatCode="General">
                  <c:v>2.34965155627502E-4</c:v>
                </c:pt>
                <c:pt idx="338" formatCode="General">
                  <c:v>2.3565037510370299E-4</c:v>
                </c:pt>
                <c:pt idx="339" formatCode="General">
                  <c:v>2.36336309506862E-4</c:v>
                </c:pt>
                <c:pt idx="340" formatCode="General">
                  <c:v>2.37022896984489E-4</c:v>
                </c:pt>
                <c:pt idx="341" formatCode="General">
                  <c:v>2.37710084772369E-4</c:v>
                </c:pt>
                <c:pt idx="342" formatCode="General">
                  <c:v>2.38397828082086E-4</c:v>
                </c:pt>
                <c:pt idx="343" formatCode="General">
                  <c:v>2.3908608912088001E-4</c:v>
                </c:pt>
                <c:pt idx="344" formatCode="General">
                  <c:v>2.3977483622953801E-4</c:v>
                </c:pt>
                <c:pt idx="345" formatCode="General">
                  <c:v>2.4046404312539799E-4</c:v>
                </c:pt>
                <c:pt idx="346" formatCode="General">
                  <c:v>2.4115368823876399E-4</c:v>
                </c:pt>
                <c:pt idx="347" formatCode="General">
                  <c:v>2.4184375413222701E-4</c:v>
                </c:pt>
                <c:pt idx="348" formatCode="General">
                  <c:v>2.42534226993438E-4</c:v>
                </c:pt>
                <c:pt idx="349" formatCode="General">
                  <c:v>2.43225096192877E-4</c:v>
                </c:pt>
                <c:pt idx="350" formatCode="General">
                  <c:v>2.43916353899064E-4</c:v>
                </c:pt>
                <c:pt idx="351" formatCode="General">
                  <c:v>2.44607994744463E-4</c:v>
                </c:pt>
                <c:pt idx="352" formatCode="General">
                  <c:v>2.4530001553609102E-4</c:v>
                </c:pt>
                <c:pt idx="353" formatCode="General">
                  <c:v>2.4599241500549801E-4</c:v>
                </c:pt>
                <c:pt idx="354" formatCode="General">
                  <c:v>2.4668519359340602E-4</c:v>
                </c:pt>
                <c:pt idx="355" formatCode="General">
                  <c:v>2.4737835326480199E-4</c:v>
                </c:pt>
                <c:pt idx="356" formatCode="General">
                  <c:v>2.48071897350829E-4</c:v>
                </c:pt>
                <c:pt idx="357" formatCode="General">
                  <c:v>2.4812275074988802E-4</c:v>
                </c:pt>
                <c:pt idx="358" formatCode="General">
                  <c:v>2.8351757150727201E-4</c:v>
                </c:pt>
                <c:pt idx="359" formatCode="General">
                  <c:v>3.0263699930427399E-4</c:v>
                </c:pt>
                <c:pt idx="360" formatCode="General">
                  <c:v>3.0431519958088599E-4</c:v>
                </c:pt>
                <c:pt idx="361" formatCode="General">
                  <c:v>3.0567889642937402E-4</c:v>
                </c:pt>
                <c:pt idx="362" formatCode="General">
                  <c:v>3.0699259208632899E-4</c:v>
                </c:pt>
                <c:pt idx="363" formatCode="General">
                  <c:v>3.0823058796622198E-4</c:v>
                </c:pt>
                <c:pt idx="364" formatCode="General">
                  <c:v>3.0935336750144399E-4</c:v>
                </c:pt>
                <c:pt idx="365" formatCode="General">
                  <c:v>3.4491908617135299E-4</c:v>
                </c:pt>
                <c:pt idx="366" formatCode="General">
                  <c:v>3.4491908617135299E-4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DFE-49BC-B1F1-19675E8EE1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7720"/>
        <c:axId val="737792696"/>
      </c:scatterChart>
      <c:valAx>
        <c:axId val="412577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792696"/>
        <c:crosses val="autoZero"/>
        <c:crossBetween val="midCat"/>
      </c:valAx>
      <c:valAx>
        <c:axId val="73779269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Porosity (v/v)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7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Fracture DFN</a:t>
            </a:r>
          </a:p>
        </c:rich>
      </c:tx>
      <c:layout>
        <c:manualLayout>
          <c:xMode val="edge"/>
          <c:yMode val="edge"/>
          <c:x val="0.42812532808398951"/>
          <c:y val="2.6610644257703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xMode val="edge"/>
          <c:yMode val="edge"/>
          <c:x val="4.5316054243219599E-2"/>
          <c:y val="7.6125328083989502E-2"/>
          <c:w val="0.92204300634295722"/>
          <c:h val="0.8851612860892388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none"/>
          </c:marker>
          <c:xVal>
            <c:numRef>
              <c:f>Explicit_DFN!$AA$2:$AA$3</c:f>
              <c:numCache>
                <c:formatCode>General</c:formatCode>
                <c:ptCount val="2"/>
                <c:pt idx="0">
                  <c:v>0</c:v>
                </c:pt>
                <c:pt idx="1">
                  <c:v>150</c:v>
                </c:pt>
              </c:numCache>
            </c:numRef>
          </c:xVal>
          <c:yVal>
            <c:numRef>
              <c:f>Explicit_DFN!$AA$4:$AA$5</c:f>
              <c:numCache>
                <c:formatCode>General</c:formatCode>
                <c:ptCount val="2"/>
                <c:pt idx="0">
                  <c:v>0</c:v>
                </c:pt>
                <c:pt idx="1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B9-40EB-8FFA-71D6A91D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798576"/>
        <c:axId val="737793088"/>
      </c:scatterChart>
      <c:valAx>
        <c:axId val="737798576"/>
        <c:scaling>
          <c:orientation val="minMax"/>
          <c:max val="15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Distance in X (m)</a:t>
                </a:r>
              </a:p>
            </c:rich>
          </c:tx>
          <c:layout>
            <c:manualLayout>
              <c:xMode val="edge"/>
              <c:yMode val="edge"/>
              <c:x val="0.45000032808398949"/>
              <c:y val="0.955183396193122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37793088"/>
        <c:crossesAt val="0"/>
        <c:crossBetween val="midCat"/>
      </c:valAx>
      <c:valAx>
        <c:axId val="737793088"/>
        <c:scaling>
          <c:orientation val="minMax"/>
          <c:max val="15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Distance in Y (m)</a:t>
                </a:r>
              </a:p>
            </c:rich>
          </c:tx>
          <c:layout>
            <c:manualLayout>
              <c:xMode val="edge"/>
              <c:yMode val="edge"/>
              <c:x val="2.34375E-2"/>
              <c:y val="0.460784901887264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37798576"/>
        <c:crossesAt val="0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0</xdr:colOff>
      <xdr:row>3</xdr:row>
      <xdr:rowOff>0</xdr:rowOff>
    </xdr:from>
    <xdr:to>
      <xdr:col>32</xdr:col>
      <xdr:colOff>0</xdr:colOff>
      <xdr:row>30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0</xdr:colOff>
      <xdr:row>3</xdr:row>
      <xdr:rowOff>0</xdr:rowOff>
    </xdr:from>
    <xdr:to>
      <xdr:col>18</xdr:col>
      <xdr:colOff>0</xdr:colOff>
      <xdr:row>30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35</xdr:col>
      <xdr:colOff>0</xdr:colOff>
      <xdr:row>3</xdr:row>
      <xdr:rowOff>0</xdr:rowOff>
    </xdr:from>
    <xdr:to>
      <xdr:col>46</xdr:col>
      <xdr:colOff>0</xdr:colOff>
      <xdr:row>30</xdr:row>
      <xdr:rowOff>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49</xdr:col>
      <xdr:colOff>0</xdr:colOff>
      <xdr:row>3</xdr:row>
      <xdr:rowOff>0</xdr:rowOff>
    </xdr:from>
    <xdr:to>
      <xdr:col>60</xdr:col>
      <xdr:colOff>0</xdr:colOff>
      <xdr:row>30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0</xdr:colOff>
      <xdr:row>30</xdr:row>
      <xdr:rowOff>0</xdr:rowOff>
    </xdr:from>
    <xdr:to>
      <xdr:col>20</xdr:col>
      <xdr:colOff>0</xdr:colOff>
      <xdr:row>60</xdr:row>
      <xdr:rowOff>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21</xdr:col>
      <xdr:colOff>0</xdr:colOff>
      <xdr:row>30</xdr:row>
      <xdr:rowOff>0</xdr:rowOff>
    </xdr:from>
    <xdr:to>
      <xdr:col>34</xdr:col>
      <xdr:colOff>0</xdr:colOff>
      <xdr:row>60</xdr:row>
      <xdr:rowOff>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7</xdr:col>
      <xdr:colOff>0</xdr:colOff>
      <xdr:row>60</xdr:row>
      <xdr:rowOff>0</xdr:rowOff>
    </xdr:from>
    <xdr:to>
      <xdr:col>20</xdr:col>
      <xdr:colOff>0</xdr:colOff>
      <xdr:row>90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21</xdr:col>
      <xdr:colOff>0</xdr:colOff>
      <xdr:row>60</xdr:row>
      <xdr:rowOff>0</xdr:rowOff>
    </xdr:from>
    <xdr:to>
      <xdr:col>34</xdr:col>
      <xdr:colOff>0</xdr:colOff>
      <xdr:row>90</xdr:row>
      <xdr:rowOff>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72</xdr:col>
      <xdr:colOff>0</xdr:colOff>
      <xdr:row>3</xdr:row>
      <xdr:rowOff>0</xdr:rowOff>
    </xdr:from>
    <xdr:to>
      <xdr:col>83</xdr:col>
      <xdr:colOff>0</xdr:colOff>
      <xdr:row>30</xdr:row>
      <xdr:rowOff>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63</xdr:col>
      <xdr:colOff>0</xdr:colOff>
      <xdr:row>3</xdr:row>
      <xdr:rowOff>0</xdr:rowOff>
    </xdr:from>
    <xdr:to>
      <xdr:col>72</xdr:col>
      <xdr:colOff>0</xdr:colOff>
      <xdr:row>30</xdr:row>
      <xdr:rowOff>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EE297686-5CEC-4052-8F98-AF651A8F08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0</xdr:row>
      <xdr:rowOff>0</xdr:rowOff>
    </xdr:from>
    <xdr:to>
      <xdr:col>24</xdr:col>
      <xdr:colOff>0</xdr:colOff>
      <xdr:row>40</xdr:row>
      <xdr:rowOff>0</xdr:rowOff>
    </xdr:to>
    <xdr:graphicFrame macro="">
      <xdr:nvGraphicFramePr>
        <xdr:cNvPr id="2" name="Chart 535639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0.09121</cdr:x>
      <cdr:y>0.08483</cdr:y>
    </cdr:from>
    <cdr:to>
      <cdr:x>0.94246</cdr:x>
      <cdr:y>0.9301</cdr:y>
    </cdr:to>
    <cdr:sp macro="" textlink="">
      <cdr:nvSpPr>
        <cdr:cNvPr id="2" name="FracNo 790 StartRow 3">
          <a:extLst xmlns:a="http://schemas.openxmlformats.org/drawingml/2006/main">
            <a:ext uri="{FF2B5EF4-FFF2-40B4-BE49-F238E27FC236}">
              <a16:creationId xmlns:a16="http://schemas.microsoft.com/office/drawing/2014/main" id="{414164DE-8B24-9D2E-3F6B-B017760D746F}"/>
            </a:ext>
          </a:extLst>
        </cdr:cNvPr>
        <cdr:cNvSpPr/>
      </cdr:nvSpPr>
      <cdr:spPr>
        <a:xfrm xmlns:a="http://schemas.openxmlformats.org/drawingml/2006/main">
          <a:off x="667212" y="646419"/>
          <a:ext cx="6227096" cy="64409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27096" h="6440947">
              <a:moveTo>
                <a:pt x="3359246" y="2994465"/>
              </a:moveTo>
              <a:lnTo>
                <a:pt x="2092340" y="4304879"/>
              </a:lnTo>
              <a:lnTo>
                <a:pt x="2087759" y="4309617"/>
              </a:lnTo>
              <a:lnTo>
                <a:pt x="27194" y="6440946"/>
              </a:lnTo>
              <a:lnTo>
                <a:pt x="0" y="6431570"/>
              </a:lnTo>
              <a:lnTo>
                <a:pt x="2069610" y="4290886"/>
              </a:lnTo>
              <a:lnTo>
                <a:pt x="2074211" y="4286127"/>
              </a:lnTo>
              <a:lnTo>
                <a:pt x="3341117" y="2975713"/>
              </a:lnTo>
              <a:lnTo>
                <a:pt x="4143820" y="2145443"/>
              </a:lnTo>
              <a:lnTo>
                <a:pt x="4148421" y="2140684"/>
              </a:lnTo>
              <a:lnTo>
                <a:pt x="6218031" y="0"/>
              </a:lnTo>
              <a:lnTo>
                <a:pt x="6227095" y="28128"/>
              </a:lnTo>
              <a:lnTo>
                <a:pt x="4166530" y="2159457"/>
              </a:lnTo>
              <a:lnTo>
                <a:pt x="4161949" y="216419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0.76924</cdr:x>
      <cdr:y>0.7581</cdr:y>
    </cdr:to>
    <cdr:sp macro="" textlink="">
      <cdr:nvSpPr>
        <cdr:cNvPr id="3" name="FracNo 907 StartRow 20">
          <a:extLst xmlns:a="http://schemas.openxmlformats.org/drawingml/2006/main">
            <a:ext uri="{FF2B5EF4-FFF2-40B4-BE49-F238E27FC236}">
              <a16:creationId xmlns:a16="http://schemas.microsoft.com/office/drawing/2014/main" id="{564796A7-6E80-7A74-AC61-75F6184337C2}"/>
            </a:ext>
          </a:extLst>
        </cdr:cNvPr>
        <cdr:cNvSpPr/>
      </cdr:nvSpPr>
      <cdr:spPr>
        <a:xfrm xmlns:a="http://schemas.openxmlformats.org/drawingml/2006/main">
          <a:off x="671676" y="651036"/>
          <a:ext cx="4955490" cy="51256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55490" h="5125671">
              <a:moveTo>
                <a:pt x="4828100" y="94260"/>
              </a:moveTo>
              <a:lnTo>
                <a:pt x="4139356" y="806657"/>
              </a:lnTo>
              <a:lnTo>
                <a:pt x="2854084" y="2136067"/>
              </a:lnTo>
              <a:lnTo>
                <a:pt x="2065146" y="2952099"/>
              </a:lnTo>
              <a:lnTo>
                <a:pt x="785491" y="4275700"/>
              </a:lnTo>
              <a:lnTo>
                <a:pt x="0" y="5088167"/>
              </a:lnTo>
              <a:lnTo>
                <a:pt x="0" y="5125670"/>
              </a:lnTo>
              <a:lnTo>
                <a:pt x="792386" y="4306072"/>
              </a:lnTo>
              <a:lnTo>
                <a:pt x="2083275" y="2970851"/>
              </a:lnTo>
              <a:lnTo>
                <a:pt x="2872213" y="2154819"/>
              </a:lnTo>
              <a:lnTo>
                <a:pt x="4157485" y="825408"/>
              </a:lnTo>
              <a:lnTo>
                <a:pt x="4862240" y="96451"/>
              </a:lnTo>
              <a:lnTo>
                <a:pt x="4955489" y="0"/>
              </a:lnTo>
              <a:lnTo>
                <a:pt x="491923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0.29672</cdr:x>
      <cdr:y>0.28889</cdr:y>
    </cdr:from>
    <cdr:to>
      <cdr:x>0.94246</cdr:x>
      <cdr:y>0.9301</cdr:y>
    </cdr:to>
    <cdr:sp macro="" textlink="">
      <cdr:nvSpPr>
        <cdr:cNvPr id="4" name="FracNo 22 StartRow 37">
          <a:extLst xmlns:a="http://schemas.openxmlformats.org/drawingml/2006/main">
            <a:ext uri="{FF2B5EF4-FFF2-40B4-BE49-F238E27FC236}">
              <a16:creationId xmlns:a16="http://schemas.microsoft.com/office/drawing/2014/main" id="{B38E94AD-93CB-B7B3-CD95-9E54FC695075}"/>
            </a:ext>
          </a:extLst>
        </cdr:cNvPr>
        <cdr:cNvSpPr/>
      </cdr:nvSpPr>
      <cdr:spPr>
        <a:xfrm xmlns:a="http://schemas.openxmlformats.org/drawingml/2006/main">
          <a:off x="2170542" y="2201376"/>
          <a:ext cx="4723766" cy="48859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23766" h="4885990">
              <a:moveTo>
                <a:pt x="25630" y="4859479"/>
              </a:moveTo>
              <a:lnTo>
                <a:pt x="0" y="4885989"/>
              </a:lnTo>
              <a:lnTo>
                <a:pt x="36258" y="4885989"/>
              </a:lnTo>
              <a:lnTo>
                <a:pt x="61068" y="4860328"/>
              </a:lnTo>
              <a:lnTo>
                <a:pt x="584409" y="4319014"/>
              </a:lnTo>
              <a:lnTo>
                <a:pt x="2101404" y="2749922"/>
              </a:lnTo>
              <a:lnTo>
                <a:pt x="2658619" y="2173571"/>
              </a:lnTo>
              <a:lnTo>
                <a:pt x="4168985" y="611336"/>
              </a:lnTo>
              <a:lnTo>
                <a:pt x="4723765" y="37504"/>
              </a:lnTo>
              <a:lnTo>
                <a:pt x="4723765" y="0"/>
              </a:lnTo>
              <a:lnTo>
                <a:pt x="4164114" y="578870"/>
              </a:lnTo>
              <a:lnTo>
                <a:pt x="2640490" y="2154819"/>
              </a:lnTo>
              <a:lnTo>
                <a:pt x="2083275" y="2731170"/>
              </a:lnTo>
              <a:lnTo>
                <a:pt x="566280" y="430026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0.36082</cdr:x>
      <cdr:y>0.35254</cdr:y>
    </cdr:from>
    <cdr:to>
      <cdr:x>0.94246</cdr:x>
      <cdr:y>0.9301</cdr:y>
    </cdr:to>
    <cdr:sp macro="" textlink="">
      <cdr:nvSpPr>
        <cdr:cNvPr id="5" name="FracNo 277 StartRow 54">
          <a:extLst xmlns:a="http://schemas.openxmlformats.org/drawingml/2006/main">
            <a:ext uri="{FF2B5EF4-FFF2-40B4-BE49-F238E27FC236}">
              <a16:creationId xmlns:a16="http://schemas.microsoft.com/office/drawing/2014/main" id="{B1918CDE-BEB4-38B3-6189-2B65DAAC8D24}"/>
            </a:ext>
          </a:extLst>
        </cdr:cNvPr>
        <cdr:cNvSpPr/>
      </cdr:nvSpPr>
      <cdr:spPr>
        <a:xfrm xmlns:a="http://schemas.openxmlformats.org/drawingml/2006/main">
          <a:off x="2639437" y="2686374"/>
          <a:ext cx="4254871" cy="44009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54871" h="4400992">
              <a:moveTo>
                <a:pt x="134220" y="4262162"/>
              </a:moveTo>
              <a:lnTo>
                <a:pt x="94579" y="4303164"/>
              </a:lnTo>
              <a:lnTo>
                <a:pt x="0" y="4400991"/>
              </a:lnTo>
              <a:lnTo>
                <a:pt x="36259" y="4400991"/>
              </a:lnTo>
              <a:lnTo>
                <a:pt x="118319" y="4316113"/>
              </a:lnTo>
              <a:lnTo>
                <a:pt x="157849" y="4275226"/>
              </a:lnTo>
              <a:lnTo>
                <a:pt x="2101405" y="2264924"/>
              </a:lnTo>
              <a:lnTo>
                <a:pt x="2189724" y="2173571"/>
              </a:lnTo>
              <a:lnTo>
                <a:pt x="4166937" y="128458"/>
              </a:lnTo>
              <a:lnTo>
                <a:pt x="4254870" y="37504"/>
              </a:lnTo>
              <a:lnTo>
                <a:pt x="4254870" y="0"/>
              </a:lnTo>
              <a:lnTo>
                <a:pt x="4166165" y="91752"/>
              </a:lnTo>
              <a:lnTo>
                <a:pt x="2171595" y="2154819"/>
              </a:lnTo>
              <a:lnTo>
                <a:pt x="2083275" y="224617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0.37258</cdr:x>
      <cdr:y>0.14852</cdr:y>
    </cdr:from>
    <cdr:to>
      <cdr:x>0.94246</cdr:x>
      <cdr:y>0.71686</cdr:y>
    </cdr:to>
    <cdr:sp macro="" textlink="">
      <cdr:nvSpPr>
        <cdr:cNvPr id="6" name="FracNo 775 StartRow 71">
          <a:extLst xmlns:a="http://schemas.openxmlformats.org/drawingml/2006/main">
            <a:ext uri="{FF2B5EF4-FFF2-40B4-BE49-F238E27FC236}">
              <a16:creationId xmlns:a16="http://schemas.microsoft.com/office/drawing/2014/main" id="{1E418B62-B7FB-352C-B95F-859030289EF1}"/>
            </a:ext>
          </a:extLst>
        </cdr:cNvPr>
        <cdr:cNvSpPr/>
      </cdr:nvSpPr>
      <cdr:spPr>
        <a:xfrm xmlns:a="http://schemas.openxmlformats.org/drawingml/2006/main">
          <a:off x="2725530" y="1131754"/>
          <a:ext cx="4168778" cy="43306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68778" h="4330693">
              <a:moveTo>
                <a:pt x="347080" y="3990446"/>
              </a:moveTo>
              <a:lnTo>
                <a:pt x="29421" y="4319013"/>
              </a:lnTo>
              <a:lnTo>
                <a:pt x="18130" y="4330692"/>
              </a:lnTo>
              <a:lnTo>
                <a:pt x="0" y="4311940"/>
              </a:lnTo>
              <a:lnTo>
                <a:pt x="11292" y="4300262"/>
              </a:lnTo>
              <a:lnTo>
                <a:pt x="328950" y="3971694"/>
              </a:lnTo>
              <a:lnTo>
                <a:pt x="494178" y="3800792"/>
              </a:lnTo>
              <a:lnTo>
                <a:pt x="2085502" y="2154818"/>
              </a:lnTo>
              <a:lnTo>
                <a:pt x="2570499" y="1653166"/>
              </a:lnTo>
              <a:lnTo>
                <a:pt x="4168777" y="0"/>
              </a:lnTo>
              <a:lnTo>
                <a:pt x="4168777" y="37503"/>
              </a:lnTo>
              <a:lnTo>
                <a:pt x="2584407" y="1676284"/>
              </a:lnTo>
              <a:lnTo>
                <a:pt x="2103631" y="2173571"/>
              </a:lnTo>
              <a:lnTo>
                <a:pt x="512307" y="381954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0.38394</cdr:x>
      <cdr:y>0.25844</cdr:y>
    </cdr:from>
    <cdr:to>
      <cdr:x>0.94246</cdr:x>
      <cdr:y>0.81549</cdr:y>
    </cdr:to>
    <cdr:sp macro="" textlink="">
      <cdr:nvSpPr>
        <cdr:cNvPr id="7" name="FracNo 751 StartRow 88">
          <a:extLst xmlns:a="http://schemas.openxmlformats.org/drawingml/2006/main">
            <a:ext uri="{FF2B5EF4-FFF2-40B4-BE49-F238E27FC236}">
              <a16:creationId xmlns:a16="http://schemas.microsoft.com/office/drawing/2014/main" id="{A5F1E0C0-2527-6A50-7F85-A16D4D57446F}"/>
            </a:ext>
          </a:extLst>
        </cdr:cNvPr>
        <cdr:cNvSpPr/>
      </cdr:nvSpPr>
      <cdr:spPr>
        <a:xfrm xmlns:a="http://schemas.openxmlformats.org/drawingml/2006/main">
          <a:off x="2808602" y="1969277"/>
          <a:ext cx="4085706" cy="42447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85706" h="4244770">
              <a:moveTo>
                <a:pt x="104001" y="4155948"/>
              </a:moveTo>
              <a:lnTo>
                <a:pt x="18130" y="4244769"/>
              </a:lnTo>
              <a:lnTo>
                <a:pt x="0" y="4226017"/>
              </a:lnTo>
              <a:lnTo>
                <a:pt x="85872" y="4137196"/>
              </a:lnTo>
              <a:lnTo>
                <a:pt x="1220822" y="2963269"/>
              </a:lnTo>
              <a:lnTo>
                <a:pt x="2002430" y="2154819"/>
              </a:lnTo>
              <a:lnTo>
                <a:pt x="3300682" y="811983"/>
              </a:lnTo>
              <a:lnTo>
                <a:pt x="4085705" y="0"/>
              </a:lnTo>
              <a:lnTo>
                <a:pt x="4085705" y="37504"/>
              </a:lnTo>
              <a:lnTo>
                <a:pt x="3307513" y="842421"/>
              </a:lnTo>
              <a:lnTo>
                <a:pt x="2020559" y="2173571"/>
              </a:lnTo>
              <a:lnTo>
                <a:pt x="1238952" y="298202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0.33219</cdr:x>
      <cdr:y>0.08544</cdr:y>
    </cdr:from>
    <cdr:to>
      <cdr:x>0.8676</cdr:x>
      <cdr:y>0.61463</cdr:y>
    </cdr:to>
    <cdr:sp macro="" textlink="">
      <cdr:nvSpPr>
        <cdr:cNvPr id="8" name="FracNo 972 StartRow 103">
          <a:extLst xmlns:a="http://schemas.openxmlformats.org/drawingml/2006/main">
            <a:ext uri="{FF2B5EF4-FFF2-40B4-BE49-F238E27FC236}">
              <a16:creationId xmlns:a16="http://schemas.microsoft.com/office/drawing/2014/main" id="{363ABDAB-A674-A2AB-4152-D0DC160FC8B1}"/>
            </a:ext>
          </a:extLst>
        </cdr:cNvPr>
        <cdr:cNvSpPr/>
      </cdr:nvSpPr>
      <cdr:spPr>
        <a:xfrm xmlns:a="http://schemas.openxmlformats.org/drawingml/2006/main">
          <a:off x="2430006" y="651036"/>
          <a:ext cx="3916656" cy="40324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16656" h="4032411">
              <a:moveTo>
                <a:pt x="3500027" y="393433"/>
              </a:moveTo>
              <a:lnTo>
                <a:pt x="2381026" y="1550862"/>
              </a:lnTo>
              <a:lnTo>
                <a:pt x="1815251" y="2136067"/>
              </a:lnTo>
              <a:lnTo>
                <a:pt x="306816" y="3696305"/>
              </a:lnTo>
              <a:lnTo>
                <a:pt x="0" y="4013658"/>
              </a:lnTo>
              <a:lnTo>
                <a:pt x="18129" y="4032410"/>
              </a:lnTo>
              <a:lnTo>
                <a:pt x="324945" y="3715057"/>
              </a:lnTo>
              <a:lnTo>
                <a:pt x="1833380" y="2154819"/>
              </a:lnTo>
              <a:lnTo>
                <a:pt x="2399155" y="1569614"/>
              </a:lnTo>
              <a:lnTo>
                <a:pt x="3531686" y="398190"/>
              </a:lnTo>
              <a:lnTo>
                <a:pt x="3916655" y="0"/>
              </a:lnTo>
              <a:lnTo>
                <a:pt x="388039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0.24972</cdr:x>
      <cdr:y>0.08544</cdr:y>
    </cdr:from>
    <cdr:to>
      <cdr:x>0.77704</cdr:x>
      <cdr:y>0.60658</cdr:y>
    </cdr:to>
    <cdr:sp macro="" textlink="">
      <cdr:nvSpPr>
        <cdr:cNvPr id="9" name="FracNo 770 StartRow 118">
          <a:extLst xmlns:a="http://schemas.openxmlformats.org/drawingml/2006/main">
            <a:ext uri="{FF2B5EF4-FFF2-40B4-BE49-F238E27FC236}">
              <a16:creationId xmlns:a16="http://schemas.microsoft.com/office/drawing/2014/main" id="{B73E9416-32A3-6FBF-6D91-8ED69155865F}"/>
            </a:ext>
          </a:extLst>
        </cdr:cNvPr>
        <cdr:cNvSpPr/>
      </cdr:nvSpPr>
      <cdr:spPr>
        <a:xfrm xmlns:a="http://schemas.openxmlformats.org/drawingml/2006/main">
          <a:off x="1826754" y="651036"/>
          <a:ext cx="3857413" cy="39711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57413" h="3971132">
              <a:moveTo>
                <a:pt x="1485370" y="2415999"/>
              </a:moveTo>
              <a:lnTo>
                <a:pt x="910068" y="3011058"/>
              </a:lnTo>
              <a:lnTo>
                <a:pt x="0" y="3952380"/>
              </a:lnTo>
              <a:lnTo>
                <a:pt x="18129" y="3971131"/>
              </a:lnTo>
              <a:lnTo>
                <a:pt x="928197" y="3029810"/>
              </a:lnTo>
              <a:lnTo>
                <a:pt x="1503499" y="2434751"/>
              </a:lnTo>
              <a:lnTo>
                <a:pt x="1774137" y="2154819"/>
              </a:lnTo>
              <a:lnTo>
                <a:pt x="3007775" y="878815"/>
              </a:lnTo>
              <a:lnTo>
                <a:pt x="3857412" y="0"/>
              </a:lnTo>
              <a:lnTo>
                <a:pt x="3821153" y="0"/>
              </a:lnTo>
              <a:lnTo>
                <a:pt x="2978910" y="871167"/>
              </a:lnTo>
              <a:lnTo>
                <a:pt x="1756008" y="213606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0.15436</cdr:y>
    </cdr:from>
    <cdr:to>
      <cdr:x>0.61594</cdr:x>
      <cdr:y>0.67725</cdr:y>
    </cdr:to>
    <cdr:sp macro="" textlink="">
      <cdr:nvSpPr>
        <cdr:cNvPr id="10" name="FracNo 353 StartRow 133">
          <a:extLst xmlns:a="http://schemas.openxmlformats.org/drawingml/2006/main">
            <a:ext uri="{FF2B5EF4-FFF2-40B4-BE49-F238E27FC236}">
              <a16:creationId xmlns:a16="http://schemas.microsoft.com/office/drawing/2014/main" id="{9B882E31-76C1-9C40-66A7-9BBFEF3B5FE9}"/>
            </a:ext>
          </a:extLst>
        </cdr:cNvPr>
        <cdr:cNvSpPr/>
      </cdr:nvSpPr>
      <cdr:spPr>
        <a:xfrm xmlns:a="http://schemas.openxmlformats.org/drawingml/2006/main">
          <a:off x="671676" y="1176203"/>
          <a:ext cx="3834043" cy="39844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34043" h="3984464">
              <a:moveTo>
                <a:pt x="3310072" y="560717"/>
              </a:moveTo>
              <a:lnTo>
                <a:pt x="2276627" y="1629652"/>
              </a:lnTo>
              <a:lnTo>
                <a:pt x="2083275" y="1829644"/>
              </a:lnTo>
              <a:lnTo>
                <a:pt x="194197" y="3783597"/>
              </a:lnTo>
              <a:lnTo>
                <a:pt x="0" y="3984463"/>
              </a:lnTo>
              <a:lnTo>
                <a:pt x="0" y="3946959"/>
              </a:lnTo>
              <a:lnTo>
                <a:pt x="192507" y="3747841"/>
              </a:lnTo>
              <a:lnTo>
                <a:pt x="2065146" y="1810892"/>
              </a:lnTo>
              <a:lnTo>
                <a:pt x="2258498" y="1610900"/>
              </a:lnTo>
              <a:lnTo>
                <a:pt x="3291942" y="541965"/>
              </a:lnTo>
              <a:lnTo>
                <a:pt x="3815913" y="0"/>
              </a:lnTo>
              <a:lnTo>
                <a:pt x="383404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0.35332</cdr:y>
    </cdr:from>
    <cdr:to>
      <cdr:x>0.57295</cdr:x>
      <cdr:y>0.83353</cdr:y>
    </cdr:to>
    <cdr:sp macro="" textlink="">
      <cdr:nvSpPr>
        <cdr:cNvPr id="11" name="FracNo 508 StartRow 148">
          <a:extLst xmlns:a="http://schemas.openxmlformats.org/drawingml/2006/main">
            <a:ext uri="{FF2B5EF4-FFF2-40B4-BE49-F238E27FC236}">
              <a16:creationId xmlns:a16="http://schemas.microsoft.com/office/drawing/2014/main" id="{5292C08D-B518-3A72-5023-43C572B82096}"/>
            </a:ext>
          </a:extLst>
        </cdr:cNvPr>
        <cdr:cNvSpPr/>
      </cdr:nvSpPr>
      <cdr:spPr>
        <a:xfrm xmlns:a="http://schemas.openxmlformats.org/drawingml/2006/main">
          <a:off x="671676" y="2692321"/>
          <a:ext cx="3519569" cy="36591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19569" h="3659190">
              <a:moveTo>
                <a:pt x="1828732" y="1730151"/>
              </a:moveTo>
              <a:lnTo>
                <a:pt x="1338022" y="2237712"/>
              </a:lnTo>
              <a:lnTo>
                <a:pt x="0" y="3621685"/>
              </a:lnTo>
              <a:lnTo>
                <a:pt x="0" y="3659189"/>
              </a:lnTo>
              <a:lnTo>
                <a:pt x="1351293" y="2261490"/>
              </a:lnTo>
              <a:lnTo>
                <a:pt x="1845281" y="1750537"/>
              </a:lnTo>
              <a:lnTo>
                <a:pt x="2083275" y="1504370"/>
              </a:lnTo>
              <a:lnTo>
                <a:pt x="3427932" y="113534"/>
              </a:lnTo>
              <a:lnTo>
                <a:pt x="3519568" y="18751"/>
              </a:lnTo>
              <a:lnTo>
                <a:pt x="3501439" y="0"/>
              </a:lnTo>
              <a:lnTo>
                <a:pt x="3409803" y="94782"/>
              </a:lnTo>
              <a:lnTo>
                <a:pt x="2065146" y="148561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0.39012</cdr:x>
      <cdr:y>0.45706</cdr:y>
    </cdr:from>
    <cdr:to>
      <cdr:x>0.86899</cdr:x>
      <cdr:y>0.9301</cdr:y>
    </cdr:to>
    <cdr:sp macro="" textlink="">
      <cdr:nvSpPr>
        <cdr:cNvPr id="12" name="FracNo 919 StartRow 163">
          <a:extLst xmlns:a="http://schemas.openxmlformats.org/drawingml/2006/main">
            <a:ext uri="{FF2B5EF4-FFF2-40B4-BE49-F238E27FC236}">
              <a16:creationId xmlns:a16="http://schemas.microsoft.com/office/drawing/2014/main" id="{2F02BC96-06B0-92F2-9751-B8325B81843B}"/>
            </a:ext>
          </a:extLst>
        </cdr:cNvPr>
        <cdr:cNvSpPr/>
      </cdr:nvSpPr>
      <cdr:spPr>
        <a:xfrm xmlns:a="http://schemas.openxmlformats.org/drawingml/2006/main">
          <a:off x="2853805" y="3482796"/>
          <a:ext cx="3503022" cy="36045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03022" h="3604570">
              <a:moveTo>
                <a:pt x="3204450" y="290072"/>
              </a:moveTo>
              <a:lnTo>
                <a:pt x="2083275" y="1449750"/>
              </a:lnTo>
              <a:lnTo>
                <a:pt x="1956676" y="1580697"/>
              </a:lnTo>
              <a:lnTo>
                <a:pt x="0" y="3604569"/>
              </a:lnTo>
              <a:lnTo>
                <a:pt x="36259" y="3604569"/>
              </a:lnTo>
              <a:lnTo>
                <a:pt x="1975907" y="1598309"/>
              </a:lnTo>
              <a:lnTo>
                <a:pt x="2101405" y="1468502"/>
              </a:lnTo>
              <a:lnTo>
                <a:pt x="3222579" y="308824"/>
              </a:lnTo>
              <a:lnTo>
                <a:pt x="3503021" y="18752"/>
              </a:lnTo>
              <a:lnTo>
                <a:pt x="348489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0.3027</cdr:x>
      <cdr:y>0.45912</cdr:y>
    </cdr:from>
    <cdr:to>
      <cdr:x>0.7795</cdr:x>
      <cdr:y>0.9301</cdr:y>
    </cdr:to>
    <cdr:sp macro="" textlink="">
      <cdr:nvSpPr>
        <cdr:cNvPr id="13" name="FracNo 883 StartRow 176">
          <a:extLst xmlns:a="http://schemas.openxmlformats.org/drawingml/2006/main">
            <a:ext uri="{FF2B5EF4-FFF2-40B4-BE49-F238E27FC236}">
              <a16:creationId xmlns:a16="http://schemas.microsoft.com/office/drawing/2014/main" id="{63C06AA1-A0E4-2141-6A01-CAEDD6876F07}"/>
            </a:ext>
          </a:extLst>
        </cdr:cNvPr>
        <cdr:cNvSpPr/>
      </cdr:nvSpPr>
      <cdr:spPr>
        <a:xfrm xmlns:a="http://schemas.openxmlformats.org/drawingml/2006/main">
          <a:off x="2214330" y="3498478"/>
          <a:ext cx="3487861" cy="35888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87861" h="3588888">
              <a:moveTo>
                <a:pt x="220688" y="3398124"/>
              </a:moveTo>
              <a:lnTo>
                <a:pt x="36259" y="3588887"/>
              </a:lnTo>
              <a:lnTo>
                <a:pt x="0" y="3588887"/>
              </a:lnTo>
              <a:lnTo>
                <a:pt x="191059" y="3391267"/>
              </a:lnTo>
              <a:lnTo>
                <a:pt x="522492" y="3048452"/>
              </a:lnTo>
              <a:lnTo>
                <a:pt x="2083276" y="1434068"/>
              </a:lnTo>
              <a:lnTo>
                <a:pt x="2596702" y="903009"/>
              </a:lnTo>
              <a:lnTo>
                <a:pt x="3469730" y="0"/>
              </a:lnTo>
              <a:lnTo>
                <a:pt x="3487860" y="18751"/>
              </a:lnTo>
              <a:lnTo>
                <a:pt x="2614831" y="921761"/>
              </a:lnTo>
              <a:lnTo>
                <a:pt x="2101404" y="1452820"/>
              </a:lnTo>
              <a:lnTo>
                <a:pt x="540621" y="30672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0.48456</cdr:x>
      <cdr:y>0.39011</cdr:y>
    </cdr:from>
    <cdr:to>
      <cdr:x>0.94246</cdr:x>
      <cdr:y>0.84726</cdr:y>
    </cdr:to>
    <cdr:sp macro="" textlink="">
      <cdr:nvSpPr>
        <cdr:cNvPr id="14" name="FracNo 740 StartRow 191">
          <a:extLst xmlns:a="http://schemas.openxmlformats.org/drawingml/2006/main">
            <a:ext uri="{FF2B5EF4-FFF2-40B4-BE49-F238E27FC236}">
              <a16:creationId xmlns:a16="http://schemas.microsoft.com/office/drawing/2014/main" id="{929BD339-D175-8CCE-0ED6-62746AB12465}"/>
            </a:ext>
          </a:extLst>
        </cdr:cNvPr>
        <cdr:cNvSpPr/>
      </cdr:nvSpPr>
      <cdr:spPr>
        <a:xfrm xmlns:a="http://schemas.openxmlformats.org/drawingml/2006/main">
          <a:off x="3544662" y="2972668"/>
          <a:ext cx="3349646" cy="34834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49646" h="3483431">
              <a:moveTo>
                <a:pt x="2738918" y="669205"/>
              </a:moveTo>
              <a:lnTo>
                <a:pt x="1472968" y="1978630"/>
              </a:lnTo>
              <a:lnTo>
                <a:pt x="1284499" y="2173571"/>
              </a:lnTo>
              <a:lnTo>
                <a:pt x="18129" y="3483430"/>
              </a:lnTo>
              <a:lnTo>
                <a:pt x="0" y="3464678"/>
              </a:lnTo>
              <a:lnTo>
                <a:pt x="1266370" y="2154819"/>
              </a:lnTo>
              <a:lnTo>
                <a:pt x="1454839" y="1959878"/>
              </a:lnTo>
              <a:lnTo>
                <a:pt x="2733018" y="637803"/>
              </a:lnTo>
              <a:lnTo>
                <a:pt x="3349645" y="0"/>
              </a:lnTo>
              <a:lnTo>
                <a:pt x="3349645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0.247</cdr:x>
      <cdr:y>0.10518</cdr:y>
    </cdr:from>
    <cdr:to>
      <cdr:x>0.6928</cdr:x>
      <cdr:y>0.54785</cdr:y>
    </cdr:to>
    <cdr:sp macro="" textlink="">
      <cdr:nvSpPr>
        <cdr:cNvPr id="15" name="FracNo 676 StartRow 204">
          <a:extLst xmlns:a="http://schemas.openxmlformats.org/drawingml/2006/main">
            <a:ext uri="{FF2B5EF4-FFF2-40B4-BE49-F238E27FC236}">
              <a16:creationId xmlns:a16="http://schemas.microsoft.com/office/drawing/2014/main" id="{6A88A46F-1ED1-9044-3372-FD61BEB0E52A}"/>
            </a:ext>
          </a:extLst>
        </cdr:cNvPr>
        <cdr:cNvSpPr/>
      </cdr:nvSpPr>
      <cdr:spPr>
        <a:xfrm xmlns:a="http://schemas.openxmlformats.org/drawingml/2006/main">
          <a:off x="1806818" y="801465"/>
          <a:ext cx="3261148" cy="33731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61148" h="3373143">
              <a:moveTo>
                <a:pt x="3228994" y="52010"/>
              </a:moveTo>
              <a:lnTo>
                <a:pt x="3022343" y="265757"/>
              </a:lnTo>
              <a:lnTo>
                <a:pt x="1341437" y="2004390"/>
              </a:lnTo>
              <a:lnTo>
                <a:pt x="948133" y="2411200"/>
              </a:lnTo>
              <a:lnTo>
                <a:pt x="18130" y="3373142"/>
              </a:lnTo>
              <a:lnTo>
                <a:pt x="0" y="3354390"/>
              </a:lnTo>
              <a:lnTo>
                <a:pt x="930004" y="2392448"/>
              </a:lnTo>
              <a:lnTo>
                <a:pt x="1323307" y="1985638"/>
              </a:lnTo>
              <a:lnTo>
                <a:pt x="3004214" y="247005"/>
              </a:lnTo>
              <a:lnTo>
                <a:pt x="3210864" y="33258"/>
              </a:lnTo>
              <a:lnTo>
                <a:pt x="3243018" y="0"/>
              </a:lnTo>
              <a:lnTo>
                <a:pt x="326114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0.512</cdr:x>
      <cdr:y>0.18115</cdr:y>
    </cdr:from>
    <cdr:to>
      <cdr:x>0.94246</cdr:x>
      <cdr:y>0.61105</cdr:y>
    </cdr:to>
    <cdr:sp macro="" textlink="">
      <cdr:nvSpPr>
        <cdr:cNvPr id="16" name="FracNo 105 StartRow 219">
          <a:extLst xmlns:a="http://schemas.openxmlformats.org/drawingml/2006/main">
            <a:ext uri="{FF2B5EF4-FFF2-40B4-BE49-F238E27FC236}">
              <a16:creationId xmlns:a16="http://schemas.microsoft.com/office/drawing/2014/main" id="{AAE0CE06-2633-831D-E745-8DEDCC66F636}"/>
            </a:ext>
          </a:extLst>
        </cdr:cNvPr>
        <cdr:cNvSpPr/>
      </cdr:nvSpPr>
      <cdr:spPr>
        <a:xfrm xmlns:a="http://schemas.openxmlformats.org/drawingml/2006/main">
          <a:off x="3745402" y="1380398"/>
          <a:ext cx="3148906" cy="32757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48906" h="3275798">
              <a:moveTo>
                <a:pt x="819769" y="2409124"/>
              </a:moveTo>
              <a:lnTo>
                <a:pt x="0" y="3257046"/>
              </a:lnTo>
              <a:lnTo>
                <a:pt x="18129" y="3275797"/>
              </a:lnTo>
              <a:lnTo>
                <a:pt x="837898" y="2427876"/>
              </a:lnTo>
              <a:lnTo>
                <a:pt x="1083759" y="2173571"/>
              </a:lnTo>
              <a:lnTo>
                <a:pt x="1803874" y="1428726"/>
              </a:lnTo>
              <a:lnTo>
                <a:pt x="3148905" y="37504"/>
              </a:lnTo>
              <a:lnTo>
                <a:pt x="3148905" y="0"/>
              </a:lnTo>
              <a:lnTo>
                <a:pt x="1792066" y="1403436"/>
              </a:lnTo>
              <a:lnTo>
                <a:pt x="1065630" y="215481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0.4364</cdr:y>
    </cdr:from>
    <cdr:to>
      <cdr:x>0.5183</cdr:x>
      <cdr:y>0.86235</cdr:y>
    </cdr:to>
    <cdr:sp macro="" textlink="">
      <cdr:nvSpPr>
        <cdr:cNvPr id="17" name="FracNo 793 StartRow 232">
          <a:extLst xmlns:a="http://schemas.openxmlformats.org/drawingml/2006/main">
            <a:ext uri="{FF2B5EF4-FFF2-40B4-BE49-F238E27FC236}">
              <a16:creationId xmlns:a16="http://schemas.microsoft.com/office/drawing/2014/main" id="{0DDE316B-4334-FE4C-FA1B-511A8C68F1E4}"/>
            </a:ext>
          </a:extLst>
        </cdr:cNvPr>
        <cdr:cNvSpPr/>
      </cdr:nvSpPr>
      <cdr:spPr>
        <a:xfrm xmlns:a="http://schemas.openxmlformats.org/drawingml/2006/main">
          <a:off x="671676" y="3325392"/>
          <a:ext cx="3119815" cy="32457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19815" h="3245707">
              <a:moveTo>
                <a:pt x="2337223" y="828219"/>
              </a:moveTo>
              <a:lnTo>
                <a:pt x="2083275" y="1090888"/>
              </a:lnTo>
              <a:lnTo>
                <a:pt x="1563760" y="1628244"/>
              </a:lnTo>
              <a:lnTo>
                <a:pt x="0" y="3245706"/>
              </a:lnTo>
              <a:lnTo>
                <a:pt x="0" y="3208203"/>
              </a:lnTo>
              <a:lnTo>
                <a:pt x="1550151" y="1604816"/>
              </a:lnTo>
              <a:lnTo>
                <a:pt x="2065146" y="1072136"/>
              </a:lnTo>
              <a:lnTo>
                <a:pt x="2319093" y="809467"/>
              </a:lnTo>
              <a:lnTo>
                <a:pt x="3101684" y="0"/>
              </a:lnTo>
              <a:lnTo>
                <a:pt x="311981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0.3783</cdr:y>
    </cdr:from>
    <cdr:to>
      <cdr:x>0.51691</cdr:x>
      <cdr:y>0.80287</cdr:y>
    </cdr:to>
    <cdr:sp macro="" textlink="">
      <cdr:nvSpPr>
        <cdr:cNvPr id="18" name="FracNo 939 StartRow 245">
          <a:extLst xmlns:a="http://schemas.openxmlformats.org/drawingml/2006/main">
            <a:ext uri="{FF2B5EF4-FFF2-40B4-BE49-F238E27FC236}">
              <a16:creationId xmlns:a16="http://schemas.microsoft.com/office/drawing/2014/main" id="{AD0F76D1-DDF7-5D92-1A8E-9B219D3A2B48}"/>
            </a:ext>
          </a:extLst>
        </cdr:cNvPr>
        <cdr:cNvSpPr/>
      </cdr:nvSpPr>
      <cdr:spPr>
        <a:xfrm xmlns:a="http://schemas.openxmlformats.org/drawingml/2006/main">
          <a:off x="671676" y="2882647"/>
          <a:ext cx="3109648" cy="32351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09648" h="3235191">
              <a:moveTo>
                <a:pt x="2733058" y="408273"/>
              </a:moveTo>
              <a:lnTo>
                <a:pt x="2083275" y="1080372"/>
              </a:lnTo>
              <a:lnTo>
                <a:pt x="1123633" y="2072970"/>
              </a:lnTo>
              <a:lnTo>
                <a:pt x="0" y="3235190"/>
              </a:lnTo>
              <a:lnTo>
                <a:pt x="0" y="3197687"/>
              </a:lnTo>
              <a:lnTo>
                <a:pt x="1113855" y="2045580"/>
              </a:lnTo>
              <a:lnTo>
                <a:pt x="2065146" y="1061620"/>
              </a:lnTo>
              <a:lnTo>
                <a:pt x="2714929" y="389522"/>
              </a:lnTo>
              <a:lnTo>
                <a:pt x="3091518" y="0"/>
              </a:lnTo>
              <a:lnTo>
                <a:pt x="310964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0.41062</cdr:x>
      <cdr:y>0.08544</cdr:y>
    </cdr:from>
    <cdr:to>
      <cdr:x>0.83522</cdr:x>
      <cdr:y>0.5046</cdr:y>
    </cdr:to>
    <cdr:sp macro="" textlink="">
      <cdr:nvSpPr>
        <cdr:cNvPr id="19" name="FracNo 891 StartRow 258">
          <a:extLst xmlns:a="http://schemas.openxmlformats.org/drawingml/2006/main">
            <a:ext uri="{FF2B5EF4-FFF2-40B4-BE49-F238E27FC236}">
              <a16:creationId xmlns:a16="http://schemas.microsoft.com/office/drawing/2014/main" id="{7C354FD1-E5C3-0D48-8DFC-9E049DCBE354}"/>
            </a:ext>
          </a:extLst>
        </cdr:cNvPr>
        <cdr:cNvSpPr/>
      </cdr:nvSpPr>
      <cdr:spPr>
        <a:xfrm xmlns:a="http://schemas.openxmlformats.org/drawingml/2006/main">
          <a:off x="3003742" y="651036"/>
          <a:ext cx="3106069" cy="31939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06069" h="3193987">
              <a:moveTo>
                <a:pt x="735820" y="2451647"/>
              </a:moveTo>
              <a:lnTo>
                <a:pt x="18129" y="3193986"/>
              </a:lnTo>
              <a:lnTo>
                <a:pt x="0" y="3175234"/>
              </a:lnTo>
              <a:lnTo>
                <a:pt x="717691" y="2432896"/>
              </a:lnTo>
              <a:lnTo>
                <a:pt x="1004664" y="2136067"/>
              </a:lnTo>
              <a:lnTo>
                <a:pt x="1803782" y="1309506"/>
              </a:lnTo>
              <a:lnTo>
                <a:pt x="3069810" y="0"/>
              </a:lnTo>
              <a:lnTo>
                <a:pt x="3106068" y="0"/>
              </a:lnTo>
              <a:lnTo>
                <a:pt x="1828927" y="1321001"/>
              </a:lnTo>
              <a:lnTo>
                <a:pt x="1022794" y="215481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0.45711</cdr:x>
      <cdr:y>0.51181</cdr:y>
    </cdr:from>
    <cdr:to>
      <cdr:x>0.88084</cdr:x>
      <cdr:y>0.9301</cdr:y>
    </cdr:to>
    <cdr:sp macro="" textlink="">
      <cdr:nvSpPr>
        <cdr:cNvPr id="20" name="FracNo 858 StartRow 271">
          <a:extLst xmlns:a="http://schemas.openxmlformats.org/drawingml/2006/main">
            <a:ext uri="{FF2B5EF4-FFF2-40B4-BE49-F238E27FC236}">
              <a16:creationId xmlns:a16="http://schemas.microsoft.com/office/drawing/2014/main" id="{2BC63D1F-CB30-2A4A-81EA-1AF2B940010B}"/>
            </a:ext>
          </a:extLst>
        </cdr:cNvPr>
        <cdr:cNvSpPr/>
      </cdr:nvSpPr>
      <cdr:spPr>
        <a:xfrm xmlns:a="http://schemas.openxmlformats.org/drawingml/2006/main">
          <a:off x="3343824" y="3899962"/>
          <a:ext cx="3099706" cy="31874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99706" h="3187404">
              <a:moveTo>
                <a:pt x="1866336" y="1294476"/>
              </a:moveTo>
              <a:lnTo>
                <a:pt x="1487213" y="1686620"/>
              </a:lnTo>
              <a:lnTo>
                <a:pt x="36258" y="3187403"/>
              </a:lnTo>
              <a:lnTo>
                <a:pt x="0" y="3187403"/>
              </a:lnTo>
              <a:lnTo>
                <a:pt x="1465333" y="1671747"/>
              </a:lnTo>
              <a:lnTo>
                <a:pt x="1846772" y="1277209"/>
              </a:lnTo>
              <a:lnTo>
                <a:pt x="2083275" y="1032584"/>
              </a:lnTo>
              <a:lnTo>
                <a:pt x="3081575" y="0"/>
              </a:lnTo>
              <a:lnTo>
                <a:pt x="3099705" y="18752"/>
              </a:lnTo>
              <a:lnTo>
                <a:pt x="2101404" y="105133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0.12103</cdr:y>
    </cdr:from>
    <cdr:to>
      <cdr:x>0.51087</cdr:x>
      <cdr:y>0.53959</cdr:y>
    </cdr:to>
    <cdr:sp macro="" textlink="">
      <cdr:nvSpPr>
        <cdr:cNvPr id="21" name="FracNo 963 StartRow 284">
          <a:extLst xmlns:a="http://schemas.openxmlformats.org/drawingml/2006/main">
            <a:ext uri="{FF2B5EF4-FFF2-40B4-BE49-F238E27FC236}">
              <a16:creationId xmlns:a16="http://schemas.microsoft.com/office/drawing/2014/main" id="{AC82F964-D754-3CCF-AD99-7E831360D2CC}"/>
            </a:ext>
          </a:extLst>
        </cdr:cNvPr>
        <cdr:cNvSpPr/>
      </cdr:nvSpPr>
      <cdr:spPr>
        <a:xfrm xmlns:a="http://schemas.openxmlformats.org/drawingml/2006/main">
          <a:off x="671676" y="922228"/>
          <a:ext cx="3065457" cy="31894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65457" h="3189483">
              <a:moveTo>
                <a:pt x="1929907" y="1193299"/>
              </a:moveTo>
              <a:lnTo>
                <a:pt x="1259347" y="1886886"/>
              </a:lnTo>
              <a:lnTo>
                <a:pt x="0" y="3189482"/>
              </a:lnTo>
              <a:lnTo>
                <a:pt x="0" y="3151979"/>
              </a:lnTo>
              <a:lnTo>
                <a:pt x="1247521" y="1861616"/>
              </a:lnTo>
              <a:lnTo>
                <a:pt x="1912951" y="1173333"/>
              </a:lnTo>
              <a:lnTo>
                <a:pt x="2065146" y="1015912"/>
              </a:lnTo>
              <a:lnTo>
                <a:pt x="3047327" y="0"/>
              </a:lnTo>
              <a:lnTo>
                <a:pt x="3065456" y="18752"/>
              </a:lnTo>
              <a:lnTo>
                <a:pt x="2083275" y="103466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0.50024</cdr:x>
      <cdr:y>0.49098</cdr:y>
    </cdr:to>
    <cdr:sp macro="" textlink="">
      <cdr:nvSpPr>
        <cdr:cNvPr id="22" name="FracNo 915 StartRow 297">
          <a:extLst xmlns:a="http://schemas.openxmlformats.org/drawingml/2006/main">
            <a:ext uri="{FF2B5EF4-FFF2-40B4-BE49-F238E27FC236}">
              <a16:creationId xmlns:a16="http://schemas.microsoft.com/office/drawing/2014/main" id="{5EA9CBC2-CE04-F2B1-25AF-C3F7B8C4C73F}"/>
            </a:ext>
          </a:extLst>
        </cdr:cNvPr>
        <cdr:cNvSpPr/>
      </cdr:nvSpPr>
      <cdr:spPr>
        <a:xfrm xmlns:a="http://schemas.openxmlformats.org/drawingml/2006/main">
          <a:off x="671676" y="651036"/>
          <a:ext cx="2987659" cy="30902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87659" h="3090261">
              <a:moveTo>
                <a:pt x="818922" y="2243216"/>
              </a:moveTo>
              <a:lnTo>
                <a:pt x="0" y="3090260"/>
              </a:lnTo>
              <a:lnTo>
                <a:pt x="0" y="3052757"/>
              </a:lnTo>
              <a:lnTo>
                <a:pt x="802506" y="2222691"/>
              </a:lnTo>
              <a:lnTo>
                <a:pt x="886254" y="2136067"/>
              </a:lnTo>
              <a:lnTo>
                <a:pt x="2059994" y="922019"/>
              </a:lnTo>
              <a:lnTo>
                <a:pt x="2951400" y="0"/>
              </a:lnTo>
              <a:lnTo>
                <a:pt x="2987658" y="0"/>
              </a:lnTo>
              <a:lnTo>
                <a:pt x="2088427" y="930113"/>
              </a:lnTo>
              <a:lnTo>
                <a:pt x="904383" y="215481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0.45133</cdr:x>
      <cdr:y>0.53543</cdr:y>
    </cdr:from>
    <cdr:to>
      <cdr:x>0.85127</cdr:x>
      <cdr:y>0.9301</cdr:y>
    </cdr:to>
    <cdr:sp macro="" textlink="">
      <cdr:nvSpPr>
        <cdr:cNvPr id="23" name="FracNo 951 StartRow 310">
          <a:extLst xmlns:a="http://schemas.openxmlformats.org/drawingml/2006/main">
            <a:ext uri="{FF2B5EF4-FFF2-40B4-BE49-F238E27FC236}">
              <a16:creationId xmlns:a16="http://schemas.microsoft.com/office/drawing/2014/main" id="{AA47A4F7-0416-15F9-3419-FD57AABC1D8D}"/>
            </a:ext>
          </a:extLst>
        </cdr:cNvPr>
        <cdr:cNvSpPr/>
      </cdr:nvSpPr>
      <cdr:spPr>
        <a:xfrm xmlns:a="http://schemas.openxmlformats.org/drawingml/2006/main">
          <a:off x="3301592" y="4079991"/>
          <a:ext cx="2925654" cy="30073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25654" h="3007375">
              <a:moveTo>
                <a:pt x="2358216" y="605676"/>
              </a:moveTo>
              <a:lnTo>
                <a:pt x="2101404" y="871307"/>
              </a:lnTo>
              <a:lnTo>
                <a:pt x="1530077" y="1462255"/>
              </a:lnTo>
              <a:lnTo>
                <a:pt x="36259" y="3007374"/>
              </a:lnTo>
              <a:lnTo>
                <a:pt x="0" y="3007374"/>
              </a:lnTo>
              <a:lnTo>
                <a:pt x="1506932" y="1448691"/>
              </a:lnTo>
              <a:lnTo>
                <a:pt x="2083275" y="852555"/>
              </a:lnTo>
              <a:lnTo>
                <a:pt x="2340087" y="586924"/>
              </a:lnTo>
              <a:lnTo>
                <a:pt x="2907523" y="0"/>
              </a:lnTo>
              <a:lnTo>
                <a:pt x="292565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0.54823</cdr:x>
      <cdr:y>0.19889</cdr:y>
    </cdr:from>
    <cdr:to>
      <cdr:x>0.94246</cdr:x>
      <cdr:y>0.59282</cdr:y>
    </cdr:to>
    <cdr:sp macro="" textlink="">
      <cdr:nvSpPr>
        <cdr:cNvPr id="24" name="FracNo 667 StartRow 323">
          <a:extLst xmlns:a="http://schemas.openxmlformats.org/drawingml/2006/main">
            <a:ext uri="{FF2B5EF4-FFF2-40B4-BE49-F238E27FC236}">
              <a16:creationId xmlns:a16="http://schemas.microsoft.com/office/drawing/2014/main" id="{A82E8FA9-BBAE-352E-67E7-DFF0E8047F5B}"/>
            </a:ext>
          </a:extLst>
        </cdr:cNvPr>
        <cdr:cNvSpPr/>
      </cdr:nvSpPr>
      <cdr:spPr>
        <a:xfrm xmlns:a="http://schemas.openxmlformats.org/drawingml/2006/main">
          <a:off x="4010382" y="1515561"/>
          <a:ext cx="2883926" cy="30017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83926" h="3001717">
              <a:moveTo>
                <a:pt x="2675866" y="215203"/>
              </a:moveTo>
              <a:lnTo>
                <a:pt x="1654600" y="1271542"/>
              </a:lnTo>
              <a:lnTo>
                <a:pt x="800650" y="2154818"/>
              </a:lnTo>
              <a:lnTo>
                <a:pt x="0" y="2982965"/>
              </a:lnTo>
              <a:lnTo>
                <a:pt x="18129" y="3001716"/>
              </a:lnTo>
              <a:lnTo>
                <a:pt x="818779" y="2173570"/>
              </a:lnTo>
              <a:lnTo>
                <a:pt x="1672730" y="1290294"/>
              </a:lnTo>
              <a:lnTo>
                <a:pt x="2678934" y="249533"/>
              </a:lnTo>
              <a:lnTo>
                <a:pt x="2883925" y="37503"/>
              </a:lnTo>
              <a:lnTo>
                <a:pt x="288392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0.55095</cdr:x>
      <cdr:y>0.39844</cdr:y>
    </cdr:from>
    <cdr:to>
      <cdr:x>0.94246</cdr:x>
      <cdr:y>0.78966</cdr:y>
    </cdr:to>
    <cdr:sp macro="" textlink="">
      <cdr:nvSpPr>
        <cdr:cNvPr id="25" name="FracNo 200 StartRow 336">
          <a:extLst xmlns:a="http://schemas.openxmlformats.org/drawingml/2006/main">
            <a:ext uri="{FF2B5EF4-FFF2-40B4-BE49-F238E27FC236}">
              <a16:creationId xmlns:a16="http://schemas.microsoft.com/office/drawing/2014/main" id="{F6829BB1-ED29-35B5-66E0-AFA41D1F6BDC}"/>
            </a:ext>
          </a:extLst>
        </cdr:cNvPr>
        <cdr:cNvSpPr/>
      </cdr:nvSpPr>
      <cdr:spPr>
        <a:xfrm xmlns:a="http://schemas.openxmlformats.org/drawingml/2006/main">
          <a:off x="4030338" y="3036148"/>
          <a:ext cx="2863970" cy="29810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63970" h="2981077">
              <a:moveTo>
                <a:pt x="1396435" y="1517933"/>
              </a:moveTo>
              <a:lnTo>
                <a:pt x="1030535" y="1896398"/>
              </a:lnTo>
              <a:lnTo>
                <a:pt x="780694" y="2154819"/>
              </a:lnTo>
              <a:lnTo>
                <a:pt x="0" y="2962324"/>
              </a:lnTo>
              <a:lnTo>
                <a:pt x="18129" y="2981076"/>
              </a:lnTo>
              <a:lnTo>
                <a:pt x="798823" y="2173571"/>
              </a:lnTo>
              <a:lnTo>
                <a:pt x="1048664" y="1915150"/>
              </a:lnTo>
              <a:lnTo>
                <a:pt x="1410946" y="1540427"/>
              </a:lnTo>
              <a:lnTo>
                <a:pt x="2863969" y="37504"/>
              </a:lnTo>
              <a:lnTo>
                <a:pt x="28639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0.41523</cdr:x>
      <cdr:y>0.54789</cdr:y>
    </cdr:from>
    <cdr:to>
      <cdr:x>0.80262</cdr:x>
      <cdr:y>0.9301</cdr:y>
    </cdr:to>
    <cdr:sp macro="" textlink="">
      <cdr:nvSpPr>
        <cdr:cNvPr id="26" name="FracNo 432 StartRow 349">
          <a:extLst xmlns:a="http://schemas.openxmlformats.org/drawingml/2006/main">
            <a:ext uri="{FF2B5EF4-FFF2-40B4-BE49-F238E27FC236}">
              <a16:creationId xmlns:a16="http://schemas.microsoft.com/office/drawing/2014/main" id="{01E990A4-A184-EDFA-A685-01A2E1CE6722}"/>
            </a:ext>
          </a:extLst>
        </cdr:cNvPr>
        <cdr:cNvSpPr/>
      </cdr:nvSpPr>
      <cdr:spPr>
        <a:xfrm xmlns:a="http://schemas.openxmlformats.org/drawingml/2006/main">
          <a:off x="3037456" y="4174923"/>
          <a:ext cx="2833873" cy="29124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33873" h="2912443">
              <a:moveTo>
                <a:pt x="1826803" y="1060407"/>
              </a:moveTo>
              <a:lnTo>
                <a:pt x="1791881" y="1096528"/>
              </a:lnTo>
              <a:lnTo>
                <a:pt x="36259" y="2912442"/>
              </a:lnTo>
              <a:lnTo>
                <a:pt x="0" y="2912442"/>
              </a:lnTo>
              <a:lnTo>
                <a:pt x="1773400" y="1078140"/>
              </a:lnTo>
              <a:lnTo>
                <a:pt x="1808362" y="1041978"/>
              </a:lnTo>
              <a:lnTo>
                <a:pt x="2083275" y="757623"/>
              </a:lnTo>
              <a:lnTo>
                <a:pt x="2815744" y="0"/>
              </a:lnTo>
              <a:lnTo>
                <a:pt x="2833872" y="18752"/>
              </a:lnTo>
              <a:lnTo>
                <a:pt x="2101405" y="77637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0.55772</cdr:x>
      <cdr:y>0.54806</cdr:y>
    </cdr:from>
    <cdr:to>
      <cdr:x>0.94246</cdr:x>
      <cdr:y>0.9301</cdr:y>
    </cdr:to>
    <cdr:sp macro="" textlink="">
      <cdr:nvSpPr>
        <cdr:cNvPr id="27" name="FracNo 845 StartRow 362">
          <a:extLst xmlns:a="http://schemas.openxmlformats.org/drawingml/2006/main">
            <a:ext uri="{FF2B5EF4-FFF2-40B4-BE49-F238E27FC236}">
              <a16:creationId xmlns:a16="http://schemas.microsoft.com/office/drawing/2014/main" id="{0B75C169-08CB-1BA8-73F8-9B4CC483E927}"/>
            </a:ext>
          </a:extLst>
        </cdr:cNvPr>
        <cdr:cNvSpPr/>
      </cdr:nvSpPr>
      <cdr:spPr>
        <a:xfrm xmlns:a="http://schemas.openxmlformats.org/drawingml/2006/main">
          <a:off x="4079829" y="4176232"/>
          <a:ext cx="2814479" cy="29111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14479" h="2911134">
              <a:moveTo>
                <a:pt x="1021532" y="1892023"/>
              </a:moveTo>
              <a:lnTo>
                <a:pt x="751808" y="2171010"/>
              </a:lnTo>
              <a:lnTo>
                <a:pt x="36259" y="2911133"/>
              </a:lnTo>
              <a:lnTo>
                <a:pt x="0" y="2911133"/>
              </a:lnTo>
              <a:lnTo>
                <a:pt x="728727" y="2157380"/>
              </a:lnTo>
              <a:lnTo>
                <a:pt x="1001626" y="1875109"/>
              </a:lnTo>
              <a:lnTo>
                <a:pt x="2088709" y="750694"/>
              </a:lnTo>
              <a:lnTo>
                <a:pt x="2814478" y="0"/>
              </a:lnTo>
              <a:lnTo>
                <a:pt x="2814478" y="37504"/>
              </a:lnTo>
              <a:lnTo>
                <a:pt x="2095971" y="78068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0.20984</cdr:x>
      <cdr:y>0.15725</cdr:y>
    </cdr:from>
    <cdr:to>
      <cdr:x>0.59458</cdr:x>
      <cdr:y>0.53929</cdr:y>
    </cdr:to>
    <cdr:sp macro="" textlink="">
      <cdr:nvSpPr>
        <cdr:cNvPr id="28" name="FracNo 844 StartRow 375">
          <a:extLst xmlns:a="http://schemas.openxmlformats.org/drawingml/2006/main">
            <a:ext uri="{FF2B5EF4-FFF2-40B4-BE49-F238E27FC236}">
              <a16:creationId xmlns:a16="http://schemas.microsoft.com/office/drawing/2014/main" id="{60D3AB87-AEE2-E7F7-CF06-4F0A51114DCB}"/>
            </a:ext>
          </a:extLst>
        </cdr:cNvPr>
        <cdr:cNvSpPr/>
      </cdr:nvSpPr>
      <cdr:spPr>
        <a:xfrm xmlns:a="http://schemas.openxmlformats.org/drawingml/2006/main">
          <a:off x="1535002" y="1198249"/>
          <a:ext cx="2814471" cy="29111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14471" h="2911126">
              <a:moveTo>
                <a:pt x="1753148" y="1116523"/>
              </a:moveTo>
              <a:lnTo>
                <a:pt x="1278369" y="1607606"/>
              </a:lnTo>
              <a:lnTo>
                <a:pt x="1219949" y="1668032"/>
              </a:lnTo>
              <a:lnTo>
                <a:pt x="18129" y="2911125"/>
              </a:lnTo>
              <a:lnTo>
                <a:pt x="0" y="2892374"/>
              </a:lnTo>
              <a:lnTo>
                <a:pt x="1201820" y="1649281"/>
              </a:lnTo>
              <a:lnTo>
                <a:pt x="1260240" y="1588854"/>
              </a:lnTo>
              <a:lnTo>
                <a:pt x="1735019" y="1097771"/>
              </a:lnTo>
              <a:lnTo>
                <a:pt x="2796341" y="0"/>
              </a:lnTo>
              <a:lnTo>
                <a:pt x="281447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0.43362</cdr:x>
      <cdr:y>0.47076</cdr:y>
    </cdr:from>
    <cdr:to>
      <cdr:x>0.81836</cdr:x>
      <cdr:y>0.85279</cdr:y>
    </cdr:to>
    <cdr:sp macro="" textlink="">
      <cdr:nvSpPr>
        <cdr:cNvPr id="29" name="FracNo 274 StartRow 388">
          <a:extLst xmlns:a="http://schemas.openxmlformats.org/drawingml/2006/main">
            <a:ext uri="{FF2B5EF4-FFF2-40B4-BE49-F238E27FC236}">
              <a16:creationId xmlns:a16="http://schemas.microsoft.com/office/drawing/2014/main" id="{172432F9-04C7-8895-99EF-E5465BDA54C5}"/>
            </a:ext>
          </a:extLst>
        </cdr:cNvPr>
        <cdr:cNvSpPr/>
      </cdr:nvSpPr>
      <cdr:spPr>
        <a:xfrm xmlns:a="http://schemas.openxmlformats.org/drawingml/2006/main">
          <a:off x="3171983" y="3587160"/>
          <a:ext cx="2814456" cy="29111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14456" h="2911111">
              <a:moveTo>
                <a:pt x="263698" y="2657107"/>
              </a:moveTo>
              <a:lnTo>
                <a:pt x="18129" y="2911110"/>
              </a:lnTo>
              <a:lnTo>
                <a:pt x="0" y="2892358"/>
              </a:lnTo>
              <a:lnTo>
                <a:pt x="245569" y="2638355"/>
              </a:lnTo>
              <a:lnTo>
                <a:pt x="1495609" y="1345386"/>
              </a:lnTo>
              <a:lnTo>
                <a:pt x="1639049" y="1197020"/>
              </a:lnTo>
              <a:lnTo>
                <a:pt x="2796326" y="0"/>
              </a:lnTo>
              <a:lnTo>
                <a:pt x="2814455" y="18752"/>
              </a:lnTo>
              <a:lnTo>
                <a:pt x="1657178" y="1215772"/>
              </a:lnTo>
              <a:lnTo>
                <a:pt x="1513739" y="136413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0.56522</cdr:x>
      <cdr:y>0.55551</cdr:y>
    </cdr:from>
    <cdr:to>
      <cdr:x>0.94246</cdr:x>
      <cdr:y>0.9301</cdr:y>
    </cdr:to>
    <cdr:sp macro="" textlink="">
      <cdr:nvSpPr>
        <cdr:cNvPr id="30" name="FracNo 968 StartRow 401">
          <a:extLst xmlns:a="http://schemas.openxmlformats.org/drawingml/2006/main">
            <a:ext uri="{FF2B5EF4-FFF2-40B4-BE49-F238E27FC236}">
              <a16:creationId xmlns:a16="http://schemas.microsoft.com/office/drawing/2014/main" id="{C8A192DF-E48A-42B8-E6FD-7B594DEE9322}"/>
            </a:ext>
          </a:extLst>
        </cdr:cNvPr>
        <cdr:cNvSpPr/>
      </cdr:nvSpPr>
      <cdr:spPr>
        <a:xfrm xmlns:a="http://schemas.openxmlformats.org/drawingml/2006/main">
          <a:off x="4134674" y="4232960"/>
          <a:ext cx="2759634" cy="28544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59634" h="2854406">
              <a:moveTo>
                <a:pt x="272466" y="2572581"/>
              </a:moveTo>
              <a:lnTo>
                <a:pt x="0" y="2854405"/>
              </a:lnTo>
              <a:lnTo>
                <a:pt x="36258" y="2854405"/>
              </a:lnTo>
              <a:lnTo>
                <a:pt x="301422" y="2580136"/>
              </a:lnTo>
              <a:lnTo>
                <a:pt x="694487" y="2173571"/>
              </a:lnTo>
              <a:lnTo>
                <a:pt x="2095255" y="724697"/>
              </a:lnTo>
              <a:lnTo>
                <a:pt x="2759633" y="37504"/>
              </a:lnTo>
              <a:lnTo>
                <a:pt x="2759633" y="0"/>
              </a:lnTo>
              <a:lnTo>
                <a:pt x="2089423" y="693227"/>
              </a:lnTo>
              <a:lnTo>
                <a:pt x="676358" y="215481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0.46699</cdr:x>
      <cdr:y>0.45798</cdr:y>
    </cdr:to>
    <cdr:sp macro="" textlink="">
      <cdr:nvSpPr>
        <cdr:cNvPr id="31" name="FracNo 914 StartRow 414">
          <a:extLst xmlns:a="http://schemas.openxmlformats.org/drawingml/2006/main">
            <a:ext uri="{FF2B5EF4-FFF2-40B4-BE49-F238E27FC236}">
              <a16:creationId xmlns:a16="http://schemas.microsoft.com/office/drawing/2014/main" id="{75EF6086-A955-4C92-DE29-F7EDA45FAE3F}"/>
            </a:ext>
          </a:extLst>
        </cdr:cNvPr>
        <cdr:cNvSpPr/>
      </cdr:nvSpPr>
      <cdr:spPr>
        <a:xfrm xmlns:a="http://schemas.openxmlformats.org/drawingml/2006/main">
          <a:off x="671676" y="651036"/>
          <a:ext cx="2744484" cy="28387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44484" h="2838735">
              <a:moveTo>
                <a:pt x="1377250" y="1376682"/>
              </a:moveTo>
              <a:lnTo>
                <a:pt x="647879" y="2131101"/>
              </a:lnTo>
              <a:lnTo>
                <a:pt x="0" y="2801230"/>
              </a:lnTo>
              <a:lnTo>
                <a:pt x="0" y="2838734"/>
              </a:lnTo>
              <a:lnTo>
                <a:pt x="656406" y="2159785"/>
              </a:lnTo>
              <a:lnTo>
                <a:pt x="1395541" y="1395267"/>
              </a:lnTo>
              <a:lnTo>
                <a:pt x="2087928" y="679101"/>
              </a:lnTo>
              <a:lnTo>
                <a:pt x="2744483" y="0"/>
              </a:lnTo>
              <a:lnTo>
                <a:pt x="2708224" y="0"/>
              </a:lnTo>
              <a:lnTo>
                <a:pt x="2060493" y="66997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0.12761</cdr:y>
    </cdr:from>
    <cdr:to>
      <cdr:x>0.46468</cdr:x>
      <cdr:y>0.50031</cdr:y>
    </cdr:to>
    <cdr:sp macro="" textlink="">
      <cdr:nvSpPr>
        <cdr:cNvPr id="32" name="FracNo 982 StartRow 427">
          <a:extLst xmlns:a="http://schemas.openxmlformats.org/drawingml/2006/main">
            <a:ext uri="{FF2B5EF4-FFF2-40B4-BE49-F238E27FC236}">
              <a16:creationId xmlns:a16="http://schemas.microsoft.com/office/drawing/2014/main" id="{77E18DBF-E28F-B820-63B5-A467F45E1619}"/>
            </a:ext>
          </a:extLst>
        </cdr:cNvPr>
        <cdr:cNvSpPr/>
      </cdr:nvSpPr>
      <cdr:spPr>
        <a:xfrm xmlns:a="http://schemas.openxmlformats.org/drawingml/2006/main">
          <a:off x="671676" y="972376"/>
          <a:ext cx="2727581" cy="28400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27581" h="2840004">
              <a:moveTo>
                <a:pt x="1772269" y="969367"/>
              </a:moveTo>
              <a:lnTo>
                <a:pt x="959132" y="1810429"/>
              </a:lnTo>
              <a:lnTo>
                <a:pt x="0" y="2802499"/>
              </a:lnTo>
              <a:lnTo>
                <a:pt x="0" y="2840003"/>
              </a:lnTo>
              <a:lnTo>
                <a:pt x="968949" y="1837777"/>
              </a:lnTo>
              <a:lnTo>
                <a:pt x="1788197" y="990395"/>
              </a:lnTo>
              <a:lnTo>
                <a:pt x="2083275" y="685184"/>
              </a:lnTo>
              <a:lnTo>
                <a:pt x="2727580" y="18752"/>
              </a:lnTo>
              <a:lnTo>
                <a:pt x="2709451" y="0"/>
              </a:lnTo>
              <a:lnTo>
                <a:pt x="2065146" y="66643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0.51749</cdr:x>
      <cdr:y>0.18153</cdr:y>
    </cdr:from>
    <cdr:to>
      <cdr:x>0.88862</cdr:x>
      <cdr:y>0.55006</cdr:y>
    </cdr:to>
    <cdr:sp macro="" textlink="">
      <cdr:nvSpPr>
        <cdr:cNvPr id="33" name="FracNo 107 StartRow 440">
          <a:extLst xmlns:a="http://schemas.openxmlformats.org/drawingml/2006/main">
            <a:ext uri="{FF2B5EF4-FFF2-40B4-BE49-F238E27FC236}">
              <a16:creationId xmlns:a16="http://schemas.microsoft.com/office/drawing/2014/main" id="{AFC7C995-CCA4-2F86-8F8A-40317E46FA06}"/>
            </a:ext>
          </a:extLst>
        </cdr:cNvPr>
        <cdr:cNvSpPr/>
      </cdr:nvSpPr>
      <cdr:spPr>
        <a:xfrm xmlns:a="http://schemas.openxmlformats.org/drawingml/2006/main">
          <a:off x="3785511" y="1383278"/>
          <a:ext cx="2714957" cy="28081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14957" h="2808195">
              <a:moveTo>
                <a:pt x="823570" y="1975092"/>
              </a:moveTo>
              <a:lnTo>
                <a:pt x="18129" y="2808194"/>
              </a:lnTo>
              <a:lnTo>
                <a:pt x="0" y="2789442"/>
              </a:lnTo>
              <a:lnTo>
                <a:pt x="805441" y="1956340"/>
              </a:lnTo>
              <a:lnTo>
                <a:pt x="1025521" y="1728702"/>
              </a:lnTo>
              <a:lnTo>
                <a:pt x="1339612" y="1403825"/>
              </a:lnTo>
              <a:lnTo>
                <a:pt x="2696827" y="0"/>
              </a:lnTo>
              <a:lnTo>
                <a:pt x="2714956" y="18753"/>
              </a:lnTo>
              <a:lnTo>
                <a:pt x="1357741" y="1422577"/>
              </a:lnTo>
              <a:lnTo>
                <a:pt x="1043650" y="174745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0.40906</cdr:y>
    </cdr:from>
    <cdr:to>
      <cdr:x>0.45897</cdr:x>
      <cdr:y>0.7761</cdr:y>
    </cdr:to>
    <cdr:sp macro="" textlink="">
      <cdr:nvSpPr>
        <cdr:cNvPr id="34" name="FracNo 900 StartRow 453">
          <a:extLst xmlns:a="http://schemas.openxmlformats.org/drawingml/2006/main">
            <a:ext uri="{FF2B5EF4-FFF2-40B4-BE49-F238E27FC236}">
              <a16:creationId xmlns:a16="http://schemas.microsoft.com/office/drawing/2014/main" id="{E394319C-CEB2-BEEC-7DD1-9E1ABBBC5B0A}"/>
            </a:ext>
          </a:extLst>
        </cdr:cNvPr>
        <cdr:cNvSpPr/>
      </cdr:nvSpPr>
      <cdr:spPr>
        <a:xfrm xmlns:a="http://schemas.openxmlformats.org/drawingml/2006/main">
          <a:off x="671676" y="3117065"/>
          <a:ext cx="2685803" cy="27967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85803" h="2796792">
              <a:moveTo>
                <a:pt x="1861849" y="833498"/>
              </a:moveTo>
              <a:lnTo>
                <a:pt x="917068" y="1810725"/>
              </a:lnTo>
              <a:lnTo>
                <a:pt x="0" y="2759287"/>
              </a:lnTo>
              <a:lnTo>
                <a:pt x="0" y="2796791"/>
              </a:lnTo>
              <a:lnTo>
                <a:pt x="926001" y="1838989"/>
              </a:lnTo>
              <a:lnTo>
                <a:pt x="1878350" y="853934"/>
              </a:lnTo>
              <a:lnTo>
                <a:pt x="2083275" y="641972"/>
              </a:lnTo>
              <a:lnTo>
                <a:pt x="2685802" y="18752"/>
              </a:lnTo>
              <a:lnTo>
                <a:pt x="2667673" y="0"/>
              </a:lnTo>
              <a:lnTo>
                <a:pt x="2065146" y="62322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0.58611</cdr:x>
      <cdr:y>0.57625</cdr:y>
    </cdr:from>
    <cdr:to>
      <cdr:x>0.94246</cdr:x>
      <cdr:y>0.9301</cdr:y>
    </cdr:to>
    <cdr:sp macro="" textlink="">
      <cdr:nvSpPr>
        <cdr:cNvPr id="35" name="FracNo 738 StartRow 466">
          <a:extLst xmlns:a="http://schemas.openxmlformats.org/drawingml/2006/main">
            <a:ext uri="{FF2B5EF4-FFF2-40B4-BE49-F238E27FC236}">
              <a16:creationId xmlns:a16="http://schemas.microsoft.com/office/drawing/2014/main" id="{E892974A-F0DA-E48D-1288-00B4D05D9E97}"/>
            </a:ext>
          </a:extLst>
        </cdr:cNvPr>
        <cdr:cNvSpPr/>
      </cdr:nvSpPr>
      <cdr:spPr>
        <a:xfrm xmlns:a="http://schemas.openxmlformats.org/drawingml/2006/main">
          <a:off x="4287500" y="4391035"/>
          <a:ext cx="2606808" cy="26963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06808" h="2696331">
              <a:moveTo>
                <a:pt x="2138613" y="484273"/>
              </a:moveTo>
              <a:lnTo>
                <a:pt x="2083275" y="541511"/>
              </a:lnTo>
              <a:lnTo>
                <a:pt x="516716" y="2161869"/>
              </a:lnTo>
              <a:lnTo>
                <a:pt x="0" y="2696330"/>
              </a:lnTo>
              <a:lnTo>
                <a:pt x="36259" y="2696330"/>
              </a:lnTo>
              <a:lnTo>
                <a:pt x="548478" y="2166521"/>
              </a:lnTo>
              <a:lnTo>
                <a:pt x="2101405" y="560263"/>
              </a:lnTo>
              <a:lnTo>
                <a:pt x="2154826" y="505007"/>
              </a:lnTo>
              <a:lnTo>
                <a:pt x="2606807" y="37504"/>
              </a:lnTo>
              <a:lnTo>
                <a:pt x="260680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0.3298</cdr:x>
      <cdr:y>0.25898</cdr:y>
    </cdr:from>
    <cdr:to>
      <cdr:x>0.68435</cdr:x>
      <cdr:y>0.61104</cdr:y>
    </cdr:to>
    <cdr:sp macro="" textlink="">
      <cdr:nvSpPr>
        <cdr:cNvPr id="36" name="FracNo 503 StartRow 479">
          <a:extLst xmlns:a="http://schemas.openxmlformats.org/drawingml/2006/main">
            <a:ext uri="{FF2B5EF4-FFF2-40B4-BE49-F238E27FC236}">
              <a16:creationId xmlns:a16="http://schemas.microsoft.com/office/drawing/2014/main" id="{38063BD0-CFFE-3257-2D9E-686ED9E1A8C6}"/>
            </a:ext>
          </a:extLst>
        </cdr:cNvPr>
        <cdr:cNvSpPr/>
      </cdr:nvSpPr>
      <cdr:spPr>
        <a:xfrm xmlns:a="http://schemas.openxmlformats.org/drawingml/2006/main">
          <a:off x="2412544" y="1973456"/>
          <a:ext cx="2593630" cy="26827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93630" h="2682701">
              <a:moveTo>
                <a:pt x="306270" y="2384664"/>
              </a:moveTo>
              <a:lnTo>
                <a:pt x="18129" y="2682700"/>
              </a:lnTo>
              <a:lnTo>
                <a:pt x="0" y="2663948"/>
              </a:lnTo>
              <a:lnTo>
                <a:pt x="288141" y="2365912"/>
              </a:lnTo>
              <a:lnTo>
                <a:pt x="324278" y="2328534"/>
              </a:lnTo>
              <a:lnTo>
                <a:pt x="1788868" y="813647"/>
              </a:lnTo>
              <a:lnTo>
                <a:pt x="2398488" y="183091"/>
              </a:lnTo>
              <a:lnTo>
                <a:pt x="2575500" y="0"/>
              </a:lnTo>
              <a:lnTo>
                <a:pt x="2593629" y="18752"/>
              </a:lnTo>
              <a:lnTo>
                <a:pt x="2416617" y="201843"/>
              </a:lnTo>
              <a:lnTo>
                <a:pt x="1806997" y="832399"/>
              </a:lnTo>
              <a:lnTo>
                <a:pt x="342407" y="234728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0.59372</cdr:x>
      <cdr:y>0.58381</cdr:y>
    </cdr:from>
    <cdr:to>
      <cdr:x>0.94246</cdr:x>
      <cdr:y>0.9301</cdr:y>
    </cdr:to>
    <cdr:sp macro="" textlink="">
      <cdr:nvSpPr>
        <cdr:cNvPr id="37" name="FracNo 1026 StartRow 494">
          <a:extLst xmlns:a="http://schemas.openxmlformats.org/drawingml/2006/main">
            <a:ext uri="{FF2B5EF4-FFF2-40B4-BE49-F238E27FC236}">
              <a16:creationId xmlns:a16="http://schemas.microsoft.com/office/drawing/2014/main" id="{FEA206C4-D9D2-8411-D33C-F1FA0A239DF6}"/>
            </a:ext>
          </a:extLst>
        </cdr:cNvPr>
        <cdr:cNvSpPr/>
      </cdr:nvSpPr>
      <cdr:spPr>
        <a:xfrm xmlns:a="http://schemas.openxmlformats.org/drawingml/2006/main">
          <a:off x="4343196" y="4448644"/>
          <a:ext cx="2551112" cy="26387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51112" h="2638722">
              <a:moveTo>
                <a:pt x="724310" y="1927040"/>
              </a:moveTo>
              <a:lnTo>
                <a:pt x="489051" y="2170379"/>
              </a:lnTo>
              <a:lnTo>
                <a:pt x="36258" y="2638721"/>
              </a:lnTo>
              <a:lnTo>
                <a:pt x="0" y="2638721"/>
              </a:lnTo>
              <a:lnTo>
                <a:pt x="464751" y="2158009"/>
              </a:lnTo>
              <a:lnTo>
                <a:pt x="702908" y="1911674"/>
              </a:lnTo>
              <a:lnTo>
                <a:pt x="2090077" y="476867"/>
              </a:lnTo>
              <a:lnTo>
                <a:pt x="2551111" y="0"/>
              </a:lnTo>
              <a:lnTo>
                <a:pt x="2551111" y="37503"/>
              </a:lnTo>
              <a:lnTo>
                <a:pt x="2094603" y="50968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0.40653</cdr:y>
    </cdr:from>
    <cdr:to>
      <cdr:x>0.43733</cdr:x>
      <cdr:y>0.75208</cdr:y>
    </cdr:to>
    <cdr:sp macro="" textlink="">
      <cdr:nvSpPr>
        <cdr:cNvPr id="38" name="FracNo 513 StartRow 507">
          <a:extLst xmlns:a="http://schemas.openxmlformats.org/drawingml/2006/main">
            <a:ext uri="{FF2B5EF4-FFF2-40B4-BE49-F238E27FC236}">
              <a16:creationId xmlns:a16="http://schemas.microsoft.com/office/drawing/2014/main" id="{F78AC2B5-ED5D-C2DD-47C4-9A0F2CE51EB5}"/>
            </a:ext>
          </a:extLst>
        </cdr:cNvPr>
        <cdr:cNvSpPr/>
      </cdr:nvSpPr>
      <cdr:spPr>
        <a:xfrm xmlns:a="http://schemas.openxmlformats.org/drawingml/2006/main">
          <a:off x="671676" y="3097782"/>
          <a:ext cx="2527499" cy="26330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27499" h="2633050">
              <a:moveTo>
                <a:pt x="1422027" y="1162187"/>
              </a:moveTo>
              <a:lnTo>
                <a:pt x="749356" y="1857959"/>
              </a:lnTo>
              <a:lnTo>
                <a:pt x="0" y="2633049"/>
              </a:lnTo>
              <a:lnTo>
                <a:pt x="0" y="2595545"/>
              </a:lnTo>
              <a:lnTo>
                <a:pt x="739817" y="1830321"/>
              </a:lnTo>
              <a:lnTo>
                <a:pt x="1408156" y="1139031"/>
              </a:lnTo>
              <a:lnTo>
                <a:pt x="2065146" y="459478"/>
              </a:lnTo>
              <a:lnTo>
                <a:pt x="2509369" y="0"/>
              </a:lnTo>
              <a:lnTo>
                <a:pt x="2527498" y="18752"/>
              </a:lnTo>
              <a:lnTo>
                <a:pt x="2083275" y="47823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0.48828</cdr:x>
      <cdr:y>0.08544</cdr:y>
    </cdr:from>
    <cdr:to>
      <cdr:x>0.82775</cdr:x>
      <cdr:y>0.42005</cdr:y>
    </cdr:to>
    <cdr:sp macro="" textlink="">
      <cdr:nvSpPr>
        <cdr:cNvPr id="39" name="FracNo 884 StartRow 520">
          <a:extLst xmlns:a="http://schemas.openxmlformats.org/drawingml/2006/main">
            <a:ext uri="{FF2B5EF4-FFF2-40B4-BE49-F238E27FC236}">
              <a16:creationId xmlns:a16="http://schemas.microsoft.com/office/drawing/2014/main" id="{F99B3C44-871C-BD80-56F6-42FB9B357FA8}"/>
            </a:ext>
          </a:extLst>
        </cdr:cNvPr>
        <cdr:cNvSpPr/>
      </cdr:nvSpPr>
      <cdr:spPr>
        <a:xfrm xmlns:a="http://schemas.openxmlformats.org/drawingml/2006/main">
          <a:off x="3571887" y="651036"/>
          <a:ext cx="2483242" cy="25497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83242" h="2549769">
              <a:moveTo>
                <a:pt x="369331" y="2186506"/>
              </a:moveTo>
              <a:lnTo>
                <a:pt x="18130" y="2549768"/>
              </a:lnTo>
              <a:lnTo>
                <a:pt x="0" y="2531016"/>
              </a:lnTo>
              <a:lnTo>
                <a:pt x="351202" y="2167754"/>
              </a:lnTo>
              <a:lnTo>
                <a:pt x="381836" y="2136067"/>
              </a:lnTo>
              <a:lnTo>
                <a:pt x="1235399" y="1253192"/>
              </a:lnTo>
              <a:lnTo>
                <a:pt x="2446982" y="0"/>
              </a:lnTo>
              <a:lnTo>
                <a:pt x="2483241" y="0"/>
              </a:lnTo>
              <a:lnTo>
                <a:pt x="1261021" y="1264193"/>
              </a:lnTo>
              <a:lnTo>
                <a:pt x="399966" y="215481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0.27457</cdr:y>
    </cdr:from>
    <cdr:to>
      <cdr:x>0.42828</cdr:x>
      <cdr:y>0.61113</cdr:y>
    </cdr:to>
    <cdr:sp macro="" textlink="">
      <cdr:nvSpPr>
        <cdr:cNvPr id="40" name="FracNo 970 StartRow 533">
          <a:extLst xmlns:a="http://schemas.openxmlformats.org/drawingml/2006/main">
            <a:ext uri="{FF2B5EF4-FFF2-40B4-BE49-F238E27FC236}">
              <a16:creationId xmlns:a16="http://schemas.microsoft.com/office/drawing/2014/main" id="{B559223C-4634-A6B2-CCC1-D6A763937379}"/>
            </a:ext>
          </a:extLst>
        </cdr:cNvPr>
        <cdr:cNvSpPr/>
      </cdr:nvSpPr>
      <cdr:spPr>
        <a:xfrm xmlns:a="http://schemas.openxmlformats.org/drawingml/2006/main">
          <a:off x="671676" y="2092256"/>
          <a:ext cx="2461252" cy="25645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61252" h="2564529">
              <a:moveTo>
                <a:pt x="265141" y="2252777"/>
              </a:moveTo>
              <a:lnTo>
                <a:pt x="0" y="2527024"/>
              </a:lnTo>
              <a:lnTo>
                <a:pt x="0" y="2564528"/>
              </a:lnTo>
              <a:lnTo>
                <a:pt x="267855" y="2287474"/>
              </a:lnTo>
              <a:lnTo>
                <a:pt x="1789474" y="713599"/>
              </a:lnTo>
              <a:lnTo>
                <a:pt x="2083275" y="409709"/>
              </a:lnTo>
              <a:lnTo>
                <a:pt x="2461251" y="18752"/>
              </a:lnTo>
              <a:lnTo>
                <a:pt x="2443121" y="0"/>
              </a:lnTo>
              <a:lnTo>
                <a:pt x="2065146" y="390957"/>
              </a:lnTo>
              <a:lnTo>
                <a:pt x="1771345" y="69484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0.45501</cdr:x>
      <cdr:y>0.08544</cdr:y>
    </cdr:from>
    <cdr:to>
      <cdr:x>0.7844</cdr:x>
      <cdr:y>0.41005</cdr:y>
    </cdr:to>
    <cdr:sp macro="" textlink="">
      <cdr:nvSpPr>
        <cdr:cNvPr id="41" name="FracNo 341 StartRow 546">
          <a:extLst xmlns:a="http://schemas.openxmlformats.org/drawingml/2006/main">
            <a:ext uri="{FF2B5EF4-FFF2-40B4-BE49-F238E27FC236}">
              <a16:creationId xmlns:a16="http://schemas.microsoft.com/office/drawing/2014/main" id="{442656FB-D74F-6AC9-EDC6-2715F4CE6485}"/>
            </a:ext>
          </a:extLst>
        </cdr:cNvPr>
        <cdr:cNvSpPr/>
      </cdr:nvSpPr>
      <cdr:spPr>
        <a:xfrm xmlns:a="http://schemas.openxmlformats.org/drawingml/2006/main">
          <a:off x="3328476" y="651036"/>
          <a:ext cx="2409539" cy="24735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09539" h="2473536">
              <a:moveTo>
                <a:pt x="1012730" y="1444778"/>
              </a:moveTo>
              <a:lnTo>
                <a:pt x="326263" y="2154819"/>
              </a:lnTo>
              <a:lnTo>
                <a:pt x="18129" y="2473535"/>
              </a:lnTo>
              <a:lnTo>
                <a:pt x="0" y="2454783"/>
              </a:lnTo>
              <a:lnTo>
                <a:pt x="308134" y="2136067"/>
              </a:lnTo>
              <a:lnTo>
                <a:pt x="990875" y="1429879"/>
              </a:lnTo>
              <a:lnTo>
                <a:pt x="1479361" y="924618"/>
              </a:lnTo>
              <a:lnTo>
                <a:pt x="2373280" y="0"/>
              </a:lnTo>
              <a:lnTo>
                <a:pt x="2409538" y="0"/>
              </a:lnTo>
              <a:lnTo>
                <a:pt x="1503881" y="93676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0.32659</cdr:x>
      <cdr:y>0.28323</cdr:y>
    </cdr:from>
    <cdr:to>
      <cdr:x>0.65353</cdr:x>
      <cdr:y>0.60786</cdr:y>
    </cdr:to>
    <cdr:sp macro="" textlink="">
      <cdr:nvSpPr>
        <cdr:cNvPr id="42" name="FracNo 732 StartRow 559">
          <a:extLst xmlns:a="http://schemas.openxmlformats.org/drawingml/2006/main">
            <a:ext uri="{FF2B5EF4-FFF2-40B4-BE49-F238E27FC236}">
              <a16:creationId xmlns:a16="http://schemas.microsoft.com/office/drawing/2014/main" id="{1ACF6EBA-AAA8-4DE8-EEDB-F04803D22E78}"/>
            </a:ext>
          </a:extLst>
        </cdr:cNvPr>
        <cdr:cNvSpPr/>
      </cdr:nvSpPr>
      <cdr:spPr>
        <a:xfrm xmlns:a="http://schemas.openxmlformats.org/drawingml/2006/main">
          <a:off x="2389094" y="2158187"/>
          <a:ext cx="2391583" cy="24737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91583" h="2473715">
              <a:moveTo>
                <a:pt x="43941" y="2409511"/>
              </a:moveTo>
              <a:lnTo>
                <a:pt x="0" y="2454962"/>
              </a:lnTo>
              <a:lnTo>
                <a:pt x="18129" y="2473714"/>
              </a:lnTo>
              <a:lnTo>
                <a:pt x="62071" y="2428263"/>
              </a:lnTo>
              <a:lnTo>
                <a:pt x="365857" y="2114044"/>
              </a:lnTo>
              <a:lnTo>
                <a:pt x="1783547" y="647668"/>
              </a:lnTo>
              <a:lnTo>
                <a:pt x="2391582" y="18751"/>
              </a:lnTo>
              <a:lnTo>
                <a:pt x="2373453" y="0"/>
              </a:lnTo>
              <a:lnTo>
                <a:pt x="1765417" y="628916"/>
              </a:lnTo>
              <a:lnTo>
                <a:pt x="347728" y="209529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0.20117</cdr:x>
      <cdr:y>0.6079</cdr:y>
    </cdr:from>
    <cdr:to>
      <cdr:x>0.52813</cdr:x>
      <cdr:y>0.9301</cdr:y>
    </cdr:to>
    <cdr:sp macro="" textlink="">
      <cdr:nvSpPr>
        <cdr:cNvPr id="43" name="FracNo 800 StartRow 572">
          <a:extLst xmlns:a="http://schemas.openxmlformats.org/drawingml/2006/main">
            <a:ext uri="{FF2B5EF4-FFF2-40B4-BE49-F238E27FC236}">
              <a16:creationId xmlns:a16="http://schemas.microsoft.com/office/drawing/2014/main" id="{5E4D6F58-BFA8-8D47-5717-D2D76192946E}"/>
            </a:ext>
          </a:extLst>
        </cdr:cNvPr>
        <cdr:cNvSpPr/>
      </cdr:nvSpPr>
      <cdr:spPr>
        <a:xfrm xmlns:a="http://schemas.openxmlformats.org/drawingml/2006/main">
          <a:off x="1471598" y="4632215"/>
          <a:ext cx="2391764" cy="24551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91764" h="2455151">
              <a:moveTo>
                <a:pt x="1763438" y="668656"/>
              </a:moveTo>
              <a:lnTo>
                <a:pt x="1285856" y="1162639"/>
              </a:lnTo>
              <a:lnTo>
                <a:pt x="36259" y="2455150"/>
              </a:lnTo>
              <a:lnTo>
                <a:pt x="0" y="2455150"/>
              </a:lnTo>
              <a:lnTo>
                <a:pt x="1262721" y="1149064"/>
              </a:lnTo>
              <a:lnTo>
                <a:pt x="1743235" y="652049"/>
              </a:lnTo>
              <a:lnTo>
                <a:pt x="2083275" y="300331"/>
              </a:lnTo>
              <a:lnTo>
                <a:pt x="2373634" y="0"/>
              </a:lnTo>
              <a:lnTo>
                <a:pt x="2391763" y="18752"/>
              </a:lnTo>
              <a:lnTo>
                <a:pt x="2101404" y="31908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0.43249</cdr:x>
      <cdr:y>0.08544</cdr:y>
    </cdr:from>
    <cdr:to>
      <cdr:x>0.75845</cdr:x>
      <cdr:y>0.40665</cdr:y>
    </cdr:to>
    <cdr:sp macro="" textlink="">
      <cdr:nvSpPr>
        <cdr:cNvPr id="44" name="FracNo 360 StartRow 585">
          <a:extLst xmlns:a="http://schemas.openxmlformats.org/drawingml/2006/main">
            <a:ext uri="{FF2B5EF4-FFF2-40B4-BE49-F238E27FC236}">
              <a16:creationId xmlns:a16="http://schemas.microsoft.com/office/drawing/2014/main" id="{D265C6CB-4D7E-9C95-57C8-5F21EB6E00EB}"/>
            </a:ext>
          </a:extLst>
        </cdr:cNvPr>
        <cdr:cNvSpPr/>
      </cdr:nvSpPr>
      <cdr:spPr>
        <a:xfrm xmlns:a="http://schemas.openxmlformats.org/drawingml/2006/main">
          <a:off x="3163759" y="651036"/>
          <a:ext cx="2384484" cy="24476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84484" h="2447620">
              <a:moveTo>
                <a:pt x="1095252" y="1296002"/>
              </a:moveTo>
              <a:lnTo>
                <a:pt x="283078" y="2136067"/>
              </a:lnTo>
              <a:lnTo>
                <a:pt x="0" y="2428867"/>
              </a:lnTo>
              <a:lnTo>
                <a:pt x="18130" y="2447619"/>
              </a:lnTo>
              <a:lnTo>
                <a:pt x="301208" y="2154819"/>
              </a:lnTo>
              <a:lnTo>
                <a:pt x="1118104" y="1309868"/>
              </a:lnTo>
              <a:lnTo>
                <a:pt x="1669358" y="739683"/>
              </a:lnTo>
              <a:lnTo>
                <a:pt x="2384483" y="0"/>
              </a:lnTo>
              <a:lnTo>
                <a:pt x="2348224" y="0"/>
              </a:lnTo>
              <a:lnTo>
                <a:pt x="1643318" y="72911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0.41536</cdr:x>
      <cdr:y>0.40671</cdr:y>
    </cdr:to>
    <cdr:sp macro="" textlink="">
      <cdr:nvSpPr>
        <cdr:cNvPr id="45" name="FracNo 955 StartRow 598">
          <a:extLst xmlns:a="http://schemas.openxmlformats.org/drawingml/2006/main">
            <a:ext uri="{FF2B5EF4-FFF2-40B4-BE49-F238E27FC236}">
              <a16:creationId xmlns:a16="http://schemas.microsoft.com/office/drawing/2014/main" id="{21779CB4-A3D4-4ABF-882D-606E41CC2B40}"/>
            </a:ext>
          </a:extLst>
        </cdr:cNvPr>
        <cdr:cNvSpPr/>
      </cdr:nvSpPr>
      <cdr:spPr>
        <a:xfrm xmlns:a="http://schemas.openxmlformats.org/drawingml/2006/main">
          <a:off x="671676" y="651036"/>
          <a:ext cx="2366799" cy="24480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66799" h="2448080">
              <a:moveTo>
                <a:pt x="311058" y="2088835"/>
              </a:moveTo>
              <a:lnTo>
                <a:pt x="266662" y="2134756"/>
              </a:lnTo>
              <a:lnTo>
                <a:pt x="0" y="2410575"/>
              </a:lnTo>
              <a:lnTo>
                <a:pt x="0" y="2448079"/>
              </a:lnTo>
              <a:lnTo>
                <a:pt x="282256" y="2156130"/>
              </a:lnTo>
              <a:lnTo>
                <a:pt x="327103" y="2109742"/>
              </a:lnTo>
              <a:lnTo>
                <a:pt x="2091114" y="285152"/>
              </a:lnTo>
              <a:lnTo>
                <a:pt x="2366798" y="0"/>
              </a:lnTo>
              <a:lnTo>
                <a:pt x="2330540" y="0"/>
              </a:lnTo>
              <a:lnTo>
                <a:pt x="2057307" y="28261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0.51588</cdr:x>
      <cdr:y>0.2393</cdr:y>
    </cdr:from>
    <cdr:to>
      <cdr:x>0.83906</cdr:x>
      <cdr:y>0.56021</cdr:y>
    </cdr:to>
    <cdr:sp macro="" textlink="">
      <cdr:nvSpPr>
        <cdr:cNvPr id="46" name="FracNo 771 StartRow 611">
          <a:extLst xmlns:a="http://schemas.openxmlformats.org/drawingml/2006/main">
            <a:ext uri="{FF2B5EF4-FFF2-40B4-BE49-F238E27FC236}">
              <a16:creationId xmlns:a16="http://schemas.microsoft.com/office/drawing/2014/main" id="{FC3D6678-1E2D-8A59-86C5-15D81A0A42EF}"/>
            </a:ext>
          </a:extLst>
        </cdr:cNvPr>
        <cdr:cNvSpPr/>
      </cdr:nvSpPr>
      <cdr:spPr>
        <a:xfrm xmlns:a="http://schemas.openxmlformats.org/drawingml/2006/main">
          <a:off x="3773794" y="1823462"/>
          <a:ext cx="2364120" cy="24453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64120" h="2445309">
              <a:moveTo>
                <a:pt x="778485" y="1658840"/>
              </a:moveTo>
              <a:lnTo>
                <a:pt x="18129" y="2445308"/>
              </a:lnTo>
              <a:lnTo>
                <a:pt x="0" y="2426556"/>
              </a:lnTo>
              <a:lnTo>
                <a:pt x="760355" y="1640088"/>
              </a:lnTo>
              <a:lnTo>
                <a:pt x="1037238" y="1353697"/>
              </a:lnTo>
              <a:lnTo>
                <a:pt x="1414344" y="963641"/>
              </a:lnTo>
              <a:lnTo>
                <a:pt x="2345990" y="0"/>
              </a:lnTo>
              <a:lnTo>
                <a:pt x="2364119" y="18752"/>
              </a:lnTo>
              <a:lnTo>
                <a:pt x="1432473" y="982393"/>
              </a:lnTo>
              <a:lnTo>
                <a:pt x="1055367" y="137244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0.35595</cdr:x>
      <cdr:y>0.08544</cdr:y>
    </cdr:from>
    <cdr:to>
      <cdr:x>0.6762</cdr:x>
      <cdr:y>0.40097</cdr:y>
    </cdr:to>
    <cdr:sp macro="" textlink="">
      <cdr:nvSpPr>
        <cdr:cNvPr id="47" name="FracNo 791 StartRow 624">
          <a:extLst xmlns:a="http://schemas.openxmlformats.org/drawingml/2006/main">
            <a:ext uri="{FF2B5EF4-FFF2-40B4-BE49-F238E27FC236}">
              <a16:creationId xmlns:a16="http://schemas.microsoft.com/office/drawing/2014/main" id="{0C503CD0-AA18-EF61-76B4-433E82535648}"/>
            </a:ext>
          </a:extLst>
        </cdr:cNvPr>
        <cdr:cNvSpPr/>
      </cdr:nvSpPr>
      <cdr:spPr>
        <a:xfrm xmlns:a="http://schemas.openxmlformats.org/drawingml/2006/main">
          <a:off x="2603873" y="651036"/>
          <a:ext cx="2342654" cy="24043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42654" h="2404354">
              <a:moveTo>
                <a:pt x="80565" y="2302269"/>
              </a:moveTo>
              <a:lnTo>
                <a:pt x="0" y="2385601"/>
              </a:lnTo>
              <a:lnTo>
                <a:pt x="18130" y="2404353"/>
              </a:lnTo>
              <a:lnTo>
                <a:pt x="98695" y="2321021"/>
              </a:lnTo>
              <a:lnTo>
                <a:pt x="151078" y="2266838"/>
              </a:lnTo>
              <a:lnTo>
                <a:pt x="259378" y="2154819"/>
              </a:lnTo>
              <a:lnTo>
                <a:pt x="2233880" y="112509"/>
              </a:lnTo>
              <a:lnTo>
                <a:pt x="2342653" y="0"/>
              </a:lnTo>
              <a:lnTo>
                <a:pt x="2306394" y="0"/>
              </a:lnTo>
              <a:lnTo>
                <a:pt x="2198568" y="111530"/>
              </a:lnTo>
              <a:lnTo>
                <a:pt x="241249" y="2136067"/>
              </a:lnTo>
              <a:lnTo>
                <a:pt x="132949" y="224808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0.51583</cdr:x>
      <cdr:y>0.1224</cdr:y>
    </cdr:from>
    <cdr:to>
      <cdr:x>0.83455</cdr:x>
      <cdr:y>0.43887</cdr:y>
    </cdr:to>
    <cdr:sp macro="" textlink="">
      <cdr:nvSpPr>
        <cdr:cNvPr id="48" name="FracNo 835 StartRow 639">
          <a:extLst xmlns:a="http://schemas.openxmlformats.org/drawingml/2006/main">
            <a:ext uri="{FF2B5EF4-FFF2-40B4-BE49-F238E27FC236}">
              <a16:creationId xmlns:a16="http://schemas.microsoft.com/office/drawing/2014/main" id="{A1919B08-4ED2-B770-CE60-697ABAB8D6C6}"/>
            </a:ext>
          </a:extLst>
        </cdr:cNvPr>
        <cdr:cNvSpPr/>
      </cdr:nvSpPr>
      <cdr:spPr>
        <a:xfrm xmlns:a="http://schemas.openxmlformats.org/drawingml/2006/main">
          <a:off x="3773415" y="932663"/>
          <a:ext cx="2331471" cy="24115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31471" h="2411538">
              <a:moveTo>
                <a:pt x="1039510" y="1355080"/>
              </a:moveTo>
              <a:lnTo>
                <a:pt x="538600" y="1873192"/>
              </a:lnTo>
              <a:lnTo>
                <a:pt x="18129" y="2411537"/>
              </a:lnTo>
              <a:lnTo>
                <a:pt x="0" y="2392785"/>
              </a:lnTo>
              <a:lnTo>
                <a:pt x="520471" y="1854440"/>
              </a:lnTo>
              <a:lnTo>
                <a:pt x="1021381" y="1336328"/>
              </a:lnTo>
              <a:lnTo>
                <a:pt x="1037617" y="1319534"/>
              </a:lnTo>
              <a:lnTo>
                <a:pt x="2313340" y="0"/>
              </a:lnTo>
              <a:lnTo>
                <a:pt x="2331470" y="18751"/>
              </a:lnTo>
              <a:lnTo>
                <a:pt x="1055746" y="133828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0.63032</cdr:x>
      <cdr:y>0.14216</cdr:y>
    </cdr:from>
    <cdr:to>
      <cdr:x>0.94246</cdr:x>
      <cdr:y>0.45457</cdr:y>
    </cdr:to>
    <cdr:sp macro="" textlink="">
      <cdr:nvSpPr>
        <cdr:cNvPr id="49" name="FracNo 664 StartRow 652">
          <a:extLst xmlns:a="http://schemas.openxmlformats.org/drawingml/2006/main">
            <a:ext uri="{FF2B5EF4-FFF2-40B4-BE49-F238E27FC236}">
              <a16:creationId xmlns:a16="http://schemas.microsoft.com/office/drawing/2014/main" id="{C9EA20E9-675F-E6A0-D08D-0C320F5F3186}"/>
            </a:ext>
          </a:extLst>
        </cdr:cNvPr>
        <cdr:cNvSpPr/>
      </cdr:nvSpPr>
      <cdr:spPr>
        <a:xfrm xmlns:a="http://schemas.openxmlformats.org/drawingml/2006/main">
          <a:off x="4610912" y="1083269"/>
          <a:ext cx="2283396" cy="23805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83396" h="2380565">
              <a:moveTo>
                <a:pt x="1149442" y="1172895"/>
              </a:moveTo>
              <a:lnTo>
                <a:pt x="636132" y="1703834"/>
              </a:lnTo>
              <a:lnTo>
                <a:pt x="200120" y="2154819"/>
              </a:lnTo>
              <a:lnTo>
                <a:pt x="0" y="2361812"/>
              </a:lnTo>
              <a:lnTo>
                <a:pt x="18129" y="2380564"/>
              </a:lnTo>
              <a:lnTo>
                <a:pt x="218249" y="2173571"/>
              </a:lnTo>
              <a:lnTo>
                <a:pt x="654261" y="1722586"/>
              </a:lnTo>
              <a:lnTo>
                <a:pt x="1161922" y="1197490"/>
              </a:lnTo>
              <a:lnTo>
                <a:pt x="2283395" y="37504"/>
              </a:lnTo>
              <a:lnTo>
                <a:pt x="228339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0.20566</cdr:y>
    </cdr:from>
    <cdr:to>
      <cdr:x>0.40381</cdr:x>
      <cdr:y>0.51792</cdr:y>
    </cdr:to>
    <cdr:sp macro="" textlink="">
      <cdr:nvSpPr>
        <cdr:cNvPr id="50" name="FracNo 728 StartRow 665">
          <a:extLst xmlns:a="http://schemas.openxmlformats.org/drawingml/2006/main">
            <a:ext uri="{FF2B5EF4-FFF2-40B4-BE49-F238E27FC236}">
              <a16:creationId xmlns:a16="http://schemas.microsoft.com/office/drawing/2014/main" id="{660C6E61-1BB7-E6DD-827A-0A53EAA88583}"/>
            </a:ext>
          </a:extLst>
        </cdr:cNvPr>
        <cdr:cNvSpPr/>
      </cdr:nvSpPr>
      <cdr:spPr>
        <a:xfrm xmlns:a="http://schemas.openxmlformats.org/drawingml/2006/main">
          <a:off x="671676" y="1567149"/>
          <a:ext cx="2282240" cy="23793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82240" h="2379368">
              <a:moveTo>
                <a:pt x="1940769" y="371949"/>
              </a:moveTo>
              <a:lnTo>
                <a:pt x="1098856" y="1242775"/>
              </a:lnTo>
              <a:lnTo>
                <a:pt x="0" y="2379367"/>
              </a:lnTo>
              <a:lnTo>
                <a:pt x="0" y="2341864"/>
              </a:lnTo>
              <a:lnTo>
                <a:pt x="1088594" y="1215885"/>
              </a:lnTo>
              <a:lnTo>
                <a:pt x="1923779" y="352019"/>
              </a:lnTo>
              <a:lnTo>
                <a:pt x="2065146" y="205797"/>
              </a:lnTo>
              <a:lnTo>
                <a:pt x="2264110" y="0"/>
              </a:lnTo>
              <a:lnTo>
                <a:pt x="2282239" y="18752"/>
              </a:lnTo>
              <a:lnTo>
                <a:pt x="2083275" y="22454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0.31064</cdr:x>
      <cdr:y>0.62035</cdr:y>
    </cdr:from>
    <cdr:to>
      <cdr:x>0.62506</cdr:x>
      <cdr:y>0.9301</cdr:y>
    </cdr:to>
    <cdr:sp macro="" textlink="">
      <cdr:nvSpPr>
        <cdr:cNvPr id="51" name="FracNo 925 StartRow 678">
          <a:extLst xmlns:a="http://schemas.openxmlformats.org/drawingml/2006/main">
            <a:ext uri="{FF2B5EF4-FFF2-40B4-BE49-F238E27FC236}">
              <a16:creationId xmlns:a16="http://schemas.microsoft.com/office/drawing/2014/main" id="{7B4FC924-29BE-BEF1-BC4A-3C3FD4B890E2}"/>
            </a:ext>
          </a:extLst>
        </cdr:cNvPr>
        <cdr:cNvSpPr/>
      </cdr:nvSpPr>
      <cdr:spPr>
        <a:xfrm xmlns:a="http://schemas.openxmlformats.org/drawingml/2006/main">
          <a:off x="2272400" y="4727084"/>
          <a:ext cx="2300046" cy="23602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00046" h="2360282">
              <a:moveTo>
                <a:pt x="2134708" y="152263"/>
              </a:moveTo>
              <a:lnTo>
                <a:pt x="2083275" y="205462"/>
              </a:lnTo>
              <a:lnTo>
                <a:pt x="457347" y="1887228"/>
              </a:lnTo>
              <a:lnTo>
                <a:pt x="0" y="2360281"/>
              </a:lnTo>
              <a:lnTo>
                <a:pt x="36259" y="2360281"/>
              </a:lnTo>
              <a:lnTo>
                <a:pt x="489626" y="1891345"/>
              </a:lnTo>
              <a:lnTo>
                <a:pt x="2101404" y="224214"/>
              </a:lnTo>
              <a:lnTo>
                <a:pt x="2152838" y="171015"/>
              </a:lnTo>
              <a:lnTo>
                <a:pt x="2300045" y="18752"/>
              </a:lnTo>
              <a:lnTo>
                <a:pt x="228191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0.40486</cdr:x>
      <cdr:y>0.39628</cdr:y>
    </cdr:to>
    <cdr:sp macro="" textlink="">
      <cdr:nvSpPr>
        <cdr:cNvPr id="52" name="FracNo 871 StartRow 691">
          <a:extLst xmlns:a="http://schemas.openxmlformats.org/drawingml/2006/main">
            <a:ext uri="{FF2B5EF4-FFF2-40B4-BE49-F238E27FC236}">
              <a16:creationId xmlns:a16="http://schemas.microsoft.com/office/drawing/2014/main" id="{5445CFF5-54E4-323F-C34A-D9160ED9EC71}"/>
            </a:ext>
          </a:extLst>
        </cdr:cNvPr>
        <cdr:cNvSpPr/>
      </cdr:nvSpPr>
      <cdr:spPr>
        <a:xfrm xmlns:a="http://schemas.openxmlformats.org/drawingml/2006/main">
          <a:off x="671676" y="651036"/>
          <a:ext cx="2289986" cy="23686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89986" h="2368629">
              <a:moveTo>
                <a:pt x="288446" y="2070276"/>
              </a:moveTo>
              <a:lnTo>
                <a:pt x="204007" y="2157614"/>
              </a:lnTo>
              <a:lnTo>
                <a:pt x="0" y="2368628"/>
              </a:lnTo>
              <a:lnTo>
                <a:pt x="0" y="2331124"/>
              </a:lnTo>
              <a:lnTo>
                <a:pt x="191283" y="2133272"/>
              </a:lnTo>
              <a:lnTo>
                <a:pt x="274749" y="2046939"/>
              </a:lnTo>
              <a:lnTo>
                <a:pt x="2056981" y="203501"/>
              </a:lnTo>
              <a:lnTo>
                <a:pt x="2253726" y="0"/>
              </a:lnTo>
              <a:lnTo>
                <a:pt x="2289985" y="0"/>
              </a:lnTo>
              <a:lnTo>
                <a:pt x="2091439" y="20536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0.32453</cdr:x>
      <cdr:y>0.08544</cdr:y>
    </cdr:from>
    <cdr:to>
      <cdr:x>0.63626</cdr:x>
      <cdr:y>0.39252</cdr:y>
    </cdr:to>
    <cdr:sp macro="" textlink="">
      <cdr:nvSpPr>
        <cdr:cNvPr id="53" name="FracNo 949 StartRow 704">
          <a:extLst xmlns:a="http://schemas.openxmlformats.org/drawingml/2006/main">
            <a:ext uri="{FF2B5EF4-FFF2-40B4-BE49-F238E27FC236}">
              <a16:creationId xmlns:a16="http://schemas.microsoft.com/office/drawing/2014/main" id="{202DD065-8D63-DD88-5F0A-B1CDC1293B21}"/>
            </a:ext>
          </a:extLst>
        </cdr:cNvPr>
        <cdr:cNvSpPr/>
      </cdr:nvSpPr>
      <cdr:spPr>
        <a:xfrm xmlns:a="http://schemas.openxmlformats.org/drawingml/2006/main">
          <a:off x="2373999" y="651036"/>
          <a:ext cx="2280376" cy="23399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80376" h="2339938">
              <a:moveTo>
                <a:pt x="2016409" y="235527"/>
              </a:moveTo>
              <a:lnTo>
                <a:pt x="362823" y="1945901"/>
              </a:lnTo>
              <a:lnTo>
                <a:pt x="178971" y="2136067"/>
              </a:lnTo>
              <a:lnTo>
                <a:pt x="0" y="2321185"/>
              </a:lnTo>
              <a:lnTo>
                <a:pt x="18129" y="2339937"/>
              </a:lnTo>
              <a:lnTo>
                <a:pt x="197100" y="2154819"/>
              </a:lnTo>
              <a:lnTo>
                <a:pt x="380952" y="1964653"/>
              </a:lnTo>
              <a:lnTo>
                <a:pt x="2050474" y="237797"/>
              </a:lnTo>
              <a:lnTo>
                <a:pt x="2280375" y="0"/>
              </a:lnTo>
              <a:lnTo>
                <a:pt x="224411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0.20247</cdr:y>
    </cdr:from>
    <cdr:to>
      <cdr:x>0.40059</cdr:x>
      <cdr:y>0.51154</cdr:y>
    </cdr:to>
    <cdr:sp macro="" textlink="">
      <cdr:nvSpPr>
        <cdr:cNvPr id="54" name="FracNo 885 StartRow 717">
          <a:extLst xmlns:a="http://schemas.openxmlformats.org/drawingml/2006/main">
            <a:ext uri="{FF2B5EF4-FFF2-40B4-BE49-F238E27FC236}">
              <a16:creationId xmlns:a16="http://schemas.microsoft.com/office/drawing/2014/main" id="{0A6AB894-4953-07C5-0CC4-C366314A9970}"/>
            </a:ext>
          </a:extLst>
        </cdr:cNvPr>
        <cdr:cNvSpPr/>
      </cdr:nvSpPr>
      <cdr:spPr>
        <a:xfrm xmlns:a="http://schemas.openxmlformats.org/drawingml/2006/main">
          <a:off x="671676" y="1542842"/>
          <a:ext cx="2258740" cy="23550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58740" h="2355063">
              <a:moveTo>
                <a:pt x="1993848" y="255237"/>
              </a:moveTo>
              <a:lnTo>
                <a:pt x="1041988" y="1239786"/>
              </a:lnTo>
              <a:lnTo>
                <a:pt x="0" y="2317558"/>
              </a:lnTo>
              <a:lnTo>
                <a:pt x="0" y="2355062"/>
              </a:lnTo>
              <a:lnTo>
                <a:pt x="1051464" y="1267488"/>
              </a:lnTo>
              <a:lnTo>
                <a:pt x="2011374" y="274613"/>
              </a:lnTo>
              <a:lnTo>
                <a:pt x="2083275" y="200242"/>
              </a:lnTo>
              <a:lnTo>
                <a:pt x="2258739" y="18752"/>
              </a:lnTo>
              <a:lnTo>
                <a:pt x="2240610" y="0"/>
              </a:lnTo>
              <a:lnTo>
                <a:pt x="2065146" y="18149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0.11761</cdr:y>
    </cdr:from>
    <cdr:to>
      <cdr:x>0.3976</cdr:x>
      <cdr:y>0.42369</cdr:y>
    </cdr:to>
    <cdr:sp macro="" textlink="">
      <cdr:nvSpPr>
        <cdr:cNvPr id="55" name="FracNo 961 StartRow 730">
          <a:extLst xmlns:a="http://schemas.openxmlformats.org/drawingml/2006/main">
            <a:ext uri="{FF2B5EF4-FFF2-40B4-BE49-F238E27FC236}">
              <a16:creationId xmlns:a16="http://schemas.microsoft.com/office/drawing/2014/main" id="{BA177D6E-8822-7D6B-0310-D71E0BEC6083}"/>
            </a:ext>
          </a:extLst>
        </cdr:cNvPr>
        <cdr:cNvSpPr/>
      </cdr:nvSpPr>
      <cdr:spPr>
        <a:xfrm xmlns:a="http://schemas.openxmlformats.org/drawingml/2006/main">
          <a:off x="671676" y="896158"/>
          <a:ext cx="2236818" cy="23323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36818" h="2332386">
              <a:moveTo>
                <a:pt x="385020" y="1896639"/>
              </a:moveTo>
              <a:lnTo>
                <a:pt x="0" y="2294881"/>
              </a:lnTo>
              <a:lnTo>
                <a:pt x="0" y="2332385"/>
              </a:lnTo>
              <a:lnTo>
                <a:pt x="402893" y="1915656"/>
              </a:lnTo>
              <a:lnTo>
                <a:pt x="408654" y="1909697"/>
              </a:lnTo>
              <a:lnTo>
                <a:pt x="2083275" y="177567"/>
              </a:lnTo>
              <a:lnTo>
                <a:pt x="2236817" y="18751"/>
              </a:lnTo>
              <a:lnTo>
                <a:pt x="2218687" y="0"/>
              </a:lnTo>
              <a:lnTo>
                <a:pt x="2065146" y="158814"/>
              </a:lnTo>
              <a:lnTo>
                <a:pt x="390525" y="189094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0.44437</cdr:x>
      <cdr:y>0.63134</cdr:y>
    </cdr:from>
    <cdr:to>
      <cdr:x>0.74772</cdr:x>
      <cdr:y>0.9301</cdr:y>
    </cdr:to>
    <cdr:sp macro="" textlink="">
      <cdr:nvSpPr>
        <cdr:cNvPr id="56" name="FracNo 438 StartRow 743">
          <a:extLst xmlns:a="http://schemas.openxmlformats.org/drawingml/2006/main">
            <a:ext uri="{FF2B5EF4-FFF2-40B4-BE49-F238E27FC236}">
              <a16:creationId xmlns:a16="http://schemas.microsoft.com/office/drawing/2014/main" id="{987A695C-6986-61B3-8FC6-BEB8EBC7D432}"/>
            </a:ext>
          </a:extLst>
        </cdr:cNvPr>
        <cdr:cNvSpPr/>
      </cdr:nvSpPr>
      <cdr:spPr>
        <a:xfrm xmlns:a="http://schemas.openxmlformats.org/drawingml/2006/main">
          <a:off x="3250648" y="4810830"/>
          <a:ext cx="2219080" cy="22765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19080" h="2276536">
              <a:moveTo>
                <a:pt x="2050273" y="193356"/>
              </a:moveTo>
              <a:lnTo>
                <a:pt x="1580626" y="679131"/>
              </a:lnTo>
              <a:lnTo>
                <a:pt x="36259" y="2276535"/>
              </a:lnTo>
              <a:lnTo>
                <a:pt x="0" y="2276535"/>
              </a:lnTo>
              <a:lnTo>
                <a:pt x="1558271" y="664750"/>
              </a:lnTo>
              <a:lnTo>
                <a:pt x="2031728" y="175033"/>
              </a:lnTo>
              <a:lnTo>
                <a:pt x="2083275" y="121716"/>
              </a:lnTo>
              <a:lnTo>
                <a:pt x="2200950" y="0"/>
              </a:lnTo>
              <a:lnTo>
                <a:pt x="2219079" y="18752"/>
              </a:lnTo>
              <a:lnTo>
                <a:pt x="2101404" y="14046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0.29176</cdr:x>
      <cdr:y>0.10086</cdr:y>
    </cdr:from>
    <cdr:to>
      <cdr:x>0.58679</cdr:x>
      <cdr:y>0.39382</cdr:y>
    </cdr:to>
    <cdr:sp macro="" textlink="">
      <cdr:nvSpPr>
        <cdr:cNvPr id="57" name="FracNo 344 StartRow 756">
          <a:extLst xmlns:a="http://schemas.openxmlformats.org/drawingml/2006/main">
            <a:ext uri="{FF2B5EF4-FFF2-40B4-BE49-F238E27FC236}">
              <a16:creationId xmlns:a16="http://schemas.microsoft.com/office/drawing/2014/main" id="{E9B77793-C1F8-3116-BF06-4FDC4475CD3D}"/>
            </a:ext>
          </a:extLst>
        </cdr:cNvPr>
        <cdr:cNvSpPr/>
      </cdr:nvSpPr>
      <cdr:spPr>
        <a:xfrm xmlns:a="http://schemas.openxmlformats.org/drawingml/2006/main">
          <a:off x="2134274" y="768531"/>
          <a:ext cx="2158225" cy="22323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58225" h="2232344">
              <a:moveTo>
                <a:pt x="620977" y="1608792"/>
              </a:moveTo>
              <a:lnTo>
                <a:pt x="620677" y="1609102"/>
              </a:lnTo>
              <a:lnTo>
                <a:pt x="206673" y="2037324"/>
              </a:lnTo>
              <a:lnTo>
                <a:pt x="18130" y="2232343"/>
              </a:lnTo>
              <a:lnTo>
                <a:pt x="0" y="2213591"/>
              </a:lnTo>
              <a:lnTo>
                <a:pt x="188544" y="2018572"/>
              </a:lnTo>
              <a:lnTo>
                <a:pt x="602548" y="1590351"/>
              </a:lnTo>
              <a:lnTo>
                <a:pt x="602847" y="1590041"/>
              </a:lnTo>
              <a:lnTo>
                <a:pt x="2140096" y="0"/>
              </a:lnTo>
              <a:lnTo>
                <a:pt x="2158224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0.58662</cdr:x>
      <cdr:y>0.18396</cdr:y>
    </cdr:from>
    <cdr:to>
      <cdr:x>0.88081</cdr:x>
      <cdr:y>0.47608</cdr:y>
    </cdr:to>
    <cdr:sp macro="" textlink="">
      <cdr:nvSpPr>
        <cdr:cNvPr id="58" name="FracNo 671 StartRow 769">
          <a:extLst xmlns:a="http://schemas.openxmlformats.org/drawingml/2006/main">
            <a:ext uri="{FF2B5EF4-FFF2-40B4-BE49-F238E27FC236}">
              <a16:creationId xmlns:a16="http://schemas.microsoft.com/office/drawing/2014/main" id="{B1A403E0-89D5-C899-F355-00C5FFA40037}"/>
            </a:ext>
          </a:extLst>
        </cdr:cNvPr>
        <cdr:cNvSpPr/>
      </cdr:nvSpPr>
      <cdr:spPr>
        <a:xfrm xmlns:a="http://schemas.openxmlformats.org/drawingml/2006/main">
          <a:off x="4291271" y="1401800"/>
          <a:ext cx="2152061" cy="22259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52061" h="2225967">
              <a:moveTo>
                <a:pt x="1412261" y="783958"/>
              </a:moveTo>
              <a:lnTo>
                <a:pt x="812752" y="1404055"/>
              </a:lnTo>
              <a:lnTo>
                <a:pt x="537890" y="1688356"/>
              </a:lnTo>
              <a:lnTo>
                <a:pt x="18130" y="2225966"/>
              </a:lnTo>
              <a:lnTo>
                <a:pt x="0" y="2207214"/>
              </a:lnTo>
              <a:lnTo>
                <a:pt x="519761" y="1669604"/>
              </a:lnTo>
              <a:lnTo>
                <a:pt x="794622" y="1385303"/>
              </a:lnTo>
              <a:lnTo>
                <a:pt x="1394131" y="765206"/>
              </a:lnTo>
              <a:lnTo>
                <a:pt x="2133931" y="0"/>
              </a:lnTo>
              <a:lnTo>
                <a:pt x="215206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0.52437</cdr:x>
      <cdr:y>0.31812</cdr:y>
    </cdr:from>
    <cdr:to>
      <cdr:x>0.81739</cdr:x>
      <cdr:y>0.60909</cdr:y>
    </cdr:to>
    <cdr:sp macro="" textlink="">
      <cdr:nvSpPr>
        <cdr:cNvPr id="59" name="FracNo 902 StartRow 782">
          <a:extLst xmlns:a="http://schemas.openxmlformats.org/drawingml/2006/main">
            <a:ext uri="{FF2B5EF4-FFF2-40B4-BE49-F238E27FC236}">
              <a16:creationId xmlns:a16="http://schemas.microsoft.com/office/drawing/2014/main" id="{634894A4-85F0-6214-4053-15947AEDCB76}"/>
            </a:ext>
          </a:extLst>
        </cdr:cNvPr>
        <cdr:cNvSpPr/>
      </cdr:nvSpPr>
      <cdr:spPr>
        <a:xfrm xmlns:a="http://schemas.openxmlformats.org/drawingml/2006/main">
          <a:off x="3835835" y="2424086"/>
          <a:ext cx="2143548" cy="22171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43548" h="2217163">
              <a:moveTo>
                <a:pt x="414819" y="1769345"/>
              </a:moveTo>
              <a:lnTo>
                <a:pt x="0" y="2198410"/>
              </a:lnTo>
              <a:lnTo>
                <a:pt x="18129" y="2217162"/>
              </a:lnTo>
              <a:lnTo>
                <a:pt x="432948" y="1788097"/>
              </a:lnTo>
              <a:lnTo>
                <a:pt x="993326" y="1208474"/>
              </a:lnTo>
              <a:lnTo>
                <a:pt x="1792583" y="381769"/>
              </a:lnTo>
              <a:lnTo>
                <a:pt x="2143547" y="18752"/>
              </a:lnTo>
              <a:lnTo>
                <a:pt x="2125418" y="0"/>
              </a:lnTo>
              <a:lnTo>
                <a:pt x="1774454" y="363017"/>
              </a:lnTo>
              <a:lnTo>
                <a:pt x="975197" y="118972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0.28077</cdr:x>
      <cdr:y>0.64177</cdr:y>
    </cdr:from>
    <cdr:to>
      <cdr:x>0.57362</cdr:x>
      <cdr:y>0.9301</cdr:y>
    </cdr:to>
    <cdr:sp macro="" textlink="">
      <cdr:nvSpPr>
        <cdr:cNvPr id="60" name="FracNo 958 StartRow 795">
          <a:extLst xmlns:a="http://schemas.openxmlformats.org/drawingml/2006/main">
            <a:ext uri="{FF2B5EF4-FFF2-40B4-BE49-F238E27FC236}">
              <a16:creationId xmlns:a16="http://schemas.microsoft.com/office/drawing/2014/main" id="{40B30701-3447-A863-FEF7-207C7541B70C}"/>
            </a:ext>
          </a:extLst>
        </cdr:cNvPr>
        <cdr:cNvSpPr/>
      </cdr:nvSpPr>
      <cdr:spPr>
        <a:xfrm xmlns:a="http://schemas.openxmlformats.org/drawingml/2006/main">
          <a:off x="2053868" y="4890298"/>
          <a:ext cx="2142251" cy="21970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42251" h="2197068">
              <a:moveTo>
                <a:pt x="1231651" y="923118"/>
              </a:moveTo>
              <a:lnTo>
                <a:pt x="678875" y="1494878"/>
              </a:lnTo>
              <a:lnTo>
                <a:pt x="0" y="2197067"/>
              </a:lnTo>
              <a:lnTo>
                <a:pt x="36259" y="2197067"/>
              </a:lnTo>
              <a:lnTo>
                <a:pt x="705161" y="1505193"/>
              </a:lnTo>
              <a:lnTo>
                <a:pt x="1254727" y="936754"/>
              </a:lnTo>
              <a:lnTo>
                <a:pt x="2101404" y="61000"/>
              </a:lnTo>
              <a:lnTo>
                <a:pt x="2142250" y="18752"/>
              </a:lnTo>
              <a:lnTo>
                <a:pt x="2124121" y="0"/>
              </a:lnTo>
              <a:lnTo>
                <a:pt x="2083275" y="4224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0.40852</cdr:x>
      <cdr:y>0.5699</cdr:y>
    </cdr:from>
    <cdr:to>
      <cdr:x>0.70002</cdr:x>
      <cdr:y>0.85935</cdr:y>
    </cdr:to>
    <cdr:sp macro="" textlink="">
      <cdr:nvSpPr>
        <cdr:cNvPr id="61" name="FracNo 752 StartRow 808">
          <a:extLst xmlns:a="http://schemas.openxmlformats.org/drawingml/2006/main">
            <a:ext uri="{FF2B5EF4-FFF2-40B4-BE49-F238E27FC236}">
              <a16:creationId xmlns:a16="http://schemas.microsoft.com/office/drawing/2014/main" id="{D0621D2E-6D98-E7F4-7A66-B5653AB9889C}"/>
            </a:ext>
          </a:extLst>
        </cdr:cNvPr>
        <cdr:cNvSpPr/>
      </cdr:nvSpPr>
      <cdr:spPr>
        <a:xfrm xmlns:a="http://schemas.openxmlformats.org/drawingml/2006/main">
          <a:off x="2988414" y="4342662"/>
          <a:ext cx="2132350" cy="22055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32350" h="2205580">
              <a:moveTo>
                <a:pt x="776903" y="1383243"/>
              </a:moveTo>
              <a:lnTo>
                <a:pt x="0" y="2186827"/>
              </a:lnTo>
              <a:lnTo>
                <a:pt x="18129" y="2205579"/>
              </a:lnTo>
              <a:lnTo>
                <a:pt x="795033" y="1401995"/>
              </a:lnTo>
              <a:lnTo>
                <a:pt x="1562050" y="608636"/>
              </a:lnTo>
              <a:lnTo>
                <a:pt x="1840747" y="320368"/>
              </a:lnTo>
              <a:lnTo>
                <a:pt x="2132349" y="18752"/>
              </a:lnTo>
              <a:lnTo>
                <a:pt x="2114220" y="0"/>
              </a:lnTo>
              <a:lnTo>
                <a:pt x="1822618" y="301617"/>
              </a:lnTo>
              <a:lnTo>
                <a:pt x="1543921" y="58988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0.42737</cdr:y>
    </cdr:from>
    <cdr:to>
      <cdr:x>0.38018</cdr:x>
      <cdr:y>0.71616</cdr:y>
    </cdr:to>
    <cdr:sp macro="" textlink="">
      <cdr:nvSpPr>
        <cdr:cNvPr id="62" name="FracNo 510 StartRow 821">
          <a:extLst xmlns:a="http://schemas.openxmlformats.org/drawingml/2006/main">
            <a:ext uri="{FF2B5EF4-FFF2-40B4-BE49-F238E27FC236}">
              <a16:creationId xmlns:a16="http://schemas.microsoft.com/office/drawing/2014/main" id="{EDAD8C3C-5AE9-122F-BCC1-7DE44534C78B}"/>
            </a:ext>
          </a:extLst>
        </cdr:cNvPr>
        <cdr:cNvSpPr/>
      </cdr:nvSpPr>
      <cdr:spPr>
        <a:xfrm xmlns:a="http://schemas.openxmlformats.org/drawingml/2006/main">
          <a:off x="671676" y="3256571"/>
          <a:ext cx="2109412" cy="22006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09412" h="2200605">
              <a:moveTo>
                <a:pt x="1344008" y="810441"/>
              </a:moveTo>
              <a:lnTo>
                <a:pt x="483270" y="1700738"/>
              </a:lnTo>
              <a:lnTo>
                <a:pt x="0" y="2200604"/>
              </a:lnTo>
              <a:lnTo>
                <a:pt x="0" y="2163101"/>
              </a:lnTo>
              <a:lnTo>
                <a:pt x="476764" y="1669964"/>
              </a:lnTo>
              <a:lnTo>
                <a:pt x="1331249" y="786134"/>
              </a:lnTo>
              <a:lnTo>
                <a:pt x="2065146" y="27034"/>
              </a:lnTo>
              <a:lnTo>
                <a:pt x="2091282" y="0"/>
              </a:lnTo>
              <a:lnTo>
                <a:pt x="2109411" y="18752"/>
              </a:lnTo>
              <a:lnTo>
                <a:pt x="2083275" y="4578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0.29049</cdr:x>
      <cdr:y>0.64459</cdr:y>
    </cdr:from>
    <cdr:to>
      <cdr:x>0.5805</cdr:x>
      <cdr:y>0.9301</cdr:y>
    </cdr:to>
    <cdr:sp macro="" textlink="">
      <cdr:nvSpPr>
        <cdr:cNvPr id="63" name="FracNo 977 StartRow 834">
          <a:extLst xmlns:a="http://schemas.openxmlformats.org/drawingml/2006/main">
            <a:ext uri="{FF2B5EF4-FFF2-40B4-BE49-F238E27FC236}">
              <a16:creationId xmlns:a16="http://schemas.microsoft.com/office/drawing/2014/main" id="{44C40F97-DA03-AC22-A1DB-D49A8741B6D8}"/>
            </a:ext>
          </a:extLst>
        </cdr:cNvPr>
        <cdr:cNvSpPr/>
      </cdr:nvSpPr>
      <cdr:spPr>
        <a:xfrm xmlns:a="http://schemas.openxmlformats.org/drawingml/2006/main">
          <a:off x="2124994" y="4911764"/>
          <a:ext cx="2121497" cy="21756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21497" h="2175602">
              <a:moveTo>
                <a:pt x="94290" y="2115577"/>
              </a:moveTo>
              <a:lnTo>
                <a:pt x="36258" y="2175601"/>
              </a:lnTo>
              <a:lnTo>
                <a:pt x="0" y="2175601"/>
              </a:lnTo>
              <a:lnTo>
                <a:pt x="59803" y="2113744"/>
              </a:lnTo>
              <a:lnTo>
                <a:pt x="611828" y="1542761"/>
              </a:lnTo>
              <a:lnTo>
                <a:pt x="2083275" y="20782"/>
              </a:lnTo>
              <a:lnTo>
                <a:pt x="2103367" y="0"/>
              </a:lnTo>
              <a:lnTo>
                <a:pt x="2121496" y="18752"/>
              </a:lnTo>
              <a:lnTo>
                <a:pt x="2101404" y="39534"/>
              </a:lnTo>
              <a:lnTo>
                <a:pt x="629957" y="156151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0.65491</cdr:x>
      <cdr:y>0.64457</cdr:y>
    </cdr:from>
    <cdr:to>
      <cdr:x>0.9437</cdr:x>
      <cdr:y>0.93133</cdr:y>
    </cdr:to>
    <cdr:sp macro="" textlink="">
      <cdr:nvSpPr>
        <cdr:cNvPr id="64" name="FracNo 781 StartRow 847">
          <a:extLst xmlns:a="http://schemas.openxmlformats.org/drawingml/2006/main">
            <a:ext uri="{FF2B5EF4-FFF2-40B4-BE49-F238E27FC236}">
              <a16:creationId xmlns:a16="http://schemas.microsoft.com/office/drawing/2014/main" id="{34E5E59D-994D-6254-4FE2-29B339164EFC}"/>
            </a:ext>
          </a:extLst>
        </cdr:cNvPr>
        <cdr:cNvSpPr/>
      </cdr:nvSpPr>
      <cdr:spPr>
        <a:xfrm xmlns:a="http://schemas.openxmlformats.org/drawingml/2006/main">
          <a:off x="4790792" y="4911611"/>
          <a:ext cx="2112581" cy="21851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12581" h="2185131">
              <a:moveTo>
                <a:pt x="1162343" y="1010998"/>
              </a:moveTo>
              <a:lnTo>
                <a:pt x="38369" y="2173571"/>
              </a:lnTo>
              <a:lnTo>
                <a:pt x="27194" y="2185130"/>
              </a:lnTo>
              <a:lnTo>
                <a:pt x="0" y="2175754"/>
              </a:lnTo>
              <a:lnTo>
                <a:pt x="11265" y="2164103"/>
              </a:lnTo>
              <a:lnTo>
                <a:pt x="1145008" y="991424"/>
              </a:lnTo>
              <a:lnTo>
                <a:pt x="2092234" y="11669"/>
              </a:lnTo>
              <a:lnTo>
                <a:pt x="2103515" y="0"/>
              </a:lnTo>
              <a:lnTo>
                <a:pt x="2112580" y="28128"/>
              </a:lnTo>
              <a:lnTo>
                <a:pt x="2101405" y="3968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0.42455</cdr:y>
    </cdr:from>
    <cdr:to>
      <cdr:x>0.37734</cdr:x>
      <cdr:y>0.71052</cdr:y>
    </cdr:to>
    <cdr:sp macro="" textlink="">
      <cdr:nvSpPr>
        <cdr:cNvPr id="65" name="FracNo 984 StartRow 860">
          <a:extLst xmlns:a="http://schemas.openxmlformats.org/drawingml/2006/main">
            <a:ext uri="{FF2B5EF4-FFF2-40B4-BE49-F238E27FC236}">
              <a16:creationId xmlns:a16="http://schemas.microsoft.com/office/drawing/2014/main" id="{739898CC-5FA9-A2A9-F97C-0C992EA74899}"/>
            </a:ext>
          </a:extLst>
        </cdr:cNvPr>
        <cdr:cNvSpPr/>
      </cdr:nvSpPr>
      <cdr:spPr>
        <a:xfrm xmlns:a="http://schemas.openxmlformats.org/drawingml/2006/main">
          <a:off x="671676" y="3235054"/>
          <a:ext cx="2088608" cy="21790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88608" h="2179086">
              <a:moveTo>
                <a:pt x="1766494" y="351926"/>
              </a:moveTo>
              <a:lnTo>
                <a:pt x="440669" y="1723283"/>
              </a:lnTo>
              <a:lnTo>
                <a:pt x="0" y="2179085"/>
              </a:lnTo>
              <a:lnTo>
                <a:pt x="0" y="2141582"/>
              </a:lnTo>
              <a:lnTo>
                <a:pt x="436150" y="1690453"/>
              </a:lnTo>
              <a:lnTo>
                <a:pt x="1750990" y="330459"/>
              </a:lnTo>
              <a:lnTo>
                <a:pt x="2065146" y="5515"/>
              </a:lnTo>
              <a:lnTo>
                <a:pt x="2070478" y="0"/>
              </a:lnTo>
              <a:lnTo>
                <a:pt x="2088607" y="18751"/>
              </a:lnTo>
              <a:lnTo>
                <a:pt x="2083275" y="2426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0.65783</cdr:x>
      <cdr:y>0.47419</cdr:y>
    </cdr:from>
    <cdr:to>
      <cdr:x>0.94246</cdr:x>
      <cdr:y>0.75928</cdr:y>
    </cdr:to>
    <cdr:sp macro="" textlink="">
      <cdr:nvSpPr>
        <cdr:cNvPr id="66" name="FracNo 960 StartRow 873">
          <a:extLst xmlns:a="http://schemas.openxmlformats.org/drawingml/2006/main">
            <a:ext uri="{FF2B5EF4-FFF2-40B4-BE49-F238E27FC236}">
              <a16:creationId xmlns:a16="http://schemas.microsoft.com/office/drawing/2014/main" id="{B0778AF1-08E5-17EB-8D7A-DC13D7CC3B0B}"/>
            </a:ext>
          </a:extLst>
        </cdr:cNvPr>
        <cdr:cNvSpPr/>
      </cdr:nvSpPr>
      <cdr:spPr>
        <a:xfrm xmlns:a="http://schemas.openxmlformats.org/drawingml/2006/main">
          <a:off x="4812189" y="3613313"/>
          <a:ext cx="2082119" cy="21723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82119" h="2172375">
              <a:moveTo>
                <a:pt x="1328476" y="779525"/>
              </a:moveTo>
              <a:lnTo>
                <a:pt x="806686" y="1319233"/>
              </a:lnTo>
              <a:lnTo>
                <a:pt x="0" y="2153622"/>
              </a:lnTo>
              <a:lnTo>
                <a:pt x="18130" y="2172374"/>
              </a:lnTo>
              <a:lnTo>
                <a:pt x="824815" y="1337985"/>
              </a:lnTo>
              <a:lnTo>
                <a:pt x="1339188" y="805948"/>
              </a:lnTo>
              <a:lnTo>
                <a:pt x="2082118" y="37504"/>
              </a:lnTo>
              <a:lnTo>
                <a:pt x="208211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0.35703</cdr:x>
      <cdr:y>0.08544</cdr:y>
    </cdr:from>
    <cdr:to>
      <cdr:x>0.64266</cdr:x>
      <cdr:y>0.3666</cdr:y>
    </cdr:to>
    <cdr:sp macro="" textlink="">
      <cdr:nvSpPr>
        <cdr:cNvPr id="67" name="FracNo 878 StartRow 884">
          <a:extLst xmlns:a="http://schemas.openxmlformats.org/drawingml/2006/main">
            <a:ext uri="{FF2B5EF4-FFF2-40B4-BE49-F238E27FC236}">
              <a16:creationId xmlns:a16="http://schemas.microsoft.com/office/drawing/2014/main" id="{1BE6874F-2344-2FC8-F3B2-0E033C97EA3F}"/>
            </a:ext>
          </a:extLst>
        </cdr:cNvPr>
        <cdr:cNvSpPr/>
      </cdr:nvSpPr>
      <cdr:spPr>
        <a:xfrm xmlns:a="http://schemas.openxmlformats.org/drawingml/2006/main">
          <a:off x="2611756" y="651036"/>
          <a:ext cx="2089461" cy="21424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89461" h="2142465">
              <a:moveTo>
                <a:pt x="1073191" y="1013666"/>
              </a:moveTo>
              <a:lnTo>
                <a:pt x="125066" y="1994352"/>
              </a:lnTo>
              <a:lnTo>
                <a:pt x="0" y="2123713"/>
              </a:lnTo>
              <a:lnTo>
                <a:pt x="18129" y="2142464"/>
              </a:lnTo>
              <a:lnTo>
                <a:pt x="143195" y="2013104"/>
              </a:lnTo>
              <a:lnTo>
                <a:pt x="1100235" y="1023197"/>
              </a:lnTo>
              <a:lnTo>
                <a:pt x="2089460" y="0"/>
              </a:lnTo>
              <a:lnTo>
                <a:pt x="205320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0.40515</cdr:x>
      <cdr:y>0.10185</cdr:y>
    </cdr:from>
    <cdr:to>
      <cdr:x>0.68945</cdr:x>
      <cdr:y>0.38415</cdr:y>
    </cdr:to>
    <cdr:sp macro="" textlink="">
      <cdr:nvSpPr>
        <cdr:cNvPr id="68" name="FracNo 823 StartRow 895">
          <a:extLst xmlns:a="http://schemas.openxmlformats.org/drawingml/2006/main">
            <a:ext uri="{FF2B5EF4-FFF2-40B4-BE49-F238E27FC236}">
              <a16:creationId xmlns:a16="http://schemas.microsoft.com/office/drawing/2014/main" id="{16E16F82-EEAA-1D12-939C-B25878F0E26D}"/>
            </a:ext>
          </a:extLst>
        </cdr:cNvPr>
        <cdr:cNvSpPr/>
      </cdr:nvSpPr>
      <cdr:spPr>
        <a:xfrm xmlns:a="http://schemas.openxmlformats.org/drawingml/2006/main">
          <a:off x="2963748" y="776108"/>
          <a:ext cx="2079703" cy="21511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79703" h="2151125">
              <a:moveTo>
                <a:pt x="630595" y="1480121"/>
              </a:moveTo>
              <a:lnTo>
                <a:pt x="117347" y="2010995"/>
              </a:lnTo>
              <a:lnTo>
                <a:pt x="0" y="2132372"/>
              </a:lnTo>
              <a:lnTo>
                <a:pt x="18129" y="2151124"/>
              </a:lnTo>
              <a:lnTo>
                <a:pt x="135476" y="2029747"/>
              </a:lnTo>
              <a:lnTo>
                <a:pt x="648725" y="1498873"/>
              </a:lnTo>
              <a:lnTo>
                <a:pt x="1865413" y="240400"/>
              </a:lnTo>
              <a:lnTo>
                <a:pt x="2079702" y="18752"/>
              </a:lnTo>
              <a:lnTo>
                <a:pt x="2061573" y="0"/>
              </a:lnTo>
              <a:lnTo>
                <a:pt x="1847284" y="22164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0.63768</cdr:x>
      <cdr:y>0.08586</cdr:y>
    </cdr:from>
    <cdr:to>
      <cdr:x>0.91962</cdr:x>
      <cdr:y>0.36582</cdr:y>
    </cdr:to>
    <cdr:sp macro="" textlink="">
      <cdr:nvSpPr>
        <cdr:cNvPr id="69" name="FracNo 672 StartRow 908">
          <a:extLst xmlns:a="http://schemas.openxmlformats.org/drawingml/2006/main">
            <a:ext uri="{FF2B5EF4-FFF2-40B4-BE49-F238E27FC236}">
              <a16:creationId xmlns:a16="http://schemas.microsoft.com/office/drawing/2014/main" id="{03A155C4-9632-455D-14E5-7730AA43D54C}"/>
            </a:ext>
          </a:extLst>
        </cdr:cNvPr>
        <cdr:cNvSpPr/>
      </cdr:nvSpPr>
      <cdr:spPr>
        <a:xfrm xmlns:a="http://schemas.openxmlformats.org/drawingml/2006/main">
          <a:off x="4664751" y="654223"/>
          <a:ext cx="2062463" cy="21332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62463" h="2133292">
              <a:moveTo>
                <a:pt x="1102855" y="973810"/>
              </a:moveTo>
              <a:lnTo>
                <a:pt x="146281" y="1963234"/>
              </a:lnTo>
              <a:lnTo>
                <a:pt x="0" y="2114539"/>
              </a:lnTo>
              <a:lnTo>
                <a:pt x="18129" y="2133291"/>
              </a:lnTo>
              <a:lnTo>
                <a:pt x="164410" y="1981986"/>
              </a:lnTo>
              <a:lnTo>
                <a:pt x="1120984" y="992562"/>
              </a:lnTo>
              <a:lnTo>
                <a:pt x="2062462" y="18752"/>
              </a:lnTo>
              <a:lnTo>
                <a:pt x="204433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0.44466</cdr:x>
      <cdr:y>0.45549</cdr:y>
    </cdr:from>
    <cdr:to>
      <cdr:x>0.72088</cdr:x>
      <cdr:y>0.72976</cdr:y>
    </cdr:to>
    <cdr:sp macro="" textlink="">
      <cdr:nvSpPr>
        <cdr:cNvPr id="70" name="FracNo 899 StartRow 919">
          <a:extLst xmlns:a="http://schemas.openxmlformats.org/drawingml/2006/main">
            <a:ext uri="{FF2B5EF4-FFF2-40B4-BE49-F238E27FC236}">
              <a16:creationId xmlns:a16="http://schemas.microsoft.com/office/drawing/2014/main" id="{E779E940-81FC-0625-73F2-67878BEA5177}"/>
            </a:ext>
          </a:extLst>
        </cdr:cNvPr>
        <cdr:cNvSpPr/>
      </cdr:nvSpPr>
      <cdr:spPr>
        <a:xfrm xmlns:a="http://schemas.openxmlformats.org/drawingml/2006/main">
          <a:off x="3252792" y="3470797"/>
          <a:ext cx="2020553" cy="20899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20553" h="2089942">
              <a:moveTo>
                <a:pt x="955637" y="1082734"/>
              </a:moveTo>
              <a:lnTo>
                <a:pt x="589206" y="1461749"/>
              </a:lnTo>
              <a:lnTo>
                <a:pt x="0" y="2071190"/>
              </a:lnTo>
              <a:lnTo>
                <a:pt x="18129" y="2089941"/>
              </a:lnTo>
              <a:lnTo>
                <a:pt x="607335" y="1480501"/>
              </a:lnTo>
              <a:lnTo>
                <a:pt x="973766" y="1101486"/>
              </a:lnTo>
              <a:lnTo>
                <a:pt x="1576369" y="478188"/>
              </a:lnTo>
              <a:lnTo>
                <a:pt x="2020552" y="18751"/>
              </a:lnTo>
              <a:lnTo>
                <a:pt x="2002423" y="0"/>
              </a:lnTo>
              <a:lnTo>
                <a:pt x="1558240" y="45943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0.21937</cdr:x>
      <cdr:y>0.65904</cdr:y>
    </cdr:from>
    <cdr:to>
      <cdr:x>0.49483</cdr:x>
      <cdr:y>0.9301</cdr:y>
    </cdr:to>
    <cdr:sp macro="" textlink="">
      <cdr:nvSpPr>
        <cdr:cNvPr id="71" name="FracNo 278 StartRow 932">
          <a:extLst xmlns:a="http://schemas.openxmlformats.org/drawingml/2006/main">
            <a:ext uri="{FF2B5EF4-FFF2-40B4-BE49-F238E27FC236}">
              <a16:creationId xmlns:a16="http://schemas.microsoft.com/office/drawing/2014/main" id="{17FBD811-31DA-601D-FCC4-6CCA3780DC19}"/>
            </a:ext>
          </a:extLst>
        </cdr:cNvPr>
        <cdr:cNvSpPr/>
      </cdr:nvSpPr>
      <cdr:spPr>
        <a:xfrm xmlns:a="http://schemas.openxmlformats.org/drawingml/2006/main">
          <a:off x="1604703" y="5021869"/>
          <a:ext cx="2015048" cy="20654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15048" h="2065497">
              <a:moveTo>
                <a:pt x="1296575" y="761897"/>
              </a:moveTo>
              <a:lnTo>
                <a:pt x="1151287" y="912174"/>
              </a:lnTo>
              <a:lnTo>
                <a:pt x="36258" y="2065496"/>
              </a:lnTo>
              <a:lnTo>
                <a:pt x="0" y="2065496"/>
              </a:lnTo>
              <a:lnTo>
                <a:pt x="1131079" y="895573"/>
              </a:lnTo>
              <a:lnTo>
                <a:pt x="1276716" y="744934"/>
              </a:lnTo>
              <a:lnTo>
                <a:pt x="1996917" y="0"/>
              </a:lnTo>
              <a:lnTo>
                <a:pt x="201504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0.67004</cdr:x>
      <cdr:y>0.49843</cdr:y>
    </cdr:from>
    <cdr:to>
      <cdr:x>0.94246</cdr:x>
      <cdr:y>0.7714</cdr:y>
    </cdr:to>
    <cdr:sp macro="" textlink="">
      <cdr:nvSpPr>
        <cdr:cNvPr id="72" name="FracNo 981 StartRow 943">
          <a:extLst xmlns:a="http://schemas.openxmlformats.org/drawingml/2006/main">
            <a:ext uri="{FF2B5EF4-FFF2-40B4-BE49-F238E27FC236}">
              <a16:creationId xmlns:a16="http://schemas.microsoft.com/office/drawing/2014/main" id="{43F31554-3E57-1C99-3F92-D02913B32A3A}"/>
            </a:ext>
          </a:extLst>
        </cdr:cNvPr>
        <cdr:cNvSpPr/>
      </cdr:nvSpPr>
      <cdr:spPr>
        <a:xfrm xmlns:a="http://schemas.openxmlformats.org/drawingml/2006/main">
          <a:off x="4901480" y="3798026"/>
          <a:ext cx="1992828" cy="20800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92828" h="2080019">
              <a:moveTo>
                <a:pt x="54626" y="2004763"/>
              </a:moveTo>
              <a:lnTo>
                <a:pt x="0" y="2061266"/>
              </a:lnTo>
              <a:lnTo>
                <a:pt x="18129" y="2080018"/>
              </a:lnTo>
              <a:lnTo>
                <a:pt x="72275" y="2024012"/>
              </a:lnTo>
              <a:lnTo>
                <a:pt x="910151" y="1157362"/>
              </a:lnTo>
              <a:lnTo>
                <a:pt x="1992827" y="37504"/>
              </a:lnTo>
              <a:lnTo>
                <a:pt x="1992827" y="0"/>
              </a:lnTo>
              <a:lnTo>
                <a:pt x="899929" y="113043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0.50338</cdr:x>
      <cdr:y>0.22053</cdr:y>
    </cdr:from>
    <cdr:to>
      <cdr:x>0.77694</cdr:x>
      <cdr:y>0.49216</cdr:y>
    </cdr:to>
    <cdr:sp macro="" textlink="">
      <cdr:nvSpPr>
        <cdr:cNvPr id="73" name="FracNo 942 StartRow 954">
          <a:extLst xmlns:a="http://schemas.openxmlformats.org/drawingml/2006/main">
            <a:ext uri="{FF2B5EF4-FFF2-40B4-BE49-F238E27FC236}">
              <a16:creationId xmlns:a16="http://schemas.microsoft.com/office/drawing/2014/main" id="{37617537-DBEE-72A7-A375-A74FEE9C7BB5}"/>
            </a:ext>
          </a:extLst>
        </cdr:cNvPr>
        <cdr:cNvSpPr/>
      </cdr:nvSpPr>
      <cdr:spPr>
        <a:xfrm xmlns:a="http://schemas.openxmlformats.org/drawingml/2006/main">
          <a:off x="3682338" y="1680420"/>
          <a:ext cx="2001139" cy="20698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01139" h="2069862">
              <a:moveTo>
                <a:pt x="950437" y="1068033"/>
              </a:moveTo>
              <a:lnTo>
                <a:pt x="913069" y="1106683"/>
              </a:lnTo>
              <a:lnTo>
                <a:pt x="0" y="2051109"/>
              </a:lnTo>
              <a:lnTo>
                <a:pt x="18130" y="2069861"/>
              </a:lnTo>
              <a:lnTo>
                <a:pt x="931199" y="1125435"/>
              </a:lnTo>
              <a:lnTo>
                <a:pt x="968566" y="1086784"/>
              </a:lnTo>
              <a:lnTo>
                <a:pt x="1146823" y="902405"/>
              </a:lnTo>
              <a:lnTo>
                <a:pt x="2001138" y="18751"/>
              </a:lnTo>
              <a:lnTo>
                <a:pt x="1983009" y="0"/>
              </a:lnTo>
              <a:lnTo>
                <a:pt x="1128694" y="88365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0.12484</cdr:x>
      <cdr:y>0.50724</cdr:y>
    </cdr:from>
    <cdr:to>
      <cdr:x>0.39625</cdr:x>
      <cdr:y>0.77674</cdr:y>
    </cdr:to>
    <cdr:sp macro="" textlink="">
      <cdr:nvSpPr>
        <cdr:cNvPr id="74" name="FracNo 39 StartRow 967">
          <a:extLst xmlns:a="http://schemas.openxmlformats.org/drawingml/2006/main">
            <a:ext uri="{FF2B5EF4-FFF2-40B4-BE49-F238E27FC236}">
              <a16:creationId xmlns:a16="http://schemas.microsoft.com/office/drawing/2014/main" id="{5939A779-568B-3968-6A60-7EA0061A4956}"/>
            </a:ext>
          </a:extLst>
        </cdr:cNvPr>
        <cdr:cNvSpPr/>
      </cdr:nvSpPr>
      <cdr:spPr>
        <a:xfrm xmlns:a="http://schemas.openxmlformats.org/drawingml/2006/main">
          <a:off x="913230" y="3865169"/>
          <a:ext cx="1985440" cy="20536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85440" h="2053624">
              <a:moveTo>
                <a:pt x="20195" y="2013983"/>
              </a:moveTo>
              <a:lnTo>
                <a:pt x="0" y="2034871"/>
              </a:lnTo>
              <a:lnTo>
                <a:pt x="18130" y="2053623"/>
              </a:lnTo>
              <a:lnTo>
                <a:pt x="38324" y="2032735"/>
              </a:lnTo>
              <a:lnTo>
                <a:pt x="953501" y="1086129"/>
              </a:lnTo>
              <a:lnTo>
                <a:pt x="1841721" y="167405"/>
              </a:lnTo>
              <a:lnTo>
                <a:pt x="1985439" y="18752"/>
              </a:lnTo>
              <a:lnTo>
                <a:pt x="1967310" y="0"/>
              </a:lnTo>
              <a:lnTo>
                <a:pt x="1823592" y="148653"/>
              </a:lnTo>
              <a:lnTo>
                <a:pt x="935372" y="106737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0.23408</cdr:x>
      <cdr:y>0.48895</cdr:y>
    </cdr:from>
    <cdr:to>
      <cdr:x>0.50511</cdr:x>
      <cdr:y>0.75807</cdr:y>
    </cdr:to>
    <cdr:sp macro="" textlink="">
      <cdr:nvSpPr>
        <cdr:cNvPr id="75" name="FracNo 743 StartRow 980">
          <a:extLst xmlns:a="http://schemas.openxmlformats.org/drawingml/2006/main">
            <a:ext uri="{FF2B5EF4-FFF2-40B4-BE49-F238E27FC236}">
              <a16:creationId xmlns:a16="http://schemas.microsoft.com/office/drawing/2014/main" id="{913130C2-C129-C66A-2751-8A9B7A90C2A6}"/>
            </a:ext>
          </a:extLst>
        </cdr:cNvPr>
        <cdr:cNvSpPr/>
      </cdr:nvSpPr>
      <cdr:spPr>
        <a:xfrm xmlns:a="http://schemas.openxmlformats.org/drawingml/2006/main">
          <a:off x="1712349" y="3725830"/>
          <a:ext cx="1982610" cy="20506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82610" h="2050697">
              <a:moveTo>
                <a:pt x="86167" y="1980322"/>
              </a:moveTo>
              <a:lnTo>
                <a:pt x="18129" y="2050696"/>
              </a:lnTo>
              <a:lnTo>
                <a:pt x="0" y="2031945"/>
              </a:lnTo>
              <a:lnTo>
                <a:pt x="68038" y="1961570"/>
              </a:lnTo>
              <a:lnTo>
                <a:pt x="797829" y="1206716"/>
              </a:lnTo>
              <a:lnTo>
                <a:pt x="1024473" y="972289"/>
              </a:lnTo>
              <a:lnTo>
                <a:pt x="1964480" y="0"/>
              </a:lnTo>
              <a:lnTo>
                <a:pt x="1982609" y="18752"/>
              </a:lnTo>
              <a:lnTo>
                <a:pt x="1042602" y="991041"/>
              </a:lnTo>
              <a:lnTo>
                <a:pt x="815959" y="122546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0.36052</cdr:x>
      <cdr:y>0.35225</cdr:y>
    </cdr:to>
    <cdr:sp macro="" textlink="">
      <cdr:nvSpPr>
        <cdr:cNvPr id="76" name="FracNo 584 StartRow 993">
          <a:extLst xmlns:a="http://schemas.openxmlformats.org/drawingml/2006/main">
            <a:ext uri="{FF2B5EF4-FFF2-40B4-BE49-F238E27FC236}">
              <a16:creationId xmlns:a16="http://schemas.microsoft.com/office/drawing/2014/main" id="{B387A93E-6547-72E1-FC2F-3F3B7EFAECEF}"/>
            </a:ext>
          </a:extLst>
        </cdr:cNvPr>
        <cdr:cNvSpPr/>
      </cdr:nvSpPr>
      <cdr:spPr>
        <a:xfrm xmlns:a="http://schemas.openxmlformats.org/drawingml/2006/main">
          <a:off x="671676" y="651036"/>
          <a:ext cx="1965589" cy="20330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65589" h="2033091">
              <a:moveTo>
                <a:pt x="1081983" y="876446"/>
              </a:moveTo>
              <a:lnTo>
                <a:pt x="0" y="1995587"/>
              </a:lnTo>
              <a:lnTo>
                <a:pt x="0" y="2033090"/>
              </a:lnTo>
              <a:lnTo>
                <a:pt x="1102317" y="892918"/>
              </a:lnTo>
              <a:lnTo>
                <a:pt x="1965588" y="0"/>
              </a:lnTo>
              <a:lnTo>
                <a:pt x="192933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0.42224</cdr:x>
      <cdr:y>0.66819</cdr:y>
    </cdr:from>
    <cdr:to>
      <cdr:x>0.68848</cdr:x>
      <cdr:y>0.9301</cdr:y>
    </cdr:to>
    <cdr:sp macro="" textlink="">
      <cdr:nvSpPr>
        <cdr:cNvPr id="77" name="FracNo 1015 StartRow 1002">
          <a:extLst xmlns:a="http://schemas.openxmlformats.org/drawingml/2006/main">
            <a:ext uri="{FF2B5EF4-FFF2-40B4-BE49-F238E27FC236}">
              <a16:creationId xmlns:a16="http://schemas.microsoft.com/office/drawing/2014/main" id="{2EBA209B-B1CC-9B31-3DAD-A7876BE76EB8}"/>
            </a:ext>
          </a:extLst>
        </cdr:cNvPr>
        <cdr:cNvSpPr/>
      </cdr:nvSpPr>
      <cdr:spPr>
        <a:xfrm xmlns:a="http://schemas.openxmlformats.org/drawingml/2006/main">
          <a:off x="3088743" y="5091628"/>
          <a:ext cx="1947606" cy="19957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47606" h="1995738">
              <a:moveTo>
                <a:pt x="1457812" y="487861"/>
              </a:moveTo>
              <a:lnTo>
                <a:pt x="0" y="1995737"/>
              </a:lnTo>
              <a:lnTo>
                <a:pt x="36259" y="1995737"/>
              </a:lnTo>
              <a:lnTo>
                <a:pt x="1478725" y="503733"/>
              </a:lnTo>
              <a:lnTo>
                <a:pt x="1740418" y="233053"/>
              </a:lnTo>
              <a:lnTo>
                <a:pt x="1947605" y="18752"/>
              </a:lnTo>
              <a:lnTo>
                <a:pt x="1929475" y="0"/>
              </a:lnTo>
              <a:lnTo>
                <a:pt x="1722289" y="21430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0.39794</cdr:x>
      <cdr:y>0.08421</cdr:y>
    </cdr:from>
    <cdr:to>
      <cdr:x>0.66339</cdr:x>
      <cdr:y>0.34656</cdr:y>
    </cdr:to>
    <cdr:sp macro="" textlink="">
      <cdr:nvSpPr>
        <cdr:cNvPr id="78" name="FracNo 343 StartRow 1013">
          <a:extLst xmlns:a="http://schemas.openxmlformats.org/drawingml/2006/main">
            <a:ext uri="{FF2B5EF4-FFF2-40B4-BE49-F238E27FC236}">
              <a16:creationId xmlns:a16="http://schemas.microsoft.com/office/drawing/2014/main" id="{A1D610CA-3840-7BE1-56E1-8C5A37F7A39B}"/>
            </a:ext>
          </a:extLst>
        </cdr:cNvPr>
        <cdr:cNvSpPr/>
      </cdr:nvSpPr>
      <cdr:spPr>
        <a:xfrm xmlns:a="http://schemas.openxmlformats.org/drawingml/2006/main">
          <a:off x="2911015" y="641660"/>
          <a:ext cx="1941815" cy="19991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41815" h="1999126">
              <a:moveTo>
                <a:pt x="634637" y="1323940"/>
              </a:moveTo>
              <a:lnTo>
                <a:pt x="0" y="1980372"/>
              </a:lnTo>
              <a:lnTo>
                <a:pt x="18129" y="1999125"/>
              </a:lnTo>
              <a:lnTo>
                <a:pt x="655760" y="1339597"/>
              </a:lnTo>
              <a:lnTo>
                <a:pt x="1927108" y="24588"/>
              </a:lnTo>
              <a:lnTo>
                <a:pt x="1941814" y="9376"/>
              </a:lnTo>
              <a:lnTo>
                <a:pt x="1914621" y="0"/>
              </a:lnTo>
              <a:lnTo>
                <a:pt x="1900017" y="1510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0.39241</cdr:x>
      <cdr:y>0.24621</cdr:y>
    </cdr:from>
    <cdr:to>
      <cdr:x>0.65641</cdr:x>
      <cdr:y>0.50835</cdr:y>
    </cdr:to>
    <cdr:sp macro="" textlink="">
      <cdr:nvSpPr>
        <cdr:cNvPr id="79" name="FracNo 947 StartRow 1024">
          <a:extLst xmlns:a="http://schemas.openxmlformats.org/drawingml/2006/main">
            <a:ext uri="{FF2B5EF4-FFF2-40B4-BE49-F238E27FC236}">
              <a16:creationId xmlns:a16="http://schemas.microsoft.com/office/drawing/2014/main" id="{8A93DCFA-3504-FE90-1D7E-0F77F964FA17}"/>
            </a:ext>
          </a:extLst>
        </cdr:cNvPr>
        <cdr:cNvSpPr/>
      </cdr:nvSpPr>
      <cdr:spPr>
        <a:xfrm xmlns:a="http://schemas.openxmlformats.org/drawingml/2006/main">
          <a:off x="2870586" y="1876084"/>
          <a:ext cx="1931220" cy="19975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31220" h="1997542">
              <a:moveTo>
                <a:pt x="696135" y="1296250"/>
              </a:moveTo>
              <a:lnTo>
                <a:pt x="18129" y="1997541"/>
              </a:lnTo>
              <a:lnTo>
                <a:pt x="0" y="1978789"/>
              </a:lnTo>
              <a:lnTo>
                <a:pt x="678006" y="1277499"/>
              </a:lnTo>
              <a:lnTo>
                <a:pt x="1032318" y="911019"/>
              </a:lnTo>
              <a:lnTo>
                <a:pt x="1913089" y="0"/>
              </a:lnTo>
              <a:lnTo>
                <a:pt x="1931219" y="18752"/>
              </a:lnTo>
              <a:lnTo>
                <a:pt x="1050448" y="92977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0.68052</cdr:x>
      <cdr:y>0.37559</cdr:y>
    </cdr:from>
    <cdr:to>
      <cdr:x>0.94246</cdr:x>
      <cdr:y>0.63815</cdr:y>
    </cdr:to>
    <cdr:sp macro="" textlink="">
      <cdr:nvSpPr>
        <cdr:cNvPr id="80" name="FracNo 906 StartRow 1035">
          <a:extLst xmlns:a="http://schemas.openxmlformats.org/drawingml/2006/main">
            <a:ext uri="{FF2B5EF4-FFF2-40B4-BE49-F238E27FC236}">
              <a16:creationId xmlns:a16="http://schemas.microsoft.com/office/drawing/2014/main" id="{65CA2C01-AC0B-CFF0-F26E-E8242832EE83}"/>
            </a:ext>
          </a:extLst>
        </cdr:cNvPr>
        <cdr:cNvSpPr/>
      </cdr:nvSpPr>
      <cdr:spPr>
        <a:xfrm xmlns:a="http://schemas.openxmlformats.org/drawingml/2006/main">
          <a:off x="4978175" y="2861999"/>
          <a:ext cx="1916133" cy="20006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16133" h="2000689">
              <a:moveTo>
                <a:pt x="354551" y="1615209"/>
              </a:moveTo>
              <a:lnTo>
                <a:pt x="0" y="1981936"/>
              </a:lnTo>
              <a:lnTo>
                <a:pt x="18130" y="2000688"/>
              </a:lnTo>
              <a:lnTo>
                <a:pt x="369325" y="1637431"/>
              </a:lnTo>
              <a:lnTo>
                <a:pt x="1916132" y="37504"/>
              </a:lnTo>
              <a:lnTo>
                <a:pt x="191613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0.6836</cdr:x>
      <cdr:y>0.17262</cdr:y>
    </cdr:from>
    <cdr:to>
      <cdr:x>0.94246</cdr:x>
      <cdr:y>0.43212</cdr:y>
    </cdr:to>
    <cdr:sp macro="" textlink="">
      <cdr:nvSpPr>
        <cdr:cNvPr id="81" name="FracNo 829 StartRow 1044">
          <a:extLst xmlns:a="http://schemas.openxmlformats.org/drawingml/2006/main">
            <a:ext uri="{FF2B5EF4-FFF2-40B4-BE49-F238E27FC236}">
              <a16:creationId xmlns:a16="http://schemas.microsoft.com/office/drawing/2014/main" id="{AE2F8BCA-017D-7BE7-DD4B-2DC8A2828E00}"/>
            </a:ext>
          </a:extLst>
        </cdr:cNvPr>
        <cdr:cNvSpPr/>
      </cdr:nvSpPr>
      <cdr:spPr>
        <a:xfrm xmlns:a="http://schemas.openxmlformats.org/drawingml/2006/main">
          <a:off x="5000679" y="1315372"/>
          <a:ext cx="1893629" cy="19774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93629" h="1977412">
              <a:moveTo>
                <a:pt x="294538" y="1691509"/>
              </a:moveTo>
              <a:lnTo>
                <a:pt x="18129" y="1977411"/>
              </a:lnTo>
              <a:lnTo>
                <a:pt x="0" y="1958659"/>
              </a:lnTo>
              <a:lnTo>
                <a:pt x="277695" y="1671428"/>
              </a:lnTo>
              <a:lnTo>
                <a:pt x="471853" y="1470601"/>
              </a:lnTo>
              <a:lnTo>
                <a:pt x="1893628" y="0"/>
              </a:lnTo>
              <a:lnTo>
                <a:pt x="1893628" y="37504"/>
              </a:lnTo>
              <a:lnTo>
                <a:pt x="487798" y="149161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0.64233</cdr:x>
      <cdr:y>0.08544</cdr:y>
    </cdr:from>
    <cdr:to>
      <cdr:x>0.90118</cdr:x>
      <cdr:y>0.34</cdr:y>
    </cdr:to>
    <cdr:sp macro="" textlink="">
      <cdr:nvSpPr>
        <cdr:cNvPr id="82" name="FracNo 669 StartRow 1055">
          <a:extLst xmlns:a="http://schemas.openxmlformats.org/drawingml/2006/main">
            <a:ext uri="{FF2B5EF4-FFF2-40B4-BE49-F238E27FC236}">
              <a16:creationId xmlns:a16="http://schemas.microsoft.com/office/drawing/2014/main" id="{62BDA196-D19E-38E8-756B-91868E299E09}"/>
            </a:ext>
          </a:extLst>
        </cdr:cNvPr>
        <cdr:cNvSpPr/>
      </cdr:nvSpPr>
      <cdr:spPr>
        <a:xfrm xmlns:a="http://schemas.openxmlformats.org/drawingml/2006/main">
          <a:off x="4698789" y="651036"/>
          <a:ext cx="1893527" cy="19398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93527" h="1939802">
              <a:moveTo>
                <a:pt x="1655151" y="246561"/>
              </a:moveTo>
              <a:lnTo>
                <a:pt x="130372" y="1823703"/>
              </a:lnTo>
              <a:lnTo>
                <a:pt x="18129" y="1939801"/>
              </a:lnTo>
              <a:lnTo>
                <a:pt x="0" y="1921049"/>
              </a:lnTo>
              <a:lnTo>
                <a:pt x="112243" y="1804951"/>
              </a:lnTo>
              <a:lnTo>
                <a:pt x="1621343" y="244026"/>
              </a:lnTo>
              <a:lnTo>
                <a:pt x="1857267" y="0"/>
              </a:lnTo>
              <a:lnTo>
                <a:pt x="189352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0.68619</cdr:x>
      <cdr:y>0.36729</cdr:y>
    </cdr:from>
    <cdr:to>
      <cdr:x>0.94246</cdr:x>
      <cdr:y>0.62423</cdr:y>
    </cdr:to>
    <cdr:sp macro="" textlink="">
      <cdr:nvSpPr>
        <cdr:cNvPr id="83" name="FracNo 196 StartRow 1066">
          <a:extLst xmlns:a="http://schemas.openxmlformats.org/drawingml/2006/main">
            <a:ext uri="{FF2B5EF4-FFF2-40B4-BE49-F238E27FC236}">
              <a16:creationId xmlns:a16="http://schemas.microsoft.com/office/drawing/2014/main" id="{BCF892CF-12D8-C5B8-4680-3E40CABAAE90}"/>
            </a:ext>
          </a:extLst>
        </cdr:cNvPr>
        <cdr:cNvSpPr/>
      </cdr:nvSpPr>
      <cdr:spPr>
        <a:xfrm xmlns:a="http://schemas.openxmlformats.org/drawingml/2006/main">
          <a:off x="5019583" y="2798766"/>
          <a:ext cx="1874725" cy="19578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74725" h="1957859">
              <a:moveTo>
                <a:pt x="1762080" y="154018"/>
              </a:moveTo>
              <a:lnTo>
                <a:pt x="18129" y="1957858"/>
              </a:lnTo>
              <a:lnTo>
                <a:pt x="0" y="1939107"/>
              </a:lnTo>
              <a:lnTo>
                <a:pt x="1760979" y="117652"/>
              </a:lnTo>
              <a:lnTo>
                <a:pt x="1874724" y="0"/>
              </a:lnTo>
              <a:lnTo>
                <a:pt x="1874724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0.25631</cdr:x>
      <cdr:y>0.45486</cdr:y>
    </cdr:from>
    <cdr:to>
      <cdr:x>0.51073</cdr:x>
      <cdr:y>0.70748</cdr:y>
    </cdr:to>
    <cdr:sp macro="" textlink="">
      <cdr:nvSpPr>
        <cdr:cNvPr id="84" name="FracNo 852 StartRow 1075">
          <a:extLst xmlns:a="http://schemas.openxmlformats.org/drawingml/2006/main">
            <a:ext uri="{FF2B5EF4-FFF2-40B4-BE49-F238E27FC236}">
              <a16:creationId xmlns:a16="http://schemas.microsoft.com/office/drawing/2014/main" id="{3325B4F0-75D7-69CD-BAD3-115E17667230}"/>
            </a:ext>
          </a:extLst>
        </cdr:cNvPr>
        <cdr:cNvSpPr/>
      </cdr:nvSpPr>
      <cdr:spPr>
        <a:xfrm xmlns:a="http://schemas.openxmlformats.org/drawingml/2006/main">
          <a:off x="1874979" y="3466001"/>
          <a:ext cx="1861081" cy="19249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1081" h="1924994">
              <a:moveTo>
                <a:pt x="1017776" y="891017"/>
              </a:moveTo>
              <a:lnTo>
                <a:pt x="879972" y="1033553"/>
              </a:lnTo>
              <a:lnTo>
                <a:pt x="443227" y="1485297"/>
              </a:lnTo>
              <a:lnTo>
                <a:pt x="18129" y="1924993"/>
              </a:lnTo>
              <a:lnTo>
                <a:pt x="0" y="1906241"/>
              </a:lnTo>
              <a:lnTo>
                <a:pt x="425098" y="1466545"/>
              </a:lnTo>
              <a:lnTo>
                <a:pt x="861843" y="1014801"/>
              </a:lnTo>
              <a:lnTo>
                <a:pt x="999647" y="872265"/>
              </a:lnTo>
              <a:lnTo>
                <a:pt x="1842951" y="0"/>
              </a:lnTo>
              <a:lnTo>
                <a:pt x="186108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0.692</cdr:x>
      <cdr:y>0.62337</cdr:y>
    </cdr:from>
    <cdr:to>
      <cdr:x>0.94246</cdr:x>
      <cdr:y>0.87454</cdr:y>
    </cdr:to>
    <cdr:sp macro="" textlink="">
      <cdr:nvSpPr>
        <cdr:cNvPr id="85" name="FracNo 990 StartRow 1088">
          <a:extLst xmlns:a="http://schemas.openxmlformats.org/drawingml/2006/main">
            <a:ext uri="{FF2B5EF4-FFF2-40B4-BE49-F238E27FC236}">
              <a16:creationId xmlns:a16="http://schemas.microsoft.com/office/drawing/2014/main" id="{4F55569F-250E-8ABC-267E-92A82BFF878B}"/>
            </a:ext>
          </a:extLst>
        </cdr:cNvPr>
        <cdr:cNvSpPr/>
      </cdr:nvSpPr>
      <cdr:spPr>
        <a:xfrm xmlns:a="http://schemas.openxmlformats.org/drawingml/2006/main">
          <a:off x="5062085" y="4750086"/>
          <a:ext cx="1832223" cy="19138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32223" h="1913897">
              <a:moveTo>
                <a:pt x="1697087" y="139776"/>
              </a:moveTo>
              <a:lnTo>
                <a:pt x="1655820" y="182460"/>
              </a:lnTo>
              <a:lnTo>
                <a:pt x="0" y="1895145"/>
              </a:lnTo>
              <a:lnTo>
                <a:pt x="18130" y="1913896"/>
              </a:lnTo>
              <a:lnTo>
                <a:pt x="1673950" y="201212"/>
              </a:lnTo>
              <a:lnTo>
                <a:pt x="1710975" y="162915"/>
              </a:lnTo>
              <a:lnTo>
                <a:pt x="1832222" y="37504"/>
              </a:lnTo>
              <a:lnTo>
                <a:pt x="183222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0.47712</cdr:x>
      <cdr:y>0.68204</cdr:y>
    </cdr:from>
    <cdr:to>
      <cdr:x>0.72942</cdr:x>
      <cdr:y>0.9301</cdr:y>
    </cdr:to>
    <cdr:sp macro="" textlink="">
      <cdr:nvSpPr>
        <cdr:cNvPr id="86" name="FracNo 976 StartRow 1099">
          <a:extLst xmlns:a="http://schemas.openxmlformats.org/drawingml/2006/main">
            <a:ext uri="{FF2B5EF4-FFF2-40B4-BE49-F238E27FC236}">
              <a16:creationId xmlns:a16="http://schemas.microsoft.com/office/drawing/2014/main" id="{67B966A8-FF4C-A739-5853-FB67EF3196C4}"/>
            </a:ext>
          </a:extLst>
        </cdr:cNvPr>
        <cdr:cNvSpPr/>
      </cdr:nvSpPr>
      <cdr:spPr>
        <a:xfrm xmlns:a="http://schemas.openxmlformats.org/drawingml/2006/main">
          <a:off x="3490241" y="5197135"/>
          <a:ext cx="1845601" cy="18902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45601" h="1890231">
              <a:moveTo>
                <a:pt x="652800" y="1215012"/>
              </a:moveTo>
              <a:lnTo>
                <a:pt x="0" y="1890230"/>
              </a:lnTo>
              <a:lnTo>
                <a:pt x="36258" y="1890230"/>
              </a:lnTo>
              <a:lnTo>
                <a:pt x="680098" y="1224280"/>
              </a:lnTo>
              <a:lnTo>
                <a:pt x="1338920" y="542832"/>
              </a:lnTo>
              <a:lnTo>
                <a:pt x="1845600" y="18752"/>
              </a:lnTo>
              <a:lnTo>
                <a:pt x="1827471" y="0"/>
              </a:lnTo>
              <a:lnTo>
                <a:pt x="1320791" y="52408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0.69154</cdr:x>
      <cdr:y>0.68094</cdr:y>
    </cdr:from>
    <cdr:to>
      <cdr:x>0.94246</cdr:x>
      <cdr:y>0.9301</cdr:y>
    </cdr:to>
    <cdr:sp macro="" textlink="">
      <cdr:nvSpPr>
        <cdr:cNvPr id="87" name="FracNo 426 StartRow 1110">
          <a:extLst xmlns:a="http://schemas.openxmlformats.org/drawingml/2006/main">
            <a:ext uri="{FF2B5EF4-FFF2-40B4-BE49-F238E27FC236}">
              <a16:creationId xmlns:a16="http://schemas.microsoft.com/office/drawing/2014/main" id="{CCF79DDD-1F59-8B02-576A-5EEE5AB1C8F5}"/>
            </a:ext>
          </a:extLst>
        </cdr:cNvPr>
        <cdr:cNvSpPr/>
      </cdr:nvSpPr>
      <cdr:spPr>
        <a:xfrm xmlns:a="http://schemas.openxmlformats.org/drawingml/2006/main">
          <a:off x="5058741" y="5188762"/>
          <a:ext cx="1835567" cy="18986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35567" h="1898604">
              <a:moveTo>
                <a:pt x="348331" y="1575813"/>
              </a:moveTo>
              <a:lnTo>
                <a:pt x="36259" y="1898603"/>
              </a:lnTo>
              <a:lnTo>
                <a:pt x="0" y="1898603"/>
              </a:lnTo>
              <a:lnTo>
                <a:pt x="318362" y="1569308"/>
              </a:lnTo>
              <a:lnTo>
                <a:pt x="1835566" y="0"/>
              </a:lnTo>
              <a:lnTo>
                <a:pt x="1835566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0.09837</cdr:x>
      <cdr:y>0.68249</cdr:y>
    </cdr:from>
    <cdr:to>
      <cdr:x>0.35021</cdr:x>
      <cdr:y>0.9301</cdr:y>
    </cdr:to>
    <cdr:sp macro="" textlink="">
      <cdr:nvSpPr>
        <cdr:cNvPr id="88" name="FracNo 37 StartRow 1119">
          <a:extLst xmlns:a="http://schemas.openxmlformats.org/drawingml/2006/main">
            <a:ext uri="{FF2B5EF4-FFF2-40B4-BE49-F238E27FC236}">
              <a16:creationId xmlns:a16="http://schemas.microsoft.com/office/drawing/2014/main" id="{5A2D95A1-E75F-84DC-A9D9-F408B652106A}"/>
            </a:ext>
          </a:extLst>
        </cdr:cNvPr>
        <cdr:cNvSpPr/>
      </cdr:nvSpPr>
      <cdr:spPr>
        <a:xfrm xmlns:a="http://schemas.openxmlformats.org/drawingml/2006/main">
          <a:off x="719609" y="5200603"/>
          <a:ext cx="1842248" cy="18867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42248" h="1886763">
              <a:moveTo>
                <a:pt x="902254" y="953522"/>
              </a:moveTo>
              <a:lnTo>
                <a:pt x="0" y="1886762"/>
              </a:lnTo>
              <a:lnTo>
                <a:pt x="36258" y="1886762"/>
              </a:lnTo>
              <a:lnTo>
                <a:pt x="929545" y="962798"/>
              </a:lnTo>
              <a:lnTo>
                <a:pt x="1842247" y="18752"/>
              </a:lnTo>
              <a:lnTo>
                <a:pt x="182411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0.37318</cdr:x>
      <cdr:y>0.16185</cdr:y>
    </cdr:from>
    <cdr:to>
      <cdr:x>0.62349</cdr:x>
      <cdr:y>0.4104</cdr:y>
    </cdr:to>
    <cdr:sp macro="" textlink="">
      <cdr:nvSpPr>
        <cdr:cNvPr id="89" name="FracNo 974 StartRow 1128">
          <a:extLst xmlns:a="http://schemas.openxmlformats.org/drawingml/2006/main">
            <a:ext uri="{FF2B5EF4-FFF2-40B4-BE49-F238E27FC236}">
              <a16:creationId xmlns:a16="http://schemas.microsoft.com/office/drawing/2014/main" id="{6EA3F9AD-3B8D-ABA4-9F97-1EFBB3894E75}"/>
            </a:ext>
          </a:extLst>
        </cdr:cNvPr>
        <cdr:cNvSpPr/>
      </cdr:nvSpPr>
      <cdr:spPr>
        <a:xfrm xmlns:a="http://schemas.openxmlformats.org/drawingml/2006/main">
          <a:off x="2729907" y="1233323"/>
          <a:ext cx="1831036" cy="18939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31036" h="1893918">
              <a:moveTo>
                <a:pt x="1735853" y="79699"/>
              </a:moveTo>
              <a:lnTo>
                <a:pt x="310715" y="1553780"/>
              </a:lnTo>
              <a:lnTo>
                <a:pt x="6915" y="1868013"/>
              </a:lnTo>
              <a:lnTo>
                <a:pt x="0" y="1875165"/>
              </a:lnTo>
              <a:lnTo>
                <a:pt x="18130" y="1893917"/>
              </a:lnTo>
              <a:lnTo>
                <a:pt x="25044" y="1886765"/>
              </a:lnTo>
              <a:lnTo>
                <a:pt x="328844" y="1572532"/>
              </a:lnTo>
              <a:lnTo>
                <a:pt x="1753982" y="98451"/>
              </a:lnTo>
              <a:lnTo>
                <a:pt x="1831035" y="18752"/>
              </a:lnTo>
              <a:lnTo>
                <a:pt x="181290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0.40012</cdr:x>
      <cdr:y>0.17889</cdr:y>
    </cdr:from>
    <cdr:to>
      <cdr:x>0.64968</cdr:x>
      <cdr:y>0.42669</cdr:y>
    </cdr:to>
    <cdr:sp macro="" textlink="">
      <cdr:nvSpPr>
        <cdr:cNvPr id="90" name="FracNo 784 StartRow 1141">
          <a:extLst xmlns:a="http://schemas.openxmlformats.org/drawingml/2006/main">
            <a:ext uri="{FF2B5EF4-FFF2-40B4-BE49-F238E27FC236}">
              <a16:creationId xmlns:a16="http://schemas.microsoft.com/office/drawing/2014/main" id="{F4FF28CA-9A9D-17A4-AFFC-279AB1A0E5E9}"/>
            </a:ext>
          </a:extLst>
        </cdr:cNvPr>
        <cdr:cNvSpPr/>
      </cdr:nvSpPr>
      <cdr:spPr>
        <a:xfrm xmlns:a="http://schemas.openxmlformats.org/drawingml/2006/main">
          <a:off x="2926947" y="1363126"/>
          <a:ext cx="1825575" cy="18882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25575" h="1888269">
              <a:moveTo>
                <a:pt x="988234" y="847344"/>
              </a:moveTo>
              <a:lnTo>
                <a:pt x="430746" y="1423977"/>
              </a:lnTo>
              <a:lnTo>
                <a:pt x="0" y="1869516"/>
              </a:lnTo>
              <a:lnTo>
                <a:pt x="18129" y="1888268"/>
              </a:lnTo>
              <a:lnTo>
                <a:pt x="448875" y="1442729"/>
              </a:lnTo>
              <a:lnTo>
                <a:pt x="1006364" y="866095"/>
              </a:lnTo>
              <a:lnTo>
                <a:pt x="1825574" y="18752"/>
              </a:lnTo>
              <a:lnTo>
                <a:pt x="180744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0.62814</cdr:x>
      <cdr:y>0.68567</cdr:y>
    </cdr:from>
    <cdr:to>
      <cdr:x>0.87678</cdr:x>
      <cdr:y>0.9301</cdr:y>
    </cdr:to>
    <cdr:sp macro="" textlink="">
      <cdr:nvSpPr>
        <cdr:cNvPr id="91" name="FracNo 439 StartRow 1152">
          <a:extLst xmlns:a="http://schemas.openxmlformats.org/drawingml/2006/main">
            <a:ext uri="{FF2B5EF4-FFF2-40B4-BE49-F238E27FC236}">
              <a16:creationId xmlns:a16="http://schemas.microsoft.com/office/drawing/2014/main" id="{2BBF81C8-06A2-22FC-FC86-BB50040DAFB5}"/>
            </a:ext>
          </a:extLst>
        </cdr:cNvPr>
        <cdr:cNvSpPr/>
      </cdr:nvSpPr>
      <cdr:spPr>
        <a:xfrm xmlns:a="http://schemas.openxmlformats.org/drawingml/2006/main">
          <a:off x="4594950" y="5224816"/>
          <a:ext cx="1818839" cy="18625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18839" h="1862550">
              <a:moveTo>
                <a:pt x="1146288" y="676895"/>
              </a:moveTo>
              <a:lnTo>
                <a:pt x="208663" y="1646720"/>
              </a:lnTo>
              <a:lnTo>
                <a:pt x="0" y="1862549"/>
              </a:lnTo>
              <a:lnTo>
                <a:pt x="36259" y="1862549"/>
              </a:lnTo>
              <a:lnTo>
                <a:pt x="241630" y="1650125"/>
              </a:lnTo>
              <a:lnTo>
                <a:pt x="1170517" y="689339"/>
              </a:lnTo>
              <a:lnTo>
                <a:pt x="1818838" y="18752"/>
              </a:lnTo>
              <a:lnTo>
                <a:pt x="180070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0.51908</cdr:x>
      <cdr:y>0.27825</cdr:y>
    </cdr:from>
    <cdr:to>
      <cdr:x>0.76443</cdr:x>
      <cdr:y>0.52188</cdr:y>
    </cdr:to>
    <cdr:sp macro="" textlink="">
      <cdr:nvSpPr>
        <cdr:cNvPr id="92" name="FracNo 804 StartRow 1163">
          <a:extLst xmlns:a="http://schemas.openxmlformats.org/drawingml/2006/main">
            <a:ext uri="{FF2B5EF4-FFF2-40B4-BE49-F238E27FC236}">
              <a16:creationId xmlns:a16="http://schemas.microsoft.com/office/drawing/2014/main" id="{0BF08FE7-0E45-070B-5785-99C610ADFC1C}"/>
            </a:ext>
          </a:extLst>
        </cdr:cNvPr>
        <cdr:cNvSpPr/>
      </cdr:nvSpPr>
      <cdr:spPr>
        <a:xfrm xmlns:a="http://schemas.openxmlformats.org/drawingml/2006/main">
          <a:off x="3797153" y="2120272"/>
          <a:ext cx="1794781" cy="18564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94781" h="1856417">
              <a:moveTo>
                <a:pt x="306061" y="1521093"/>
              </a:moveTo>
              <a:lnTo>
                <a:pt x="0" y="1837664"/>
              </a:lnTo>
              <a:lnTo>
                <a:pt x="18130" y="1856416"/>
              </a:lnTo>
              <a:lnTo>
                <a:pt x="324190" y="1539845"/>
              </a:lnTo>
              <a:lnTo>
                <a:pt x="1032008" y="807718"/>
              </a:lnTo>
              <a:lnTo>
                <a:pt x="1150089" y="685583"/>
              </a:lnTo>
              <a:lnTo>
                <a:pt x="1794780" y="18752"/>
              </a:lnTo>
              <a:lnTo>
                <a:pt x="1776651" y="0"/>
              </a:lnTo>
              <a:lnTo>
                <a:pt x="1131959" y="666831"/>
              </a:lnTo>
              <a:lnTo>
                <a:pt x="1013879" y="78896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0.33627</cdr:x>
      <cdr:y>0.32817</cdr:y>
    </cdr:to>
    <cdr:sp macro="" textlink="">
      <cdr:nvSpPr>
        <cdr:cNvPr id="93" name="FracNo 992 StartRow 1176">
          <a:extLst xmlns:a="http://schemas.openxmlformats.org/drawingml/2006/main">
            <a:ext uri="{FF2B5EF4-FFF2-40B4-BE49-F238E27FC236}">
              <a16:creationId xmlns:a16="http://schemas.microsoft.com/office/drawing/2014/main" id="{FC2CC8E1-5ED3-5EDF-7808-1EC5980534E3}"/>
            </a:ext>
          </a:extLst>
        </cdr:cNvPr>
        <cdr:cNvSpPr/>
      </cdr:nvSpPr>
      <cdr:spPr>
        <a:xfrm xmlns:a="http://schemas.openxmlformats.org/drawingml/2006/main">
          <a:off x="671676" y="651036"/>
          <a:ext cx="1788203" cy="18496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88203" h="1849614">
              <a:moveTo>
                <a:pt x="1539162" y="220089"/>
              </a:moveTo>
              <a:lnTo>
                <a:pt x="0" y="1812109"/>
              </a:lnTo>
              <a:lnTo>
                <a:pt x="0" y="1849613"/>
              </a:lnTo>
              <a:lnTo>
                <a:pt x="1571017" y="224644"/>
              </a:lnTo>
              <a:lnTo>
                <a:pt x="1788202" y="0"/>
              </a:lnTo>
              <a:lnTo>
                <a:pt x="175194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0.48189</cdr:y>
    </cdr:from>
    <cdr:to>
      <cdr:x>0.3335</cdr:x>
      <cdr:y>0.72434</cdr:y>
    </cdr:to>
    <cdr:sp macro="" textlink="">
      <cdr:nvSpPr>
        <cdr:cNvPr id="94" name="FracNo 731 StartRow 1185">
          <a:extLst xmlns:a="http://schemas.openxmlformats.org/drawingml/2006/main">
            <a:ext uri="{FF2B5EF4-FFF2-40B4-BE49-F238E27FC236}">
              <a16:creationId xmlns:a16="http://schemas.microsoft.com/office/drawing/2014/main" id="{AD0FA1B2-A99E-72D2-F2DF-7C3B44732A85}"/>
            </a:ext>
          </a:extLst>
        </cdr:cNvPr>
        <cdr:cNvSpPr/>
      </cdr:nvSpPr>
      <cdr:spPr>
        <a:xfrm xmlns:a="http://schemas.openxmlformats.org/drawingml/2006/main">
          <a:off x="671676" y="3672000"/>
          <a:ext cx="1767976" cy="18474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67976" h="1847444">
              <a:moveTo>
                <a:pt x="1534689" y="222546"/>
              </a:moveTo>
              <a:lnTo>
                <a:pt x="537043" y="1254454"/>
              </a:lnTo>
              <a:lnTo>
                <a:pt x="0" y="1809939"/>
              </a:lnTo>
              <a:lnTo>
                <a:pt x="0" y="1847443"/>
              </a:lnTo>
              <a:lnTo>
                <a:pt x="543391" y="1285391"/>
              </a:lnTo>
              <a:lnTo>
                <a:pt x="1550728" y="243460"/>
              </a:lnTo>
              <a:lnTo>
                <a:pt x="1767975" y="18751"/>
              </a:lnTo>
              <a:lnTo>
                <a:pt x="174984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0.69357</cdr:x>
      <cdr:y>0.08544</cdr:y>
    </cdr:from>
    <cdr:to>
      <cdr:x>0.93642</cdr:x>
      <cdr:y>0.32412</cdr:y>
    </cdr:to>
    <cdr:sp macro="" textlink="">
      <cdr:nvSpPr>
        <cdr:cNvPr id="95" name="FracNo 962 StartRow 1196">
          <a:extLst xmlns:a="http://schemas.openxmlformats.org/drawingml/2006/main">
            <a:ext uri="{FF2B5EF4-FFF2-40B4-BE49-F238E27FC236}">
              <a16:creationId xmlns:a16="http://schemas.microsoft.com/office/drawing/2014/main" id="{13B88305-2CC1-EF4B-8926-0D64BD4ABD78}"/>
            </a:ext>
          </a:extLst>
        </cdr:cNvPr>
        <cdr:cNvSpPr/>
      </cdr:nvSpPr>
      <cdr:spPr>
        <a:xfrm xmlns:a="http://schemas.openxmlformats.org/drawingml/2006/main">
          <a:off x="5073622" y="651036"/>
          <a:ext cx="1776470" cy="18187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76470" h="1818725">
              <a:moveTo>
                <a:pt x="158240" y="1673802"/>
              </a:moveTo>
              <a:lnTo>
                <a:pt x="18130" y="1818724"/>
              </a:lnTo>
              <a:lnTo>
                <a:pt x="0" y="1799972"/>
              </a:lnTo>
              <a:lnTo>
                <a:pt x="138666" y="1656544"/>
              </a:lnTo>
              <a:lnTo>
                <a:pt x="1740210" y="0"/>
              </a:lnTo>
              <a:lnTo>
                <a:pt x="17764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0.35619</cdr:x>
      <cdr:y>0.08544</cdr:y>
    </cdr:from>
    <cdr:to>
      <cdr:x>0.59886</cdr:x>
      <cdr:y>0.32394</cdr:y>
    </cdr:to>
    <cdr:sp macro="" textlink="">
      <cdr:nvSpPr>
        <cdr:cNvPr id="96" name="FracNo 964 StartRow 1205">
          <a:extLst xmlns:a="http://schemas.openxmlformats.org/drawingml/2006/main">
            <a:ext uri="{FF2B5EF4-FFF2-40B4-BE49-F238E27FC236}">
              <a16:creationId xmlns:a16="http://schemas.microsoft.com/office/drawing/2014/main" id="{A7259724-373A-B9D0-1C45-019EAF401233}"/>
            </a:ext>
          </a:extLst>
        </cdr:cNvPr>
        <cdr:cNvSpPr/>
      </cdr:nvSpPr>
      <cdr:spPr>
        <a:xfrm xmlns:a="http://schemas.openxmlformats.org/drawingml/2006/main">
          <a:off x="2605612" y="651036"/>
          <a:ext cx="1775178" cy="18173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75178" h="1817390">
              <a:moveTo>
                <a:pt x="1320027" y="470781"/>
              </a:moveTo>
              <a:lnTo>
                <a:pt x="149339" y="1681673"/>
              </a:lnTo>
              <a:lnTo>
                <a:pt x="18129" y="1817389"/>
              </a:lnTo>
              <a:lnTo>
                <a:pt x="0" y="1798637"/>
              </a:lnTo>
              <a:lnTo>
                <a:pt x="131210" y="1662921"/>
              </a:lnTo>
              <a:lnTo>
                <a:pt x="1288844" y="465531"/>
              </a:lnTo>
              <a:lnTo>
                <a:pt x="1738919" y="0"/>
              </a:lnTo>
              <a:lnTo>
                <a:pt x="177517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0.18537</cdr:x>
      <cdr:y>0.30911</cdr:y>
    </cdr:from>
    <cdr:to>
      <cdr:x>0.42543</cdr:x>
      <cdr:y>0.54749</cdr:y>
    </cdr:to>
    <cdr:sp macro="" textlink="">
      <cdr:nvSpPr>
        <cdr:cNvPr id="97" name="FracNo 856 StartRow 1216">
          <a:extLst xmlns:a="http://schemas.openxmlformats.org/drawingml/2006/main">
            <a:ext uri="{FF2B5EF4-FFF2-40B4-BE49-F238E27FC236}">
              <a16:creationId xmlns:a16="http://schemas.microsoft.com/office/drawing/2014/main" id="{0F5FFFB1-2387-D1A3-FC9D-286FF757F899}"/>
            </a:ext>
          </a:extLst>
        </cdr:cNvPr>
        <cdr:cNvSpPr/>
      </cdr:nvSpPr>
      <cdr:spPr>
        <a:xfrm xmlns:a="http://schemas.openxmlformats.org/drawingml/2006/main">
          <a:off x="1356008" y="2355422"/>
          <a:ext cx="1756113" cy="18164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56113" h="1816421">
              <a:moveTo>
                <a:pt x="1300672" y="452328"/>
              </a:moveTo>
              <a:lnTo>
                <a:pt x="0" y="1797668"/>
              </a:lnTo>
              <a:lnTo>
                <a:pt x="18129" y="1816420"/>
              </a:lnTo>
              <a:lnTo>
                <a:pt x="1318801" y="471080"/>
              </a:lnTo>
              <a:lnTo>
                <a:pt x="1338763" y="450433"/>
              </a:lnTo>
              <a:lnTo>
                <a:pt x="1398943" y="388186"/>
              </a:lnTo>
              <a:lnTo>
                <a:pt x="1756112" y="18752"/>
              </a:lnTo>
              <a:lnTo>
                <a:pt x="1737982" y="0"/>
              </a:lnTo>
              <a:lnTo>
                <a:pt x="1380814" y="369434"/>
              </a:lnTo>
              <a:lnTo>
                <a:pt x="1320633" y="43168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0.70467</cdr:x>
      <cdr:y>0.50655</cdr:y>
    </cdr:from>
    <cdr:to>
      <cdr:x>0.94246</cdr:x>
      <cdr:y>0.74513</cdr:y>
    </cdr:to>
    <cdr:sp macro="" textlink="">
      <cdr:nvSpPr>
        <cdr:cNvPr id="98" name="FracNo 421 StartRow 1229">
          <a:extLst xmlns:a="http://schemas.openxmlformats.org/drawingml/2006/main">
            <a:ext uri="{FF2B5EF4-FFF2-40B4-BE49-F238E27FC236}">
              <a16:creationId xmlns:a16="http://schemas.microsoft.com/office/drawing/2014/main" id="{F3F9ABE6-952A-3BC4-5D05-0527649E115C}"/>
            </a:ext>
          </a:extLst>
        </cdr:cNvPr>
        <cdr:cNvSpPr/>
      </cdr:nvSpPr>
      <cdr:spPr>
        <a:xfrm xmlns:a="http://schemas.openxmlformats.org/drawingml/2006/main">
          <a:off x="5154795" y="3859914"/>
          <a:ext cx="1739513" cy="18180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39513" h="1818004">
              <a:moveTo>
                <a:pt x="198161" y="1631788"/>
              </a:moveTo>
              <a:lnTo>
                <a:pt x="18129" y="1818003"/>
              </a:lnTo>
              <a:lnTo>
                <a:pt x="0" y="1799251"/>
              </a:lnTo>
              <a:lnTo>
                <a:pt x="181602" y="1611412"/>
              </a:lnTo>
              <a:lnTo>
                <a:pt x="705545" y="1069476"/>
              </a:lnTo>
              <a:lnTo>
                <a:pt x="1739512" y="0"/>
              </a:lnTo>
              <a:lnTo>
                <a:pt x="1739512" y="37504"/>
              </a:lnTo>
              <a:lnTo>
                <a:pt x="717571" y="109454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0.69081</cdr:x>
      <cdr:y>0.08544</cdr:y>
    </cdr:from>
    <cdr:to>
      <cdr:x>0.93089</cdr:x>
      <cdr:y>0.32137</cdr:y>
    </cdr:to>
    <cdr:sp macro="" textlink="">
      <cdr:nvSpPr>
        <cdr:cNvPr id="99" name="FracNo 950 StartRow 1240">
          <a:extLst xmlns:a="http://schemas.openxmlformats.org/drawingml/2006/main">
            <a:ext uri="{FF2B5EF4-FFF2-40B4-BE49-F238E27FC236}">
              <a16:creationId xmlns:a16="http://schemas.microsoft.com/office/drawing/2014/main" id="{41EB0DDB-059B-AC8F-07CD-3A52A125C9A9}"/>
            </a:ext>
          </a:extLst>
        </cdr:cNvPr>
        <cdr:cNvSpPr/>
      </cdr:nvSpPr>
      <cdr:spPr>
        <a:xfrm xmlns:a="http://schemas.openxmlformats.org/drawingml/2006/main">
          <a:off x="5053401" y="651036"/>
          <a:ext cx="1756247" cy="17978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56247" h="1797809">
              <a:moveTo>
                <a:pt x="211357" y="1560440"/>
              </a:moveTo>
              <a:lnTo>
                <a:pt x="0" y="1779056"/>
              </a:lnTo>
              <a:lnTo>
                <a:pt x="18129" y="1797808"/>
              </a:lnTo>
              <a:lnTo>
                <a:pt x="231714" y="1576888"/>
              </a:lnTo>
              <a:lnTo>
                <a:pt x="1756246" y="0"/>
              </a:lnTo>
              <a:lnTo>
                <a:pt x="171998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0.60398</cdr:y>
    </cdr:from>
    <cdr:to>
      <cdr:x>0.32764</cdr:x>
      <cdr:y>0.84059</cdr:y>
    </cdr:to>
    <cdr:sp macro="" textlink="">
      <cdr:nvSpPr>
        <cdr:cNvPr id="100" name="FracNo 959 StartRow 1249">
          <a:extLst xmlns:a="http://schemas.openxmlformats.org/drawingml/2006/main">
            <a:ext uri="{FF2B5EF4-FFF2-40B4-BE49-F238E27FC236}">
              <a16:creationId xmlns:a16="http://schemas.microsoft.com/office/drawing/2014/main" id="{2B93FEA6-04EA-0AEE-9374-1EDC71895C50}"/>
            </a:ext>
          </a:extLst>
        </cdr:cNvPr>
        <cdr:cNvSpPr/>
      </cdr:nvSpPr>
      <cdr:spPr>
        <a:xfrm xmlns:a="http://schemas.openxmlformats.org/drawingml/2006/main">
          <a:off x="671676" y="4602290"/>
          <a:ext cx="1725050" cy="18030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25050" h="1803043">
              <a:moveTo>
                <a:pt x="553930" y="1230088"/>
              </a:moveTo>
              <a:lnTo>
                <a:pt x="0" y="1803042"/>
              </a:lnTo>
              <a:lnTo>
                <a:pt x="0" y="1765538"/>
              </a:lnTo>
              <a:lnTo>
                <a:pt x="546787" y="1199974"/>
              </a:lnTo>
              <a:lnTo>
                <a:pt x="1387628" y="330256"/>
              </a:lnTo>
              <a:lnTo>
                <a:pt x="1706919" y="0"/>
              </a:lnTo>
              <a:lnTo>
                <a:pt x="1725049" y="18752"/>
              </a:lnTo>
              <a:lnTo>
                <a:pt x="1405757" y="34900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0.10488</cdr:x>
      <cdr:y>0.69633</cdr:y>
    </cdr:from>
    <cdr:to>
      <cdr:x>0.34278</cdr:x>
      <cdr:y>0.9301</cdr:y>
    </cdr:to>
    <cdr:sp macro="" textlink="">
      <cdr:nvSpPr>
        <cdr:cNvPr id="101" name="FracNo 1029 StartRow 1260">
          <a:extLst xmlns:a="http://schemas.openxmlformats.org/drawingml/2006/main">
            <a:ext uri="{FF2B5EF4-FFF2-40B4-BE49-F238E27FC236}">
              <a16:creationId xmlns:a16="http://schemas.microsoft.com/office/drawing/2014/main" id="{571437CD-AFDE-64F4-D088-8D236F9D001E}"/>
            </a:ext>
          </a:extLst>
        </cdr:cNvPr>
        <cdr:cNvSpPr/>
      </cdr:nvSpPr>
      <cdr:spPr>
        <a:xfrm xmlns:a="http://schemas.openxmlformats.org/drawingml/2006/main">
          <a:off x="767188" y="5306020"/>
          <a:ext cx="1740332" cy="17813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40332" h="1781346">
              <a:moveTo>
                <a:pt x="1077447" y="704400"/>
              </a:moveTo>
              <a:lnTo>
                <a:pt x="36259" y="1781345"/>
              </a:lnTo>
              <a:lnTo>
                <a:pt x="0" y="1781345"/>
              </a:lnTo>
              <a:lnTo>
                <a:pt x="1052266" y="692943"/>
              </a:lnTo>
              <a:lnTo>
                <a:pt x="1722202" y="0"/>
              </a:lnTo>
              <a:lnTo>
                <a:pt x="1740331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0.18634</cdr:x>
      <cdr:y>0.08544</cdr:y>
    </cdr:from>
    <cdr:to>
      <cdr:x>0.42313</cdr:x>
      <cdr:y>0.3181</cdr:y>
    </cdr:to>
    <cdr:sp macro="" textlink="">
      <cdr:nvSpPr>
        <cdr:cNvPr id="102" name="FracNo 1013 StartRow 1269">
          <a:extLst xmlns:a="http://schemas.openxmlformats.org/drawingml/2006/main">
            <a:ext uri="{FF2B5EF4-FFF2-40B4-BE49-F238E27FC236}">
              <a16:creationId xmlns:a16="http://schemas.microsoft.com/office/drawing/2014/main" id="{437158D0-E583-3675-5A98-B3B1F4863C9E}"/>
            </a:ext>
          </a:extLst>
        </cdr:cNvPr>
        <cdr:cNvSpPr/>
      </cdr:nvSpPr>
      <cdr:spPr>
        <a:xfrm xmlns:a="http://schemas.openxmlformats.org/drawingml/2006/main">
          <a:off x="1363129" y="651036"/>
          <a:ext cx="1732152" cy="17728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32152" h="1772886">
              <a:moveTo>
                <a:pt x="1226943" y="522558"/>
              </a:moveTo>
              <a:lnTo>
                <a:pt x="18130" y="1772885"/>
              </a:lnTo>
              <a:lnTo>
                <a:pt x="0" y="1754133"/>
              </a:lnTo>
              <a:lnTo>
                <a:pt x="1203467" y="509336"/>
              </a:lnTo>
              <a:lnTo>
                <a:pt x="1370648" y="336414"/>
              </a:lnTo>
              <a:lnTo>
                <a:pt x="1695893" y="0"/>
              </a:lnTo>
              <a:lnTo>
                <a:pt x="1732151" y="0"/>
              </a:lnTo>
              <a:lnTo>
                <a:pt x="1394867" y="34886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0.32465</cdr:x>
      <cdr:y>0.31663</cdr:y>
    </cdr:to>
    <cdr:sp macro="" textlink="">
      <cdr:nvSpPr>
        <cdr:cNvPr id="103" name="FracNo 830 StartRow 1280">
          <a:extLst xmlns:a="http://schemas.openxmlformats.org/drawingml/2006/main">
            <a:ext uri="{FF2B5EF4-FFF2-40B4-BE49-F238E27FC236}">
              <a16:creationId xmlns:a16="http://schemas.microsoft.com/office/drawing/2014/main" id="{7A5E6CF6-C1EE-2991-FDFC-8F030D1E460D}"/>
            </a:ext>
          </a:extLst>
        </cdr:cNvPr>
        <cdr:cNvSpPr/>
      </cdr:nvSpPr>
      <cdr:spPr>
        <a:xfrm xmlns:a="http://schemas.openxmlformats.org/drawingml/2006/main">
          <a:off x="671676" y="651036"/>
          <a:ext cx="1703168" cy="17616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03168" h="1761658">
              <a:moveTo>
                <a:pt x="1393936" y="282346"/>
              </a:moveTo>
              <a:lnTo>
                <a:pt x="0" y="1724153"/>
              </a:lnTo>
              <a:lnTo>
                <a:pt x="0" y="1761657"/>
              </a:lnTo>
              <a:lnTo>
                <a:pt x="1424257" y="288488"/>
              </a:lnTo>
              <a:lnTo>
                <a:pt x="1703167" y="0"/>
              </a:lnTo>
              <a:lnTo>
                <a:pt x="166690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0.60782</cdr:x>
      <cdr:y>0.33099</cdr:y>
    </cdr:from>
    <cdr:to>
      <cdr:x>0.83904</cdr:x>
      <cdr:y>0.56058</cdr:y>
    </cdr:to>
    <cdr:sp macro="" textlink="">
      <cdr:nvSpPr>
        <cdr:cNvPr id="104" name="FracNo 1006 StartRow 1289">
          <a:extLst xmlns:a="http://schemas.openxmlformats.org/drawingml/2006/main">
            <a:ext uri="{FF2B5EF4-FFF2-40B4-BE49-F238E27FC236}">
              <a16:creationId xmlns:a16="http://schemas.microsoft.com/office/drawing/2014/main" id="{D6B007FE-3A79-C757-B220-75E944AC7B7E}"/>
            </a:ext>
          </a:extLst>
        </cdr:cNvPr>
        <cdr:cNvSpPr/>
      </cdr:nvSpPr>
      <cdr:spPr>
        <a:xfrm xmlns:a="http://schemas.openxmlformats.org/drawingml/2006/main">
          <a:off x="4446313" y="2522108"/>
          <a:ext cx="1691412" cy="17494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91412" h="1749499">
              <a:moveTo>
                <a:pt x="524687" y="1225543"/>
              </a:moveTo>
              <a:lnTo>
                <a:pt x="382848" y="1372254"/>
              </a:lnTo>
              <a:lnTo>
                <a:pt x="18130" y="1749498"/>
              </a:lnTo>
              <a:lnTo>
                <a:pt x="0" y="1730746"/>
              </a:lnTo>
              <a:lnTo>
                <a:pt x="364719" y="1353502"/>
              </a:lnTo>
              <a:lnTo>
                <a:pt x="506558" y="1206792"/>
              </a:lnTo>
              <a:lnTo>
                <a:pt x="1417085" y="264995"/>
              </a:lnTo>
              <a:lnTo>
                <a:pt x="1673282" y="0"/>
              </a:lnTo>
              <a:lnTo>
                <a:pt x="1691411" y="18752"/>
              </a:lnTo>
              <a:lnTo>
                <a:pt x="1435214" y="28374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0.42469</cdr:x>
      <cdr:y>0.08544</cdr:y>
    </cdr:from>
    <cdr:to>
      <cdr:x>0.65664</cdr:x>
      <cdr:y>0.31329</cdr:y>
    </cdr:to>
    <cdr:sp macro="" textlink="">
      <cdr:nvSpPr>
        <cdr:cNvPr id="105" name="FracNo 722 StartRow 1302">
          <a:extLst xmlns:a="http://schemas.openxmlformats.org/drawingml/2006/main">
            <a:ext uri="{FF2B5EF4-FFF2-40B4-BE49-F238E27FC236}">
              <a16:creationId xmlns:a16="http://schemas.microsoft.com/office/drawing/2014/main" id="{14B6D554-A57A-383F-BEFF-899482FDB4B1}"/>
            </a:ext>
          </a:extLst>
        </cdr:cNvPr>
        <cdr:cNvSpPr/>
      </cdr:nvSpPr>
      <cdr:spPr>
        <a:xfrm xmlns:a="http://schemas.openxmlformats.org/drawingml/2006/main">
          <a:off x="3106676" y="651036"/>
          <a:ext cx="1696743" cy="17362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96743" h="1736260">
              <a:moveTo>
                <a:pt x="503390" y="1196830"/>
              </a:moveTo>
              <a:lnTo>
                <a:pt x="0" y="1717507"/>
              </a:lnTo>
              <a:lnTo>
                <a:pt x="18130" y="1736259"/>
              </a:lnTo>
              <a:lnTo>
                <a:pt x="527016" y="1209897"/>
              </a:lnTo>
              <a:lnTo>
                <a:pt x="1696742" y="0"/>
              </a:lnTo>
              <a:lnTo>
                <a:pt x="166048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0.15014</cdr:x>
      <cdr:y>0.50826</cdr:y>
    </cdr:from>
    <cdr:to>
      <cdr:x>0.37817</cdr:x>
      <cdr:y>0.73468</cdr:y>
    </cdr:to>
    <cdr:sp macro="" textlink="">
      <cdr:nvSpPr>
        <cdr:cNvPr id="106" name="FracNo 515 StartRow 1311">
          <a:extLst xmlns:a="http://schemas.openxmlformats.org/drawingml/2006/main">
            <a:ext uri="{FF2B5EF4-FFF2-40B4-BE49-F238E27FC236}">
              <a16:creationId xmlns:a16="http://schemas.microsoft.com/office/drawing/2014/main" id="{FA197AFF-6770-51A2-0AAC-D42A5C3D89CF}"/>
            </a:ext>
          </a:extLst>
        </cdr:cNvPr>
        <cdr:cNvSpPr/>
      </cdr:nvSpPr>
      <cdr:spPr>
        <a:xfrm xmlns:a="http://schemas.openxmlformats.org/drawingml/2006/main">
          <a:off x="1098325" y="3872928"/>
          <a:ext cx="1668065" cy="17253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68065" h="1725350">
              <a:moveTo>
                <a:pt x="925318" y="749502"/>
              </a:moveTo>
              <a:lnTo>
                <a:pt x="625498" y="1059618"/>
              </a:lnTo>
              <a:lnTo>
                <a:pt x="0" y="1706597"/>
              </a:lnTo>
              <a:lnTo>
                <a:pt x="18129" y="1725349"/>
              </a:lnTo>
              <a:lnTo>
                <a:pt x="643627" y="1078370"/>
              </a:lnTo>
              <a:lnTo>
                <a:pt x="943447" y="768254"/>
              </a:lnTo>
              <a:lnTo>
                <a:pt x="1656626" y="30583"/>
              </a:lnTo>
              <a:lnTo>
                <a:pt x="1668064" y="18752"/>
              </a:lnTo>
              <a:lnTo>
                <a:pt x="1649935" y="0"/>
              </a:lnTo>
              <a:lnTo>
                <a:pt x="1638497" y="1183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0.18775</cdr:x>
      <cdr:y>0.24244</cdr:y>
    </cdr:from>
    <cdr:to>
      <cdr:x>0.41559</cdr:x>
      <cdr:y>0.46868</cdr:y>
    </cdr:to>
    <cdr:sp macro="" textlink="">
      <cdr:nvSpPr>
        <cdr:cNvPr id="107" name="FracNo 726 StartRow 1324">
          <a:extLst xmlns:a="http://schemas.openxmlformats.org/drawingml/2006/main">
            <a:ext uri="{FF2B5EF4-FFF2-40B4-BE49-F238E27FC236}">
              <a16:creationId xmlns:a16="http://schemas.microsoft.com/office/drawing/2014/main" id="{CBEECBC8-5093-0399-8978-4D840C0D9194}"/>
            </a:ext>
          </a:extLst>
        </cdr:cNvPr>
        <cdr:cNvSpPr/>
      </cdr:nvSpPr>
      <cdr:spPr>
        <a:xfrm xmlns:a="http://schemas.openxmlformats.org/drawingml/2006/main">
          <a:off x="1373423" y="1847383"/>
          <a:ext cx="1666709" cy="17239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66709" h="1723947">
              <a:moveTo>
                <a:pt x="1343768" y="315279"/>
              </a:moveTo>
              <a:lnTo>
                <a:pt x="740059" y="939720"/>
              </a:lnTo>
              <a:lnTo>
                <a:pt x="0" y="1705194"/>
              </a:lnTo>
              <a:lnTo>
                <a:pt x="18130" y="1723946"/>
              </a:lnTo>
              <a:lnTo>
                <a:pt x="758188" y="958472"/>
              </a:lnTo>
              <a:lnTo>
                <a:pt x="1361897" y="334031"/>
              </a:lnTo>
              <a:lnTo>
                <a:pt x="1381528" y="313726"/>
              </a:lnTo>
              <a:lnTo>
                <a:pt x="1666708" y="18752"/>
              </a:lnTo>
              <a:lnTo>
                <a:pt x="1648578" y="0"/>
              </a:lnTo>
              <a:lnTo>
                <a:pt x="1363399" y="29497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0.71614</cdr:x>
      <cdr:y>0.16107</cdr:y>
    </cdr:from>
    <cdr:to>
      <cdr:x>0.94246</cdr:x>
      <cdr:y>0.38826</cdr:y>
    </cdr:to>
    <cdr:sp macro="" textlink="">
      <cdr:nvSpPr>
        <cdr:cNvPr id="108" name="FracNo 818 StartRow 1337">
          <a:extLst xmlns:a="http://schemas.openxmlformats.org/drawingml/2006/main">
            <a:ext uri="{FF2B5EF4-FFF2-40B4-BE49-F238E27FC236}">
              <a16:creationId xmlns:a16="http://schemas.microsoft.com/office/drawing/2014/main" id="{055A3D0E-E9F3-7C12-46AD-AFEEC061F66F}"/>
            </a:ext>
          </a:extLst>
        </cdr:cNvPr>
        <cdr:cNvSpPr/>
      </cdr:nvSpPr>
      <cdr:spPr>
        <a:xfrm xmlns:a="http://schemas.openxmlformats.org/drawingml/2006/main">
          <a:off x="5238716" y="1227318"/>
          <a:ext cx="1655592" cy="17312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55592" h="1731201">
              <a:moveTo>
                <a:pt x="1055577" y="658124"/>
              </a:moveTo>
              <a:lnTo>
                <a:pt x="165723" y="1578537"/>
              </a:lnTo>
              <a:lnTo>
                <a:pt x="18129" y="1731200"/>
              </a:lnTo>
              <a:lnTo>
                <a:pt x="0" y="1712448"/>
              </a:lnTo>
              <a:lnTo>
                <a:pt x="147594" y="1559785"/>
              </a:lnTo>
              <a:lnTo>
                <a:pt x="1048276" y="628172"/>
              </a:lnTo>
              <a:lnTo>
                <a:pt x="1655591" y="0"/>
              </a:lnTo>
              <a:lnTo>
                <a:pt x="1655591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0.38801</cdr:x>
      <cdr:y>0.26238</cdr:y>
    </cdr:from>
    <cdr:to>
      <cdr:x>0.6155</cdr:x>
      <cdr:y>0.48828</cdr:y>
    </cdr:to>
    <cdr:sp macro="" textlink="">
      <cdr:nvSpPr>
        <cdr:cNvPr id="109" name="FracNo 352 StartRow 1348">
          <a:extLst xmlns:a="http://schemas.openxmlformats.org/drawingml/2006/main">
            <a:ext uri="{FF2B5EF4-FFF2-40B4-BE49-F238E27FC236}">
              <a16:creationId xmlns:a16="http://schemas.microsoft.com/office/drawing/2014/main" id="{45DC64B7-F3D5-462F-3D33-8CBFD80662F9}"/>
            </a:ext>
          </a:extLst>
        </cdr:cNvPr>
        <cdr:cNvSpPr/>
      </cdr:nvSpPr>
      <cdr:spPr>
        <a:xfrm xmlns:a="http://schemas.openxmlformats.org/drawingml/2006/main">
          <a:off x="2838339" y="1999339"/>
          <a:ext cx="1664180" cy="17213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64180" h="1721332">
              <a:moveTo>
                <a:pt x="1272712" y="386160"/>
              </a:moveTo>
              <a:lnTo>
                <a:pt x="884442" y="787764"/>
              </a:lnTo>
              <a:lnTo>
                <a:pt x="0" y="1702579"/>
              </a:lnTo>
              <a:lnTo>
                <a:pt x="18129" y="1721331"/>
              </a:lnTo>
              <a:lnTo>
                <a:pt x="902571" y="806516"/>
              </a:lnTo>
              <a:lnTo>
                <a:pt x="1290841" y="404912"/>
              </a:lnTo>
              <a:lnTo>
                <a:pt x="1664179" y="18752"/>
              </a:lnTo>
              <a:lnTo>
                <a:pt x="164605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0.65371</cdr:y>
    </cdr:from>
    <cdr:to>
      <cdr:x>0.31725</cdr:x>
      <cdr:y>0.88002</cdr:y>
    </cdr:to>
    <cdr:sp macro="" textlink="">
      <cdr:nvSpPr>
        <cdr:cNvPr id="110" name="FracNo 897 StartRow 1359">
          <a:extLst xmlns:a="http://schemas.openxmlformats.org/drawingml/2006/main">
            <a:ext uri="{FF2B5EF4-FFF2-40B4-BE49-F238E27FC236}">
              <a16:creationId xmlns:a16="http://schemas.microsoft.com/office/drawing/2014/main" id="{C6928C86-6D1C-A446-D21B-672F796EFAFA}"/>
            </a:ext>
          </a:extLst>
        </cdr:cNvPr>
        <cdr:cNvSpPr/>
      </cdr:nvSpPr>
      <cdr:spPr>
        <a:xfrm xmlns:a="http://schemas.openxmlformats.org/drawingml/2006/main">
          <a:off x="671676" y="4981290"/>
          <a:ext cx="1649053" cy="17244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49053" h="1724436">
              <a:moveTo>
                <a:pt x="1362523" y="277617"/>
              </a:moveTo>
              <a:lnTo>
                <a:pt x="0" y="1686931"/>
              </a:lnTo>
              <a:lnTo>
                <a:pt x="0" y="1724435"/>
              </a:lnTo>
              <a:lnTo>
                <a:pt x="1377668" y="299455"/>
              </a:lnTo>
              <a:lnTo>
                <a:pt x="1649052" y="18751"/>
              </a:lnTo>
              <a:lnTo>
                <a:pt x="163092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0.71824</cdr:x>
      <cdr:y>0.23268</cdr:y>
    </cdr:from>
    <cdr:to>
      <cdr:x>0.94246</cdr:x>
      <cdr:y>0.45779</cdr:y>
    </cdr:to>
    <cdr:sp macro="" textlink="">
      <cdr:nvSpPr>
        <cdr:cNvPr id="111" name="FracNo 666 StartRow 1368">
          <a:extLst xmlns:a="http://schemas.openxmlformats.org/drawingml/2006/main">
            <a:ext uri="{FF2B5EF4-FFF2-40B4-BE49-F238E27FC236}">
              <a16:creationId xmlns:a16="http://schemas.microsoft.com/office/drawing/2014/main" id="{BEDAB998-1585-BF53-A47C-9D93C3668590}"/>
            </a:ext>
          </a:extLst>
        </cdr:cNvPr>
        <cdr:cNvSpPr/>
      </cdr:nvSpPr>
      <cdr:spPr>
        <a:xfrm xmlns:a="http://schemas.openxmlformats.org/drawingml/2006/main">
          <a:off x="5254041" y="1772985"/>
          <a:ext cx="1640267" cy="17153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40267" h="1715350">
              <a:moveTo>
                <a:pt x="1247625" y="406126"/>
              </a:moveTo>
              <a:lnTo>
                <a:pt x="659819" y="1014118"/>
              </a:lnTo>
              <a:lnTo>
                <a:pt x="0" y="1696597"/>
              </a:lnTo>
              <a:lnTo>
                <a:pt x="18129" y="1715349"/>
              </a:lnTo>
              <a:lnTo>
                <a:pt x="677948" y="1032870"/>
              </a:lnTo>
              <a:lnTo>
                <a:pt x="1254885" y="436120"/>
              </a:lnTo>
              <a:lnTo>
                <a:pt x="1640266" y="37504"/>
              </a:lnTo>
              <a:lnTo>
                <a:pt x="164026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0.31716</cdr:x>
      <cdr:y>0.3092</cdr:y>
    </cdr:to>
    <cdr:sp macro="" textlink="">
      <cdr:nvSpPr>
        <cdr:cNvPr id="112" name="FracNo 957 StartRow 1379">
          <a:extLst xmlns:a="http://schemas.openxmlformats.org/drawingml/2006/main">
            <a:ext uri="{FF2B5EF4-FFF2-40B4-BE49-F238E27FC236}">
              <a16:creationId xmlns:a16="http://schemas.microsoft.com/office/drawing/2014/main" id="{11ED06DD-557C-CB19-D99E-2E2C498D311D}"/>
            </a:ext>
          </a:extLst>
        </cdr:cNvPr>
        <cdr:cNvSpPr/>
      </cdr:nvSpPr>
      <cdr:spPr>
        <a:xfrm xmlns:a="http://schemas.openxmlformats.org/drawingml/2006/main">
          <a:off x="671676" y="651036"/>
          <a:ext cx="1648449" cy="17050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48449" h="1705060">
              <a:moveTo>
                <a:pt x="1641461" y="7226"/>
              </a:moveTo>
              <a:lnTo>
                <a:pt x="0" y="1705059"/>
              </a:lnTo>
              <a:lnTo>
                <a:pt x="0" y="1667556"/>
              </a:lnTo>
              <a:lnTo>
                <a:pt x="1605357" y="7067"/>
              </a:lnTo>
              <a:lnTo>
                <a:pt x="1612189" y="0"/>
              </a:lnTo>
              <a:lnTo>
                <a:pt x="164844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0.50601</cdr:x>
      <cdr:y>0.23297</cdr:y>
    </cdr:from>
    <cdr:to>
      <cdr:x>0.72971</cdr:x>
      <cdr:y>0.4551</cdr:y>
    </cdr:to>
    <cdr:sp macro="" textlink="">
      <cdr:nvSpPr>
        <cdr:cNvPr id="113" name="FracNo 778 StartRow 1388">
          <a:extLst xmlns:a="http://schemas.openxmlformats.org/drawingml/2006/main">
            <a:ext uri="{FF2B5EF4-FFF2-40B4-BE49-F238E27FC236}">
              <a16:creationId xmlns:a16="http://schemas.microsoft.com/office/drawing/2014/main" id="{B02EDDDA-4FA8-366B-DC06-938C517D28FB}"/>
            </a:ext>
          </a:extLst>
        </cdr:cNvPr>
        <cdr:cNvSpPr/>
      </cdr:nvSpPr>
      <cdr:spPr>
        <a:xfrm xmlns:a="http://schemas.openxmlformats.org/drawingml/2006/main">
          <a:off x="3701594" y="1775257"/>
          <a:ext cx="1636403" cy="16926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36403" h="1692600">
              <a:moveTo>
                <a:pt x="905107" y="775160"/>
              </a:moveTo>
              <a:lnTo>
                <a:pt x="658150" y="1030598"/>
              </a:lnTo>
              <a:lnTo>
                <a:pt x="18129" y="1692599"/>
              </a:lnTo>
              <a:lnTo>
                <a:pt x="0" y="1673847"/>
              </a:lnTo>
              <a:lnTo>
                <a:pt x="640021" y="1011846"/>
              </a:lnTo>
              <a:lnTo>
                <a:pt x="886978" y="756408"/>
              </a:lnTo>
              <a:lnTo>
                <a:pt x="1109438" y="526308"/>
              </a:lnTo>
              <a:lnTo>
                <a:pt x="1618272" y="0"/>
              </a:lnTo>
              <a:lnTo>
                <a:pt x="1636402" y="18751"/>
              </a:lnTo>
              <a:lnTo>
                <a:pt x="1127567" y="54506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0.22855</cdr:x>
      <cdr:y>0.56119</cdr:y>
    </cdr:from>
    <cdr:to>
      <cdr:x>0.45154</cdr:x>
      <cdr:y>0.78261</cdr:y>
    </cdr:to>
    <cdr:sp macro="" textlink="">
      <cdr:nvSpPr>
        <cdr:cNvPr id="114" name="FracNo 744 StartRow 1401">
          <a:extLst xmlns:a="http://schemas.openxmlformats.org/drawingml/2006/main">
            <a:ext uri="{FF2B5EF4-FFF2-40B4-BE49-F238E27FC236}">
              <a16:creationId xmlns:a16="http://schemas.microsoft.com/office/drawing/2014/main" id="{0144B09C-28A4-C12A-0CF8-AE3D03FBAB4E}"/>
            </a:ext>
          </a:extLst>
        </cdr:cNvPr>
        <cdr:cNvSpPr/>
      </cdr:nvSpPr>
      <cdr:spPr>
        <a:xfrm xmlns:a="http://schemas.openxmlformats.org/drawingml/2006/main">
          <a:off x="1671858" y="4276258"/>
          <a:ext cx="1631239" cy="16872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31239" h="1687260">
              <a:moveTo>
                <a:pt x="931707" y="742306"/>
              </a:moveTo>
              <a:lnTo>
                <a:pt x="18129" y="1687259"/>
              </a:lnTo>
              <a:lnTo>
                <a:pt x="0" y="1668507"/>
              </a:lnTo>
              <a:lnTo>
                <a:pt x="913578" y="723554"/>
              </a:lnTo>
              <a:lnTo>
                <a:pt x="978611" y="656288"/>
              </a:lnTo>
              <a:lnTo>
                <a:pt x="1064964" y="566970"/>
              </a:lnTo>
              <a:lnTo>
                <a:pt x="1613109" y="0"/>
              </a:lnTo>
              <a:lnTo>
                <a:pt x="1631238" y="18752"/>
              </a:lnTo>
              <a:lnTo>
                <a:pt x="1083093" y="585722"/>
              </a:lnTo>
              <a:lnTo>
                <a:pt x="996740" y="67504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0.62987</cdr:y>
    </cdr:from>
    <cdr:to>
      <cdr:x>0.3127</cdr:x>
      <cdr:y>0.85166</cdr:y>
    </cdr:to>
    <cdr:sp macro="" textlink="">
      <cdr:nvSpPr>
        <cdr:cNvPr id="115" name="FracNo 517 StartRow 1414">
          <a:extLst xmlns:a="http://schemas.openxmlformats.org/drawingml/2006/main">
            <a:ext uri="{FF2B5EF4-FFF2-40B4-BE49-F238E27FC236}">
              <a16:creationId xmlns:a16="http://schemas.microsoft.com/office/drawing/2014/main" id="{5602F5A8-6E61-46F6-8837-F793AC50B71B}"/>
            </a:ext>
          </a:extLst>
        </cdr:cNvPr>
        <cdr:cNvSpPr/>
      </cdr:nvSpPr>
      <cdr:spPr>
        <a:xfrm xmlns:a="http://schemas.openxmlformats.org/drawingml/2006/main">
          <a:off x="671676" y="4799644"/>
          <a:ext cx="1615752" cy="16899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15752" h="1689992">
              <a:moveTo>
                <a:pt x="1512585" y="125460"/>
              </a:moveTo>
              <a:lnTo>
                <a:pt x="1487108" y="151813"/>
              </a:lnTo>
              <a:lnTo>
                <a:pt x="0" y="1689991"/>
              </a:lnTo>
              <a:lnTo>
                <a:pt x="0" y="1652487"/>
              </a:lnTo>
              <a:lnTo>
                <a:pt x="1469285" y="132743"/>
              </a:lnTo>
              <a:lnTo>
                <a:pt x="1494702" y="106454"/>
              </a:lnTo>
              <a:lnTo>
                <a:pt x="1597622" y="0"/>
              </a:lnTo>
              <a:lnTo>
                <a:pt x="161575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0.72202</cdr:x>
      <cdr:y>0.20536</cdr:y>
    </cdr:from>
    <cdr:to>
      <cdr:x>0.94246</cdr:x>
      <cdr:y>0.42671</cdr:y>
    </cdr:to>
    <cdr:sp macro="" textlink="">
      <cdr:nvSpPr>
        <cdr:cNvPr id="116" name="FracNo 946 StartRow 1425">
          <a:extLst xmlns:a="http://schemas.openxmlformats.org/drawingml/2006/main">
            <a:ext uri="{FF2B5EF4-FFF2-40B4-BE49-F238E27FC236}">
              <a16:creationId xmlns:a16="http://schemas.microsoft.com/office/drawing/2014/main" id="{33C46B50-90A1-BBC9-BFD9-961A0050E39E}"/>
            </a:ext>
          </a:extLst>
        </cdr:cNvPr>
        <cdr:cNvSpPr/>
      </cdr:nvSpPr>
      <cdr:spPr>
        <a:xfrm xmlns:a="http://schemas.openxmlformats.org/drawingml/2006/main">
          <a:off x="5281754" y="1564874"/>
          <a:ext cx="1612554" cy="16866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12554" h="1686685">
              <a:moveTo>
                <a:pt x="239497" y="1457714"/>
              </a:moveTo>
              <a:lnTo>
                <a:pt x="18129" y="1686684"/>
              </a:lnTo>
              <a:lnTo>
                <a:pt x="0" y="1667932"/>
              </a:lnTo>
              <a:lnTo>
                <a:pt x="222780" y="1437501"/>
              </a:lnTo>
              <a:lnTo>
                <a:pt x="432276" y="1220812"/>
              </a:lnTo>
              <a:lnTo>
                <a:pt x="1612553" y="0"/>
              </a:lnTo>
              <a:lnTo>
                <a:pt x="1612553" y="37504"/>
              </a:lnTo>
              <a:lnTo>
                <a:pt x="447664" y="124239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0.72377</cdr:x>
      <cdr:y>0.53284</cdr:y>
    </cdr:from>
    <cdr:to>
      <cdr:x>0.94246</cdr:x>
      <cdr:y>0.75245</cdr:y>
    </cdr:to>
    <cdr:sp macro="" textlink="">
      <cdr:nvSpPr>
        <cdr:cNvPr id="117" name="FracNo 427 StartRow 1436">
          <a:extLst xmlns:a="http://schemas.openxmlformats.org/drawingml/2006/main">
            <a:ext uri="{FF2B5EF4-FFF2-40B4-BE49-F238E27FC236}">
              <a16:creationId xmlns:a16="http://schemas.microsoft.com/office/drawing/2014/main" id="{CF94D798-4382-6A28-582A-08479CC59EA8}"/>
            </a:ext>
          </a:extLst>
        </cdr:cNvPr>
        <cdr:cNvSpPr/>
      </cdr:nvSpPr>
      <cdr:spPr>
        <a:xfrm xmlns:a="http://schemas.openxmlformats.org/drawingml/2006/main">
          <a:off x="5294552" y="4060224"/>
          <a:ext cx="1599756" cy="16734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99756" h="1673447">
              <a:moveTo>
                <a:pt x="278273" y="1366865"/>
              </a:moveTo>
              <a:lnTo>
                <a:pt x="0" y="1654694"/>
              </a:lnTo>
              <a:lnTo>
                <a:pt x="18129" y="1673446"/>
              </a:lnTo>
              <a:lnTo>
                <a:pt x="293979" y="1388123"/>
              </a:lnTo>
              <a:lnTo>
                <a:pt x="771217" y="894495"/>
              </a:lnTo>
              <a:lnTo>
                <a:pt x="1599755" y="37504"/>
              </a:lnTo>
              <a:lnTo>
                <a:pt x="1599755" y="0"/>
              </a:lnTo>
              <a:lnTo>
                <a:pt x="759703" y="86890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0.21578</cdr:x>
      <cdr:y>0.18771</cdr:y>
    </cdr:from>
    <cdr:to>
      <cdr:x>0.43269</cdr:x>
      <cdr:y>0.4031</cdr:y>
    </cdr:to>
    <cdr:sp macro="" textlink="">
      <cdr:nvSpPr>
        <cdr:cNvPr id="118" name="FracNo 909 StartRow 1447">
          <a:extLst xmlns:a="http://schemas.openxmlformats.org/drawingml/2006/main">
            <a:ext uri="{FF2B5EF4-FFF2-40B4-BE49-F238E27FC236}">
              <a16:creationId xmlns:a16="http://schemas.microsoft.com/office/drawing/2014/main" id="{2BD43E3E-24CD-DF32-50AF-92974CE327BA}"/>
            </a:ext>
          </a:extLst>
        </cdr:cNvPr>
        <cdr:cNvSpPr/>
      </cdr:nvSpPr>
      <cdr:spPr>
        <a:xfrm xmlns:a="http://schemas.openxmlformats.org/drawingml/2006/main">
          <a:off x="1578472" y="1430367"/>
          <a:ext cx="1586737" cy="16412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86737" h="1641229">
              <a:moveTo>
                <a:pt x="1297790" y="280116"/>
              </a:moveTo>
              <a:lnTo>
                <a:pt x="1158350" y="424346"/>
              </a:lnTo>
              <a:lnTo>
                <a:pt x="256916" y="1356736"/>
              </a:lnTo>
              <a:lnTo>
                <a:pt x="0" y="1622476"/>
              </a:lnTo>
              <a:lnTo>
                <a:pt x="18129" y="1641228"/>
              </a:lnTo>
              <a:lnTo>
                <a:pt x="275046" y="1375488"/>
              </a:lnTo>
              <a:lnTo>
                <a:pt x="1176479" y="443098"/>
              </a:lnTo>
              <a:lnTo>
                <a:pt x="1315920" y="298868"/>
              </a:lnTo>
              <a:lnTo>
                <a:pt x="1586736" y="18752"/>
              </a:lnTo>
              <a:lnTo>
                <a:pt x="156860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0.72897</cdr:x>
      <cdr:y>0.71811</cdr:y>
    </cdr:from>
    <cdr:to>
      <cdr:x>0.94246</cdr:x>
      <cdr:y>0.9301</cdr:y>
    </cdr:to>
    <cdr:sp macro="" textlink="">
      <cdr:nvSpPr>
        <cdr:cNvPr id="119" name="FracNo 761 StartRow 1460">
          <a:extLst xmlns:a="http://schemas.openxmlformats.org/drawingml/2006/main">
            <a:ext uri="{FF2B5EF4-FFF2-40B4-BE49-F238E27FC236}">
              <a16:creationId xmlns:a16="http://schemas.microsoft.com/office/drawing/2014/main" id="{1E36BE07-F5D9-9789-2E51-26E8646E354B}"/>
            </a:ext>
          </a:extLst>
        </cdr:cNvPr>
        <cdr:cNvSpPr/>
      </cdr:nvSpPr>
      <cdr:spPr>
        <a:xfrm xmlns:a="http://schemas.openxmlformats.org/drawingml/2006/main">
          <a:off x="5332593" y="5472018"/>
          <a:ext cx="1561715" cy="16153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61715" h="1615348">
              <a:moveTo>
                <a:pt x="361506" y="1241426"/>
              </a:moveTo>
              <a:lnTo>
                <a:pt x="0" y="1615347"/>
              </a:lnTo>
              <a:lnTo>
                <a:pt x="36258" y="1615347"/>
              </a:lnTo>
              <a:lnTo>
                <a:pt x="389372" y="1250107"/>
              </a:lnTo>
              <a:lnTo>
                <a:pt x="1561714" y="37504"/>
              </a:lnTo>
              <a:lnTo>
                <a:pt x="156171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0.22636</cdr:x>
      <cdr:y>0.71983</cdr:y>
    </cdr:from>
    <cdr:to>
      <cdr:x>0.44059</cdr:x>
      <cdr:y>0.9301</cdr:y>
    </cdr:to>
    <cdr:sp macro="" textlink="">
      <cdr:nvSpPr>
        <cdr:cNvPr id="120" name="FracNo 846 StartRow 1469">
          <a:extLst xmlns:a="http://schemas.openxmlformats.org/drawingml/2006/main">
            <a:ext uri="{FF2B5EF4-FFF2-40B4-BE49-F238E27FC236}">
              <a16:creationId xmlns:a16="http://schemas.microsoft.com/office/drawing/2014/main" id="{4041D134-C1B0-B85B-97D5-32FD19D45FC9}"/>
            </a:ext>
          </a:extLst>
        </cdr:cNvPr>
        <cdr:cNvSpPr/>
      </cdr:nvSpPr>
      <cdr:spPr>
        <a:xfrm xmlns:a="http://schemas.openxmlformats.org/drawingml/2006/main">
          <a:off x="1655850" y="5485116"/>
          <a:ext cx="1567182" cy="16022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67182" h="1602250">
              <a:moveTo>
                <a:pt x="970652" y="635767"/>
              </a:moveTo>
              <a:lnTo>
                <a:pt x="36259" y="1602249"/>
              </a:lnTo>
              <a:lnTo>
                <a:pt x="0" y="1602249"/>
              </a:lnTo>
              <a:lnTo>
                <a:pt x="950331" y="619282"/>
              </a:lnTo>
              <a:lnTo>
                <a:pt x="1080972" y="484155"/>
              </a:lnTo>
              <a:lnTo>
                <a:pt x="1549051" y="0"/>
              </a:lnTo>
              <a:lnTo>
                <a:pt x="1567181" y="18752"/>
              </a:lnTo>
              <a:lnTo>
                <a:pt x="1099101" y="50290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0.35614</cdr:x>
      <cdr:y>0.53924</cdr:y>
    </cdr:from>
    <cdr:to>
      <cdr:x>0.56894</cdr:x>
      <cdr:y>0.75055</cdr:y>
    </cdr:to>
    <cdr:sp macro="" textlink="">
      <cdr:nvSpPr>
        <cdr:cNvPr id="121" name="FracNo 857 StartRow 1480">
          <a:extLst xmlns:a="http://schemas.openxmlformats.org/drawingml/2006/main">
            <a:ext uri="{FF2B5EF4-FFF2-40B4-BE49-F238E27FC236}">
              <a16:creationId xmlns:a16="http://schemas.microsoft.com/office/drawing/2014/main" id="{5FC66F13-69C1-F4E0-1862-452C5564AB9F}"/>
            </a:ext>
          </a:extLst>
        </cdr:cNvPr>
        <cdr:cNvSpPr/>
      </cdr:nvSpPr>
      <cdr:spPr>
        <a:xfrm xmlns:a="http://schemas.openxmlformats.org/drawingml/2006/main">
          <a:off x="2605222" y="4109016"/>
          <a:ext cx="1556714" cy="16101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56714" h="1610174">
              <a:moveTo>
                <a:pt x="1091137" y="462812"/>
              </a:moveTo>
              <a:lnTo>
                <a:pt x="742396" y="823530"/>
              </a:lnTo>
              <a:lnTo>
                <a:pt x="131600" y="1455302"/>
              </a:lnTo>
              <a:lnTo>
                <a:pt x="0" y="1591421"/>
              </a:lnTo>
              <a:lnTo>
                <a:pt x="18129" y="1610173"/>
              </a:lnTo>
              <a:lnTo>
                <a:pt x="149729" y="1474054"/>
              </a:lnTo>
              <a:lnTo>
                <a:pt x="760525" y="842282"/>
              </a:lnTo>
              <a:lnTo>
                <a:pt x="1109267" y="481564"/>
              </a:lnTo>
              <a:lnTo>
                <a:pt x="1556713" y="18752"/>
              </a:lnTo>
              <a:lnTo>
                <a:pt x="153858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0.14895</cdr:x>
      <cdr:y>0.36553</cdr:y>
    </cdr:from>
    <cdr:to>
      <cdr:x>0.36091</cdr:x>
      <cdr:y>0.576</cdr:y>
    </cdr:to>
    <cdr:sp macro="" textlink="">
      <cdr:nvSpPr>
        <cdr:cNvPr id="122" name="FracNo 831 StartRow 1493">
          <a:extLst xmlns:a="http://schemas.openxmlformats.org/drawingml/2006/main">
            <a:ext uri="{FF2B5EF4-FFF2-40B4-BE49-F238E27FC236}">
              <a16:creationId xmlns:a16="http://schemas.microsoft.com/office/drawing/2014/main" id="{4D58612B-868C-EE9A-AC9E-952340585FFF}"/>
            </a:ext>
          </a:extLst>
        </cdr:cNvPr>
        <cdr:cNvSpPr/>
      </cdr:nvSpPr>
      <cdr:spPr>
        <a:xfrm xmlns:a="http://schemas.openxmlformats.org/drawingml/2006/main">
          <a:off x="1089574" y="2785333"/>
          <a:ext cx="1550545" cy="16037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50545" h="1603794">
              <a:moveTo>
                <a:pt x="386400" y="1222875"/>
              </a:moveTo>
              <a:lnTo>
                <a:pt x="18130" y="1603793"/>
              </a:lnTo>
              <a:lnTo>
                <a:pt x="0" y="1585041"/>
              </a:lnTo>
              <a:lnTo>
                <a:pt x="368271" y="1204123"/>
              </a:lnTo>
              <a:lnTo>
                <a:pt x="1530703" y="1770"/>
              </a:lnTo>
              <a:lnTo>
                <a:pt x="1532415" y="0"/>
              </a:lnTo>
              <a:lnTo>
                <a:pt x="1550544" y="18751"/>
              </a:lnTo>
              <a:lnTo>
                <a:pt x="1548833" y="2052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0.30333</cdr:x>
      <cdr:y>0.12417</cdr:y>
    </cdr:from>
    <cdr:to>
      <cdr:x>0.51404</cdr:x>
      <cdr:y>0.3334</cdr:y>
    </cdr:to>
    <cdr:sp macro="" textlink="">
      <cdr:nvSpPr>
        <cdr:cNvPr id="123" name="FracNo 596 StartRow 1504">
          <a:extLst xmlns:a="http://schemas.openxmlformats.org/drawingml/2006/main">
            <a:ext uri="{FF2B5EF4-FFF2-40B4-BE49-F238E27FC236}">
              <a16:creationId xmlns:a16="http://schemas.microsoft.com/office/drawing/2014/main" id="{21D5A865-0E7D-C65F-40C7-D35D853C1ED5}"/>
            </a:ext>
          </a:extLst>
        </cdr:cNvPr>
        <cdr:cNvSpPr/>
      </cdr:nvSpPr>
      <cdr:spPr>
        <a:xfrm xmlns:a="http://schemas.openxmlformats.org/drawingml/2006/main">
          <a:off x="2218888" y="946180"/>
          <a:ext cx="1541402" cy="15943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41402" h="1594337">
              <a:moveTo>
                <a:pt x="94596" y="1477740"/>
              </a:moveTo>
              <a:lnTo>
                <a:pt x="0" y="1575584"/>
              </a:lnTo>
              <a:lnTo>
                <a:pt x="18129" y="1594336"/>
              </a:lnTo>
              <a:lnTo>
                <a:pt x="112725" y="1496492"/>
              </a:lnTo>
              <a:lnTo>
                <a:pt x="536063" y="1058616"/>
              </a:lnTo>
              <a:lnTo>
                <a:pt x="1541401" y="18752"/>
              </a:lnTo>
              <a:lnTo>
                <a:pt x="1523272" y="0"/>
              </a:lnTo>
              <a:lnTo>
                <a:pt x="517934" y="103986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0.3014</cdr:x>
      <cdr:y>0.29354</cdr:y>
    </cdr:to>
    <cdr:sp macro="" textlink="">
      <cdr:nvSpPr>
        <cdr:cNvPr id="124" name="FracNo 953 StartRow 1515">
          <a:extLst xmlns:a="http://schemas.openxmlformats.org/drawingml/2006/main">
            <a:ext uri="{FF2B5EF4-FFF2-40B4-BE49-F238E27FC236}">
              <a16:creationId xmlns:a16="http://schemas.microsoft.com/office/drawing/2014/main" id="{4DC87C2E-BDEB-F9DB-90CF-269B0F56CE43}"/>
            </a:ext>
          </a:extLst>
        </cdr:cNvPr>
        <cdr:cNvSpPr/>
      </cdr:nvSpPr>
      <cdr:spPr>
        <a:xfrm xmlns:a="http://schemas.openxmlformats.org/drawingml/2006/main">
          <a:off x="671676" y="651036"/>
          <a:ext cx="1533123" cy="15857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33123" h="1585774">
              <a:moveTo>
                <a:pt x="397509" y="1174612"/>
              </a:moveTo>
              <a:lnTo>
                <a:pt x="0" y="1585773"/>
              </a:lnTo>
              <a:lnTo>
                <a:pt x="0" y="1548269"/>
              </a:lnTo>
              <a:lnTo>
                <a:pt x="388108" y="1146833"/>
              </a:lnTo>
              <a:lnTo>
                <a:pt x="1496864" y="0"/>
              </a:lnTo>
              <a:lnTo>
                <a:pt x="153312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0.51321</cdr:x>
      <cdr:y>0.6748</cdr:y>
    </cdr:from>
    <cdr:to>
      <cdr:x>0.72213</cdr:x>
      <cdr:y>0.88225</cdr:y>
    </cdr:to>
    <cdr:sp macro="" textlink="">
      <cdr:nvSpPr>
        <cdr:cNvPr id="125" name="FracNo 1028 StartRow 1524">
          <a:extLst xmlns:a="http://schemas.openxmlformats.org/drawingml/2006/main">
            <a:ext uri="{FF2B5EF4-FFF2-40B4-BE49-F238E27FC236}">
              <a16:creationId xmlns:a16="http://schemas.microsoft.com/office/drawing/2014/main" id="{FD339F57-FC2D-F598-DE39-C109BC3A763D}"/>
            </a:ext>
          </a:extLst>
        </cdr:cNvPr>
        <cdr:cNvSpPr/>
      </cdr:nvSpPr>
      <cdr:spPr>
        <a:xfrm xmlns:a="http://schemas.openxmlformats.org/drawingml/2006/main">
          <a:off x="3754198" y="5141975"/>
          <a:ext cx="1528315" cy="15807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28315" h="1580799">
              <a:moveTo>
                <a:pt x="1366188" y="148942"/>
              </a:moveTo>
              <a:lnTo>
                <a:pt x="1056834" y="468919"/>
              </a:lnTo>
              <a:lnTo>
                <a:pt x="0" y="1562047"/>
              </a:lnTo>
              <a:lnTo>
                <a:pt x="18130" y="1580798"/>
              </a:lnTo>
              <a:lnTo>
                <a:pt x="1074963" y="487671"/>
              </a:lnTo>
              <a:lnTo>
                <a:pt x="1384317" y="167694"/>
              </a:lnTo>
              <a:lnTo>
                <a:pt x="1528314" y="18752"/>
              </a:lnTo>
              <a:lnTo>
                <a:pt x="15101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0.68369</cdr:x>
      <cdr:y>0.08544</cdr:y>
    </cdr:from>
    <cdr:to>
      <cdr:x>0.8931</cdr:x>
      <cdr:y>0.29091</cdr:y>
    </cdr:to>
    <cdr:sp macro="" textlink="">
      <cdr:nvSpPr>
        <cdr:cNvPr id="126" name="FracNo 911 StartRow 1535">
          <a:extLst xmlns:a="http://schemas.openxmlformats.org/drawingml/2006/main">
            <a:ext uri="{FF2B5EF4-FFF2-40B4-BE49-F238E27FC236}">
              <a16:creationId xmlns:a16="http://schemas.microsoft.com/office/drawing/2014/main" id="{E64F364A-2AB6-DE2D-EA05-A39374443AC4}"/>
            </a:ext>
          </a:extLst>
        </cdr:cNvPr>
        <cdr:cNvSpPr/>
      </cdr:nvSpPr>
      <cdr:spPr>
        <a:xfrm xmlns:a="http://schemas.openxmlformats.org/drawingml/2006/main">
          <a:off x="5001335" y="651036"/>
          <a:ext cx="1531876" cy="15657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31876" h="1565732">
              <a:moveTo>
                <a:pt x="906740" y="646603"/>
              </a:moveTo>
              <a:lnTo>
                <a:pt x="18129" y="1565731"/>
              </a:lnTo>
              <a:lnTo>
                <a:pt x="0" y="1546979"/>
              </a:lnTo>
              <a:lnTo>
                <a:pt x="877969" y="638859"/>
              </a:lnTo>
              <a:lnTo>
                <a:pt x="1495617" y="0"/>
              </a:lnTo>
              <a:lnTo>
                <a:pt x="153187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0.41557</cdr:y>
    </cdr:from>
    <cdr:to>
      <cdr:x>0.29617</cdr:x>
      <cdr:y>0.62094</cdr:y>
    </cdr:to>
    <cdr:sp macro="" textlink="">
      <cdr:nvSpPr>
        <cdr:cNvPr id="127" name="FracNo 1017 StartRow 1544">
          <a:extLst xmlns:a="http://schemas.openxmlformats.org/drawingml/2006/main">
            <a:ext uri="{FF2B5EF4-FFF2-40B4-BE49-F238E27FC236}">
              <a16:creationId xmlns:a16="http://schemas.microsoft.com/office/drawing/2014/main" id="{0739E692-35F3-F320-CD1E-71D3FA3CA4EA}"/>
            </a:ext>
          </a:extLst>
        </cdr:cNvPr>
        <cdr:cNvSpPr/>
      </cdr:nvSpPr>
      <cdr:spPr>
        <a:xfrm xmlns:a="http://schemas.openxmlformats.org/drawingml/2006/main">
          <a:off x="671676" y="3166634"/>
          <a:ext cx="1494864" cy="15649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94864" h="1564953">
              <a:moveTo>
                <a:pt x="789854" y="747972"/>
              </a:moveTo>
              <a:lnTo>
                <a:pt x="0" y="1564952"/>
              </a:lnTo>
              <a:lnTo>
                <a:pt x="0" y="1527448"/>
              </a:lnTo>
              <a:lnTo>
                <a:pt x="780275" y="720377"/>
              </a:lnTo>
              <a:lnTo>
                <a:pt x="1476734" y="0"/>
              </a:lnTo>
              <a:lnTo>
                <a:pt x="149486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0.17241</cdr:x>
      <cdr:y>0.08421</cdr:y>
    </cdr:from>
    <cdr:to>
      <cdr:x>0.37834</cdr:x>
      <cdr:y>0.28745</cdr:y>
    </cdr:to>
    <cdr:sp macro="" textlink="">
      <cdr:nvSpPr>
        <cdr:cNvPr id="128" name="FracNo 592 StartRow 1553">
          <a:extLst xmlns:a="http://schemas.openxmlformats.org/drawingml/2006/main">
            <a:ext uri="{FF2B5EF4-FFF2-40B4-BE49-F238E27FC236}">
              <a16:creationId xmlns:a16="http://schemas.microsoft.com/office/drawing/2014/main" id="{663AABD5-C443-EBDD-E0DF-B96618479E60}"/>
            </a:ext>
          </a:extLst>
        </cdr:cNvPr>
        <cdr:cNvSpPr/>
      </cdr:nvSpPr>
      <cdr:spPr>
        <a:xfrm xmlns:a="http://schemas.openxmlformats.org/drawingml/2006/main">
          <a:off x="1261245" y="641660"/>
          <a:ext cx="1506388" cy="15487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06388" h="1548745">
              <a:moveTo>
                <a:pt x="314218" y="1204983"/>
              </a:moveTo>
              <a:lnTo>
                <a:pt x="0" y="1529992"/>
              </a:lnTo>
              <a:lnTo>
                <a:pt x="18130" y="1548744"/>
              </a:lnTo>
              <a:lnTo>
                <a:pt x="334272" y="1221744"/>
              </a:lnTo>
              <a:lnTo>
                <a:pt x="1502742" y="13146"/>
              </a:lnTo>
              <a:lnTo>
                <a:pt x="1506387" y="9376"/>
              </a:lnTo>
              <a:lnTo>
                <a:pt x="1479193" y="0"/>
              </a:lnTo>
              <a:lnTo>
                <a:pt x="1475577" y="374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0.14604</cdr:x>
      <cdr:y>0.08544</cdr:y>
    </cdr:from>
    <cdr:to>
      <cdr:x>0.3511</cdr:x>
      <cdr:y>0.28659</cdr:y>
    </cdr:to>
    <cdr:sp macro="" textlink="">
      <cdr:nvSpPr>
        <cdr:cNvPr id="129" name="FracNo 1004 StartRow 1564">
          <a:extLst xmlns:a="http://schemas.openxmlformats.org/drawingml/2006/main">
            <a:ext uri="{FF2B5EF4-FFF2-40B4-BE49-F238E27FC236}">
              <a16:creationId xmlns:a16="http://schemas.microsoft.com/office/drawing/2014/main" id="{4A5AE0EE-894D-2342-FE01-C17A948DF363}"/>
            </a:ext>
          </a:extLst>
        </cdr:cNvPr>
        <cdr:cNvSpPr/>
      </cdr:nvSpPr>
      <cdr:spPr>
        <a:xfrm xmlns:a="http://schemas.openxmlformats.org/drawingml/2006/main">
          <a:off x="1068326" y="651036"/>
          <a:ext cx="1500049" cy="15328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00049" h="1532812">
              <a:moveTo>
                <a:pt x="311829" y="1229025"/>
              </a:moveTo>
              <a:lnTo>
                <a:pt x="18129" y="1532811"/>
              </a:lnTo>
              <a:lnTo>
                <a:pt x="0" y="1514060"/>
              </a:lnTo>
              <a:lnTo>
                <a:pt x="290106" y="1213990"/>
              </a:lnTo>
              <a:lnTo>
                <a:pt x="1463790" y="0"/>
              </a:lnTo>
              <a:lnTo>
                <a:pt x="150004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0.24802</cdr:y>
    </cdr:from>
    <cdr:to>
      <cdr:x>0.29365</cdr:x>
      <cdr:y>0.45089</cdr:y>
    </cdr:to>
    <cdr:sp macro="" textlink="">
      <cdr:nvSpPr>
        <cdr:cNvPr id="130" name="FracNo 599 StartRow 1573">
          <a:extLst xmlns:a="http://schemas.openxmlformats.org/drawingml/2006/main">
            <a:ext uri="{FF2B5EF4-FFF2-40B4-BE49-F238E27FC236}">
              <a16:creationId xmlns:a16="http://schemas.microsoft.com/office/drawing/2014/main" id="{6894A06E-2DAE-F2B9-9E2A-A9DCECB814C5}"/>
            </a:ext>
          </a:extLst>
        </cdr:cNvPr>
        <cdr:cNvSpPr/>
      </cdr:nvSpPr>
      <cdr:spPr>
        <a:xfrm xmlns:a="http://schemas.openxmlformats.org/drawingml/2006/main">
          <a:off x="671676" y="1889881"/>
          <a:ext cx="1476424" cy="15458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76424" h="1545879">
              <a:moveTo>
                <a:pt x="644717" y="879020"/>
              </a:moveTo>
              <a:lnTo>
                <a:pt x="608474" y="916508"/>
              </a:lnTo>
              <a:lnTo>
                <a:pt x="0" y="1545878"/>
              </a:lnTo>
              <a:lnTo>
                <a:pt x="0" y="1508374"/>
              </a:lnTo>
              <a:lnTo>
                <a:pt x="591377" y="896688"/>
              </a:lnTo>
              <a:lnTo>
                <a:pt x="627577" y="859245"/>
              </a:lnTo>
              <a:lnTo>
                <a:pt x="1458293" y="0"/>
              </a:lnTo>
              <a:lnTo>
                <a:pt x="147642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0.19489</cdr:x>
      <cdr:y>0.59026</cdr:y>
    </cdr:from>
    <cdr:to>
      <cdr:x>0.39743</cdr:x>
      <cdr:y>0.79137</cdr:y>
    </cdr:to>
    <cdr:sp macro="" textlink="">
      <cdr:nvSpPr>
        <cdr:cNvPr id="131" name="FracNo 833 StartRow 1584">
          <a:extLst xmlns:a="http://schemas.openxmlformats.org/drawingml/2006/main">
            <a:ext uri="{FF2B5EF4-FFF2-40B4-BE49-F238E27FC236}">
              <a16:creationId xmlns:a16="http://schemas.microsoft.com/office/drawing/2014/main" id="{D2CD0206-2609-3B6E-31C9-07A02F0F1658}"/>
            </a:ext>
          </a:extLst>
        </cdr:cNvPr>
        <cdr:cNvSpPr/>
      </cdr:nvSpPr>
      <cdr:spPr>
        <a:xfrm xmlns:a="http://schemas.openxmlformats.org/drawingml/2006/main">
          <a:off x="1425682" y="4497755"/>
          <a:ext cx="1481583" cy="15324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81583" h="1532463">
              <a:moveTo>
                <a:pt x="241989" y="1300915"/>
              </a:moveTo>
              <a:lnTo>
                <a:pt x="18129" y="1532462"/>
              </a:lnTo>
              <a:lnTo>
                <a:pt x="0" y="1513711"/>
              </a:lnTo>
              <a:lnTo>
                <a:pt x="223859" y="1282164"/>
              </a:lnTo>
              <a:lnTo>
                <a:pt x="1043097" y="434791"/>
              </a:lnTo>
              <a:lnTo>
                <a:pt x="1311140" y="157543"/>
              </a:lnTo>
              <a:lnTo>
                <a:pt x="1463453" y="0"/>
              </a:lnTo>
              <a:lnTo>
                <a:pt x="1481582" y="18751"/>
              </a:lnTo>
              <a:lnTo>
                <a:pt x="1329269" y="176295"/>
              </a:lnTo>
              <a:lnTo>
                <a:pt x="1061226" y="45354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0.1808</cdr:x>
      <cdr:y>0.7303</cdr:y>
    </cdr:from>
    <cdr:to>
      <cdr:x>0.3845</cdr:x>
      <cdr:y>0.9301</cdr:y>
    </cdr:to>
    <cdr:sp macro="" textlink="">
      <cdr:nvSpPr>
        <cdr:cNvPr id="132" name="FracNo 280 StartRow 1597">
          <a:extLst xmlns:a="http://schemas.openxmlformats.org/drawingml/2006/main">
            <a:ext uri="{FF2B5EF4-FFF2-40B4-BE49-F238E27FC236}">
              <a16:creationId xmlns:a16="http://schemas.microsoft.com/office/drawing/2014/main" id="{A246B6A2-EBC0-1650-F1FC-89130E0C30BD}"/>
            </a:ext>
          </a:extLst>
        </cdr:cNvPr>
        <cdr:cNvSpPr/>
      </cdr:nvSpPr>
      <cdr:spPr>
        <a:xfrm xmlns:a="http://schemas.openxmlformats.org/drawingml/2006/main">
          <a:off x="1322614" y="5564899"/>
          <a:ext cx="1490048" cy="15224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90048" h="1522467">
              <a:moveTo>
                <a:pt x="1433892" y="76836"/>
              </a:moveTo>
              <a:lnTo>
                <a:pt x="1432347" y="78433"/>
              </a:lnTo>
              <a:lnTo>
                <a:pt x="36259" y="1522466"/>
              </a:lnTo>
              <a:lnTo>
                <a:pt x="0" y="1522466"/>
              </a:lnTo>
              <a:lnTo>
                <a:pt x="1414198" y="59702"/>
              </a:lnTo>
              <a:lnTo>
                <a:pt x="1415743" y="58104"/>
              </a:lnTo>
              <a:lnTo>
                <a:pt x="1471917" y="0"/>
              </a:lnTo>
              <a:lnTo>
                <a:pt x="149004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0.39011</cdr:y>
    </cdr:from>
    <cdr:to>
      <cdr:x>0.29299</cdr:x>
      <cdr:y>0.59233</cdr:y>
    </cdr:to>
    <cdr:sp macro="" textlink="">
      <cdr:nvSpPr>
        <cdr:cNvPr id="133" name="FracNo 1007 StartRow 1608">
          <a:extLst xmlns:a="http://schemas.openxmlformats.org/drawingml/2006/main">
            <a:ext uri="{FF2B5EF4-FFF2-40B4-BE49-F238E27FC236}">
              <a16:creationId xmlns:a16="http://schemas.microsoft.com/office/drawing/2014/main" id="{1768A85B-3812-FE53-9AF8-FEB097BF68AA}"/>
            </a:ext>
          </a:extLst>
        </cdr:cNvPr>
        <cdr:cNvSpPr/>
      </cdr:nvSpPr>
      <cdr:spPr>
        <a:xfrm xmlns:a="http://schemas.openxmlformats.org/drawingml/2006/main">
          <a:off x="671676" y="2972668"/>
          <a:ext cx="1471589" cy="15408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71589" h="1540878">
              <a:moveTo>
                <a:pt x="286184" y="1207361"/>
              </a:moveTo>
              <a:lnTo>
                <a:pt x="0" y="1503373"/>
              </a:lnTo>
              <a:lnTo>
                <a:pt x="0" y="1540877"/>
              </a:lnTo>
              <a:lnTo>
                <a:pt x="289754" y="1241172"/>
              </a:lnTo>
              <a:lnTo>
                <a:pt x="1471588" y="18752"/>
              </a:lnTo>
              <a:lnTo>
                <a:pt x="145345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0.38182</cdr:x>
      <cdr:y>0.08544</cdr:y>
    </cdr:from>
    <cdr:to>
      <cdr:x>0.58302</cdr:x>
      <cdr:y>0.28276</cdr:y>
    </cdr:to>
    <cdr:sp macro="" textlink="">
      <cdr:nvSpPr>
        <cdr:cNvPr id="134" name="FracNo 351 StartRow 1617">
          <a:extLst xmlns:a="http://schemas.openxmlformats.org/drawingml/2006/main">
            <a:ext uri="{FF2B5EF4-FFF2-40B4-BE49-F238E27FC236}">
              <a16:creationId xmlns:a16="http://schemas.microsoft.com/office/drawing/2014/main" id="{7DAEB331-25C1-3997-51AF-8F4770ACB803}"/>
            </a:ext>
          </a:extLst>
        </cdr:cNvPr>
        <cdr:cNvSpPr/>
      </cdr:nvSpPr>
      <cdr:spPr>
        <a:xfrm xmlns:a="http://schemas.openxmlformats.org/drawingml/2006/main">
          <a:off x="2793121" y="651036"/>
          <a:ext cx="1471806" cy="15035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71806" h="1503599">
              <a:moveTo>
                <a:pt x="846130" y="647162"/>
              </a:moveTo>
              <a:lnTo>
                <a:pt x="18129" y="1503598"/>
              </a:lnTo>
              <a:lnTo>
                <a:pt x="0" y="1484846"/>
              </a:lnTo>
              <a:lnTo>
                <a:pt x="817674" y="639091"/>
              </a:lnTo>
              <a:lnTo>
                <a:pt x="1435546" y="0"/>
              </a:lnTo>
              <a:lnTo>
                <a:pt x="147180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0.29178</cdr:x>
      <cdr:y>0.28399</cdr:y>
    </cdr:to>
    <cdr:sp macro="" textlink="">
      <cdr:nvSpPr>
        <cdr:cNvPr id="135" name="FracNo 1001 StartRow 1626">
          <a:extLst xmlns:a="http://schemas.openxmlformats.org/drawingml/2006/main">
            <a:ext uri="{FF2B5EF4-FFF2-40B4-BE49-F238E27FC236}">
              <a16:creationId xmlns:a16="http://schemas.microsoft.com/office/drawing/2014/main" id="{8EB1D6D6-6F16-4078-25FF-E9AB55AF6F10}"/>
            </a:ext>
          </a:extLst>
        </cdr:cNvPr>
        <cdr:cNvSpPr/>
      </cdr:nvSpPr>
      <cdr:spPr>
        <a:xfrm xmlns:a="http://schemas.openxmlformats.org/drawingml/2006/main">
          <a:off x="671676" y="651036"/>
          <a:ext cx="1462739" cy="15129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62739" h="1512973">
              <a:moveTo>
                <a:pt x="1247635" y="184987"/>
              </a:moveTo>
              <a:lnTo>
                <a:pt x="0" y="1475468"/>
              </a:lnTo>
              <a:lnTo>
                <a:pt x="0" y="1512972"/>
              </a:lnTo>
              <a:lnTo>
                <a:pt x="1279347" y="189689"/>
              </a:lnTo>
              <a:lnTo>
                <a:pt x="1462738" y="0"/>
              </a:lnTo>
              <a:lnTo>
                <a:pt x="142648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0.64643</cdr:x>
      <cdr:y>0.08544</cdr:y>
    </cdr:from>
    <cdr:to>
      <cdr:x>0.84597</cdr:x>
      <cdr:y>0.28111</cdr:y>
    </cdr:to>
    <cdr:sp macro="" textlink="">
      <cdr:nvSpPr>
        <cdr:cNvPr id="136" name="FracNo 901 StartRow 1635">
          <a:extLst xmlns:a="http://schemas.openxmlformats.org/drawingml/2006/main">
            <a:ext uri="{FF2B5EF4-FFF2-40B4-BE49-F238E27FC236}">
              <a16:creationId xmlns:a16="http://schemas.microsoft.com/office/drawing/2014/main" id="{E81F22F9-205C-0E4D-42CD-8A98F2B6E858}"/>
            </a:ext>
          </a:extLst>
        </cdr:cNvPr>
        <cdr:cNvSpPr/>
      </cdr:nvSpPr>
      <cdr:spPr>
        <a:xfrm xmlns:a="http://schemas.openxmlformats.org/drawingml/2006/main">
          <a:off x="4728795" y="651036"/>
          <a:ext cx="1459618" cy="14909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59618" h="1490993">
              <a:moveTo>
                <a:pt x="266971" y="1196101"/>
              </a:moveTo>
              <a:lnTo>
                <a:pt x="82237" y="1387179"/>
              </a:lnTo>
              <a:lnTo>
                <a:pt x="0" y="1472240"/>
              </a:lnTo>
              <a:lnTo>
                <a:pt x="18129" y="1490992"/>
              </a:lnTo>
              <a:lnTo>
                <a:pt x="100366" y="1405930"/>
              </a:lnTo>
              <a:lnTo>
                <a:pt x="287597" y="1212270"/>
              </a:lnTo>
              <a:lnTo>
                <a:pt x="1459617" y="0"/>
              </a:lnTo>
              <a:lnTo>
                <a:pt x="142335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0.74705</cdr:x>
      <cdr:y>0.48392</cdr:y>
    </cdr:from>
    <cdr:to>
      <cdr:x>0.94246</cdr:x>
      <cdr:y>0.68042</cdr:y>
    </cdr:to>
    <cdr:sp macro="" textlink="">
      <cdr:nvSpPr>
        <cdr:cNvPr id="137" name="FracNo 776 StartRow 1646">
          <a:extLst xmlns:a="http://schemas.openxmlformats.org/drawingml/2006/main">
            <a:ext uri="{FF2B5EF4-FFF2-40B4-BE49-F238E27FC236}">
              <a16:creationId xmlns:a16="http://schemas.microsoft.com/office/drawing/2014/main" id="{E5375B1C-DE76-2828-EB57-37673B720D43}"/>
            </a:ext>
          </a:extLst>
        </cdr:cNvPr>
        <cdr:cNvSpPr/>
      </cdr:nvSpPr>
      <cdr:spPr>
        <a:xfrm xmlns:a="http://schemas.openxmlformats.org/drawingml/2006/main">
          <a:off x="5464852" y="3687475"/>
          <a:ext cx="1429456" cy="14972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29456" h="1497298">
              <a:moveTo>
                <a:pt x="940040" y="506223"/>
              </a:moveTo>
              <a:lnTo>
                <a:pt x="225722" y="1245071"/>
              </a:lnTo>
              <a:lnTo>
                <a:pt x="0" y="1478545"/>
              </a:lnTo>
              <a:lnTo>
                <a:pt x="18130" y="1497297"/>
              </a:lnTo>
              <a:lnTo>
                <a:pt x="243851" y="1263823"/>
              </a:lnTo>
              <a:lnTo>
                <a:pt x="947410" y="536103"/>
              </a:lnTo>
              <a:lnTo>
                <a:pt x="1429455" y="37503"/>
              </a:lnTo>
              <a:lnTo>
                <a:pt x="142945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0.4278</cdr:x>
      <cdr:y>0.08544</cdr:y>
    </cdr:from>
    <cdr:to>
      <cdr:x>0.62524</cdr:x>
      <cdr:y>0.27903</cdr:y>
    </cdr:to>
    <cdr:sp macro="" textlink="">
      <cdr:nvSpPr>
        <cdr:cNvPr id="138" name="FracNo 896 StartRow 1657">
          <a:extLst xmlns:a="http://schemas.openxmlformats.org/drawingml/2006/main">
            <a:ext uri="{FF2B5EF4-FFF2-40B4-BE49-F238E27FC236}">
              <a16:creationId xmlns:a16="http://schemas.microsoft.com/office/drawing/2014/main" id="{B645D886-3EDB-3B57-06D2-FB6FCBFF7CC0}"/>
            </a:ext>
          </a:extLst>
        </cdr:cNvPr>
        <cdr:cNvSpPr/>
      </cdr:nvSpPr>
      <cdr:spPr>
        <a:xfrm xmlns:a="http://schemas.openxmlformats.org/drawingml/2006/main">
          <a:off x="3129474" y="651036"/>
          <a:ext cx="1444306" cy="14751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44306" h="1475154">
              <a:moveTo>
                <a:pt x="112997" y="1339523"/>
              </a:moveTo>
              <a:lnTo>
                <a:pt x="0" y="1456401"/>
              </a:lnTo>
              <a:lnTo>
                <a:pt x="18129" y="1475153"/>
              </a:lnTo>
              <a:lnTo>
                <a:pt x="132582" y="1356770"/>
              </a:lnTo>
              <a:lnTo>
                <a:pt x="1444305" y="0"/>
              </a:lnTo>
              <a:lnTo>
                <a:pt x="140804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0.46601</cdr:x>
      <cdr:y>0.38994</cdr:y>
    </cdr:from>
    <cdr:to>
      <cdr:x>0.66219</cdr:x>
      <cdr:y>0.58474</cdr:y>
    </cdr:to>
    <cdr:sp macro="" textlink="">
      <cdr:nvSpPr>
        <cdr:cNvPr id="139" name="FracNo 112 StartRow 1666">
          <a:extLst xmlns:a="http://schemas.openxmlformats.org/drawingml/2006/main">
            <a:ext uri="{FF2B5EF4-FFF2-40B4-BE49-F238E27FC236}">
              <a16:creationId xmlns:a16="http://schemas.microsoft.com/office/drawing/2014/main" id="{D7DA091C-8934-E825-AD42-3E77DC8DC36B}"/>
            </a:ext>
          </a:extLst>
        </cdr:cNvPr>
        <cdr:cNvSpPr/>
      </cdr:nvSpPr>
      <cdr:spPr>
        <a:xfrm xmlns:a="http://schemas.openxmlformats.org/drawingml/2006/main">
          <a:off x="3408964" y="2971357"/>
          <a:ext cx="1435094" cy="14843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35094" h="1484379">
              <a:moveTo>
                <a:pt x="382301" y="1107699"/>
              </a:moveTo>
              <a:lnTo>
                <a:pt x="18130" y="1484378"/>
              </a:lnTo>
              <a:lnTo>
                <a:pt x="0" y="1465626"/>
              </a:lnTo>
              <a:lnTo>
                <a:pt x="364172" y="1088947"/>
              </a:lnTo>
              <a:lnTo>
                <a:pt x="1402068" y="15408"/>
              </a:lnTo>
              <a:lnTo>
                <a:pt x="1416964" y="0"/>
              </a:lnTo>
              <a:lnTo>
                <a:pt x="1435093" y="18752"/>
              </a:lnTo>
              <a:lnTo>
                <a:pt x="1420197" y="3416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0.14482</cdr:x>
      <cdr:y>0.73664</cdr:y>
    </cdr:from>
    <cdr:to>
      <cdr:x>0.34212</cdr:x>
      <cdr:y>0.9301</cdr:y>
    </cdr:to>
    <cdr:sp macro="" textlink="">
      <cdr:nvSpPr>
        <cdr:cNvPr id="140" name="FracNo 821 StartRow 1677">
          <a:extLst xmlns:a="http://schemas.openxmlformats.org/drawingml/2006/main">
            <a:ext uri="{FF2B5EF4-FFF2-40B4-BE49-F238E27FC236}">
              <a16:creationId xmlns:a16="http://schemas.microsoft.com/office/drawing/2014/main" id="{80A296FD-8FCE-BF08-D40D-93ADD1D9D0E6}"/>
            </a:ext>
          </a:extLst>
        </cdr:cNvPr>
        <cdr:cNvSpPr/>
      </cdr:nvSpPr>
      <cdr:spPr>
        <a:xfrm xmlns:a="http://schemas.openxmlformats.org/drawingml/2006/main">
          <a:off x="1059362" y="5613202"/>
          <a:ext cx="1443349" cy="14741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43349" h="1474164">
              <a:moveTo>
                <a:pt x="770705" y="714495"/>
              </a:moveTo>
              <a:lnTo>
                <a:pt x="36259" y="1474163"/>
              </a:lnTo>
              <a:lnTo>
                <a:pt x="0" y="1474163"/>
              </a:lnTo>
              <a:lnTo>
                <a:pt x="743909" y="704707"/>
              </a:lnTo>
              <a:lnTo>
                <a:pt x="1425218" y="0"/>
              </a:lnTo>
              <a:lnTo>
                <a:pt x="144334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0.24917</cdr:y>
    </cdr:from>
    <cdr:to>
      <cdr:x>0.28559</cdr:x>
      <cdr:y>0.44404</cdr:y>
    </cdr:to>
    <cdr:sp macro="" textlink="">
      <cdr:nvSpPr>
        <cdr:cNvPr id="141" name="FracNo 809 StartRow 1686">
          <a:extLst xmlns:a="http://schemas.openxmlformats.org/drawingml/2006/main">
            <a:ext uri="{FF2B5EF4-FFF2-40B4-BE49-F238E27FC236}">
              <a16:creationId xmlns:a16="http://schemas.microsoft.com/office/drawing/2014/main" id="{AD092B88-9AD3-0E04-6403-EBC533656AC1}"/>
            </a:ext>
          </a:extLst>
        </cdr:cNvPr>
        <cdr:cNvSpPr/>
      </cdr:nvSpPr>
      <cdr:spPr>
        <a:xfrm xmlns:a="http://schemas.openxmlformats.org/drawingml/2006/main">
          <a:off x="671676" y="1898679"/>
          <a:ext cx="1417446" cy="14848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17446" h="1484876">
              <a:moveTo>
                <a:pt x="328246" y="1145357"/>
              </a:moveTo>
              <a:lnTo>
                <a:pt x="0" y="1484875"/>
              </a:lnTo>
              <a:lnTo>
                <a:pt x="0" y="1447371"/>
              </a:lnTo>
              <a:lnTo>
                <a:pt x="317591" y="1118874"/>
              </a:lnTo>
              <a:lnTo>
                <a:pt x="540389" y="888424"/>
              </a:lnTo>
              <a:lnTo>
                <a:pt x="1399315" y="0"/>
              </a:lnTo>
              <a:lnTo>
                <a:pt x="1417445" y="18752"/>
              </a:lnTo>
              <a:lnTo>
                <a:pt x="558518" y="90717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0.22432</cdr:x>
      <cdr:y>0.58564</cdr:y>
    </cdr:from>
    <cdr:to>
      <cdr:x>0.41847</cdr:x>
      <cdr:y>0.77842</cdr:y>
    </cdr:to>
    <cdr:sp macro="" textlink="">
      <cdr:nvSpPr>
        <cdr:cNvPr id="142" name="FracNo 916 StartRow 1697">
          <a:extLst xmlns:a="http://schemas.openxmlformats.org/drawingml/2006/main">
            <a:ext uri="{FF2B5EF4-FFF2-40B4-BE49-F238E27FC236}">
              <a16:creationId xmlns:a16="http://schemas.microsoft.com/office/drawing/2014/main" id="{8F12FA59-30C7-C9D6-0714-0837807C6C38}"/>
            </a:ext>
          </a:extLst>
        </cdr:cNvPr>
        <cdr:cNvSpPr/>
      </cdr:nvSpPr>
      <cdr:spPr>
        <a:xfrm xmlns:a="http://schemas.openxmlformats.org/drawingml/2006/main">
          <a:off x="1640947" y="4462558"/>
          <a:ext cx="1420215" cy="14689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20215" h="1468988">
              <a:moveTo>
                <a:pt x="1190971" y="218363"/>
              </a:moveTo>
              <a:lnTo>
                <a:pt x="1095875" y="316725"/>
              </a:lnTo>
              <a:lnTo>
                <a:pt x="947701" y="469988"/>
              </a:lnTo>
              <a:lnTo>
                <a:pt x="0" y="1450235"/>
              </a:lnTo>
              <a:lnTo>
                <a:pt x="18129" y="1468987"/>
              </a:lnTo>
              <a:lnTo>
                <a:pt x="965830" y="488740"/>
              </a:lnTo>
              <a:lnTo>
                <a:pt x="1114004" y="335477"/>
              </a:lnTo>
              <a:lnTo>
                <a:pt x="1209100" y="237115"/>
              </a:lnTo>
              <a:lnTo>
                <a:pt x="1420214" y="18752"/>
              </a:lnTo>
              <a:lnTo>
                <a:pt x="14020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0.38802</cdr:y>
    </cdr:from>
    <cdr:to>
      <cdr:x>0.28461</cdr:x>
      <cdr:y>0.58192</cdr:y>
    </cdr:to>
    <cdr:sp macro="" textlink="">
      <cdr:nvSpPr>
        <cdr:cNvPr id="143" name="FracNo 507 StartRow 1710">
          <a:extLst xmlns:a="http://schemas.openxmlformats.org/drawingml/2006/main">
            <a:ext uri="{FF2B5EF4-FFF2-40B4-BE49-F238E27FC236}">
              <a16:creationId xmlns:a16="http://schemas.microsoft.com/office/drawing/2014/main" id="{64FA3F18-8B28-5EDF-2499-908E64172EB3}"/>
            </a:ext>
          </a:extLst>
        </cdr:cNvPr>
        <cdr:cNvSpPr/>
      </cdr:nvSpPr>
      <cdr:spPr>
        <a:xfrm xmlns:a="http://schemas.openxmlformats.org/drawingml/2006/main">
          <a:off x="671676" y="2956742"/>
          <a:ext cx="1410301" cy="14774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10301" h="1477486">
              <a:moveTo>
                <a:pt x="698298" y="755206"/>
              </a:moveTo>
              <a:lnTo>
                <a:pt x="0" y="1477485"/>
              </a:lnTo>
              <a:lnTo>
                <a:pt x="0" y="1439981"/>
              </a:lnTo>
              <a:lnTo>
                <a:pt x="689321" y="726987"/>
              </a:lnTo>
              <a:lnTo>
                <a:pt x="1392171" y="0"/>
              </a:lnTo>
              <a:lnTo>
                <a:pt x="141030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0.32567</cdr:x>
      <cdr:y>0.54647</cdr:y>
    </cdr:from>
    <cdr:to>
      <cdr:x>0.51882</cdr:x>
      <cdr:y>0.73826</cdr:y>
    </cdr:to>
    <cdr:sp macro="" textlink="">
      <cdr:nvSpPr>
        <cdr:cNvPr id="144" name="FracNo 875 StartRow 1719">
          <a:extLst xmlns:a="http://schemas.openxmlformats.org/drawingml/2006/main">
            <a:ext uri="{FF2B5EF4-FFF2-40B4-BE49-F238E27FC236}">
              <a16:creationId xmlns:a16="http://schemas.microsoft.com/office/drawing/2014/main" id="{DF90F59B-E27A-665A-EEFD-8083A583A428}"/>
            </a:ext>
          </a:extLst>
        </cdr:cNvPr>
        <cdr:cNvSpPr/>
      </cdr:nvSpPr>
      <cdr:spPr>
        <a:xfrm xmlns:a="http://schemas.openxmlformats.org/drawingml/2006/main">
          <a:off x="2382350" y="4164071"/>
          <a:ext cx="1412929" cy="14614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12929" h="1461451">
              <a:moveTo>
                <a:pt x="695769" y="723035"/>
              </a:moveTo>
              <a:lnTo>
                <a:pt x="651838" y="768475"/>
              </a:lnTo>
              <a:lnTo>
                <a:pt x="354472" y="1076053"/>
              </a:lnTo>
              <a:lnTo>
                <a:pt x="0" y="1442698"/>
              </a:lnTo>
              <a:lnTo>
                <a:pt x="18129" y="1461450"/>
              </a:lnTo>
              <a:lnTo>
                <a:pt x="372601" y="1094805"/>
              </a:lnTo>
              <a:lnTo>
                <a:pt x="669967" y="787227"/>
              </a:lnTo>
              <a:lnTo>
                <a:pt x="713898" y="741787"/>
              </a:lnTo>
              <a:lnTo>
                <a:pt x="1412928" y="18751"/>
              </a:lnTo>
              <a:lnTo>
                <a:pt x="139479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0.40643</cdr:y>
    </cdr:from>
    <cdr:to>
      <cdr:x>0.28345</cdr:x>
      <cdr:y>0.59918</cdr:y>
    </cdr:to>
    <cdr:sp macro="" textlink="">
      <cdr:nvSpPr>
        <cdr:cNvPr id="145" name="FracNo 512 StartRow 1732">
          <a:extLst xmlns:a="http://schemas.openxmlformats.org/drawingml/2006/main">
            <a:ext uri="{FF2B5EF4-FFF2-40B4-BE49-F238E27FC236}">
              <a16:creationId xmlns:a16="http://schemas.microsoft.com/office/drawing/2014/main" id="{FD1E3B13-6453-1232-0551-5A2FB42BE352}"/>
            </a:ext>
          </a:extLst>
        </cdr:cNvPr>
        <cdr:cNvSpPr/>
      </cdr:nvSpPr>
      <cdr:spPr>
        <a:xfrm xmlns:a="http://schemas.openxmlformats.org/drawingml/2006/main">
          <a:off x="671676" y="3096975"/>
          <a:ext cx="1401845" cy="14687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1845" h="1468740">
              <a:moveTo>
                <a:pt x="294167" y="1164470"/>
              </a:moveTo>
              <a:lnTo>
                <a:pt x="0" y="1468739"/>
              </a:lnTo>
              <a:lnTo>
                <a:pt x="0" y="1431235"/>
              </a:lnTo>
              <a:lnTo>
                <a:pt x="290362" y="1130901"/>
              </a:lnTo>
              <a:lnTo>
                <a:pt x="1383715" y="0"/>
              </a:lnTo>
              <a:lnTo>
                <a:pt x="1401844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0.49403</cdr:x>
      <cdr:y>0.28839</cdr:y>
    </cdr:from>
    <cdr:to>
      <cdr:x>0.68611</cdr:x>
      <cdr:y>0.47913</cdr:y>
    </cdr:to>
    <cdr:sp macro="" textlink="">
      <cdr:nvSpPr>
        <cdr:cNvPr id="146" name="FracNo 795 StartRow 1741">
          <a:extLst xmlns:a="http://schemas.openxmlformats.org/drawingml/2006/main">
            <a:ext uri="{FF2B5EF4-FFF2-40B4-BE49-F238E27FC236}">
              <a16:creationId xmlns:a16="http://schemas.microsoft.com/office/drawing/2014/main" id="{3BA8517F-731D-565F-B388-A24931B928E7}"/>
            </a:ext>
          </a:extLst>
        </cdr:cNvPr>
        <cdr:cNvSpPr/>
      </cdr:nvSpPr>
      <cdr:spPr>
        <a:xfrm xmlns:a="http://schemas.openxmlformats.org/drawingml/2006/main">
          <a:off x="3613907" y="2197562"/>
          <a:ext cx="1405119" cy="14533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5119" h="1453374">
              <a:moveTo>
                <a:pt x="943238" y="496494"/>
              </a:moveTo>
              <a:lnTo>
                <a:pt x="835151" y="608293"/>
              </a:lnTo>
              <a:lnTo>
                <a:pt x="18129" y="1453373"/>
              </a:lnTo>
              <a:lnTo>
                <a:pt x="0" y="1434621"/>
              </a:lnTo>
              <a:lnTo>
                <a:pt x="817022" y="589541"/>
              </a:lnTo>
              <a:lnTo>
                <a:pt x="925109" y="477742"/>
              </a:lnTo>
              <a:lnTo>
                <a:pt x="1197125" y="196384"/>
              </a:lnTo>
              <a:lnTo>
                <a:pt x="1386989" y="0"/>
              </a:lnTo>
              <a:lnTo>
                <a:pt x="1405118" y="18752"/>
              </a:lnTo>
              <a:lnTo>
                <a:pt x="1215254" y="21513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0.75062</cdr:x>
      <cdr:y>0.73961</cdr:y>
    </cdr:from>
    <cdr:to>
      <cdr:x>0.94246</cdr:x>
      <cdr:y>0.9301</cdr:y>
    </cdr:to>
    <cdr:sp macro="" textlink="">
      <cdr:nvSpPr>
        <cdr:cNvPr id="147" name="FracNo 1014 StartRow 1754">
          <a:extLst xmlns:a="http://schemas.openxmlformats.org/drawingml/2006/main">
            <a:ext uri="{FF2B5EF4-FFF2-40B4-BE49-F238E27FC236}">
              <a16:creationId xmlns:a16="http://schemas.microsoft.com/office/drawing/2014/main" id="{215EE639-F0A1-2A9C-16E0-4FC5104D8632}"/>
            </a:ext>
          </a:extLst>
        </cdr:cNvPr>
        <cdr:cNvSpPr/>
      </cdr:nvSpPr>
      <cdr:spPr>
        <a:xfrm xmlns:a="http://schemas.openxmlformats.org/drawingml/2006/main">
          <a:off x="5490941" y="5635804"/>
          <a:ext cx="1403367" cy="14515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3367" h="1451562">
              <a:moveTo>
                <a:pt x="672759" y="755698"/>
              </a:moveTo>
              <a:lnTo>
                <a:pt x="0" y="1451561"/>
              </a:lnTo>
              <a:lnTo>
                <a:pt x="36258" y="1451561"/>
              </a:lnTo>
              <a:lnTo>
                <a:pt x="691635" y="773677"/>
              </a:lnTo>
              <a:lnTo>
                <a:pt x="1403366" y="37504"/>
              </a:lnTo>
              <a:lnTo>
                <a:pt x="140336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0.53372</cdr:x>
      <cdr:y>0.47117</cdr:y>
    </cdr:from>
    <cdr:to>
      <cdr:x>0.72533</cdr:x>
      <cdr:y>0.66144</cdr:y>
    </cdr:to>
    <cdr:sp macro="" textlink="">
      <cdr:nvSpPr>
        <cdr:cNvPr id="148" name="FracNo 832 StartRow 1763">
          <a:extLst xmlns:a="http://schemas.openxmlformats.org/drawingml/2006/main">
            <a:ext uri="{FF2B5EF4-FFF2-40B4-BE49-F238E27FC236}">
              <a16:creationId xmlns:a16="http://schemas.microsoft.com/office/drawing/2014/main" id="{CA7A74F1-31D8-1A90-EF95-86A2F34676F0}"/>
            </a:ext>
          </a:extLst>
        </cdr:cNvPr>
        <cdr:cNvSpPr/>
      </cdr:nvSpPr>
      <cdr:spPr>
        <a:xfrm xmlns:a="http://schemas.openxmlformats.org/drawingml/2006/main">
          <a:off x="3904269" y="3590330"/>
          <a:ext cx="1401692" cy="14498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1692" h="1449829">
              <a:moveTo>
                <a:pt x="297725" y="1160630"/>
              </a:moveTo>
              <a:lnTo>
                <a:pt x="104039" y="1360968"/>
              </a:lnTo>
              <a:lnTo>
                <a:pt x="18129" y="1449828"/>
              </a:lnTo>
              <a:lnTo>
                <a:pt x="0" y="1431076"/>
              </a:lnTo>
              <a:lnTo>
                <a:pt x="85910" y="1342216"/>
              </a:lnTo>
              <a:lnTo>
                <a:pt x="279596" y="1141878"/>
              </a:lnTo>
              <a:lnTo>
                <a:pt x="906763" y="493173"/>
              </a:lnTo>
              <a:lnTo>
                <a:pt x="1383562" y="0"/>
              </a:lnTo>
              <a:lnTo>
                <a:pt x="1401691" y="18752"/>
              </a:lnTo>
              <a:lnTo>
                <a:pt x="924892" y="51192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0.62229</cdr:x>
      <cdr:y>0.43437</cdr:y>
    </cdr:from>
    <cdr:to>
      <cdr:x>0.81176</cdr:x>
      <cdr:y>0.62252</cdr:y>
    </cdr:to>
    <cdr:sp macro="" textlink="">
      <cdr:nvSpPr>
        <cdr:cNvPr id="149" name="FracNo 190 StartRow 1776">
          <a:extLst xmlns:a="http://schemas.openxmlformats.org/drawingml/2006/main">
            <a:ext uri="{FF2B5EF4-FFF2-40B4-BE49-F238E27FC236}">
              <a16:creationId xmlns:a16="http://schemas.microsoft.com/office/drawing/2014/main" id="{4A38BE5A-F114-7F17-D44E-EA1F39E3BD87}"/>
            </a:ext>
          </a:extLst>
        </cdr:cNvPr>
        <cdr:cNvSpPr/>
      </cdr:nvSpPr>
      <cdr:spPr>
        <a:xfrm xmlns:a="http://schemas.openxmlformats.org/drawingml/2006/main">
          <a:off x="4552141" y="3309912"/>
          <a:ext cx="1386075" cy="14336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86075" h="1433676">
              <a:moveTo>
                <a:pt x="567774" y="865154"/>
              </a:moveTo>
              <a:lnTo>
                <a:pt x="277020" y="1165893"/>
              </a:lnTo>
              <a:lnTo>
                <a:pt x="18129" y="1433675"/>
              </a:lnTo>
              <a:lnTo>
                <a:pt x="0" y="1414923"/>
              </a:lnTo>
              <a:lnTo>
                <a:pt x="258891" y="1147141"/>
              </a:lnTo>
              <a:lnTo>
                <a:pt x="549644" y="846403"/>
              </a:lnTo>
              <a:lnTo>
                <a:pt x="1367945" y="0"/>
              </a:lnTo>
              <a:lnTo>
                <a:pt x="138607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0.17084</cdr:x>
      <cdr:y>0.74709</cdr:y>
    </cdr:from>
    <cdr:to>
      <cdr:x>0.35762</cdr:x>
      <cdr:y>0.9301</cdr:y>
    </cdr:to>
    <cdr:sp macro="" textlink="">
      <cdr:nvSpPr>
        <cdr:cNvPr id="150" name="FracNo 35 StartRow 1787">
          <a:extLst xmlns:a="http://schemas.openxmlformats.org/drawingml/2006/main">
            <a:ext uri="{FF2B5EF4-FFF2-40B4-BE49-F238E27FC236}">
              <a16:creationId xmlns:a16="http://schemas.microsoft.com/office/drawing/2014/main" id="{0A620EC5-DF9D-7C30-7BA9-94A6745D21DB}"/>
            </a:ext>
          </a:extLst>
        </cdr:cNvPr>
        <cdr:cNvSpPr/>
      </cdr:nvSpPr>
      <cdr:spPr>
        <a:xfrm xmlns:a="http://schemas.openxmlformats.org/drawingml/2006/main">
          <a:off x="1249697" y="5692863"/>
          <a:ext cx="1366332" cy="13945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66332" h="1394503">
              <a:moveTo>
                <a:pt x="213579" y="1211092"/>
              </a:moveTo>
              <a:lnTo>
                <a:pt x="36259" y="1394502"/>
              </a:lnTo>
              <a:lnTo>
                <a:pt x="0" y="1394502"/>
              </a:lnTo>
              <a:lnTo>
                <a:pt x="179737" y="1208592"/>
              </a:lnTo>
              <a:lnTo>
                <a:pt x="1348202" y="0"/>
              </a:lnTo>
              <a:lnTo>
                <a:pt x="136633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0.75756</cdr:x>
      <cdr:y>0.74649</cdr:y>
    </cdr:from>
    <cdr:to>
      <cdr:x>0.94246</cdr:x>
      <cdr:y>0.9301</cdr:y>
    </cdr:to>
    <cdr:sp macro="" textlink="">
      <cdr:nvSpPr>
        <cdr:cNvPr id="151" name="FracNo 888 StartRow 1796">
          <a:extLst xmlns:a="http://schemas.openxmlformats.org/drawingml/2006/main">
            <a:ext uri="{FF2B5EF4-FFF2-40B4-BE49-F238E27FC236}">
              <a16:creationId xmlns:a16="http://schemas.microsoft.com/office/drawing/2014/main" id="{975AD1A0-801C-341F-83B3-75442D950E02}"/>
            </a:ext>
          </a:extLst>
        </cdr:cNvPr>
        <cdr:cNvSpPr/>
      </cdr:nvSpPr>
      <cdr:spPr>
        <a:xfrm xmlns:a="http://schemas.openxmlformats.org/drawingml/2006/main">
          <a:off x="5541674" y="5688280"/>
          <a:ext cx="1352634" cy="13990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52634" h="1399086">
              <a:moveTo>
                <a:pt x="1259025" y="96823"/>
              </a:moveTo>
              <a:lnTo>
                <a:pt x="0" y="1399085"/>
              </a:lnTo>
              <a:lnTo>
                <a:pt x="36258" y="1399085"/>
              </a:lnTo>
              <a:lnTo>
                <a:pt x="1261534" y="131731"/>
              </a:lnTo>
              <a:lnTo>
                <a:pt x="1352633" y="37503"/>
              </a:lnTo>
              <a:lnTo>
                <a:pt x="135263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0.65169</cdr:x>
      <cdr:y>0.32773</cdr:y>
    </cdr:from>
    <cdr:to>
      <cdr:x>0.83576</cdr:x>
      <cdr:y>0.5105</cdr:y>
    </cdr:to>
    <cdr:sp macro="" textlink="">
      <cdr:nvSpPr>
        <cdr:cNvPr id="152" name="FracNo 194 StartRow 1805">
          <a:extLst xmlns:a="http://schemas.openxmlformats.org/drawingml/2006/main">
            <a:ext uri="{FF2B5EF4-FFF2-40B4-BE49-F238E27FC236}">
              <a16:creationId xmlns:a16="http://schemas.microsoft.com/office/drawing/2014/main" id="{29850111-A06D-1266-9E4B-054C0D8DA86D}"/>
            </a:ext>
          </a:extLst>
        </cdr:cNvPr>
        <cdr:cNvSpPr/>
      </cdr:nvSpPr>
      <cdr:spPr>
        <a:xfrm xmlns:a="http://schemas.openxmlformats.org/drawingml/2006/main">
          <a:off x="4767218" y="2497281"/>
          <a:ext cx="1346505" cy="13927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46505" h="1392747">
              <a:moveTo>
                <a:pt x="666638" y="684463"/>
              </a:moveTo>
              <a:lnTo>
                <a:pt x="43814" y="1328676"/>
              </a:lnTo>
              <a:lnTo>
                <a:pt x="0" y="1373995"/>
              </a:lnTo>
              <a:lnTo>
                <a:pt x="18129" y="1392746"/>
              </a:lnTo>
              <a:lnTo>
                <a:pt x="61943" y="1347428"/>
              </a:lnTo>
              <a:lnTo>
                <a:pt x="684767" y="703215"/>
              </a:lnTo>
              <a:lnTo>
                <a:pt x="1066305" y="308574"/>
              </a:lnTo>
              <a:lnTo>
                <a:pt x="1346504" y="18752"/>
              </a:lnTo>
              <a:lnTo>
                <a:pt x="1328375" y="0"/>
              </a:lnTo>
              <a:lnTo>
                <a:pt x="1048176" y="28982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0.37676</cdr:x>
      <cdr:y>0.24614</cdr:y>
    </cdr:from>
    <cdr:to>
      <cdr:x>0.5608</cdr:x>
      <cdr:y>0.42889</cdr:y>
    </cdr:to>
    <cdr:sp macro="" textlink="">
      <cdr:nvSpPr>
        <cdr:cNvPr id="153" name="FracNo 354 StartRow 1818">
          <a:extLst xmlns:a="http://schemas.openxmlformats.org/drawingml/2006/main">
            <a:ext uri="{FF2B5EF4-FFF2-40B4-BE49-F238E27FC236}">
              <a16:creationId xmlns:a16="http://schemas.microsoft.com/office/drawing/2014/main" id="{84685629-2169-3C4A-FFF3-3C954C2206B1}"/>
            </a:ext>
          </a:extLst>
        </cdr:cNvPr>
        <cdr:cNvSpPr/>
      </cdr:nvSpPr>
      <cdr:spPr>
        <a:xfrm xmlns:a="http://schemas.openxmlformats.org/drawingml/2006/main">
          <a:off x="2756040" y="1875603"/>
          <a:ext cx="1346330" cy="13925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46330" h="1392566">
              <a:moveTo>
                <a:pt x="767302" y="580160"/>
              </a:moveTo>
              <a:lnTo>
                <a:pt x="446963" y="911500"/>
              </a:lnTo>
              <a:lnTo>
                <a:pt x="0" y="1373813"/>
              </a:lnTo>
              <a:lnTo>
                <a:pt x="18129" y="1392565"/>
              </a:lnTo>
              <a:lnTo>
                <a:pt x="465092" y="930252"/>
              </a:lnTo>
              <a:lnTo>
                <a:pt x="785431" y="598913"/>
              </a:lnTo>
              <a:lnTo>
                <a:pt x="1346329" y="18752"/>
              </a:lnTo>
              <a:lnTo>
                <a:pt x="132820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0.27487</cdr:x>
      <cdr:y>0.26721</cdr:y>
    </cdr:to>
    <cdr:sp macro="" textlink="">
      <cdr:nvSpPr>
        <cdr:cNvPr id="154" name="FracNo 581 StartRow 1829">
          <a:extLst xmlns:a="http://schemas.openxmlformats.org/drawingml/2006/main">
            <a:ext uri="{FF2B5EF4-FFF2-40B4-BE49-F238E27FC236}">
              <a16:creationId xmlns:a16="http://schemas.microsoft.com/office/drawing/2014/main" id="{1EEB0D6B-09DB-F657-5C24-1F0429BA5021}"/>
            </a:ext>
          </a:extLst>
        </cdr:cNvPr>
        <cdr:cNvSpPr/>
      </cdr:nvSpPr>
      <cdr:spPr>
        <a:xfrm xmlns:a="http://schemas.openxmlformats.org/drawingml/2006/main">
          <a:off x="671676" y="651036"/>
          <a:ext cx="1339080" cy="13850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39080" h="1385067">
              <a:moveTo>
                <a:pt x="251310" y="1087622"/>
              </a:moveTo>
              <a:lnTo>
                <a:pt x="0" y="1347562"/>
              </a:lnTo>
              <a:lnTo>
                <a:pt x="0" y="1385066"/>
              </a:lnTo>
              <a:lnTo>
                <a:pt x="258304" y="1117891"/>
              </a:lnTo>
              <a:lnTo>
                <a:pt x="1339079" y="0"/>
              </a:lnTo>
              <a:lnTo>
                <a:pt x="130282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0.28365</cdr:x>
      <cdr:y>0.58033</cdr:y>
    </cdr:from>
    <cdr:to>
      <cdr:x>0.46653</cdr:x>
      <cdr:y>0.76193</cdr:y>
    </cdr:to>
    <cdr:sp macro="" textlink="">
      <cdr:nvSpPr>
        <cdr:cNvPr id="155" name="FracNo 1009 StartRow 1838">
          <a:extLst xmlns:a="http://schemas.openxmlformats.org/drawingml/2006/main">
            <a:ext uri="{FF2B5EF4-FFF2-40B4-BE49-F238E27FC236}">
              <a16:creationId xmlns:a16="http://schemas.microsoft.com/office/drawing/2014/main" id="{0DCB353C-BDEB-BA8E-EA6F-FE1A959473FB}"/>
            </a:ext>
          </a:extLst>
        </cdr:cNvPr>
        <cdr:cNvSpPr/>
      </cdr:nvSpPr>
      <cdr:spPr>
        <a:xfrm xmlns:a="http://schemas.openxmlformats.org/drawingml/2006/main">
          <a:off x="2074939" y="4422130"/>
          <a:ext cx="1337796" cy="13837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37796" h="1383739">
              <a:moveTo>
                <a:pt x="297260" y="1095022"/>
              </a:moveTo>
              <a:lnTo>
                <a:pt x="18129" y="1383738"/>
              </a:lnTo>
              <a:lnTo>
                <a:pt x="0" y="1364986"/>
              </a:lnTo>
              <a:lnTo>
                <a:pt x="279130" y="1076270"/>
              </a:lnTo>
              <a:lnTo>
                <a:pt x="661883" y="680373"/>
              </a:lnTo>
              <a:lnTo>
                <a:pt x="826197" y="510416"/>
              </a:lnTo>
              <a:lnTo>
                <a:pt x="1319666" y="0"/>
              </a:lnTo>
              <a:lnTo>
                <a:pt x="1337795" y="18752"/>
              </a:lnTo>
              <a:lnTo>
                <a:pt x="844326" y="529168"/>
              </a:lnTo>
              <a:lnTo>
                <a:pt x="680012" y="69912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0.5441</cdr:x>
      <cdr:y>0.42636</cdr:y>
    </cdr:from>
    <cdr:to>
      <cdr:x>0.72662</cdr:x>
      <cdr:y>0.60759</cdr:y>
    </cdr:to>
    <cdr:sp macro="" textlink="">
      <cdr:nvSpPr>
        <cdr:cNvPr id="156" name="FracNo 117 StartRow 1851">
          <a:extLst xmlns:a="http://schemas.openxmlformats.org/drawingml/2006/main">
            <a:ext uri="{FF2B5EF4-FFF2-40B4-BE49-F238E27FC236}">
              <a16:creationId xmlns:a16="http://schemas.microsoft.com/office/drawing/2014/main" id="{8B4DB0CD-687D-D64D-363A-8BE6DCEE4AA5}"/>
            </a:ext>
          </a:extLst>
        </cdr:cNvPr>
        <cdr:cNvSpPr/>
      </cdr:nvSpPr>
      <cdr:spPr>
        <a:xfrm xmlns:a="http://schemas.openxmlformats.org/drawingml/2006/main">
          <a:off x="3980226" y="3248850"/>
          <a:ext cx="1335170" cy="13810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35170" h="1381023">
              <a:moveTo>
                <a:pt x="338212" y="1049947"/>
              </a:moveTo>
              <a:lnTo>
                <a:pt x="18130" y="1381022"/>
              </a:lnTo>
              <a:lnTo>
                <a:pt x="0" y="1362270"/>
              </a:lnTo>
              <a:lnTo>
                <a:pt x="320082" y="1031195"/>
              </a:lnTo>
              <a:lnTo>
                <a:pt x="830806" y="502932"/>
              </a:lnTo>
              <a:lnTo>
                <a:pt x="1317040" y="0"/>
              </a:lnTo>
              <a:lnTo>
                <a:pt x="1335169" y="18752"/>
              </a:lnTo>
              <a:lnTo>
                <a:pt x="848935" y="52168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0.45821</cdr:x>
      <cdr:y>0.36317</cdr:y>
    </cdr:from>
    <cdr:to>
      <cdr:x>0.63997</cdr:x>
      <cdr:y>0.54365</cdr:y>
    </cdr:to>
    <cdr:sp macro="" textlink="">
      <cdr:nvSpPr>
        <cdr:cNvPr id="157" name="FracNo 106 StartRow 1862">
          <a:extLst xmlns:a="http://schemas.openxmlformats.org/drawingml/2006/main">
            <a:ext uri="{FF2B5EF4-FFF2-40B4-BE49-F238E27FC236}">
              <a16:creationId xmlns:a16="http://schemas.microsoft.com/office/drawing/2014/main" id="{B57752DC-7BCB-D261-9184-C3314327B78F}"/>
            </a:ext>
          </a:extLst>
        </cdr:cNvPr>
        <cdr:cNvSpPr/>
      </cdr:nvSpPr>
      <cdr:spPr>
        <a:xfrm xmlns:a="http://schemas.openxmlformats.org/drawingml/2006/main">
          <a:off x="3351928" y="2767340"/>
          <a:ext cx="1329579" cy="13752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29579" h="1375238">
              <a:moveTo>
                <a:pt x="236645" y="1149218"/>
              </a:moveTo>
              <a:lnTo>
                <a:pt x="18130" y="1375237"/>
              </a:lnTo>
              <a:lnTo>
                <a:pt x="0" y="1356486"/>
              </a:lnTo>
              <a:lnTo>
                <a:pt x="218516" y="1130466"/>
              </a:lnTo>
              <a:lnTo>
                <a:pt x="1292341" y="19763"/>
              </a:lnTo>
              <a:lnTo>
                <a:pt x="1311449" y="0"/>
              </a:lnTo>
              <a:lnTo>
                <a:pt x="1329578" y="18752"/>
              </a:lnTo>
              <a:lnTo>
                <a:pt x="1310471" y="3851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0.61286</cdr:x>
      <cdr:y>0.08544</cdr:y>
    </cdr:from>
    <cdr:to>
      <cdr:x>0.79585</cdr:x>
      <cdr:y>0.26468</cdr:y>
    </cdr:to>
    <cdr:sp macro="" textlink="">
      <cdr:nvSpPr>
        <cdr:cNvPr id="158" name="FracNo 680 StartRow 1873">
          <a:extLst xmlns:a="http://schemas.openxmlformats.org/drawingml/2006/main">
            <a:ext uri="{FF2B5EF4-FFF2-40B4-BE49-F238E27FC236}">
              <a16:creationId xmlns:a16="http://schemas.microsoft.com/office/drawing/2014/main" id="{164B84FA-DFBB-A541-0F2F-0E50A9240D6D}"/>
            </a:ext>
          </a:extLst>
        </cdr:cNvPr>
        <cdr:cNvSpPr/>
      </cdr:nvSpPr>
      <cdr:spPr>
        <a:xfrm xmlns:a="http://schemas.openxmlformats.org/drawingml/2006/main">
          <a:off x="4483198" y="651036"/>
          <a:ext cx="1338605" cy="13658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38605" h="1365824">
              <a:moveTo>
                <a:pt x="389656" y="981537"/>
              </a:moveTo>
              <a:lnTo>
                <a:pt x="345963" y="1026730"/>
              </a:lnTo>
              <a:lnTo>
                <a:pt x="18129" y="1365823"/>
              </a:lnTo>
              <a:lnTo>
                <a:pt x="0" y="1347071"/>
              </a:lnTo>
              <a:lnTo>
                <a:pt x="327834" y="1007978"/>
              </a:lnTo>
              <a:lnTo>
                <a:pt x="370729" y="963611"/>
              </a:lnTo>
              <a:lnTo>
                <a:pt x="1302345" y="0"/>
              </a:lnTo>
              <a:lnTo>
                <a:pt x="133860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0.31623</cdr:x>
      <cdr:y>0.47764</cdr:y>
    </cdr:from>
    <cdr:to>
      <cdr:x>0.49749</cdr:x>
      <cdr:y>0.65762</cdr:y>
    </cdr:to>
    <cdr:sp macro="" textlink="">
      <cdr:nvSpPr>
        <cdr:cNvPr id="159" name="FracNo 518 StartRow 1884">
          <a:extLst xmlns:a="http://schemas.openxmlformats.org/drawingml/2006/main">
            <a:ext uri="{FF2B5EF4-FFF2-40B4-BE49-F238E27FC236}">
              <a16:creationId xmlns:a16="http://schemas.microsoft.com/office/drawing/2014/main" id="{5F96318D-025B-83EF-3244-6D516B6A6BCB}"/>
            </a:ext>
          </a:extLst>
        </cdr:cNvPr>
        <cdr:cNvSpPr/>
      </cdr:nvSpPr>
      <cdr:spPr>
        <a:xfrm xmlns:a="http://schemas.openxmlformats.org/drawingml/2006/main">
          <a:off x="2313281" y="3639614"/>
          <a:ext cx="1325941" cy="13714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25941" h="1371477">
              <a:moveTo>
                <a:pt x="367446" y="972659"/>
              </a:moveTo>
              <a:lnTo>
                <a:pt x="57807" y="1292932"/>
              </a:lnTo>
              <a:lnTo>
                <a:pt x="0" y="1352724"/>
              </a:lnTo>
              <a:lnTo>
                <a:pt x="18129" y="1371476"/>
              </a:lnTo>
              <a:lnTo>
                <a:pt x="75936" y="1311684"/>
              </a:lnTo>
              <a:lnTo>
                <a:pt x="385576" y="991410"/>
              </a:lnTo>
              <a:lnTo>
                <a:pt x="441670" y="933390"/>
              </a:lnTo>
              <a:lnTo>
                <a:pt x="1325940" y="18752"/>
              </a:lnTo>
              <a:lnTo>
                <a:pt x="1307811" y="0"/>
              </a:lnTo>
              <a:lnTo>
                <a:pt x="423541" y="91463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0.38236</cdr:x>
      <cdr:y>0.08544</cdr:y>
    </cdr:from>
    <cdr:to>
      <cdr:x>0.56249</cdr:x>
      <cdr:y>0.26185</cdr:y>
    </cdr:to>
    <cdr:sp macro="" textlink="">
      <cdr:nvSpPr>
        <cdr:cNvPr id="160" name="FracNo 723 StartRow 1897">
          <a:extLst xmlns:a="http://schemas.openxmlformats.org/drawingml/2006/main">
            <a:ext uri="{FF2B5EF4-FFF2-40B4-BE49-F238E27FC236}">
              <a16:creationId xmlns:a16="http://schemas.microsoft.com/office/drawing/2014/main" id="{677C2EA1-365D-EC72-5F42-18D340E00B7C}"/>
            </a:ext>
          </a:extLst>
        </cdr:cNvPr>
        <cdr:cNvSpPr/>
      </cdr:nvSpPr>
      <cdr:spPr>
        <a:xfrm xmlns:a="http://schemas.openxmlformats.org/drawingml/2006/main">
          <a:off x="2797012" y="651036"/>
          <a:ext cx="1317749" cy="13442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17749" h="1344251">
              <a:moveTo>
                <a:pt x="359681" y="953466"/>
              </a:moveTo>
              <a:lnTo>
                <a:pt x="0" y="1325498"/>
              </a:lnTo>
              <a:lnTo>
                <a:pt x="18130" y="1344250"/>
              </a:lnTo>
              <a:lnTo>
                <a:pt x="382898" y="966954"/>
              </a:lnTo>
              <a:lnTo>
                <a:pt x="1317748" y="0"/>
              </a:lnTo>
              <a:lnTo>
                <a:pt x="128148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0.76534</cdr:x>
      <cdr:y>0.63922</cdr:y>
    </cdr:from>
    <cdr:to>
      <cdr:x>0.94246</cdr:x>
      <cdr:y>0.81755</cdr:y>
    </cdr:to>
    <cdr:sp macro="" textlink="">
      <cdr:nvSpPr>
        <cdr:cNvPr id="161" name="FracNo 436 StartRow 1906">
          <a:extLst xmlns:a="http://schemas.openxmlformats.org/drawingml/2006/main">
            <a:ext uri="{FF2B5EF4-FFF2-40B4-BE49-F238E27FC236}">
              <a16:creationId xmlns:a16="http://schemas.microsoft.com/office/drawing/2014/main" id="{CE8CCD3D-CB17-48F9-C4F2-4747EE1B3A1E}"/>
            </a:ext>
          </a:extLst>
        </cdr:cNvPr>
        <cdr:cNvSpPr/>
      </cdr:nvSpPr>
      <cdr:spPr>
        <a:xfrm xmlns:a="http://schemas.openxmlformats.org/drawingml/2006/main">
          <a:off x="5598650" y="4870841"/>
          <a:ext cx="1295658" cy="13589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95658" h="1358906">
              <a:moveTo>
                <a:pt x="816882" y="495218"/>
              </a:moveTo>
              <a:lnTo>
                <a:pt x="0" y="1340153"/>
              </a:lnTo>
              <a:lnTo>
                <a:pt x="18129" y="1358905"/>
              </a:lnTo>
              <a:lnTo>
                <a:pt x="824374" y="524972"/>
              </a:lnTo>
              <a:lnTo>
                <a:pt x="1246031" y="88835"/>
              </a:lnTo>
              <a:lnTo>
                <a:pt x="1295657" y="37504"/>
              </a:lnTo>
              <a:lnTo>
                <a:pt x="1295657" y="0"/>
              </a:lnTo>
              <a:lnTo>
                <a:pt x="1244101" y="5332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0.76594</cdr:x>
      <cdr:y>0.33211</cdr:y>
    </cdr:from>
    <cdr:to>
      <cdr:x>0.94246</cdr:x>
      <cdr:y>0.50985</cdr:y>
    </cdr:to>
    <cdr:sp macro="" textlink="">
      <cdr:nvSpPr>
        <cdr:cNvPr id="162" name="FracNo 187 StartRow 1917">
          <a:extLst xmlns:a="http://schemas.openxmlformats.org/drawingml/2006/main">
            <a:ext uri="{FF2B5EF4-FFF2-40B4-BE49-F238E27FC236}">
              <a16:creationId xmlns:a16="http://schemas.microsoft.com/office/drawing/2014/main" id="{E20D2899-526F-5B10-917E-BCEDCBF8804A}"/>
            </a:ext>
          </a:extLst>
        </cdr:cNvPr>
        <cdr:cNvSpPr/>
      </cdr:nvSpPr>
      <cdr:spPr>
        <a:xfrm xmlns:a="http://schemas.openxmlformats.org/drawingml/2006/main">
          <a:off x="5602997" y="2530678"/>
          <a:ext cx="1291311" cy="13544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91311" h="1354409">
              <a:moveTo>
                <a:pt x="790519" y="517990"/>
              </a:moveTo>
              <a:lnTo>
                <a:pt x="0" y="1335657"/>
              </a:lnTo>
              <a:lnTo>
                <a:pt x="18130" y="1354408"/>
              </a:lnTo>
              <a:lnTo>
                <a:pt x="801569" y="544064"/>
              </a:lnTo>
              <a:lnTo>
                <a:pt x="1056835" y="280031"/>
              </a:lnTo>
              <a:lnTo>
                <a:pt x="1291310" y="37504"/>
              </a:lnTo>
              <a:lnTo>
                <a:pt x="1291310" y="0"/>
              </a:lnTo>
              <a:lnTo>
                <a:pt x="1048092" y="25157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0.46914</cdr:x>
      <cdr:y>0.17591</cdr:y>
    </cdr:from>
    <cdr:to>
      <cdr:x>0.64668</cdr:x>
      <cdr:y>0.3522</cdr:y>
    </cdr:to>
    <cdr:sp macro="" textlink="">
      <cdr:nvSpPr>
        <cdr:cNvPr id="163" name="FracNo 812 StartRow 1928">
          <a:extLst xmlns:a="http://schemas.openxmlformats.org/drawingml/2006/main">
            <a:ext uri="{FF2B5EF4-FFF2-40B4-BE49-F238E27FC236}">
              <a16:creationId xmlns:a16="http://schemas.microsoft.com/office/drawing/2014/main" id="{A5116FA4-D611-C9FA-8536-FFF467FF8AC1}"/>
            </a:ext>
          </a:extLst>
        </cdr:cNvPr>
        <cdr:cNvSpPr/>
      </cdr:nvSpPr>
      <cdr:spPr>
        <a:xfrm xmlns:a="http://schemas.openxmlformats.org/drawingml/2006/main">
          <a:off x="3431849" y="1340416"/>
          <a:ext cx="1298717" cy="13433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98717" h="1343317">
              <a:moveTo>
                <a:pt x="609605" y="694025"/>
              </a:moveTo>
              <a:lnTo>
                <a:pt x="0" y="1324564"/>
              </a:lnTo>
              <a:lnTo>
                <a:pt x="18130" y="1343316"/>
              </a:lnTo>
              <a:lnTo>
                <a:pt x="627733" y="712777"/>
              </a:lnTo>
              <a:lnTo>
                <a:pt x="1298716" y="18752"/>
              </a:lnTo>
              <a:lnTo>
                <a:pt x="128058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0.76497</cdr:x>
      <cdr:y>0.75386</cdr:y>
    </cdr:from>
    <cdr:to>
      <cdr:x>0.94246</cdr:x>
      <cdr:y>0.9301</cdr:y>
    </cdr:to>
    <cdr:sp macro="" textlink="">
      <cdr:nvSpPr>
        <cdr:cNvPr id="164" name="FracNo 1030 StartRow 1937">
          <a:extLst xmlns:a="http://schemas.openxmlformats.org/drawingml/2006/main">
            <a:ext uri="{FF2B5EF4-FFF2-40B4-BE49-F238E27FC236}">
              <a16:creationId xmlns:a16="http://schemas.microsoft.com/office/drawing/2014/main" id="{6349D1F3-4746-4DB6-D184-4928F7B11344}"/>
            </a:ext>
          </a:extLst>
        </cdr:cNvPr>
        <cdr:cNvSpPr/>
      </cdr:nvSpPr>
      <cdr:spPr>
        <a:xfrm xmlns:a="http://schemas.openxmlformats.org/drawingml/2006/main">
          <a:off x="5595917" y="5744386"/>
          <a:ext cx="1298391" cy="13429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98391" h="1342980">
              <a:moveTo>
                <a:pt x="80292" y="1297434"/>
              </a:moveTo>
              <a:lnTo>
                <a:pt x="36259" y="1342979"/>
              </a:lnTo>
              <a:lnTo>
                <a:pt x="0" y="1342979"/>
              </a:lnTo>
              <a:lnTo>
                <a:pt x="45298" y="1296125"/>
              </a:lnTo>
              <a:lnTo>
                <a:pt x="1298390" y="0"/>
              </a:lnTo>
              <a:lnTo>
                <a:pt x="1298390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0.70241</cdr:x>
      <cdr:y>0.75526</cdr:y>
    </cdr:from>
    <cdr:to>
      <cdr:x>0.88097</cdr:x>
      <cdr:y>0.9301</cdr:y>
    </cdr:to>
    <cdr:sp macro="" textlink="">
      <cdr:nvSpPr>
        <cdr:cNvPr id="165" name="FracNo 988 StartRow 1946">
          <a:extLst xmlns:a="http://schemas.openxmlformats.org/drawingml/2006/main">
            <a:ext uri="{FF2B5EF4-FFF2-40B4-BE49-F238E27FC236}">
              <a16:creationId xmlns:a16="http://schemas.microsoft.com/office/drawing/2014/main" id="{A941348F-228A-48CB-E7D7-1B1A04A74379}"/>
            </a:ext>
          </a:extLst>
        </cdr:cNvPr>
        <cdr:cNvSpPr/>
      </cdr:nvSpPr>
      <cdr:spPr>
        <a:xfrm xmlns:a="http://schemas.openxmlformats.org/drawingml/2006/main">
          <a:off x="5138270" y="5755087"/>
          <a:ext cx="1306174" cy="13322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06174" h="1332279">
              <a:moveTo>
                <a:pt x="472029" y="844038"/>
              </a:moveTo>
              <a:lnTo>
                <a:pt x="0" y="1332278"/>
              </a:lnTo>
              <a:lnTo>
                <a:pt x="36259" y="1332278"/>
              </a:lnTo>
              <a:lnTo>
                <a:pt x="501644" y="850910"/>
              </a:lnTo>
              <a:lnTo>
                <a:pt x="1306173" y="18752"/>
              </a:lnTo>
              <a:lnTo>
                <a:pt x="128804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0.60701</cdr:x>
      <cdr:y>0.39981</cdr:y>
    </cdr:from>
    <cdr:to>
      <cdr:x>0.78397</cdr:x>
      <cdr:y>0.57553</cdr:y>
    </cdr:to>
    <cdr:sp macro="" textlink="">
      <cdr:nvSpPr>
        <cdr:cNvPr id="166" name="FracNo 195 StartRow 1955">
          <a:extLst xmlns:a="http://schemas.openxmlformats.org/drawingml/2006/main">
            <a:ext uri="{FF2B5EF4-FFF2-40B4-BE49-F238E27FC236}">
              <a16:creationId xmlns:a16="http://schemas.microsoft.com/office/drawing/2014/main" id="{06F8CC19-012C-8D14-8E3B-DBF148CB6412}"/>
            </a:ext>
          </a:extLst>
        </cdr:cNvPr>
        <cdr:cNvSpPr/>
      </cdr:nvSpPr>
      <cdr:spPr>
        <a:xfrm xmlns:a="http://schemas.openxmlformats.org/drawingml/2006/main">
          <a:off x="4440374" y="3046579"/>
          <a:ext cx="1294507" cy="13389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94507" h="1338962">
              <a:moveTo>
                <a:pt x="837487" y="491465"/>
              </a:moveTo>
              <a:lnTo>
                <a:pt x="388787" y="955574"/>
              </a:lnTo>
              <a:lnTo>
                <a:pt x="18129" y="1338961"/>
              </a:lnTo>
              <a:lnTo>
                <a:pt x="0" y="1320209"/>
              </a:lnTo>
              <a:lnTo>
                <a:pt x="370658" y="936822"/>
              </a:lnTo>
              <a:lnTo>
                <a:pt x="819358" y="472713"/>
              </a:lnTo>
              <a:lnTo>
                <a:pt x="1276377" y="0"/>
              </a:lnTo>
              <a:lnTo>
                <a:pt x="1294506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0.2133</cdr:x>
      <cdr:y>0.4852</cdr:y>
    </cdr:from>
    <cdr:to>
      <cdr:x>0.38986</cdr:x>
      <cdr:y>0.66052</cdr:y>
    </cdr:to>
    <cdr:sp macro="" textlink="">
      <cdr:nvSpPr>
        <cdr:cNvPr id="167" name="FracNo 769 StartRow 1966">
          <a:extLst xmlns:a="http://schemas.openxmlformats.org/drawingml/2006/main">
            <a:ext uri="{FF2B5EF4-FFF2-40B4-BE49-F238E27FC236}">
              <a16:creationId xmlns:a16="http://schemas.microsoft.com/office/drawing/2014/main" id="{E36640DE-6F78-CC04-86D2-3B7D75C520D2}"/>
            </a:ext>
          </a:extLst>
        </cdr:cNvPr>
        <cdr:cNvSpPr/>
      </cdr:nvSpPr>
      <cdr:spPr>
        <a:xfrm xmlns:a="http://schemas.openxmlformats.org/drawingml/2006/main">
          <a:off x="1560364" y="3697222"/>
          <a:ext cx="1291565" cy="13359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91565" h="1335919">
              <a:moveTo>
                <a:pt x="273037" y="1072257"/>
              </a:moveTo>
              <a:lnTo>
                <a:pt x="97254" y="1254076"/>
              </a:lnTo>
              <a:lnTo>
                <a:pt x="18129" y="1335918"/>
              </a:lnTo>
              <a:lnTo>
                <a:pt x="0" y="1317167"/>
              </a:lnTo>
              <a:lnTo>
                <a:pt x="79125" y="1235324"/>
              </a:lnTo>
              <a:lnTo>
                <a:pt x="254908" y="1053505"/>
              </a:lnTo>
              <a:lnTo>
                <a:pt x="1176458" y="100307"/>
              </a:lnTo>
              <a:lnTo>
                <a:pt x="1273434" y="0"/>
              </a:lnTo>
              <a:lnTo>
                <a:pt x="1291564" y="18752"/>
              </a:lnTo>
              <a:lnTo>
                <a:pt x="1194587" y="11905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0.19152</cdr:x>
      <cdr:y>0.75649</cdr:y>
    </cdr:from>
    <cdr:to>
      <cdr:x>0.36884</cdr:x>
      <cdr:y>0.9301</cdr:y>
    </cdr:to>
    <cdr:sp macro="" textlink="">
      <cdr:nvSpPr>
        <cdr:cNvPr id="168" name="FracNo 796 StartRow 1979">
          <a:extLst xmlns:a="http://schemas.openxmlformats.org/drawingml/2006/main">
            <a:ext uri="{FF2B5EF4-FFF2-40B4-BE49-F238E27FC236}">
              <a16:creationId xmlns:a16="http://schemas.microsoft.com/office/drawing/2014/main" id="{7F3B05D1-8FB3-4511-B4F8-375CF1AA21D1}"/>
            </a:ext>
          </a:extLst>
        </cdr:cNvPr>
        <cdr:cNvSpPr/>
      </cdr:nvSpPr>
      <cdr:spPr>
        <a:xfrm xmlns:a="http://schemas.openxmlformats.org/drawingml/2006/main">
          <a:off x="1401035" y="5764491"/>
          <a:ext cx="1297082" cy="13228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97082" h="1322875">
              <a:moveTo>
                <a:pt x="989221" y="337185"/>
              </a:moveTo>
              <a:lnTo>
                <a:pt x="36258" y="1322874"/>
              </a:lnTo>
              <a:lnTo>
                <a:pt x="0" y="1322874"/>
              </a:lnTo>
              <a:lnTo>
                <a:pt x="966665" y="323011"/>
              </a:lnTo>
              <a:lnTo>
                <a:pt x="1278952" y="0"/>
              </a:lnTo>
              <a:lnTo>
                <a:pt x="129708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0.54719</cdr:x>
      <cdr:y>0.5334</cdr:y>
    </cdr:from>
    <cdr:to>
      <cdr:x>0.72245</cdr:x>
      <cdr:y>0.70743</cdr:y>
    </cdr:to>
    <cdr:sp macro="" textlink="">
      <cdr:nvSpPr>
        <cdr:cNvPr id="169" name="FracNo 109 StartRow 1988">
          <a:extLst xmlns:a="http://schemas.openxmlformats.org/drawingml/2006/main">
            <a:ext uri="{FF2B5EF4-FFF2-40B4-BE49-F238E27FC236}">
              <a16:creationId xmlns:a16="http://schemas.microsoft.com/office/drawing/2014/main" id="{D450A966-6475-3291-CAB1-6006B630FB80}"/>
            </a:ext>
          </a:extLst>
        </cdr:cNvPr>
        <cdr:cNvSpPr/>
      </cdr:nvSpPr>
      <cdr:spPr>
        <a:xfrm xmlns:a="http://schemas.openxmlformats.org/drawingml/2006/main">
          <a:off x="4002828" y="4064542"/>
          <a:ext cx="1282053" cy="13260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82053" h="1326081">
              <a:moveTo>
                <a:pt x="650770" y="634210"/>
              </a:moveTo>
              <a:lnTo>
                <a:pt x="424738" y="868004"/>
              </a:lnTo>
              <a:lnTo>
                <a:pt x="0" y="1307328"/>
              </a:lnTo>
              <a:lnTo>
                <a:pt x="18129" y="1326080"/>
              </a:lnTo>
              <a:lnTo>
                <a:pt x="442867" y="886756"/>
              </a:lnTo>
              <a:lnTo>
                <a:pt x="668899" y="652961"/>
              </a:lnTo>
              <a:lnTo>
                <a:pt x="826333" y="490121"/>
              </a:lnTo>
              <a:lnTo>
                <a:pt x="1282052" y="18752"/>
              </a:lnTo>
              <a:lnTo>
                <a:pt x="1263923" y="0"/>
              </a:lnTo>
              <a:lnTo>
                <a:pt x="808204" y="47136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0.54822</cdr:x>
      <cdr:y>0.53443</cdr:y>
    </cdr:from>
    <cdr:to>
      <cdr:x>0.72348</cdr:x>
      <cdr:y>0.70845</cdr:y>
    </cdr:to>
    <cdr:sp macro="" textlink="">
      <cdr:nvSpPr>
        <cdr:cNvPr id="170" name="FracNo 189 StartRow 2001">
          <a:extLst xmlns:a="http://schemas.openxmlformats.org/drawingml/2006/main">
            <a:ext uri="{FF2B5EF4-FFF2-40B4-BE49-F238E27FC236}">
              <a16:creationId xmlns:a16="http://schemas.microsoft.com/office/drawing/2014/main" id="{319DA517-AE8D-D13D-B75F-389B3810C361}"/>
            </a:ext>
          </a:extLst>
        </cdr:cNvPr>
        <cdr:cNvSpPr/>
      </cdr:nvSpPr>
      <cdr:spPr>
        <a:xfrm xmlns:a="http://schemas.openxmlformats.org/drawingml/2006/main">
          <a:off x="4010350" y="4072322"/>
          <a:ext cx="1282053" cy="13260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82053" h="1326081">
              <a:moveTo>
                <a:pt x="956377" y="318107"/>
              </a:moveTo>
              <a:lnTo>
                <a:pt x="800682" y="479149"/>
              </a:lnTo>
              <a:lnTo>
                <a:pt x="432259" y="860224"/>
              </a:lnTo>
              <a:lnTo>
                <a:pt x="0" y="1307328"/>
              </a:lnTo>
              <a:lnTo>
                <a:pt x="18129" y="1326080"/>
              </a:lnTo>
              <a:lnTo>
                <a:pt x="450389" y="878976"/>
              </a:lnTo>
              <a:lnTo>
                <a:pt x="818811" y="497901"/>
              </a:lnTo>
              <a:lnTo>
                <a:pt x="974506" y="336859"/>
              </a:lnTo>
              <a:lnTo>
                <a:pt x="1282052" y="18752"/>
              </a:lnTo>
              <a:lnTo>
                <a:pt x="126392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0.16368</cdr:x>
      <cdr:y>0.75829</cdr:y>
    </cdr:from>
    <cdr:to>
      <cdr:x>0.33918</cdr:x>
      <cdr:y>0.9301</cdr:y>
    </cdr:to>
    <cdr:sp macro="" textlink="">
      <cdr:nvSpPr>
        <cdr:cNvPr id="171" name="FracNo 25 StartRow 2014">
          <a:extLst xmlns:a="http://schemas.openxmlformats.org/drawingml/2006/main">
            <a:ext uri="{FF2B5EF4-FFF2-40B4-BE49-F238E27FC236}">
              <a16:creationId xmlns:a16="http://schemas.microsoft.com/office/drawing/2014/main" id="{DA6B04FA-A7D7-750C-DE5A-2C977FB5C1C3}"/>
            </a:ext>
          </a:extLst>
        </cdr:cNvPr>
        <cdr:cNvSpPr/>
      </cdr:nvSpPr>
      <cdr:spPr>
        <a:xfrm xmlns:a="http://schemas.openxmlformats.org/drawingml/2006/main">
          <a:off x="1197317" y="5778167"/>
          <a:ext cx="1283860" cy="13091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83860" h="1309199">
              <a:moveTo>
                <a:pt x="285425" y="1051475"/>
              </a:moveTo>
              <a:lnTo>
                <a:pt x="36259" y="1309198"/>
              </a:lnTo>
              <a:lnTo>
                <a:pt x="0" y="1309198"/>
              </a:lnTo>
              <a:lnTo>
                <a:pt x="252787" y="1047730"/>
              </a:lnTo>
              <a:lnTo>
                <a:pt x="1265730" y="0"/>
              </a:lnTo>
              <a:lnTo>
                <a:pt x="128385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0.55978</cdr:x>
      <cdr:y>0.25755</cdr:y>
    </cdr:from>
    <cdr:to>
      <cdr:x>0.73377</cdr:x>
      <cdr:y>0.43032</cdr:y>
    </cdr:to>
    <cdr:sp macro="" textlink="">
      <cdr:nvSpPr>
        <cdr:cNvPr id="172" name="FracNo 1022 StartRow 2023">
          <a:extLst xmlns:a="http://schemas.openxmlformats.org/drawingml/2006/main">
            <a:ext uri="{FF2B5EF4-FFF2-40B4-BE49-F238E27FC236}">
              <a16:creationId xmlns:a16="http://schemas.microsoft.com/office/drawing/2014/main" id="{6D05C965-6D70-7E9A-5A6C-94C0494083FB}"/>
            </a:ext>
          </a:extLst>
        </cdr:cNvPr>
        <cdr:cNvSpPr/>
      </cdr:nvSpPr>
      <cdr:spPr>
        <a:xfrm xmlns:a="http://schemas.openxmlformats.org/drawingml/2006/main">
          <a:off x="4094897" y="1962494"/>
          <a:ext cx="1272798" cy="13165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2798" h="1316509">
              <a:moveTo>
                <a:pt x="396678" y="887455"/>
              </a:moveTo>
              <a:lnTo>
                <a:pt x="0" y="1297756"/>
              </a:lnTo>
              <a:lnTo>
                <a:pt x="18129" y="1316508"/>
              </a:lnTo>
              <a:lnTo>
                <a:pt x="414807" y="906207"/>
              </a:lnTo>
              <a:lnTo>
                <a:pt x="475567" y="843361"/>
              </a:lnTo>
              <a:lnTo>
                <a:pt x="734264" y="575779"/>
              </a:lnTo>
              <a:lnTo>
                <a:pt x="1272797" y="18752"/>
              </a:lnTo>
              <a:lnTo>
                <a:pt x="1254668" y="0"/>
              </a:lnTo>
              <a:lnTo>
                <a:pt x="716135" y="557027"/>
              </a:lnTo>
              <a:lnTo>
                <a:pt x="457437" y="82460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0.28342</cdr:x>
      <cdr:y>0.23882</cdr:y>
    </cdr:from>
    <cdr:to>
      <cdr:x>0.45714</cdr:x>
      <cdr:y>0.41131</cdr:y>
    </cdr:to>
    <cdr:sp macro="" textlink="">
      <cdr:nvSpPr>
        <cdr:cNvPr id="173" name="FracNo 357 StartRow 2036">
          <a:extLst xmlns:a="http://schemas.openxmlformats.org/drawingml/2006/main">
            <a:ext uri="{FF2B5EF4-FFF2-40B4-BE49-F238E27FC236}">
              <a16:creationId xmlns:a16="http://schemas.microsoft.com/office/drawing/2014/main" id="{B95E642B-1735-7401-292F-9BC6DC751150}"/>
            </a:ext>
          </a:extLst>
        </cdr:cNvPr>
        <cdr:cNvSpPr/>
      </cdr:nvSpPr>
      <cdr:spPr>
        <a:xfrm xmlns:a="http://schemas.openxmlformats.org/drawingml/2006/main">
          <a:off x="2073256" y="1819788"/>
          <a:ext cx="1270779" cy="13144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779" h="1314420">
              <a:moveTo>
                <a:pt x="879111" y="423869"/>
              </a:moveTo>
              <a:lnTo>
                <a:pt x="681695" y="628065"/>
              </a:lnTo>
              <a:lnTo>
                <a:pt x="335579" y="986067"/>
              </a:lnTo>
              <a:lnTo>
                <a:pt x="18130" y="1314419"/>
              </a:lnTo>
              <a:lnTo>
                <a:pt x="0" y="1295667"/>
              </a:lnTo>
              <a:lnTo>
                <a:pt x="317450" y="967315"/>
              </a:lnTo>
              <a:lnTo>
                <a:pt x="663566" y="609313"/>
              </a:lnTo>
              <a:lnTo>
                <a:pt x="860981" y="405117"/>
              </a:lnTo>
              <a:lnTo>
                <a:pt x="1252648" y="0"/>
              </a:lnTo>
              <a:lnTo>
                <a:pt x="127077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0.48837</cdr:x>
      <cdr:y>0.75932</cdr:y>
    </cdr:from>
    <cdr:to>
      <cdr:x>0.66284</cdr:x>
      <cdr:y>0.9301</cdr:y>
    </cdr:to>
    <cdr:sp macro="" textlink="">
      <cdr:nvSpPr>
        <cdr:cNvPr id="174" name="FracNo 753 StartRow 2049">
          <a:extLst xmlns:a="http://schemas.openxmlformats.org/drawingml/2006/main">
            <a:ext uri="{FF2B5EF4-FFF2-40B4-BE49-F238E27FC236}">
              <a16:creationId xmlns:a16="http://schemas.microsoft.com/office/drawing/2014/main" id="{944D1AED-FAB1-169D-7F3D-06E83C354539}"/>
            </a:ext>
          </a:extLst>
        </cdr:cNvPr>
        <cdr:cNvSpPr/>
      </cdr:nvSpPr>
      <cdr:spPr>
        <a:xfrm xmlns:a="http://schemas.openxmlformats.org/drawingml/2006/main">
          <a:off x="3572556" y="5786048"/>
          <a:ext cx="1276242" cy="13013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6242" h="1301318">
              <a:moveTo>
                <a:pt x="593618" y="687313"/>
              </a:moveTo>
              <a:lnTo>
                <a:pt x="0" y="1301317"/>
              </a:lnTo>
              <a:lnTo>
                <a:pt x="36259" y="1301317"/>
              </a:lnTo>
              <a:lnTo>
                <a:pt x="621187" y="696301"/>
              </a:lnTo>
              <a:lnTo>
                <a:pt x="1256605" y="39061"/>
              </a:lnTo>
              <a:lnTo>
                <a:pt x="1276241" y="18752"/>
              </a:lnTo>
              <a:lnTo>
                <a:pt x="1258111" y="0"/>
              </a:lnTo>
              <a:lnTo>
                <a:pt x="1238476" y="2030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0.71078</cdr:x>
      <cdr:y>0.75942</cdr:y>
    </cdr:from>
    <cdr:to>
      <cdr:x>0.88515</cdr:x>
      <cdr:y>0.9301</cdr:y>
    </cdr:to>
    <cdr:sp macro="" textlink="">
      <cdr:nvSpPr>
        <cdr:cNvPr id="175" name="FracNo 816 StartRow 2060">
          <a:extLst xmlns:a="http://schemas.openxmlformats.org/drawingml/2006/main">
            <a:ext uri="{FF2B5EF4-FFF2-40B4-BE49-F238E27FC236}">
              <a16:creationId xmlns:a16="http://schemas.microsoft.com/office/drawing/2014/main" id="{44EC497E-78F4-24C9-8653-B0994212C3B0}"/>
            </a:ext>
          </a:extLst>
        </cdr:cNvPr>
        <cdr:cNvSpPr/>
      </cdr:nvSpPr>
      <cdr:spPr>
        <a:xfrm xmlns:a="http://schemas.openxmlformats.org/drawingml/2006/main">
          <a:off x="5199497" y="5786752"/>
          <a:ext cx="1275561" cy="13006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5561" h="1300614">
              <a:moveTo>
                <a:pt x="944832" y="360837"/>
              </a:moveTo>
              <a:lnTo>
                <a:pt x="36259" y="1300613"/>
              </a:lnTo>
              <a:lnTo>
                <a:pt x="0" y="1300613"/>
              </a:lnTo>
              <a:lnTo>
                <a:pt x="921864" y="347090"/>
              </a:lnTo>
              <a:lnTo>
                <a:pt x="1257431" y="0"/>
              </a:lnTo>
              <a:lnTo>
                <a:pt x="1275560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0.77096</cdr:x>
      <cdr:y>0.7598</cdr:y>
    </cdr:from>
    <cdr:to>
      <cdr:x>0.94246</cdr:x>
      <cdr:y>0.9301</cdr:y>
    </cdr:to>
    <cdr:sp macro="" textlink="">
      <cdr:nvSpPr>
        <cdr:cNvPr id="176" name="FracNo 1034 StartRow 2069">
          <a:extLst xmlns:a="http://schemas.openxmlformats.org/drawingml/2006/main">
            <a:ext uri="{FF2B5EF4-FFF2-40B4-BE49-F238E27FC236}">
              <a16:creationId xmlns:a16="http://schemas.microsoft.com/office/drawing/2014/main" id="{9E4A08FD-0247-6F93-D079-418BF015DA00}"/>
            </a:ext>
          </a:extLst>
        </cdr:cNvPr>
        <cdr:cNvSpPr/>
      </cdr:nvSpPr>
      <cdr:spPr>
        <a:xfrm xmlns:a="http://schemas.openxmlformats.org/drawingml/2006/main">
          <a:off x="5639705" y="5789676"/>
          <a:ext cx="1254603" cy="12976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54603" h="1297690">
              <a:moveTo>
                <a:pt x="883574" y="383771"/>
              </a:moveTo>
              <a:lnTo>
                <a:pt x="0" y="1297689"/>
              </a:lnTo>
              <a:lnTo>
                <a:pt x="36258" y="1297689"/>
              </a:lnTo>
              <a:lnTo>
                <a:pt x="894297" y="410184"/>
              </a:lnTo>
              <a:lnTo>
                <a:pt x="1254602" y="37504"/>
              </a:lnTo>
              <a:lnTo>
                <a:pt x="125460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0.26301</cdr:x>
      <cdr:y>0.25543</cdr:y>
    </cdr:to>
    <cdr:sp macro="" textlink="">
      <cdr:nvSpPr>
        <cdr:cNvPr id="177" name="FracNo 600 StartRow 2078">
          <a:extLst xmlns:a="http://schemas.openxmlformats.org/drawingml/2006/main">
            <a:ext uri="{FF2B5EF4-FFF2-40B4-BE49-F238E27FC236}">
              <a16:creationId xmlns:a16="http://schemas.microsoft.com/office/drawing/2014/main" id="{0CC2AB6A-150F-8948-7D91-0F5C6D53071D}"/>
            </a:ext>
          </a:extLst>
        </cdr:cNvPr>
        <cdr:cNvSpPr/>
      </cdr:nvSpPr>
      <cdr:spPr>
        <a:xfrm xmlns:a="http://schemas.openxmlformats.org/drawingml/2006/main">
          <a:off x="671676" y="651036"/>
          <a:ext cx="1252324" cy="12953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52324" h="1295331">
              <a:moveTo>
                <a:pt x="564474" y="673968"/>
              </a:moveTo>
              <a:lnTo>
                <a:pt x="0" y="1257827"/>
              </a:lnTo>
              <a:lnTo>
                <a:pt x="0" y="1295330"/>
              </a:lnTo>
              <a:lnTo>
                <a:pt x="581304" y="694063"/>
              </a:lnTo>
              <a:lnTo>
                <a:pt x="1252323" y="0"/>
              </a:lnTo>
              <a:lnTo>
                <a:pt x="121606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0.34986</cdr:x>
      <cdr:y>0.51799</cdr:y>
    </cdr:from>
    <cdr:to>
      <cdr:x>0.52013</cdr:x>
      <cdr:y>0.68707</cdr:y>
    </cdr:to>
    <cdr:sp macro="" textlink="">
      <cdr:nvSpPr>
        <cdr:cNvPr id="178" name="FracNo 750 StartRow 2087">
          <a:extLst xmlns:a="http://schemas.openxmlformats.org/drawingml/2006/main">
            <a:ext uri="{FF2B5EF4-FFF2-40B4-BE49-F238E27FC236}">
              <a16:creationId xmlns:a16="http://schemas.microsoft.com/office/drawing/2014/main" id="{5F5A2266-79B4-6E49-273A-040A01DED24F}"/>
            </a:ext>
          </a:extLst>
        </cdr:cNvPr>
        <cdr:cNvSpPr/>
      </cdr:nvSpPr>
      <cdr:spPr>
        <a:xfrm xmlns:a="http://schemas.openxmlformats.org/drawingml/2006/main">
          <a:off x="2559273" y="3947114"/>
          <a:ext cx="1245547" cy="12883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45547" h="1288322">
              <a:moveTo>
                <a:pt x="927265" y="347963"/>
              </a:moveTo>
              <a:lnTo>
                <a:pt x="292832" y="1004184"/>
              </a:lnTo>
              <a:lnTo>
                <a:pt x="195678" y="1104674"/>
              </a:lnTo>
              <a:lnTo>
                <a:pt x="18129" y="1288321"/>
              </a:lnTo>
              <a:lnTo>
                <a:pt x="0" y="1269569"/>
              </a:lnTo>
              <a:lnTo>
                <a:pt x="177549" y="1085923"/>
              </a:lnTo>
              <a:lnTo>
                <a:pt x="274703" y="985432"/>
              </a:lnTo>
              <a:lnTo>
                <a:pt x="909135" y="329211"/>
              </a:lnTo>
              <a:lnTo>
                <a:pt x="1227417" y="0"/>
              </a:lnTo>
              <a:lnTo>
                <a:pt x="124554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0.49625</cdr:x>
      <cdr:y>0.76324</cdr:y>
    </cdr:from>
    <cdr:to>
      <cdr:x>0.66678</cdr:x>
      <cdr:y>0.9301</cdr:y>
    </cdr:to>
    <cdr:sp macro="" textlink="">
      <cdr:nvSpPr>
        <cdr:cNvPr id="179" name="FracNo 261 StartRow 2100">
          <a:extLst xmlns:a="http://schemas.openxmlformats.org/drawingml/2006/main">
            <a:ext uri="{FF2B5EF4-FFF2-40B4-BE49-F238E27FC236}">
              <a16:creationId xmlns:a16="http://schemas.microsoft.com/office/drawing/2014/main" id="{B2CBCD9A-B5E4-94F2-5569-59C68ED4B67E}"/>
            </a:ext>
          </a:extLst>
        </cdr:cNvPr>
        <cdr:cNvSpPr/>
      </cdr:nvSpPr>
      <cdr:spPr>
        <a:xfrm xmlns:a="http://schemas.openxmlformats.org/drawingml/2006/main">
          <a:off x="3630188" y="5815853"/>
          <a:ext cx="1247425" cy="12715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47425" h="1271513">
              <a:moveTo>
                <a:pt x="1022522" y="251378"/>
              </a:moveTo>
              <a:lnTo>
                <a:pt x="36258" y="1271512"/>
              </a:lnTo>
              <a:lnTo>
                <a:pt x="0" y="1271512"/>
              </a:lnTo>
              <a:lnTo>
                <a:pt x="1001641" y="235472"/>
              </a:lnTo>
              <a:lnTo>
                <a:pt x="1180844" y="50115"/>
              </a:lnTo>
              <a:lnTo>
                <a:pt x="1229295" y="0"/>
              </a:lnTo>
              <a:lnTo>
                <a:pt x="1247424" y="18752"/>
              </a:lnTo>
              <a:lnTo>
                <a:pt x="1198973" y="6886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0.70567</cdr:y>
    </cdr:from>
    <cdr:to>
      <cdr:x>0.25945</cdr:x>
      <cdr:y>0.87458</cdr:y>
    </cdr:to>
    <cdr:sp macro="" textlink="">
      <cdr:nvSpPr>
        <cdr:cNvPr id="180" name="FracNo 819 StartRow 2111">
          <a:extLst xmlns:a="http://schemas.openxmlformats.org/drawingml/2006/main">
            <a:ext uri="{FF2B5EF4-FFF2-40B4-BE49-F238E27FC236}">
              <a16:creationId xmlns:a16="http://schemas.microsoft.com/office/drawing/2014/main" id="{615721CB-1843-307B-3C9C-764F78730B7C}"/>
            </a:ext>
          </a:extLst>
        </cdr:cNvPr>
        <cdr:cNvSpPr/>
      </cdr:nvSpPr>
      <cdr:spPr>
        <a:xfrm xmlns:a="http://schemas.openxmlformats.org/drawingml/2006/main">
          <a:off x="671676" y="5377214"/>
          <a:ext cx="1226240" cy="12871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26240" h="1287103">
              <a:moveTo>
                <a:pt x="176941" y="1104085"/>
              </a:moveTo>
              <a:lnTo>
                <a:pt x="0" y="1287102"/>
              </a:lnTo>
              <a:lnTo>
                <a:pt x="0" y="1249598"/>
              </a:lnTo>
              <a:lnTo>
                <a:pt x="174325" y="1069287"/>
              </a:lnTo>
              <a:lnTo>
                <a:pt x="1208109" y="0"/>
              </a:lnTo>
              <a:lnTo>
                <a:pt x="122623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0.23541</cdr:x>
      <cdr:y>0.42569</cdr:y>
    </cdr:from>
    <cdr:to>
      <cdr:x>0.40407</cdr:x>
      <cdr:y>0.59316</cdr:y>
    </cdr:to>
    <cdr:sp macro="" textlink="">
      <cdr:nvSpPr>
        <cdr:cNvPr id="181" name="FracNo 817 StartRow 2120">
          <a:extLst xmlns:a="http://schemas.openxmlformats.org/drawingml/2006/main">
            <a:ext uri="{FF2B5EF4-FFF2-40B4-BE49-F238E27FC236}">
              <a16:creationId xmlns:a16="http://schemas.microsoft.com/office/drawing/2014/main" id="{7923741A-28A9-A9B5-30C1-70A3FBF72381}"/>
            </a:ext>
          </a:extLst>
        </cdr:cNvPr>
        <cdr:cNvSpPr/>
      </cdr:nvSpPr>
      <cdr:spPr>
        <a:xfrm xmlns:a="http://schemas.openxmlformats.org/drawingml/2006/main">
          <a:off x="1722073" y="3243770"/>
          <a:ext cx="1233763" cy="12761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33763" h="1276134">
              <a:moveTo>
                <a:pt x="241290" y="1007805"/>
              </a:moveTo>
              <a:lnTo>
                <a:pt x="0" y="1257382"/>
              </a:lnTo>
              <a:lnTo>
                <a:pt x="18129" y="1276133"/>
              </a:lnTo>
              <a:lnTo>
                <a:pt x="259419" y="1026557"/>
              </a:lnTo>
              <a:lnTo>
                <a:pt x="1032878" y="226536"/>
              </a:lnTo>
              <a:lnTo>
                <a:pt x="1233762" y="18752"/>
              </a:lnTo>
              <a:lnTo>
                <a:pt x="1215633" y="0"/>
              </a:lnTo>
              <a:lnTo>
                <a:pt x="1014749" y="20778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0.77567</cdr:x>
      <cdr:y>0.42744</cdr:y>
    </cdr:from>
    <cdr:to>
      <cdr:x>0.94246</cdr:x>
      <cdr:y>0.59552</cdr:y>
    </cdr:to>
    <cdr:sp macro="" textlink="">
      <cdr:nvSpPr>
        <cdr:cNvPr id="182" name="FracNo 193 StartRow 2131">
          <a:extLst xmlns:a="http://schemas.openxmlformats.org/drawingml/2006/main">
            <a:ext uri="{FF2B5EF4-FFF2-40B4-BE49-F238E27FC236}">
              <a16:creationId xmlns:a16="http://schemas.microsoft.com/office/drawing/2014/main" id="{AAA6D64A-10E8-50F4-A5E6-1BC3B62188E5}"/>
            </a:ext>
          </a:extLst>
        </cdr:cNvPr>
        <cdr:cNvSpPr/>
      </cdr:nvSpPr>
      <cdr:spPr>
        <a:xfrm xmlns:a="http://schemas.openxmlformats.org/drawingml/2006/main">
          <a:off x="5674196" y="3257074"/>
          <a:ext cx="1220112" cy="12807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20112" h="1280765">
              <a:moveTo>
                <a:pt x="1174506" y="47171"/>
              </a:moveTo>
              <a:lnTo>
                <a:pt x="0" y="1262012"/>
              </a:lnTo>
              <a:lnTo>
                <a:pt x="18129" y="1280764"/>
              </a:lnTo>
              <a:lnTo>
                <a:pt x="1175184" y="83974"/>
              </a:lnTo>
              <a:lnTo>
                <a:pt x="1220111" y="37504"/>
              </a:lnTo>
              <a:lnTo>
                <a:pt x="122011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0.28252</cdr:x>
      <cdr:y>0.08544</cdr:y>
    </cdr:from>
    <cdr:to>
      <cdr:x>0.45179</cdr:x>
      <cdr:y>0.25105</cdr:y>
    </cdr:to>
    <cdr:sp macro="" textlink="">
      <cdr:nvSpPr>
        <cdr:cNvPr id="183" name="FracNo 349 StartRow 2140">
          <a:extLst xmlns:a="http://schemas.openxmlformats.org/drawingml/2006/main">
            <a:ext uri="{FF2B5EF4-FFF2-40B4-BE49-F238E27FC236}">
              <a16:creationId xmlns:a16="http://schemas.microsoft.com/office/drawing/2014/main" id="{92B72CFD-D071-F1E3-EDC4-8BF81E6B16C2}"/>
            </a:ext>
          </a:extLst>
        </cdr:cNvPr>
        <cdr:cNvSpPr/>
      </cdr:nvSpPr>
      <cdr:spPr>
        <a:xfrm xmlns:a="http://schemas.openxmlformats.org/drawingml/2006/main">
          <a:off x="2066710" y="651036"/>
          <a:ext cx="1238197" cy="12619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38197" h="1261968">
              <a:moveTo>
                <a:pt x="1085846" y="120078"/>
              </a:moveTo>
              <a:lnTo>
                <a:pt x="670112" y="550090"/>
              </a:lnTo>
              <a:lnTo>
                <a:pt x="0" y="1243215"/>
              </a:lnTo>
              <a:lnTo>
                <a:pt x="18129" y="1261967"/>
              </a:lnTo>
              <a:lnTo>
                <a:pt x="688241" y="568842"/>
              </a:lnTo>
              <a:lnTo>
                <a:pt x="1118147" y="124172"/>
              </a:lnTo>
              <a:lnTo>
                <a:pt x="1238196" y="0"/>
              </a:lnTo>
              <a:lnTo>
                <a:pt x="120193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0.35248</cdr:x>
      <cdr:y>0.15383</cdr:y>
    </cdr:from>
    <cdr:to>
      <cdr:x>0.52008</cdr:x>
      <cdr:y>0.32026</cdr:y>
    </cdr:to>
    <cdr:sp macro="" textlink="">
      <cdr:nvSpPr>
        <cdr:cNvPr id="184" name="FracNo 779 StartRow 2151">
          <a:extLst xmlns:a="http://schemas.openxmlformats.org/drawingml/2006/main">
            <a:ext uri="{FF2B5EF4-FFF2-40B4-BE49-F238E27FC236}">
              <a16:creationId xmlns:a16="http://schemas.microsoft.com/office/drawing/2014/main" id="{00023857-1B16-2DF0-FB14-44C4462CA32B}"/>
            </a:ext>
          </a:extLst>
        </cdr:cNvPr>
        <cdr:cNvSpPr/>
      </cdr:nvSpPr>
      <cdr:spPr>
        <a:xfrm xmlns:a="http://schemas.openxmlformats.org/drawingml/2006/main">
          <a:off x="2578471" y="1172196"/>
          <a:ext cx="1226052" cy="12681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26052" h="1268157">
              <a:moveTo>
                <a:pt x="309681" y="929088"/>
              </a:moveTo>
              <a:lnTo>
                <a:pt x="158351" y="1085615"/>
              </a:lnTo>
              <a:lnTo>
                <a:pt x="0" y="1249404"/>
              </a:lnTo>
              <a:lnTo>
                <a:pt x="18129" y="1268156"/>
              </a:lnTo>
              <a:lnTo>
                <a:pt x="176480" y="1104367"/>
              </a:lnTo>
              <a:lnTo>
                <a:pt x="327810" y="947840"/>
              </a:lnTo>
              <a:lnTo>
                <a:pt x="1226051" y="18751"/>
              </a:lnTo>
              <a:lnTo>
                <a:pt x="120792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0.14369</cdr:x>
      <cdr:y>0.60429</cdr:y>
    </cdr:from>
    <cdr:to>
      <cdr:x>0.31101</cdr:x>
      <cdr:y>0.77044</cdr:y>
    </cdr:to>
    <cdr:sp macro="" textlink="">
      <cdr:nvSpPr>
        <cdr:cNvPr id="185" name="FracNo 33 StartRow 2162">
          <a:extLst xmlns:a="http://schemas.openxmlformats.org/drawingml/2006/main">
            <a:ext uri="{FF2B5EF4-FFF2-40B4-BE49-F238E27FC236}">
              <a16:creationId xmlns:a16="http://schemas.microsoft.com/office/drawing/2014/main" id="{B9F7975A-E110-21C5-7DFB-9721B7ED423E}"/>
            </a:ext>
          </a:extLst>
        </cdr:cNvPr>
        <cdr:cNvSpPr/>
      </cdr:nvSpPr>
      <cdr:spPr>
        <a:xfrm xmlns:a="http://schemas.openxmlformats.org/drawingml/2006/main">
          <a:off x="1051094" y="4604698"/>
          <a:ext cx="1224003" cy="12660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24003" h="1266038">
              <a:moveTo>
                <a:pt x="597321" y="629451"/>
              </a:moveTo>
              <a:lnTo>
                <a:pt x="0" y="1247285"/>
              </a:lnTo>
              <a:lnTo>
                <a:pt x="18129" y="1266037"/>
              </a:lnTo>
              <a:lnTo>
                <a:pt x="615450" y="648203"/>
              </a:lnTo>
              <a:lnTo>
                <a:pt x="907039" y="346600"/>
              </a:lnTo>
              <a:lnTo>
                <a:pt x="1224002" y="18752"/>
              </a:lnTo>
              <a:lnTo>
                <a:pt x="1205873" y="0"/>
              </a:lnTo>
              <a:lnTo>
                <a:pt x="888910" y="32784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0.45048</cdr:x>
      <cdr:y>0.39897</cdr:y>
    </cdr:from>
    <cdr:to>
      <cdr:x>0.61773</cdr:x>
      <cdr:y>0.56505</cdr:y>
    </cdr:to>
    <cdr:sp macro="" textlink="">
      <cdr:nvSpPr>
        <cdr:cNvPr id="186" name="FracNo 813 StartRow 2173">
          <a:extLst xmlns:a="http://schemas.openxmlformats.org/drawingml/2006/main">
            <a:ext uri="{FF2B5EF4-FFF2-40B4-BE49-F238E27FC236}">
              <a16:creationId xmlns:a16="http://schemas.microsoft.com/office/drawing/2014/main" id="{EC464F04-6ACE-323E-FA32-C63387C0FF00}"/>
            </a:ext>
          </a:extLst>
        </cdr:cNvPr>
        <cdr:cNvSpPr/>
      </cdr:nvSpPr>
      <cdr:spPr>
        <a:xfrm xmlns:a="http://schemas.openxmlformats.org/drawingml/2006/main">
          <a:off x="3295320" y="3040176"/>
          <a:ext cx="1223525" cy="12655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23525" h="1265543">
              <a:moveTo>
                <a:pt x="684856" y="538415"/>
              </a:moveTo>
              <a:lnTo>
                <a:pt x="0" y="1246790"/>
              </a:lnTo>
              <a:lnTo>
                <a:pt x="18129" y="1265542"/>
              </a:lnTo>
              <a:lnTo>
                <a:pt x="702985" y="557167"/>
              </a:lnTo>
              <a:lnTo>
                <a:pt x="1223524" y="18752"/>
              </a:lnTo>
              <a:lnTo>
                <a:pt x="120539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0.12468</cdr:x>
      <cdr:y>0.76585</cdr:y>
    </cdr:from>
    <cdr:to>
      <cdr:x>0.29256</cdr:x>
      <cdr:y>0.9301</cdr:y>
    </cdr:to>
    <cdr:sp macro="" textlink="">
      <cdr:nvSpPr>
        <cdr:cNvPr id="187" name="FracNo 32 StartRow 2182">
          <a:extLst xmlns:a="http://schemas.openxmlformats.org/drawingml/2006/main">
            <a:ext uri="{FF2B5EF4-FFF2-40B4-BE49-F238E27FC236}">
              <a16:creationId xmlns:a16="http://schemas.microsoft.com/office/drawing/2014/main" id="{B5F9D63F-49EB-CDD2-C428-74FAC4215FA0}"/>
            </a:ext>
          </a:extLst>
        </cdr:cNvPr>
        <cdr:cNvSpPr/>
      </cdr:nvSpPr>
      <cdr:spPr>
        <a:xfrm xmlns:a="http://schemas.openxmlformats.org/drawingml/2006/main">
          <a:off x="912024" y="5835815"/>
          <a:ext cx="1228127" cy="12515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28127" h="1251551">
              <a:moveTo>
                <a:pt x="788158" y="473828"/>
              </a:moveTo>
              <a:lnTo>
                <a:pt x="36259" y="1251550"/>
              </a:lnTo>
              <a:lnTo>
                <a:pt x="0" y="1251550"/>
              </a:lnTo>
              <a:lnTo>
                <a:pt x="763337" y="461999"/>
              </a:lnTo>
              <a:lnTo>
                <a:pt x="1209997" y="0"/>
              </a:lnTo>
              <a:lnTo>
                <a:pt x="122812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0.50244</cdr:x>
      <cdr:y>0.76631</cdr:y>
    </cdr:from>
    <cdr:to>
      <cdr:x>0.66987</cdr:x>
      <cdr:y>0.9301</cdr:y>
    </cdr:to>
    <cdr:sp macro="" textlink="">
      <cdr:nvSpPr>
        <cdr:cNvPr id="188" name="FracNo 937 StartRow 2191">
          <a:extLst xmlns:a="http://schemas.openxmlformats.org/drawingml/2006/main">
            <a:ext uri="{FF2B5EF4-FFF2-40B4-BE49-F238E27FC236}">
              <a16:creationId xmlns:a16="http://schemas.microsoft.com/office/drawing/2014/main" id="{8D756AE0-7922-F02A-46C4-8A78860E72B7}"/>
            </a:ext>
          </a:extLst>
        </cdr:cNvPr>
        <cdr:cNvSpPr/>
      </cdr:nvSpPr>
      <cdr:spPr>
        <a:xfrm xmlns:a="http://schemas.openxmlformats.org/drawingml/2006/main">
          <a:off x="3675461" y="5839267"/>
          <a:ext cx="1224789" cy="12480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24789" h="1248099">
              <a:moveTo>
                <a:pt x="1098569" y="149306"/>
              </a:moveTo>
              <a:lnTo>
                <a:pt x="36259" y="1248098"/>
              </a:lnTo>
              <a:lnTo>
                <a:pt x="0" y="1248098"/>
              </a:lnTo>
              <a:lnTo>
                <a:pt x="1079544" y="131480"/>
              </a:lnTo>
              <a:lnTo>
                <a:pt x="1135571" y="73529"/>
              </a:lnTo>
              <a:lnTo>
                <a:pt x="1206659" y="0"/>
              </a:lnTo>
              <a:lnTo>
                <a:pt x="1224788" y="18752"/>
              </a:lnTo>
              <a:lnTo>
                <a:pt x="1153700" y="9228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0.77767</cdr:x>
      <cdr:y>0.29614</cdr:y>
    </cdr:from>
    <cdr:to>
      <cdr:x>0.94246</cdr:x>
      <cdr:y>0.46223</cdr:y>
    </cdr:to>
    <cdr:sp macro="" textlink="">
      <cdr:nvSpPr>
        <cdr:cNvPr id="189" name="FracNo 1018 StartRow 2202">
          <a:extLst xmlns:a="http://schemas.openxmlformats.org/drawingml/2006/main">
            <a:ext uri="{FF2B5EF4-FFF2-40B4-BE49-F238E27FC236}">
              <a16:creationId xmlns:a16="http://schemas.microsoft.com/office/drawing/2014/main" id="{1C4692D8-9A93-97F6-4ACE-A7787ED49D8E}"/>
            </a:ext>
          </a:extLst>
        </cdr:cNvPr>
        <cdr:cNvSpPr/>
      </cdr:nvSpPr>
      <cdr:spPr>
        <a:xfrm xmlns:a="http://schemas.openxmlformats.org/drawingml/2006/main">
          <a:off x="5688844" y="2256565"/>
          <a:ext cx="1205464" cy="12656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05464" h="1265614">
              <a:moveTo>
                <a:pt x="168016" y="1110579"/>
              </a:moveTo>
              <a:lnTo>
                <a:pt x="18130" y="1265613"/>
              </a:lnTo>
              <a:lnTo>
                <a:pt x="0" y="1246861"/>
              </a:lnTo>
              <a:lnTo>
                <a:pt x="151933" y="1089710"/>
              </a:lnTo>
              <a:lnTo>
                <a:pt x="697236" y="525681"/>
              </a:lnTo>
              <a:lnTo>
                <a:pt x="1205463" y="0"/>
              </a:lnTo>
              <a:lnTo>
                <a:pt x="1205463" y="37503"/>
              </a:lnTo>
              <a:lnTo>
                <a:pt x="705973" y="55414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0.57061</cdr:x>
      <cdr:y>0.76836</cdr:y>
    </cdr:from>
    <cdr:to>
      <cdr:x>0.73597</cdr:x>
      <cdr:y>0.9301</cdr:y>
    </cdr:to>
    <cdr:sp macro="" textlink="">
      <cdr:nvSpPr>
        <cdr:cNvPr id="190" name="FracNo 905 StartRow 2213">
          <a:extLst xmlns:a="http://schemas.openxmlformats.org/drawingml/2006/main">
            <a:ext uri="{FF2B5EF4-FFF2-40B4-BE49-F238E27FC236}">
              <a16:creationId xmlns:a16="http://schemas.microsoft.com/office/drawing/2014/main" id="{B635C420-5855-6554-6364-E18C52EF25BF}"/>
            </a:ext>
          </a:extLst>
        </cdr:cNvPr>
        <cdr:cNvSpPr/>
      </cdr:nvSpPr>
      <cdr:spPr>
        <a:xfrm xmlns:a="http://schemas.openxmlformats.org/drawingml/2006/main">
          <a:off x="4174105" y="5854934"/>
          <a:ext cx="1209643" cy="12324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09643" h="1232432">
              <a:moveTo>
                <a:pt x="132382" y="1133007"/>
              </a:moveTo>
              <a:lnTo>
                <a:pt x="36259" y="1232431"/>
              </a:lnTo>
              <a:lnTo>
                <a:pt x="0" y="1232431"/>
              </a:lnTo>
              <a:lnTo>
                <a:pt x="98940" y="1130094"/>
              </a:lnTo>
              <a:lnTo>
                <a:pt x="636927" y="573631"/>
              </a:lnTo>
              <a:lnTo>
                <a:pt x="1191512" y="0"/>
              </a:lnTo>
              <a:lnTo>
                <a:pt x="1209642" y="18752"/>
              </a:lnTo>
              <a:lnTo>
                <a:pt x="655056" y="59238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0.64528</cdr:x>
      <cdr:y>0.08544</cdr:y>
    </cdr:from>
    <cdr:to>
      <cdr:x>0.81055</cdr:x>
      <cdr:y>0.24709</cdr:y>
    </cdr:to>
    <cdr:sp macro="" textlink="">
      <cdr:nvSpPr>
        <cdr:cNvPr id="191" name="FracNo 665 StartRow 2224">
          <a:extLst xmlns:a="http://schemas.openxmlformats.org/drawingml/2006/main">
            <a:ext uri="{FF2B5EF4-FFF2-40B4-BE49-F238E27FC236}">
              <a16:creationId xmlns:a16="http://schemas.microsoft.com/office/drawing/2014/main" id="{DA1AED0D-F485-6588-C29A-2464D2F13CBE}"/>
            </a:ext>
          </a:extLst>
        </cdr:cNvPr>
        <cdr:cNvSpPr/>
      </cdr:nvSpPr>
      <cdr:spPr>
        <a:xfrm xmlns:a="http://schemas.openxmlformats.org/drawingml/2006/main">
          <a:off x="4720358" y="651036"/>
          <a:ext cx="1209006" cy="12317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09006" h="1231774">
              <a:moveTo>
                <a:pt x="471139" y="763206"/>
              </a:moveTo>
              <a:lnTo>
                <a:pt x="108803" y="1137985"/>
              </a:lnTo>
              <a:lnTo>
                <a:pt x="18130" y="1231773"/>
              </a:lnTo>
              <a:lnTo>
                <a:pt x="0" y="1213021"/>
              </a:lnTo>
              <a:lnTo>
                <a:pt x="90674" y="1119233"/>
              </a:lnTo>
              <a:lnTo>
                <a:pt x="447039" y="750630"/>
              </a:lnTo>
              <a:lnTo>
                <a:pt x="1172747" y="0"/>
              </a:lnTo>
              <a:lnTo>
                <a:pt x="120900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0.24388</cdr:x>
      <cdr:y>0.38192</cdr:y>
    </cdr:from>
    <cdr:to>
      <cdr:x>0.40786</cdr:x>
      <cdr:y>0.54475</cdr:y>
    </cdr:to>
    <cdr:sp macro="" textlink="">
      <cdr:nvSpPr>
        <cdr:cNvPr id="192" name="FracNo 506 StartRow 2235">
          <a:extLst xmlns:a="http://schemas.openxmlformats.org/drawingml/2006/main">
            <a:ext uri="{FF2B5EF4-FFF2-40B4-BE49-F238E27FC236}">
              <a16:creationId xmlns:a16="http://schemas.microsoft.com/office/drawing/2014/main" id="{F31F9522-0E13-4433-4F42-E226EC357FFE}"/>
            </a:ext>
          </a:extLst>
        </cdr:cNvPr>
        <cdr:cNvSpPr/>
      </cdr:nvSpPr>
      <cdr:spPr>
        <a:xfrm xmlns:a="http://schemas.openxmlformats.org/drawingml/2006/main">
          <a:off x="1784025" y="2910262"/>
          <a:ext cx="1199575" cy="12407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99575" h="1240770">
              <a:moveTo>
                <a:pt x="540066" y="700909"/>
              </a:moveTo>
              <a:lnTo>
                <a:pt x="18130" y="1240769"/>
              </a:lnTo>
              <a:lnTo>
                <a:pt x="0" y="1222018"/>
              </a:lnTo>
              <a:lnTo>
                <a:pt x="521936" y="682157"/>
              </a:lnTo>
              <a:lnTo>
                <a:pt x="952797" y="236500"/>
              </a:lnTo>
              <a:lnTo>
                <a:pt x="1181445" y="0"/>
              </a:lnTo>
              <a:lnTo>
                <a:pt x="1199574" y="18751"/>
              </a:lnTo>
              <a:lnTo>
                <a:pt x="970926" y="2552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0.61184</cdr:x>
      <cdr:y>0.76853</cdr:y>
    </cdr:from>
    <cdr:to>
      <cdr:x>0.77704</cdr:x>
      <cdr:y>0.9301</cdr:y>
    </cdr:to>
    <cdr:sp macro="" textlink="">
      <cdr:nvSpPr>
        <cdr:cNvPr id="193" name="FracNo 986 StartRow 2246">
          <a:extLst xmlns:a="http://schemas.openxmlformats.org/drawingml/2006/main">
            <a:ext uri="{FF2B5EF4-FFF2-40B4-BE49-F238E27FC236}">
              <a16:creationId xmlns:a16="http://schemas.microsoft.com/office/drawing/2014/main" id="{C52E6307-9EF8-B17F-4A0B-87BAEFF2C19A}"/>
            </a:ext>
          </a:extLst>
        </cdr:cNvPr>
        <cdr:cNvSpPr/>
      </cdr:nvSpPr>
      <cdr:spPr>
        <a:xfrm xmlns:a="http://schemas.openxmlformats.org/drawingml/2006/main">
          <a:off x="4475745" y="5856186"/>
          <a:ext cx="1208432" cy="12311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08432" h="1231180">
              <a:moveTo>
                <a:pt x="978395" y="219184"/>
              </a:moveTo>
              <a:lnTo>
                <a:pt x="329268" y="890602"/>
              </a:lnTo>
              <a:lnTo>
                <a:pt x="0" y="1231179"/>
              </a:lnTo>
              <a:lnTo>
                <a:pt x="36258" y="1231179"/>
              </a:lnTo>
              <a:lnTo>
                <a:pt x="359435" y="896904"/>
              </a:lnTo>
              <a:lnTo>
                <a:pt x="999487" y="234872"/>
              </a:lnTo>
              <a:lnTo>
                <a:pt x="1208431" y="18752"/>
              </a:lnTo>
              <a:lnTo>
                <a:pt x="119030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0.6064</cdr:y>
    </cdr:from>
    <cdr:to>
      <cdr:x>0.25449</cdr:x>
      <cdr:y>0.77039</cdr:y>
    </cdr:to>
    <cdr:sp macro="" textlink="">
      <cdr:nvSpPr>
        <cdr:cNvPr id="194" name="FracNo 940 StartRow 2257">
          <a:extLst xmlns:a="http://schemas.openxmlformats.org/drawingml/2006/main">
            <a:ext uri="{FF2B5EF4-FFF2-40B4-BE49-F238E27FC236}">
              <a16:creationId xmlns:a16="http://schemas.microsoft.com/office/drawing/2014/main" id="{6C896DAF-28C2-98FE-8B00-D2128EDC9278}"/>
            </a:ext>
          </a:extLst>
        </cdr:cNvPr>
        <cdr:cNvSpPr/>
      </cdr:nvSpPr>
      <cdr:spPr>
        <a:xfrm xmlns:a="http://schemas.openxmlformats.org/drawingml/2006/main">
          <a:off x="671676" y="4620779"/>
          <a:ext cx="1189995" cy="12496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89995" h="1249614">
              <a:moveTo>
                <a:pt x="484377" y="711097"/>
              </a:moveTo>
              <a:lnTo>
                <a:pt x="0" y="1212109"/>
              </a:lnTo>
              <a:lnTo>
                <a:pt x="0" y="1249613"/>
              </a:lnTo>
              <a:lnTo>
                <a:pt x="494466" y="738166"/>
              </a:lnTo>
              <a:lnTo>
                <a:pt x="888578" y="330519"/>
              </a:lnTo>
              <a:lnTo>
                <a:pt x="1189994" y="18752"/>
              </a:lnTo>
              <a:lnTo>
                <a:pt x="1171865" y="0"/>
              </a:lnTo>
              <a:lnTo>
                <a:pt x="870449" y="31176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0.72033</cdr:x>
      <cdr:y>0.51518</cdr:y>
    </cdr:from>
    <cdr:to>
      <cdr:x>0.88424</cdr:x>
      <cdr:y>0.67794</cdr:y>
    </cdr:to>
    <cdr:sp macro="" textlink="">
      <cdr:nvSpPr>
        <cdr:cNvPr id="195" name="FracNo 185 StartRow 2268">
          <a:extLst xmlns:a="http://schemas.openxmlformats.org/drawingml/2006/main">
            <a:ext uri="{FF2B5EF4-FFF2-40B4-BE49-F238E27FC236}">
              <a16:creationId xmlns:a16="http://schemas.microsoft.com/office/drawing/2014/main" id="{1170509A-6E53-2A9A-9A1E-248491323BC6}"/>
            </a:ext>
          </a:extLst>
        </cdr:cNvPr>
        <cdr:cNvSpPr/>
      </cdr:nvSpPr>
      <cdr:spPr>
        <a:xfrm xmlns:a="http://schemas.openxmlformats.org/drawingml/2006/main">
          <a:off x="5269368" y="3925680"/>
          <a:ext cx="1199026" cy="12402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99026" h="1240204">
              <a:moveTo>
                <a:pt x="775814" y="418993"/>
              </a:moveTo>
              <a:lnTo>
                <a:pt x="207460" y="1006866"/>
              </a:lnTo>
              <a:lnTo>
                <a:pt x="0" y="1221451"/>
              </a:lnTo>
              <a:lnTo>
                <a:pt x="18129" y="1240203"/>
              </a:lnTo>
              <a:lnTo>
                <a:pt x="225589" y="1025618"/>
              </a:lnTo>
              <a:lnTo>
                <a:pt x="793943" y="437745"/>
              </a:lnTo>
              <a:lnTo>
                <a:pt x="1199025" y="18752"/>
              </a:lnTo>
              <a:lnTo>
                <a:pt x="118089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0.65171</cdr:x>
      <cdr:y>0.08544</cdr:y>
    </cdr:from>
    <cdr:to>
      <cdr:x>0.81635</cdr:x>
      <cdr:y>0.24646</cdr:y>
    </cdr:to>
    <cdr:sp macro="" textlink="">
      <cdr:nvSpPr>
        <cdr:cNvPr id="196" name="FracNo 864 StartRow 2279">
          <a:extLst xmlns:a="http://schemas.openxmlformats.org/drawingml/2006/main">
            <a:ext uri="{FF2B5EF4-FFF2-40B4-BE49-F238E27FC236}">
              <a16:creationId xmlns:a16="http://schemas.microsoft.com/office/drawing/2014/main" id="{B48012FC-9E26-BB46-C013-1151070F224F}"/>
            </a:ext>
          </a:extLst>
        </cdr:cNvPr>
        <cdr:cNvSpPr/>
      </cdr:nvSpPr>
      <cdr:spPr>
        <a:xfrm xmlns:a="http://schemas.openxmlformats.org/drawingml/2006/main">
          <a:off x="4767412" y="651036"/>
          <a:ext cx="1204370" cy="12269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04370" h="1226979">
              <a:moveTo>
                <a:pt x="546149" y="680824"/>
              </a:moveTo>
              <a:lnTo>
                <a:pt x="61749" y="1181859"/>
              </a:lnTo>
              <a:lnTo>
                <a:pt x="18129" y="1226978"/>
              </a:lnTo>
              <a:lnTo>
                <a:pt x="0" y="1208226"/>
              </a:lnTo>
              <a:lnTo>
                <a:pt x="43620" y="1163107"/>
              </a:lnTo>
              <a:lnTo>
                <a:pt x="520334" y="670022"/>
              </a:lnTo>
              <a:lnTo>
                <a:pt x="1168110" y="0"/>
              </a:lnTo>
              <a:lnTo>
                <a:pt x="12043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0.78084</cdr:x>
      <cdr:y>0.23869</cdr:y>
    </cdr:from>
    <cdr:to>
      <cdr:x>0.94246</cdr:x>
      <cdr:y>0.40163</cdr:y>
    </cdr:to>
    <cdr:sp macro="" textlink="">
      <cdr:nvSpPr>
        <cdr:cNvPr id="197" name="FracNo 1002 StartRow 2290">
          <a:extLst xmlns:a="http://schemas.openxmlformats.org/drawingml/2006/main">
            <a:ext uri="{FF2B5EF4-FFF2-40B4-BE49-F238E27FC236}">
              <a16:creationId xmlns:a16="http://schemas.microsoft.com/office/drawing/2014/main" id="{DF123C37-8261-4AD1-8A83-E3B119277AEC}"/>
            </a:ext>
          </a:extLst>
        </cdr:cNvPr>
        <cdr:cNvSpPr/>
      </cdr:nvSpPr>
      <cdr:spPr>
        <a:xfrm xmlns:a="http://schemas.openxmlformats.org/drawingml/2006/main">
          <a:off x="5712036" y="1818829"/>
          <a:ext cx="1182272" cy="12416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82272" h="1241626">
              <a:moveTo>
                <a:pt x="365014" y="845324"/>
              </a:moveTo>
              <a:lnTo>
                <a:pt x="246146" y="968274"/>
              </a:lnTo>
              <a:lnTo>
                <a:pt x="0" y="1222873"/>
              </a:lnTo>
              <a:lnTo>
                <a:pt x="18129" y="1241625"/>
              </a:lnTo>
              <a:lnTo>
                <a:pt x="264275" y="987026"/>
              </a:lnTo>
              <a:lnTo>
                <a:pt x="380841" y="866457"/>
              </a:lnTo>
              <a:lnTo>
                <a:pt x="1182271" y="37504"/>
              </a:lnTo>
              <a:lnTo>
                <a:pt x="118227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0.72001</cdr:x>
      <cdr:y>0.76972</cdr:y>
    </cdr:from>
    <cdr:to>
      <cdr:x>0.88401</cdr:x>
      <cdr:y>0.9301</cdr:y>
    </cdr:to>
    <cdr:sp macro="" textlink="">
      <cdr:nvSpPr>
        <cdr:cNvPr id="198" name="FracNo 440 StartRow 2301">
          <a:extLst xmlns:a="http://schemas.openxmlformats.org/drawingml/2006/main">
            <a:ext uri="{FF2B5EF4-FFF2-40B4-BE49-F238E27FC236}">
              <a16:creationId xmlns:a16="http://schemas.microsoft.com/office/drawing/2014/main" id="{8DB5E9CA-5972-CC31-C8B6-A0E6F81AA776}"/>
            </a:ext>
          </a:extLst>
        </cdr:cNvPr>
        <cdr:cNvSpPr/>
      </cdr:nvSpPr>
      <cdr:spPr>
        <a:xfrm xmlns:a="http://schemas.openxmlformats.org/drawingml/2006/main">
          <a:off x="5267030" y="5865230"/>
          <a:ext cx="1199689" cy="12221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99689" h="1222136">
              <a:moveTo>
                <a:pt x="965018" y="261481"/>
              </a:moveTo>
              <a:lnTo>
                <a:pt x="36259" y="1222135"/>
              </a:lnTo>
              <a:lnTo>
                <a:pt x="0" y="1222135"/>
              </a:lnTo>
              <a:lnTo>
                <a:pt x="943231" y="246512"/>
              </a:lnTo>
              <a:lnTo>
                <a:pt x="1181558" y="0"/>
              </a:lnTo>
              <a:lnTo>
                <a:pt x="119968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0.57046</cdr:x>
      <cdr:y>0.23607</cdr:y>
    </cdr:from>
    <cdr:to>
      <cdr:x>0.73283</cdr:x>
      <cdr:y>0.3973</cdr:y>
    </cdr:to>
    <cdr:sp macro="" textlink="">
      <cdr:nvSpPr>
        <cdr:cNvPr id="199" name="FracNo 836 StartRow 2310">
          <a:extLst xmlns:a="http://schemas.openxmlformats.org/drawingml/2006/main">
            <a:ext uri="{FF2B5EF4-FFF2-40B4-BE49-F238E27FC236}">
              <a16:creationId xmlns:a16="http://schemas.microsoft.com/office/drawing/2014/main" id="{0BFE5D42-083F-94DD-4F88-88B9A7A1EED0}"/>
            </a:ext>
          </a:extLst>
        </cdr:cNvPr>
        <cdr:cNvSpPr/>
      </cdr:nvSpPr>
      <cdr:spPr>
        <a:xfrm xmlns:a="http://schemas.openxmlformats.org/drawingml/2006/main">
          <a:off x="4173034" y="1798875"/>
          <a:ext cx="1187797" cy="12285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87797" h="1228588">
              <a:moveTo>
                <a:pt x="904181" y="274603"/>
              </a:moveTo>
              <a:lnTo>
                <a:pt x="637998" y="549927"/>
              </a:lnTo>
              <a:lnTo>
                <a:pt x="214250" y="988228"/>
              </a:lnTo>
              <a:lnTo>
                <a:pt x="0" y="1209836"/>
              </a:lnTo>
              <a:lnTo>
                <a:pt x="18130" y="1228587"/>
              </a:lnTo>
              <a:lnTo>
                <a:pt x="232379" y="1006980"/>
              </a:lnTo>
              <a:lnTo>
                <a:pt x="656127" y="568679"/>
              </a:lnTo>
              <a:lnTo>
                <a:pt x="922310" y="293354"/>
              </a:lnTo>
              <a:lnTo>
                <a:pt x="1187796" y="18752"/>
              </a:lnTo>
              <a:lnTo>
                <a:pt x="116966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0.15576</cdr:x>
      <cdr:y>0.77099</cdr:y>
    </cdr:from>
    <cdr:to>
      <cdr:x>0.31847</cdr:x>
      <cdr:y>0.9301</cdr:y>
    </cdr:to>
    <cdr:sp macro="" textlink="">
      <cdr:nvSpPr>
        <cdr:cNvPr id="200" name="FracNo 34 StartRow 2323">
          <a:extLst xmlns:a="http://schemas.openxmlformats.org/drawingml/2006/main">
            <a:ext uri="{FF2B5EF4-FFF2-40B4-BE49-F238E27FC236}">
              <a16:creationId xmlns:a16="http://schemas.microsoft.com/office/drawing/2014/main" id="{26646806-16C1-C259-E6D4-8D1B5C670329}"/>
            </a:ext>
          </a:extLst>
        </cdr:cNvPr>
        <cdr:cNvSpPr/>
      </cdr:nvSpPr>
      <cdr:spPr>
        <a:xfrm xmlns:a="http://schemas.openxmlformats.org/drawingml/2006/main">
          <a:off x="1139397" y="5874938"/>
          <a:ext cx="1190302" cy="12124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90302" h="1212428">
              <a:moveTo>
                <a:pt x="1093832" y="81030"/>
              </a:moveTo>
              <a:lnTo>
                <a:pt x="0" y="1212427"/>
              </a:lnTo>
              <a:lnTo>
                <a:pt x="36258" y="1212427"/>
              </a:lnTo>
              <a:lnTo>
                <a:pt x="1113173" y="98528"/>
              </a:lnTo>
              <a:lnTo>
                <a:pt x="1190301" y="18752"/>
              </a:lnTo>
              <a:lnTo>
                <a:pt x="117217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0.31936</cdr:x>
      <cdr:y>0.70782</cdr:y>
    </cdr:from>
    <cdr:to>
      <cdr:x>0.4805</cdr:x>
      <cdr:y>0.86784</cdr:y>
    </cdr:to>
    <cdr:sp macro="" textlink="">
      <cdr:nvSpPr>
        <cdr:cNvPr id="201" name="FracNo 774 StartRow 2332">
          <a:extLst xmlns:a="http://schemas.openxmlformats.org/drawingml/2006/main">
            <a:ext uri="{FF2B5EF4-FFF2-40B4-BE49-F238E27FC236}">
              <a16:creationId xmlns:a16="http://schemas.microsoft.com/office/drawing/2014/main" id="{ED93D5EB-8AC4-0F85-A22D-137493BA3568}"/>
            </a:ext>
          </a:extLst>
        </cdr:cNvPr>
        <cdr:cNvSpPr/>
      </cdr:nvSpPr>
      <cdr:spPr>
        <a:xfrm xmlns:a="http://schemas.openxmlformats.org/drawingml/2006/main">
          <a:off x="2336150" y="5393624"/>
          <a:ext cx="1178820" cy="12193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8820" h="1219304">
              <a:moveTo>
                <a:pt x="1094220" y="106256"/>
              </a:moveTo>
              <a:lnTo>
                <a:pt x="418801" y="804871"/>
              </a:lnTo>
              <a:lnTo>
                <a:pt x="18129" y="1219303"/>
              </a:lnTo>
              <a:lnTo>
                <a:pt x="0" y="1200551"/>
              </a:lnTo>
              <a:lnTo>
                <a:pt x="400672" y="786119"/>
              </a:lnTo>
              <a:lnTo>
                <a:pt x="1076091" y="87504"/>
              </a:lnTo>
              <a:lnTo>
                <a:pt x="1160690" y="0"/>
              </a:lnTo>
              <a:lnTo>
                <a:pt x="117881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0.47155</cdr:x>
      <cdr:y>0.45168</cdr:y>
    </cdr:from>
    <cdr:to>
      <cdr:x>0.63236</cdr:x>
      <cdr:y>0.61135</cdr:y>
    </cdr:to>
    <cdr:sp macro="" textlink="">
      <cdr:nvSpPr>
        <cdr:cNvPr id="202" name="FracNo 113 StartRow 2343">
          <a:extLst xmlns:a="http://schemas.openxmlformats.org/drawingml/2006/main">
            <a:ext uri="{FF2B5EF4-FFF2-40B4-BE49-F238E27FC236}">
              <a16:creationId xmlns:a16="http://schemas.microsoft.com/office/drawing/2014/main" id="{D2C59F84-03E5-B125-103E-A95B2276EA31}"/>
            </a:ext>
          </a:extLst>
        </cdr:cNvPr>
        <cdr:cNvSpPr/>
      </cdr:nvSpPr>
      <cdr:spPr>
        <a:xfrm xmlns:a="http://schemas.openxmlformats.org/drawingml/2006/main">
          <a:off x="3449496" y="3441766"/>
          <a:ext cx="1176342" cy="12167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6342" h="1216741">
              <a:moveTo>
                <a:pt x="7441" y="1190290"/>
              </a:moveTo>
              <a:lnTo>
                <a:pt x="0" y="1197988"/>
              </a:lnTo>
              <a:lnTo>
                <a:pt x="18129" y="1216740"/>
              </a:lnTo>
              <a:lnTo>
                <a:pt x="25571" y="1209042"/>
              </a:lnTo>
              <a:lnTo>
                <a:pt x="1176341" y="18753"/>
              </a:lnTo>
              <a:lnTo>
                <a:pt x="115821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0.64195</cdr:x>
      <cdr:y>0.08544</cdr:y>
    </cdr:from>
    <cdr:to>
      <cdr:x>0.80388</cdr:x>
      <cdr:y>0.24378</cdr:y>
    </cdr:to>
    <cdr:sp macro="" textlink="">
      <cdr:nvSpPr>
        <cdr:cNvPr id="203" name="FracNo 663 StartRow 2352">
          <a:extLst xmlns:a="http://schemas.openxmlformats.org/drawingml/2006/main">
            <a:ext uri="{FF2B5EF4-FFF2-40B4-BE49-F238E27FC236}">
              <a16:creationId xmlns:a16="http://schemas.microsoft.com/office/drawing/2014/main" id="{DEF360E7-0810-4309-E410-F06A4494E016}"/>
            </a:ext>
          </a:extLst>
        </cdr:cNvPr>
        <cdr:cNvSpPr/>
      </cdr:nvSpPr>
      <cdr:spPr>
        <a:xfrm xmlns:a="http://schemas.openxmlformats.org/drawingml/2006/main">
          <a:off x="4695958" y="651036"/>
          <a:ext cx="1184607" cy="12065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84607" h="1206536">
              <a:moveTo>
                <a:pt x="660573" y="504525"/>
              </a:moveTo>
              <a:lnTo>
                <a:pt x="115074" y="1068758"/>
              </a:lnTo>
              <a:lnTo>
                <a:pt x="0" y="1187783"/>
              </a:lnTo>
              <a:lnTo>
                <a:pt x="18130" y="1206535"/>
              </a:lnTo>
              <a:lnTo>
                <a:pt x="133203" y="1087510"/>
              </a:lnTo>
              <a:lnTo>
                <a:pt x="688274" y="513378"/>
              </a:lnTo>
              <a:lnTo>
                <a:pt x="1184606" y="0"/>
              </a:lnTo>
              <a:lnTo>
                <a:pt x="114834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0.57804</cdr:x>
      <cdr:y>0.77177</cdr:y>
    </cdr:from>
    <cdr:to>
      <cdr:x>0.73997</cdr:x>
      <cdr:y>0.9301</cdr:y>
    </cdr:to>
    <cdr:sp macro="" textlink="">
      <cdr:nvSpPr>
        <cdr:cNvPr id="204" name="FracNo 853 StartRow 2363">
          <a:extLst xmlns:a="http://schemas.openxmlformats.org/drawingml/2006/main">
            <a:ext uri="{FF2B5EF4-FFF2-40B4-BE49-F238E27FC236}">
              <a16:creationId xmlns:a16="http://schemas.microsoft.com/office/drawing/2014/main" id="{D2036D8C-6F6B-BD28-E18D-B38486E1A3BD}"/>
            </a:ext>
          </a:extLst>
        </cdr:cNvPr>
        <cdr:cNvSpPr/>
      </cdr:nvSpPr>
      <cdr:spPr>
        <a:xfrm xmlns:a="http://schemas.openxmlformats.org/drawingml/2006/main">
          <a:off x="4228464" y="5880869"/>
          <a:ext cx="1184569" cy="12064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84569" h="1206497">
              <a:moveTo>
                <a:pt x="790444" y="426410"/>
              </a:moveTo>
              <a:lnTo>
                <a:pt x="602937" y="620357"/>
              </a:lnTo>
              <a:lnTo>
                <a:pt x="36259" y="1206496"/>
              </a:lnTo>
              <a:lnTo>
                <a:pt x="0" y="1206496"/>
              </a:lnTo>
              <a:lnTo>
                <a:pt x="580329" y="606239"/>
              </a:lnTo>
              <a:lnTo>
                <a:pt x="769279" y="410799"/>
              </a:lnTo>
              <a:lnTo>
                <a:pt x="1166439" y="0"/>
              </a:lnTo>
              <a:lnTo>
                <a:pt x="118456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0.78384</cdr:x>
      <cdr:y>0.24465</cdr:y>
    </cdr:from>
    <cdr:to>
      <cdr:x>0.94246</cdr:x>
      <cdr:y>0.40461</cdr:y>
    </cdr:to>
    <cdr:sp macro="" textlink="">
      <cdr:nvSpPr>
        <cdr:cNvPr id="205" name="FracNo 756 StartRow 2374">
          <a:extLst xmlns:a="http://schemas.openxmlformats.org/drawingml/2006/main">
            <a:ext uri="{FF2B5EF4-FFF2-40B4-BE49-F238E27FC236}">
              <a16:creationId xmlns:a16="http://schemas.microsoft.com/office/drawing/2014/main" id="{5D85A326-8017-5012-289B-D3B12072DB88}"/>
            </a:ext>
          </a:extLst>
        </cdr:cNvPr>
        <cdr:cNvSpPr/>
      </cdr:nvSpPr>
      <cdr:spPr>
        <a:xfrm xmlns:a="http://schemas.openxmlformats.org/drawingml/2006/main">
          <a:off x="5733971" y="1864206"/>
          <a:ext cx="1160337" cy="12189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60337" h="1218937">
              <a:moveTo>
                <a:pt x="456728" y="727771"/>
              </a:moveTo>
              <a:lnTo>
                <a:pt x="268080" y="922897"/>
              </a:lnTo>
              <a:lnTo>
                <a:pt x="0" y="1200184"/>
              </a:lnTo>
              <a:lnTo>
                <a:pt x="18129" y="1218936"/>
              </a:lnTo>
              <a:lnTo>
                <a:pt x="286210" y="941649"/>
              </a:lnTo>
              <a:lnTo>
                <a:pt x="471025" y="750487"/>
              </a:lnTo>
              <a:lnTo>
                <a:pt x="1160336" y="37503"/>
              </a:lnTo>
              <a:lnTo>
                <a:pt x="116033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0.23627</cdr:x>
      <cdr:y>0.08544</cdr:y>
    </cdr:from>
    <cdr:to>
      <cdr:x>0.39633</cdr:x>
      <cdr:y>0.24192</cdr:y>
    </cdr:to>
    <cdr:sp macro="" textlink="">
      <cdr:nvSpPr>
        <cdr:cNvPr id="206" name="FracNo 594 StartRow 2385">
          <a:extLst xmlns:a="http://schemas.openxmlformats.org/drawingml/2006/main">
            <a:ext uri="{FF2B5EF4-FFF2-40B4-BE49-F238E27FC236}">
              <a16:creationId xmlns:a16="http://schemas.microsoft.com/office/drawing/2014/main" id="{D2CBC64E-6939-0064-93F7-719D73FD16F7}"/>
            </a:ext>
          </a:extLst>
        </cdr:cNvPr>
        <cdr:cNvSpPr/>
      </cdr:nvSpPr>
      <cdr:spPr>
        <a:xfrm xmlns:a="http://schemas.openxmlformats.org/drawingml/2006/main">
          <a:off x="1728330" y="651036"/>
          <a:ext cx="1170915" cy="11923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0915" h="1192375">
              <a:moveTo>
                <a:pt x="584362" y="569191"/>
              </a:moveTo>
              <a:lnTo>
                <a:pt x="0" y="1173622"/>
              </a:lnTo>
              <a:lnTo>
                <a:pt x="18129" y="1192374"/>
              </a:lnTo>
              <a:lnTo>
                <a:pt x="610493" y="579667"/>
              </a:lnTo>
              <a:lnTo>
                <a:pt x="1033478" y="142155"/>
              </a:lnTo>
              <a:lnTo>
                <a:pt x="1170914" y="0"/>
              </a:lnTo>
              <a:lnTo>
                <a:pt x="1134656" y="0"/>
              </a:lnTo>
              <a:lnTo>
                <a:pt x="1001634" y="13758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0.33533</cdr:x>
      <cdr:y>0.60242</cdr:y>
    </cdr:from>
    <cdr:to>
      <cdr:x>0.49341</cdr:x>
      <cdr:y>0.75939</cdr:y>
    </cdr:to>
    <cdr:sp macro="" textlink="">
      <cdr:nvSpPr>
        <cdr:cNvPr id="207" name="FracNo 120 StartRow 2396">
          <a:extLst xmlns:a="http://schemas.openxmlformats.org/drawingml/2006/main">
            <a:ext uri="{FF2B5EF4-FFF2-40B4-BE49-F238E27FC236}">
              <a16:creationId xmlns:a16="http://schemas.microsoft.com/office/drawing/2014/main" id="{300847AA-F3C5-5FE0-94B9-9E6D359AE1A5}"/>
            </a:ext>
          </a:extLst>
        </cdr:cNvPr>
        <cdr:cNvSpPr/>
      </cdr:nvSpPr>
      <cdr:spPr>
        <a:xfrm xmlns:a="http://schemas.openxmlformats.org/drawingml/2006/main">
          <a:off x="2453001" y="4590412"/>
          <a:ext cx="1156404" cy="11961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56404" h="1196117">
              <a:moveTo>
                <a:pt x="1016226" y="163743"/>
              </a:moveTo>
              <a:lnTo>
                <a:pt x="825628" y="360886"/>
              </a:lnTo>
              <a:lnTo>
                <a:pt x="301950" y="902548"/>
              </a:lnTo>
              <a:lnTo>
                <a:pt x="18129" y="1196116"/>
              </a:lnTo>
              <a:lnTo>
                <a:pt x="0" y="1177364"/>
              </a:lnTo>
              <a:lnTo>
                <a:pt x="283821" y="883796"/>
              </a:lnTo>
              <a:lnTo>
                <a:pt x="807499" y="342134"/>
              </a:lnTo>
              <a:lnTo>
                <a:pt x="998096" y="144991"/>
              </a:lnTo>
              <a:lnTo>
                <a:pt x="1138274" y="0"/>
              </a:lnTo>
              <a:lnTo>
                <a:pt x="115640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0.54416</cdr:y>
    </cdr:from>
    <cdr:to>
      <cdr:x>0.24824</cdr:x>
      <cdr:y>0.70194</cdr:y>
    </cdr:to>
    <cdr:sp macro="" textlink="">
      <cdr:nvSpPr>
        <cdr:cNvPr id="208" name="FracNo 520 StartRow 2409">
          <a:extLst xmlns:a="http://schemas.openxmlformats.org/drawingml/2006/main">
            <a:ext uri="{FF2B5EF4-FFF2-40B4-BE49-F238E27FC236}">
              <a16:creationId xmlns:a16="http://schemas.microsoft.com/office/drawing/2014/main" id="{BD08B1C7-4317-5516-AB26-8CDF42488B18}"/>
            </a:ext>
          </a:extLst>
        </cdr:cNvPr>
        <cdr:cNvSpPr/>
      </cdr:nvSpPr>
      <cdr:spPr>
        <a:xfrm xmlns:a="http://schemas.openxmlformats.org/drawingml/2006/main">
          <a:off x="671676" y="4146491"/>
          <a:ext cx="1144219" cy="12022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4219" h="1202266">
              <a:moveTo>
                <a:pt x="615586" y="565539"/>
              </a:moveTo>
              <a:lnTo>
                <a:pt x="380782" y="808406"/>
              </a:lnTo>
              <a:lnTo>
                <a:pt x="0" y="1202265"/>
              </a:lnTo>
              <a:lnTo>
                <a:pt x="0" y="1164762"/>
              </a:lnTo>
              <a:lnTo>
                <a:pt x="369612" y="782456"/>
              </a:lnTo>
              <a:lnTo>
                <a:pt x="602275" y="541803"/>
              </a:lnTo>
              <a:lnTo>
                <a:pt x="1126089" y="0"/>
              </a:lnTo>
              <a:lnTo>
                <a:pt x="114421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0.66186</cdr:x>
      <cdr:y>0.23939</cdr:y>
    </cdr:from>
    <cdr:to>
      <cdr:x>0.8181</cdr:x>
      <cdr:y>0.39453</cdr:y>
    </cdr:to>
    <cdr:sp macro="" textlink="">
      <cdr:nvSpPr>
        <cdr:cNvPr id="209" name="FracNo 994 StartRow 2420">
          <a:extLst xmlns:a="http://schemas.openxmlformats.org/drawingml/2006/main">
            <a:ext uri="{FF2B5EF4-FFF2-40B4-BE49-F238E27FC236}">
              <a16:creationId xmlns:a16="http://schemas.microsoft.com/office/drawing/2014/main" id="{597D9819-B762-0020-9F03-7766A2ED4C2D}"/>
            </a:ext>
          </a:extLst>
        </cdr:cNvPr>
        <cdr:cNvSpPr/>
      </cdr:nvSpPr>
      <cdr:spPr>
        <a:xfrm xmlns:a="http://schemas.openxmlformats.org/drawingml/2006/main">
          <a:off x="4841608" y="1824136"/>
          <a:ext cx="1142942" cy="11821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2942" h="1182193">
              <a:moveTo>
                <a:pt x="684490" y="455444"/>
              </a:moveTo>
              <a:lnTo>
                <a:pt x="193817" y="962967"/>
              </a:lnTo>
              <a:lnTo>
                <a:pt x="0" y="1163440"/>
              </a:lnTo>
              <a:lnTo>
                <a:pt x="18130" y="1182192"/>
              </a:lnTo>
              <a:lnTo>
                <a:pt x="211947" y="981719"/>
              </a:lnTo>
              <a:lnTo>
                <a:pt x="702619" y="474196"/>
              </a:lnTo>
              <a:lnTo>
                <a:pt x="1142941" y="18752"/>
              </a:lnTo>
              <a:lnTo>
                <a:pt x="112481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0.65886</cdr:x>
      <cdr:y>0.23641</cdr:y>
    </cdr:from>
    <cdr:to>
      <cdr:x>0.8151</cdr:x>
      <cdr:y>0.39155</cdr:y>
    </cdr:to>
    <cdr:sp macro="" textlink="">
      <cdr:nvSpPr>
        <cdr:cNvPr id="210" name="FracNo 882 StartRow 2431">
          <a:extLst xmlns:a="http://schemas.openxmlformats.org/drawingml/2006/main">
            <a:ext uri="{FF2B5EF4-FFF2-40B4-BE49-F238E27FC236}">
              <a16:creationId xmlns:a16="http://schemas.microsoft.com/office/drawing/2014/main" id="{B9397A66-BB1A-03C7-819A-E200706DC2B3}"/>
            </a:ext>
          </a:extLst>
        </cdr:cNvPr>
        <cdr:cNvSpPr/>
      </cdr:nvSpPr>
      <cdr:spPr>
        <a:xfrm xmlns:a="http://schemas.openxmlformats.org/drawingml/2006/main">
          <a:off x="4819673" y="1801447"/>
          <a:ext cx="1142942" cy="11821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2942" h="1182193">
              <a:moveTo>
                <a:pt x="947751" y="220644"/>
              </a:moveTo>
              <a:lnTo>
                <a:pt x="190010" y="1004408"/>
              </a:lnTo>
              <a:lnTo>
                <a:pt x="18129" y="1182192"/>
              </a:lnTo>
              <a:lnTo>
                <a:pt x="0" y="1163440"/>
              </a:lnTo>
              <a:lnTo>
                <a:pt x="171881" y="985656"/>
              </a:lnTo>
              <a:lnTo>
                <a:pt x="929622" y="201893"/>
              </a:lnTo>
              <a:lnTo>
                <a:pt x="1124811" y="0"/>
              </a:lnTo>
              <a:lnTo>
                <a:pt x="114294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0.42097</cdr:x>
      <cdr:y>0.15547</cdr:y>
    </cdr:from>
    <cdr:to>
      <cdr:x>0.57619</cdr:x>
      <cdr:y>0.3096</cdr:y>
    </cdr:to>
    <cdr:sp macro="" textlink="">
      <cdr:nvSpPr>
        <cdr:cNvPr id="211" name="FracNo 356 StartRow 2442">
          <a:extLst xmlns:a="http://schemas.openxmlformats.org/drawingml/2006/main">
            <a:ext uri="{FF2B5EF4-FFF2-40B4-BE49-F238E27FC236}">
              <a16:creationId xmlns:a16="http://schemas.microsoft.com/office/drawing/2014/main" id="{CD4F0D4C-24FE-3A9C-A3C2-82A33074E184}"/>
            </a:ext>
          </a:extLst>
        </cdr:cNvPr>
        <cdr:cNvSpPr/>
      </cdr:nvSpPr>
      <cdr:spPr>
        <a:xfrm xmlns:a="http://schemas.openxmlformats.org/drawingml/2006/main">
          <a:off x="3079481" y="1184685"/>
          <a:ext cx="1135487" cy="11744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35487" h="1174482">
              <a:moveTo>
                <a:pt x="731325" y="399289"/>
              </a:moveTo>
              <a:lnTo>
                <a:pt x="0" y="1155729"/>
              </a:lnTo>
              <a:lnTo>
                <a:pt x="18129" y="1174481"/>
              </a:lnTo>
              <a:lnTo>
                <a:pt x="749455" y="418041"/>
              </a:lnTo>
              <a:lnTo>
                <a:pt x="1135486" y="18752"/>
              </a:lnTo>
              <a:lnTo>
                <a:pt x="111735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0.42927</cdr:x>
      <cdr:y>0.77772</cdr:y>
    </cdr:from>
    <cdr:to>
      <cdr:x>0.58522</cdr:x>
      <cdr:y>0.9301</cdr:y>
    </cdr:to>
    <cdr:sp macro="" textlink="">
      <cdr:nvSpPr>
        <cdr:cNvPr id="212" name="FracNo 991 StartRow 2451">
          <a:extLst xmlns:a="http://schemas.openxmlformats.org/drawingml/2006/main">
            <a:ext uri="{FF2B5EF4-FFF2-40B4-BE49-F238E27FC236}">
              <a16:creationId xmlns:a16="http://schemas.microsoft.com/office/drawing/2014/main" id="{775B6AC3-272E-410F-CB3D-817FA3D0E925}"/>
            </a:ext>
          </a:extLst>
        </cdr:cNvPr>
        <cdr:cNvSpPr/>
      </cdr:nvSpPr>
      <cdr:spPr>
        <a:xfrm xmlns:a="http://schemas.openxmlformats.org/drawingml/2006/main">
          <a:off x="3140226" y="5926189"/>
          <a:ext cx="1140753" cy="11611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0753" h="1161177">
              <a:moveTo>
                <a:pt x="881830" y="286566"/>
              </a:moveTo>
              <a:lnTo>
                <a:pt x="36259" y="1161176"/>
              </a:lnTo>
              <a:lnTo>
                <a:pt x="0" y="1161176"/>
              </a:lnTo>
              <a:lnTo>
                <a:pt x="859451" y="272210"/>
              </a:lnTo>
              <a:lnTo>
                <a:pt x="1122623" y="0"/>
              </a:lnTo>
              <a:lnTo>
                <a:pt x="114075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0.56455</cdr:x>
      <cdr:y>0.3863</cdr:y>
    </cdr:from>
    <cdr:to>
      <cdr:x>0.71913</cdr:x>
      <cdr:y>0.5398</cdr:y>
    </cdr:to>
    <cdr:sp macro="" textlink="">
      <cdr:nvSpPr>
        <cdr:cNvPr id="213" name="FracNo 118 StartRow 2460">
          <a:extLst xmlns:a="http://schemas.openxmlformats.org/drawingml/2006/main">
            <a:ext uri="{FF2B5EF4-FFF2-40B4-BE49-F238E27FC236}">
              <a16:creationId xmlns:a16="http://schemas.microsoft.com/office/drawing/2014/main" id="{2D6699FE-32FD-B79C-B3C5-83DDF106953E}"/>
            </a:ext>
          </a:extLst>
        </cdr:cNvPr>
        <cdr:cNvSpPr/>
      </cdr:nvSpPr>
      <cdr:spPr>
        <a:xfrm xmlns:a="http://schemas.openxmlformats.org/drawingml/2006/main">
          <a:off x="4129788" y="2943636"/>
          <a:ext cx="1130800" cy="11696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30800" h="1169634">
              <a:moveTo>
                <a:pt x="43452" y="1105937"/>
              </a:moveTo>
              <a:lnTo>
                <a:pt x="0" y="1150881"/>
              </a:lnTo>
              <a:lnTo>
                <a:pt x="18129" y="1169633"/>
              </a:lnTo>
              <a:lnTo>
                <a:pt x="61581" y="1124689"/>
              </a:lnTo>
              <a:lnTo>
                <a:pt x="699373" y="464993"/>
              </a:lnTo>
              <a:lnTo>
                <a:pt x="1130799" y="18752"/>
              </a:lnTo>
              <a:lnTo>
                <a:pt x="1112669" y="0"/>
              </a:lnTo>
              <a:lnTo>
                <a:pt x="681244" y="44624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0.37256</cdr:x>
      <cdr:y>0.35746</cdr:y>
    </cdr:from>
    <cdr:to>
      <cdr:x>0.5269</cdr:x>
      <cdr:y>0.51072</cdr:y>
    </cdr:to>
    <cdr:sp macro="" textlink="">
      <cdr:nvSpPr>
        <cdr:cNvPr id="214" name="FracNo 746 StartRow 2471">
          <a:extLst xmlns:a="http://schemas.openxmlformats.org/drawingml/2006/main">
            <a:ext uri="{FF2B5EF4-FFF2-40B4-BE49-F238E27FC236}">
              <a16:creationId xmlns:a16="http://schemas.microsoft.com/office/drawing/2014/main" id="{A53D5868-9067-5E08-BC88-0E68A69955FD}"/>
            </a:ext>
          </a:extLst>
        </cdr:cNvPr>
        <cdr:cNvSpPr/>
      </cdr:nvSpPr>
      <cdr:spPr>
        <a:xfrm xmlns:a="http://schemas.openxmlformats.org/drawingml/2006/main">
          <a:off x="2725384" y="2723877"/>
          <a:ext cx="1129031" cy="11678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29031" h="1167804">
              <a:moveTo>
                <a:pt x="728089" y="433462"/>
              </a:moveTo>
              <a:lnTo>
                <a:pt x="29567" y="1155973"/>
              </a:lnTo>
              <a:lnTo>
                <a:pt x="18129" y="1167803"/>
              </a:lnTo>
              <a:lnTo>
                <a:pt x="0" y="1149051"/>
              </a:lnTo>
              <a:lnTo>
                <a:pt x="11438" y="1137221"/>
              </a:lnTo>
              <a:lnTo>
                <a:pt x="709959" y="414710"/>
              </a:lnTo>
              <a:lnTo>
                <a:pt x="1049774" y="63226"/>
              </a:lnTo>
              <a:lnTo>
                <a:pt x="1110901" y="0"/>
              </a:lnTo>
              <a:lnTo>
                <a:pt x="1129030" y="18752"/>
              </a:lnTo>
              <a:lnTo>
                <a:pt x="1067903" y="8197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0.72915</cdr:x>
      <cdr:y>0.08544</cdr:y>
    </cdr:from>
    <cdr:to>
      <cdr:x>0.88459</cdr:x>
      <cdr:y>0.23733</cdr:y>
    </cdr:to>
    <cdr:sp macro="" textlink="">
      <cdr:nvSpPr>
        <cdr:cNvPr id="215" name="FracNo 760 StartRow 2484">
          <a:extLst xmlns:a="http://schemas.openxmlformats.org/drawingml/2006/main">
            <a:ext uri="{FF2B5EF4-FFF2-40B4-BE49-F238E27FC236}">
              <a16:creationId xmlns:a16="http://schemas.microsoft.com/office/drawing/2014/main" id="{811FFFBB-D435-31A3-EAA3-4D8B429A0BF1}"/>
            </a:ext>
          </a:extLst>
        </cdr:cNvPr>
        <cdr:cNvSpPr/>
      </cdr:nvSpPr>
      <cdr:spPr>
        <a:xfrm xmlns:a="http://schemas.openxmlformats.org/drawingml/2006/main">
          <a:off x="5333849" y="651036"/>
          <a:ext cx="1137137" cy="11574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37137" h="1157436">
              <a:moveTo>
                <a:pt x="295140" y="833407"/>
              </a:moveTo>
              <a:lnTo>
                <a:pt x="0" y="1138683"/>
              </a:lnTo>
              <a:lnTo>
                <a:pt x="18129" y="1157435"/>
              </a:lnTo>
              <a:lnTo>
                <a:pt x="318130" y="847132"/>
              </a:lnTo>
              <a:lnTo>
                <a:pt x="1137136" y="0"/>
              </a:lnTo>
              <a:lnTo>
                <a:pt x="110087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0.67987</cdr:x>
      <cdr:y>0.10703</cdr:y>
    </cdr:from>
    <cdr:to>
      <cdr:x>0.83337</cdr:x>
      <cdr:y>0.25945</cdr:y>
    </cdr:to>
    <cdr:sp macro="" textlink="">
      <cdr:nvSpPr>
        <cdr:cNvPr id="216" name="FracNo 678 StartRow 2493">
          <a:extLst xmlns:a="http://schemas.openxmlformats.org/drawingml/2006/main">
            <a:ext uri="{FF2B5EF4-FFF2-40B4-BE49-F238E27FC236}">
              <a16:creationId xmlns:a16="http://schemas.microsoft.com/office/drawing/2014/main" id="{FF2E232B-380D-BA61-C30C-3DBC7A72BC38}"/>
            </a:ext>
          </a:extLst>
        </cdr:cNvPr>
        <cdr:cNvSpPr/>
      </cdr:nvSpPr>
      <cdr:spPr>
        <a:xfrm xmlns:a="http://schemas.openxmlformats.org/drawingml/2006/main">
          <a:off x="4973366" y="815555"/>
          <a:ext cx="1122909" cy="11614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22909" h="1161472">
              <a:moveTo>
                <a:pt x="243640" y="928216"/>
              </a:moveTo>
              <a:lnTo>
                <a:pt x="18129" y="1161471"/>
              </a:lnTo>
              <a:lnTo>
                <a:pt x="0" y="1142719"/>
              </a:lnTo>
              <a:lnTo>
                <a:pt x="225510" y="909464"/>
              </a:lnTo>
              <a:lnTo>
                <a:pt x="1104778" y="0"/>
              </a:lnTo>
              <a:lnTo>
                <a:pt x="112290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0.3882</cdr:x>
      <cdr:y>0.66764</cdr:y>
    </cdr:from>
    <cdr:to>
      <cdr:x>0.54136</cdr:x>
      <cdr:y>0.81972</cdr:y>
    </cdr:to>
    <cdr:sp macro="" textlink="">
      <cdr:nvSpPr>
        <cdr:cNvPr id="217" name="FracNo 837 StartRow 2502">
          <a:extLst xmlns:a="http://schemas.openxmlformats.org/drawingml/2006/main">
            <a:ext uri="{FF2B5EF4-FFF2-40B4-BE49-F238E27FC236}">
              <a16:creationId xmlns:a16="http://schemas.microsoft.com/office/drawing/2014/main" id="{2D0154EF-2FB5-9976-D683-3D3F021867B1}"/>
            </a:ext>
          </a:extLst>
        </cdr:cNvPr>
        <cdr:cNvSpPr/>
      </cdr:nvSpPr>
      <cdr:spPr>
        <a:xfrm xmlns:a="http://schemas.openxmlformats.org/drawingml/2006/main">
          <a:off x="2839755" y="5087400"/>
          <a:ext cx="1120392" cy="11588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20392" h="1158869">
              <a:moveTo>
                <a:pt x="1087488" y="52785"/>
              </a:moveTo>
              <a:lnTo>
                <a:pt x="18129" y="1158868"/>
              </a:lnTo>
              <a:lnTo>
                <a:pt x="0" y="1140116"/>
              </a:lnTo>
              <a:lnTo>
                <a:pt x="1069358" y="34033"/>
              </a:lnTo>
              <a:lnTo>
                <a:pt x="1102262" y="0"/>
              </a:lnTo>
              <a:lnTo>
                <a:pt x="112039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0.32362</cdr:x>
      <cdr:y>0.08544</cdr:y>
    </cdr:from>
    <cdr:to>
      <cdr:x>0.47717</cdr:x>
      <cdr:y>0.23545</cdr:y>
    </cdr:to>
    <cdr:sp macro="" textlink="">
      <cdr:nvSpPr>
        <cdr:cNvPr id="218" name="FracNo 348 StartRow 2511">
          <a:extLst xmlns:a="http://schemas.openxmlformats.org/drawingml/2006/main">
            <a:ext uri="{FF2B5EF4-FFF2-40B4-BE49-F238E27FC236}">
              <a16:creationId xmlns:a16="http://schemas.microsoft.com/office/drawing/2014/main" id="{6AA02744-1BD8-01B5-AA09-DF855B2D5460}"/>
            </a:ext>
          </a:extLst>
        </cdr:cNvPr>
        <cdr:cNvSpPr/>
      </cdr:nvSpPr>
      <cdr:spPr>
        <a:xfrm xmlns:a="http://schemas.openxmlformats.org/drawingml/2006/main">
          <a:off x="2367332" y="651036"/>
          <a:ext cx="1123244" cy="11430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23244" h="1143067">
              <a:moveTo>
                <a:pt x="685940" y="414818"/>
              </a:moveTo>
              <a:lnTo>
                <a:pt x="369490" y="742135"/>
              </a:lnTo>
              <a:lnTo>
                <a:pt x="0" y="1124314"/>
              </a:lnTo>
              <a:lnTo>
                <a:pt x="18129" y="1143066"/>
              </a:lnTo>
              <a:lnTo>
                <a:pt x="387619" y="760887"/>
              </a:lnTo>
              <a:lnTo>
                <a:pt x="712065" y="425300"/>
              </a:lnTo>
              <a:lnTo>
                <a:pt x="1123243" y="0"/>
              </a:lnTo>
              <a:lnTo>
                <a:pt x="10869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0.42338</cdr:y>
    </cdr:from>
    <cdr:to>
      <cdr:x>0.24249</cdr:x>
      <cdr:y>0.57545</cdr:y>
    </cdr:to>
    <cdr:sp macro="" textlink="">
      <cdr:nvSpPr>
        <cdr:cNvPr id="219" name="FracNo 1008 StartRow 2522">
          <a:extLst xmlns:a="http://schemas.openxmlformats.org/drawingml/2006/main">
            <a:ext uri="{FF2B5EF4-FFF2-40B4-BE49-F238E27FC236}">
              <a16:creationId xmlns:a16="http://schemas.microsoft.com/office/drawing/2014/main" id="{C9EA5E9E-9E7F-8418-EC07-E61D43098057}"/>
            </a:ext>
          </a:extLst>
        </cdr:cNvPr>
        <cdr:cNvSpPr/>
      </cdr:nvSpPr>
      <cdr:spPr>
        <a:xfrm xmlns:a="http://schemas.openxmlformats.org/drawingml/2006/main">
          <a:off x="671676" y="3226151"/>
          <a:ext cx="1102187" cy="11587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02187" h="1158790">
              <a:moveTo>
                <a:pt x="837718" y="254798"/>
              </a:moveTo>
              <a:lnTo>
                <a:pt x="0" y="1121285"/>
              </a:lnTo>
              <a:lnTo>
                <a:pt x="0" y="1158789"/>
              </a:lnTo>
              <a:lnTo>
                <a:pt x="851728" y="277811"/>
              </a:lnTo>
              <a:lnTo>
                <a:pt x="1102186" y="18752"/>
              </a:lnTo>
              <a:lnTo>
                <a:pt x="108405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0.3302</cdr:x>
      <cdr:y>0.59272</cdr:y>
    </cdr:from>
    <cdr:to>
      <cdr:x>0.4813</cdr:x>
      <cdr:y>0.74276</cdr:y>
    </cdr:to>
    <cdr:sp macro="" textlink="">
      <cdr:nvSpPr>
        <cdr:cNvPr id="220" name="FracNo 269 StartRow 2531">
          <a:extLst xmlns:a="http://schemas.openxmlformats.org/drawingml/2006/main">
            <a:ext uri="{FF2B5EF4-FFF2-40B4-BE49-F238E27FC236}">
              <a16:creationId xmlns:a16="http://schemas.microsoft.com/office/drawing/2014/main" id="{0FA53606-A719-D5D9-1B94-F70AA1876C56}"/>
            </a:ext>
          </a:extLst>
        </cdr:cNvPr>
        <cdr:cNvSpPr/>
      </cdr:nvSpPr>
      <cdr:spPr>
        <a:xfrm xmlns:a="http://schemas.openxmlformats.org/drawingml/2006/main">
          <a:off x="2415500" y="4516527"/>
          <a:ext cx="1105323" cy="11432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05323" h="1143283">
              <a:moveTo>
                <a:pt x="357455" y="754799"/>
              </a:moveTo>
              <a:lnTo>
                <a:pt x="321322" y="792173"/>
              </a:lnTo>
              <a:lnTo>
                <a:pt x="0" y="1124530"/>
              </a:lnTo>
              <a:lnTo>
                <a:pt x="18129" y="1143282"/>
              </a:lnTo>
              <a:lnTo>
                <a:pt x="339451" y="810925"/>
              </a:lnTo>
              <a:lnTo>
                <a:pt x="375584" y="773551"/>
              </a:lnTo>
              <a:lnTo>
                <a:pt x="703116" y="434771"/>
              </a:lnTo>
              <a:lnTo>
                <a:pt x="1105322" y="18752"/>
              </a:lnTo>
              <a:lnTo>
                <a:pt x="1087193" y="0"/>
              </a:lnTo>
              <a:lnTo>
                <a:pt x="684987" y="41601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0.36683</cdr:x>
      <cdr:y>0.6107</cdr:y>
    </cdr:from>
    <cdr:to>
      <cdr:x>0.51661</cdr:x>
      <cdr:y>0.75943</cdr:y>
    </cdr:to>
    <cdr:sp macro="" textlink="">
      <cdr:nvSpPr>
        <cdr:cNvPr id="221" name="FracNo 273 StartRow 2544">
          <a:extLst xmlns:a="http://schemas.openxmlformats.org/drawingml/2006/main">
            <a:ext uri="{FF2B5EF4-FFF2-40B4-BE49-F238E27FC236}">
              <a16:creationId xmlns:a16="http://schemas.microsoft.com/office/drawing/2014/main" id="{042A3ABD-A398-C037-435B-3B39B5F4BEBE}"/>
            </a:ext>
          </a:extLst>
        </cdr:cNvPr>
        <cdr:cNvSpPr/>
      </cdr:nvSpPr>
      <cdr:spPr>
        <a:xfrm xmlns:a="http://schemas.openxmlformats.org/drawingml/2006/main">
          <a:off x="2683457" y="4653554"/>
          <a:ext cx="1095651" cy="11332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95651" h="1133279">
              <a:moveTo>
                <a:pt x="279757" y="862664"/>
              </a:moveTo>
              <a:lnTo>
                <a:pt x="71494" y="1078080"/>
              </a:lnTo>
              <a:lnTo>
                <a:pt x="18129" y="1133278"/>
              </a:lnTo>
              <a:lnTo>
                <a:pt x="0" y="1114526"/>
              </a:lnTo>
              <a:lnTo>
                <a:pt x="53365" y="1059328"/>
              </a:lnTo>
              <a:lnTo>
                <a:pt x="261628" y="843912"/>
              </a:lnTo>
              <a:lnTo>
                <a:pt x="807792" y="278992"/>
              </a:lnTo>
              <a:lnTo>
                <a:pt x="1077521" y="0"/>
              </a:lnTo>
              <a:lnTo>
                <a:pt x="1095650" y="18752"/>
              </a:lnTo>
              <a:lnTo>
                <a:pt x="825921" y="29774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0.52599</cdr:x>
      <cdr:y>0.78275</cdr:y>
    </cdr:from>
    <cdr:to>
      <cdr:x>0.67686</cdr:x>
      <cdr:y>0.9301</cdr:y>
    </cdr:to>
    <cdr:sp macro="" textlink="">
      <cdr:nvSpPr>
        <cdr:cNvPr id="222" name="FracNo 275 StartRow 2557">
          <a:extLst xmlns:a="http://schemas.openxmlformats.org/drawingml/2006/main">
            <a:ext uri="{FF2B5EF4-FFF2-40B4-BE49-F238E27FC236}">
              <a16:creationId xmlns:a16="http://schemas.microsoft.com/office/drawing/2014/main" id="{75160E7F-9A92-8F70-7DE9-4415EA9727D1}"/>
            </a:ext>
          </a:extLst>
        </cdr:cNvPr>
        <cdr:cNvSpPr/>
      </cdr:nvSpPr>
      <cdr:spPr>
        <a:xfrm xmlns:a="http://schemas.openxmlformats.org/drawingml/2006/main">
          <a:off x="3847752" y="5964583"/>
          <a:ext cx="1103634" cy="11227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03634" h="1122783">
              <a:moveTo>
                <a:pt x="219849" y="895383"/>
              </a:moveTo>
              <a:lnTo>
                <a:pt x="0" y="1122782"/>
              </a:lnTo>
              <a:lnTo>
                <a:pt x="36259" y="1122782"/>
              </a:lnTo>
              <a:lnTo>
                <a:pt x="251970" y="899662"/>
              </a:lnTo>
              <a:lnTo>
                <a:pt x="981409" y="145173"/>
              </a:lnTo>
              <a:lnTo>
                <a:pt x="1103633" y="18752"/>
              </a:lnTo>
              <a:lnTo>
                <a:pt x="1085504" y="0"/>
              </a:lnTo>
              <a:lnTo>
                <a:pt x="963280" y="12642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0.24023</cdr:y>
    </cdr:from>
    <cdr:to>
      <cdr:x>0.23953</cdr:x>
      <cdr:y>0.38936</cdr:y>
    </cdr:to>
    <cdr:sp macro="" textlink="">
      <cdr:nvSpPr>
        <cdr:cNvPr id="223" name="FracNo 1032 StartRow 2568">
          <a:extLst xmlns:a="http://schemas.openxmlformats.org/drawingml/2006/main">
            <a:ext uri="{FF2B5EF4-FFF2-40B4-BE49-F238E27FC236}">
              <a16:creationId xmlns:a16="http://schemas.microsoft.com/office/drawing/2014/main" id="{ABA3E403-57DA-FF30-7C8D-342B663EF0D8}"/>
            </a:ext>
          </a:extLst>
        </cdr:cNvPr>
        <cdr:cNvSpPr/>
      </cdr:nvSpPr>
      <cdr:spPr>
        <a:xfrm xmlns:a="http://schemas.openxmlformats.org/drawingml/2006/main">
          <a:off x="671676" y="1830583"/>
          <a:ext cx="1080513" cy="11363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80513" h="1136372">
              <a:moveTo>
                <a:pt x="16032" y="1082285"/>
              </a:moveTo>
              <a:lnTo>
                <a:pt x="0" y="1098868"/>
              </a:lnTo>
              <a:lnTo>
                <a:pt x="0" y="1136371"/>
              </a:lnTo>
              <a:lnTo>
                <a:pt x="18144" y="1117604"/>
              </a:lnTo>
              <a:lnTo>
                <a:pt x="155751" y="975272"/>
              </a:lnTo>
              <a:lnTo>
                <a:pt x="1080512" y="18752"/>
              </a:lnTo>
              <a:lnTo>
                <a:pt x="1062383" y="0"/>
              </a:lnTo>
              <a:lnTo>
                <a:pt x="137621" y="95652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0.70255</cdr:x>
      <cdr:y>0.37015</cdr:y>
    </cdr:from>
    <cdr:to>
      <cdr:x>0.8509</cdr:x>
      <cdr:y>0.51746</cdr:y>
    </cdr:to>
    <cdr:sp macro="" textlink="">
      <cdr:nvSpPr>
        <cdr:cNvPr id="224" name="FracNo 898 StartRow 2579">
          <a:extLst xmlns:a="http://schemas.openxmlformats.org/drawingml/2006/main">
            <a:ext uri="{FF2B5EF4-FFF2-40B4-BE49-F238E27FC236}">
              <a16:creationId xmlns:a16="http://schemas.microsoft.com/office/drawing/2014/main" id="{8CCAF704-6079-D3E2-5A43-5D9EA6CA0F90}"/>
            </a:ext>
          </a:extLst>
        </cdr:cNvPr>
        <cdr:cNvSpPr/>
      </cdr:nvSpPr>
      <cdr:spPr>
        <a:xfrm xmlns:a="http://schemas.openxmlformats.org/drawingml/2006/main">
          <a:off x="5139303" y="2820545"/>
          <a:ext cx="1085216" cy="11224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85216" h="1122484">
              <a:moveTo>
                <a:pt x="527769" y="595341"/>
              </a:moveTo>
              <a:lnTo>
                <a:pt x="18129" y="1122483"/>
              </a:lnTo>
              <a:lnTo>
                <a:pt x="0" y="1103731"/>
              </a:lnTo>
              <a:lnTo>
                <a:pt x="509640" y="576589"/>
              </a:lnTo>
              <a:lnTo>
                <a:pt x="1067086" y="0"/>
              </a:lnTo>
              <a:lnTo>
                <a:pt x="1085215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0.66611</cdr:x>
      <cdr:y>0.62132</cdr:y>
    </cdr:from>
    <cdr:to>
      <cdr:x>0.81332</cdr:x>
      <cdr:y>0.76749</cdr:y>
    </cdr:to>
    <cdr:sp macro="" textlink="">
      <cdr:nvSpPr>
        <cdr:cNvPr id="225" name="FracNo 780 StartRow 2588">
          <a:extLst xmlns:a="http://schemas.openxmlformats.org/drawingml/2006/main">
            <a:ext uri="{FF2B5EF4-FFF2-40B4-BE49-F238E27FC236}">
              <a16:creationId xmlns:a16="http://schemas.microsoft.com/office/drawing/2014/main" id="{F69779BE-8F7A-496F-1334-CD7A4AAA5A39}"/>
            </a:ext>
          </a:extLst>
        </cdr:cNvPr>
        <cdr:cNvSpPr/>
      </cdr:nvSpPr>
      <cdr:spPr>
        <a:xfrm xmlns:a="http://schemas.openxmlformats.org/drawingml/2006/main">
          <a:off x="4872725" y="4734479"/>
          <a:ext cx="1076842" cy="11138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76842" h="1113823">
              <a:moveTo>
                <a:pt x="635298" y="437955"/>
              </a:moveTo>
              <a:lnTo>
                <a:pt x="0" y="1095070"/>
              </a:lnTo>
              <a:lnTo>
                <a:pt x="18129" y="1113822"/>
              </a:lnTo>
              <a:lnTo>
                <a:pt x="653427" y="456707"/>
              </a:lnTo>
              <a:lnTo>
                <a:pt x="885350" y="216819"/>
              </a:lnTo>
              <a:lnTo>
                <a:pt x="1076841" y="18752"/>
              </a:lnTo>
              <a:lnTo>
                <a:pt x="1058712" y="0"/>
              </a:lnTo>
              <a:lnTo>
                <a:pt x="867221" y="19806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0.23723</cdr:y>
    </cdr:from>
    <cdr:to>
      <cdr:x>0.2365</cdr:x>
      <cdr:y>0.38336</cdr:y>
    </cdr:to>
    <cdr:sp macro="" textlink="">
      <cdr:nvSpPr>
        <cdr:cNvPr id="226" name="FracNo 588 StartRow 2599">
          <a:extLst xmlns:a="http://schemas.openxmlformats.org/drawingml/2006/main">
            <a:ext uri="{FF2B5EF4-FFF2-40B4-BE49-F238E27FC236}">
              <a16:creationId xmlns:a16="http://schemas.microsoft.com/office/drawing/2014/main" id="{F7C22960-F831-1F9B-81EA-AD910A17E778}"/>
            </a:ext>
          </a:extLst>
        </cdr:cNvPr>
        <cdr:cNvSpPr/>
      </cdr:nvSpPr>
      <cdr:spPr>
        <a:xfrm xmlns:a="http://schemas.openxmlformats.org/drawingml/2006/main">
          <a:off x="671676" y="1807704"/>
          <a:ext cx="1058393" cy="11134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58393" h="1113492">
              <a:moveTo>
                <a:pt x="451719" y="608755"/>
              </a:moveTo>
              <a:lnTo>
                <a:pt x="100411" y="972128"/>
              </a:lnTo>
              <a:lnTo>
                <a:pt x="0" y="1075987"/>
              </a:lnTo>
              <a:lnTo>
                <a:pt x="0" y="1113491"/>
              </a:lnTo>
              <a:lnTo>
                <a:pt x="104481" y="1005422"/>
              </a:lnTo>
              <a:lnTo>
                <a:pt x="461044" y="636614"/>
              </a:lnTo>
              <a:lnTo>
                <a:pt x="1058392" y="18752"/>
              </a:lnTo>
              <a:lnTo>
                <a:pt x="104026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0.40567</cdr:x>
      <cdr:y>0.78652</cdr:y>
    </cdr:from>
    <cdr:to>
      <cdr:x>0.55275</cdr:x>
      <cdr:y>0.9301</cdr:y>
    </cdr:to>
    <cdr:sp macro="" textlink="">
      <cdr:nvSpPr>
        <cdr:cNvPr id="227" name="FracNo 941 StartRow 2610">
          <a:extLst xmlns:a="http://schemas.openxmlformats.org/drawingml/2006/main">
            <a:ext uri="{FF2B5EF4-FFF2-40B4-BE49-F238E27FC236}">
              <a16:creationId xmlns:a16="http://schemas.microsoft.com/office/drawing/2014/main" id="{A0DABDD0-28E9-2E88-73D7-36F9BEC04D2B}"/>
            </a:ext>
          </a:extLst>
        </cdr:cNvPr>
        <cdr:cNvSpPr/>
      </cdr:nvSpPr>
      <cdr:spPr>
        <a:xfrm xmlns:a="http://schemas.openxmlformats.org/drawingml/2006/main">
          <a:off x="2967593" y="5993297"/>
          <a:ext cx="1075872" cy="10940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75872" h="1094069">
              <a:moveTo>
                <a:pt x="628131" y="481869"/>
              </a:moveTo>
              <a:lnTo>
                <a:pt x="36258" y="1094068"/>
              </a:lnTo>
              <a:lnTo>
                <a:pt x="0" y="1094068"/>
              </a:lnTo>
              <a:lnTo>
                <a:pt x="602193" y="471194"/>
              </a:lnTo>
              <a:lnTo>
                <a:pt x="1057742" y="0"/>
              </a:lnTo>
              <a:lnTo>
                <a:pt x="107587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0.23902</cdr:x>
      <cdr:y>0.28044</cdr:y>
    </cdr:from>
    <cdr:to>
      <cdr:x>0.38445</cdr:x>
      <cdr:y>0.42485</cdr:y>
    </cdr:to>
    <cdr:sp macro="" textlink="">
      <cdr:nvSpPr>
        <cdr:cNvPr id="228" name="FracNo 874 StartRow 2619">
          <a:extLst xmlns:a="http://schemas.openxmlformats.org/drawingml/2006/main">
            <a:ext uri="{FF2B5EF4-FFF2-40B4-BE49-F238E27FC236}">
              <a16:creationId xmlns:a16="http://schemas.microsoft.com/office/drawing/2014/main" id="{FE494E86-72EC-1BE4-9C43-05DBC80D081E}"/>
            </a:ext>
          </a:extLst>
        </cdr:cNvPr>
        <cdr:cNvSpPr/>
      </cdr:nvSpPr>
      <cdr:spPr>
        <a:xfrm xmlns:a="http://schemas.openxmlformats.org/drawingml/2006/main">
          <a:off x="1748454" y="2136981"/>
          <a:ext cx="1063859" cy="11003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63859" h="1100394">
              <a:moveTo>
                <a:pt x="350196" y="756922"/>
              </a:moveTo>
              <a:lnTo>
                <a:pt x="18129" y="1100393"/>
              </a:lnTo>
              <a:lnTo>
                <a:pt x="0" y="1081642"/>
              </a:lnTo>
              <a:lnTo>
                <a:pt x="332067" y="738171"/>
              </a:lnTo>
              <a:lnTo>
                <a:pt x="417192" y="650122"/>
              </a:lnTo>
              <a:lnTo>
                <a:pt x="988368" y="59331"/>
              </a:lnTo>
              <a:lnTo>
                <a:pt x="1045729" y="0"/>
              </a:lnTo>
              <a:lnTo>
                <a:pt x="1063858" y="18752"/>
              </a:lnTo>
              <a:lnTo>
                <a:pt x="1006497" y="78083"/>
              </a:lnTo>
              <a:lnTo>
                <a:pt x="435321" y="66887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0.51583</cdr:x>
      <cdr:y>0.37433</cdr:y>
    </cdr:from>
    <cdr:to>
      <cdr:x>0.66117</cdr:x>
      <cdr:y>0.51865</cdr:y>
    </cdr:to>
    <cdr:sp macro="" textlink="">
      <cdr:nvSpPr>
        <cdr:cNvPr id="229" name="FracNo 748 StartRow 2632">
          <a:extLst xmlns:a="http://schemas.openxmlformats.org/drawingml/2006/main">
            <a:ext uri="{FF2B5EF4-FFF2-40B4-BE49-F238E27FC236}">
              <a16:creationId xmlns:a16="http://schemas.microsoft.com/office/drawing/2014/main" id="{0235FA5F-4153-68A3-CCEF-F66DED6DBD07}"/>
            </a:ext>
          </a:extLst>
        </cdr:cNvPr>
        <cdr:cNvSpPr/>
      </cdr:nvSpPr>
      <cdr:spPr>
        <a:xfrm xmlns:a="http://schemas.openxmlformats.org/drawingml/2006/main">
          <a:off x="3773384" y="2852383"/>
          <a:ext cx="1063207" cy="10997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63207" h="1099720">
              <a:moveTo>
                <a:pt x="825080" y="227552"/>
              </a:moveTo>
              <a:lnTo>
                <a:pt x="0" y="1080967"/>
              </a:lnTo>
              <a:lnTo>
                <a:pt x="18129" y="1099719"/>
              </a:lnTo>
              <a:lnTo>
                <a:pt x="843210" y="246304"/>
              </a:lnTo>
              <a:lnTo>
                <a:pt x="1055777" y="26436"/>
              </a:lnTo>
              <a:lnTo>
                <a:pt x="1063206" y="18752"/>
              </a:lnTo>
              <a:lnTo>
                <a:pt x="1045077" y="0"/>
              </a:lnTo>
              <a:lnTo>
                <a:pt x="1037648" y="768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0.21088</cdr:x>
      <cdr:y>0.78743</cdr:y>
    </cdr:from>
    <cdr:to>
      <cdr:x>0.35704</cdr:x>
      <cdr:y>0.9301</cdr:y>
    </cdr:to>
    <cdr:sp macro="" textlink="">
      <cdr:nvSpPr>
        <cdr:cNvPr id="230" name="FracNo 792 StartRow 2643">
          <a:extLst xmlns:a="http://schemas.openxmlformats.org/drawingml/2006/main">
            <a:ext uri="{FF2B5EF4-FFF2-40B4-BE49-F238E27FC236}">
              <a16:creationId xmlns:a16="http://schemas.microsoft.com/office/drawing/2014/main" id="{B28B6C0F-5CBB-30C8-7D2A-6095D59B4C18}"/>
            </a:ext>
          </a:extLst>
        </cdr:cNvPr>
        <cdr:cNvSpPr/>
      </cdr:nvSpPr>
      <cdr:spPr>
        <a:xfrm xmlns:a="http://schemas.openxmlformats.org/drawingml/2006/main">
          <a:off x="1542633" y="6000201"/>
          <a:ext cx="1069198" cy="10871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69198" h="1087165">
              <a:moveTo>
                <a:pt x="735643" y="326257"/>
              </a:moveTo>
              <a:lnTo>
                <a:pt x="0" y="1087164"/>
              </a:lnTo>
              <a:lnTo>
                <a:pt x="36258" y="1087164"/>
              </a:lnTo>
              <a:lnTo>
                <a:pt x="759213" y="339381"/>
              </a:lnTo>
              <a:lnTo>
                <a:pt x="1069197" y="18752"/>
              </a:lnTo>
              <a:lnTo>
                <a:pt x="10510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0.38156</cdr:x>
      <cdr:y>0.58889</cdr:y>
    </cdr:from>
    <cdr:to>
      <cdr:x>0.52598</cdr:x>
      <cdr:y>0.73231</cdr:y>
    </cdr:to>
    <cdr:sp macro="" textlink="">
      <cdr:nvSpPr>
        <cdr:cNvPr id="231" name="FracNo 267 StartRow 2652">
          <a:extLst xmlns:a="http://schemas.openxmlformats.org/drawingml/2006/main">
            <a:ext uri="{FF2B5EF4-FFF2-40B4-BE49-F238E27FC236}">
              <a16:creationId xmlns:a16="http://schemas.microsoft.com/office/drawing/2014/main" id="{4B042FF1-0BD0-808E-0917-52367A48CBCA}"/>
            </a:ext>
          </a:extLst>
        </cdr:cNvPr>
        <cdr:cNvSpPr/>
      </cdr:nvSpPr>
      <cdr:spPr>
        <a:xfrm xmlns:a="http://schemas.openxmlformats.org/drawingml/2006/main">
          <a:off x="2791161" y="4487372"/>
          <a:ext cx="1056513" cy="10927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56513" h="1092794">
              <a:moveTo>
                <a:pt x="547469" y="507771"/>
              </a:moveTo>
              <a:lnTo>
                <a:pt x="0" y="1074042"/>
              </a:lnTo>
              <a:lnTo>
                <a:pt x="18130" y="1092793"/>
              </a:lnTo>
              <a:lnTo>
                <a:pt x="565599" y="526523"/>
              </a:lnTo>
              <a:lnTo>
                <a:pt x="626118" y="463926"/>
              </a:lnTo>
              <a:lnTo>
                <a:pt x="1056512" y="18752"/>
              </a:lnTo>
              <a:lnTo>
                <a:pt x="1038382" y="0"/>
              </a:lnTo>
              <a:lnTo>
                <a:pt x="607988" y="44517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0.1049</cdr:y>
    </cdr:from>
    <cdr:to>
      <cdr:x>0.2349</cdr:x>
      <cdr:y>0.24943</cdr:y>
    </cdr:to>
    <cdr:sp macro="" textlink="">
      <cdr:nvSpPr>
        <cdr:cNvPr id="232" name="FracNo 597 StartRow 2663">
          <a:extLst xmlns:a="http://schemas.openxmlformats.org/drawingml/2006/main">
            <a:ext uri="{FF2B5EF4-FFF2-40B4-BE49-F238E27FC236}">
              <a16:creationId xmlns:a16="http://schemas.microsoft.com/office/drawing/2014/main" id="{10CA5FEA-E483-4936-E873-644CF1EACBFD}"/>
            </a:ext>
          </a:extLst>
        </cdr:cNvPr>
        <cdr:cNvSpPr/>
      </cdr:nvSpPr>
      <cdr:spPr>
        <a:xfrm xmlns:a="http://schemas.openxmlformats.org/drawingml/2006/main">
          <a:off x="671676" y="799312"/>
          <a:ext cx="1046629" cy="11013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46629" h="1101325">
              <a:moveTo>
                <a:pt x="931775" y="137550"/>
              </a:moveTo>
              <a:lnTo>
                <a:pt x="0" y="1101324"/>
              </a:lnTo>
              <a:lnTo>
                <a:pt x="0" y="1063820"/>
              </a:lnTo>
              <a:lnTo>
                <a:pt x="915636" y="116740"/>
              </a:lnTo>
              <a:lnTo>
                <a:pt x="1028499" y="0"/>
              </a:lnTo>
              <a:lnTo>
                <a:pt x="1046628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0.58095</cdr:x>
      <cdr:y>0.67779</cdr:y>
    </cdr:from>
    <cdr:to>
      <cdr:x>0.72514</cdr:x>
      <cdr:y>0.82097</cdr:y>
    </cdr:to>
    <cdr:sp macro="" textlink="">
      <cdr:nvSpPr>
        <cdr:cNvPr id="233" name="FracNo 754 StartRow 2672">
          <a:extLst xmlns:a="http://schemas.openxmlformats.org/drawingml/2006/main">
            <a:ext uri="{FF2B5EF4-FFF2-40B4-BE49-F238E27FC236}">
              <a16:creationId xmlns:a16="http://schemas.microsoft.com/office/drawing/2014/main" id="{BEEA9D84-99E1-7111-9DFA-5129A342BD5B}"/>
            </a:ext>
          </a:extLst>
        </cdr:cNvPr>
        <cdr:cNvSpPr/>
      </cdr:nvSpPr>
      <cdr:spPr>
        <a:xfrm xmlns:a="http://schemas.openxmlformats.org/drawingml/2006/main">
          <a:off x="4249800" y="5164780"/>
          <a:ext cx="1054760" cy="10909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54760" h="1090983">
              <a:moveTo>
                <a:pt x="436790" y="657942"/>
              </a:moveTo>
              <a:lnTo>
                <a:pt x="18129" y="1090982"/>
              </a:lnTo>
              <a:lnTo>
                <a:pt x="0" y="1072230"/>
              </a:lnTo>
              <a:lnTo>
                <a:pt x="418661" y="639190"/>
              </a:lnTo>
              <a:lnTo>
                <a:pt x="561232" y="491723"/>
              </a:lnTo>
              <a:lnTo>
                <a:pt x="1036630" y="0"/>
              </a:lnTo>
              <a:lnTo>
                <a:pt x="1054759" y="18751"/>
              </a:lnTo>
              <a:lnTo>
                <a:pt x="579361" y="51047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0.80061</cdr:x>
      <cdr:y>0.4075</cdr:y>
    </cdr:from>
    <cdr:to>
      <cdr:x>0.94246</cdr:x>
      <cdr:y>0.55082</cdr:y>
    </cdr:to>
    <cdr:sp macro="" textlink="">
      <cdr:nvSpPr>
        <cdr:cNvPr id="234" name="FracNo 918 StartRow 2683">
          <a:extLst xmlns:a="http://schemas.openxmlformats.org/drawingml/2006/main">
            <a:ext uri="{FF2B5EF4-FFF2-40B4-BE49-F238E27FC236}">
              <a16:creationId xmlns:a16="http://schemas.microsoft.com/office/drawing/2014/main" id="{420FE859-D885-64AC-F966-8015C4AF71A5}"/>
            </a:ext>
          </a:extLst>
        </cdr:cNvPr>
        <cdr:cNvSpPr/>
      </cdr:nvSpPr>
      <cdr:spPr>
        <a:xfrm xmlns:a="http://schemas.openxmlformats.org/drawingml/2006/main">
          <a:off x="5856624" y="3105145"/>
          <a:ext cx="1037684" cy="10920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37684" h="1092073">
              <a:moveTo>
                <a:pt x="676854" y="373220"/>
              </a:moveTo>
              <a:lnTo>
                <a:pt x="0" y="1073320"/>
              </a:lnTo>
              <a:lnTo>
                <a:pt x="18129" y="1092072"/>
              </a:lnTo>
              <a:lnTo>
                <a:pt x="683158" y="404204"/>
              </a:lnTo>
              <a:lnTo>
                <a:pt x="1037683" y="37504"/>
              </a:lnTo>
              <a:lnTo>
                <a:pt x="103768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0.41532</cdr:y>
    </cdr:from>
    <cdr:to>
      <cdr:x>0.23351</cdr:x>
      <cdr:y>0.55848</cdr:y>
    </cdr:to>
    <cdr:sp macro="" textlink="">
      <cdr:nvSpPr>
        <cdr:cNvPr id="235" name="FracNo 954 StartRow 2692">
          <a:extLst xmlns:a="http://schemas.openxmlformats.org/drawingml/2006/main">
            <a:ext uri="{FF2B5EF4-FFF2-40B4-BE49-F238E27FC236}">
              <a16:creationId xmlns:a16="http://schemas.microsoft.com/office/drawing/2014/main" id="{FDD10443-086F-A87B-BDCD-D23851CBA278}"/>
            </a:ext>
          </a:extLst>
        </cdr:cNvPr>
        <cdr:cNvSpPr/>
      </cdr:nvSpPr>
      <cdr:spPr>
        <a:xfrm xmlns:a="http://schemas.openxmlformats.org/drawingml/2006/main">
          <a:off x="671676" y="3164722"/>
          <a:ext cx="1036528" cy="10908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36528" h="1090876">
              <a:moveTo>
                <a:pt x="190519" y="893813"/>
              </a:moveTo>
              <a:lnTo>
                <a:pt x="0" y="1090875"/>
              </a:lnTo>
              <a:lnTo>
                <a:pt x="0" y="1053371"/>
              </a:lnTo>
              <a:lnTo>
                <a:pt x="187186" y="859756"/>
              </a:lnTo>
              <a:lnTo>
                <a:pt x="1018397" y="0"/>
              </a:lnTo>
              <a:lnTo>
                <a:pt x="103652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0.21681</cdr:x>
      <cdr:y>0.39976</cdr:y>
    </cdr:from>
    <cdr:to>
      <cdr:x>0.35969</cdr:x>
      <cdr:y>0.54164</cdr:y>
    </cdr:to>
    <cdr:sp macro="" textlink="">
      <cdr:nvSpPr>
        <cdr:cNvPr id="236" name="FracNo 519 StartRow 2701">
          <a:extLst xmlns:a="http://schemas.openxmlformats.org/drawingml/2006/main">
            <a:ext uri="{FF2B5EF4-FFF2-40B4-BE49-F238E27FC236}">
              <a16:creationId xmlns:a16="http://schemas.microsoft.com/office/drawing/2014/main" id="{35AB984E-8543-8FEA-912B-933DEACA3161}"/>
            </a:ext>
          </a:extLst>
        </cdr:cNvPr>
        <cdr:cNvSpPr/>
      </cdr:nvSpPr>
      <cdr:spPr>
        <a:xfrm xmlns:a="http://schemas.openxmlformats.org/drawingml/2006/main">
          <a:off x="1586019" y="3046186"/>
          <a:ext cx="1045217" cy="10811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45217" h="1081112">
              <a:moveTo>
                <a:pt x="935970" y="94246"/>
              </a:moveTo>
              <a:lnTo>
                <a:pt x="0" y="1062359"/>
              </a:lnTo>
              <a:lnTo>
                <a:pt x="18129" y="1081111"/>
              </a:lnTo>
              <a:lnTo>
                <a:pt x="954099" y="112998"/>
              </a:lnTo>
              <a:lnTo>
                <a:pt x="1045216" y="18752"/>
              </a:lnTo>
              <a:lnTo>
                <a:pt x="102708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0.69552</cdr:x>
      <cdr:y>0.69697</cdr:y>
    </cdr:from>
    <cdr:to>
      <cdr:x>0.8372</cdr:x>
      <cdr:y>0.83766</cdr:y>
    </cdr:to>
    <cdr:sp macro="" textlink="">
      <cdr:nvSpPr>
        <cdr:cNvPr id="237" name="FracNo 437 StartRow 2710">
          <a:extLst xmlns:a="http://schemas.openxmlformats.org/drawingml/2006/main">
            <a:ext uri="{FF2B5EF4-FFF2-40B4-BE49-F238E27FC236}">
              <a16:creationId xmlns:a16="http://schemas.microsoft.com/office/drawing/2014/main" id="{FAC66258-3382-E06F-BCA4-25595A7CB6CB}"/>
            </a:ext>
          </a:extLst>
        </cdr:cNvPr>
        <cdr:cNvSpPr/>
      </cdr:nvSpPr>
      <cdr:spPr>
        <a:xfrm xmlns:a="http://schemas.openxmlformats.org/drawingml/2006/main">
          <a:off x="5087848" y="5310911"/>
          <a:ext cx="1036433" cy="10720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36433" h="1072028">
              <a:moveTo>
                <a:pt x="558417" y="513184"/>
              </a:moveTo>
              <a:lnTo>
                <a:pt x="18129" y="1072027"/>
              </a:lnTo>
              <a:lnTo>
                <a:pt x="0" y="1053275"/>
              </a:lnTo>
              <a:lnTo>
                <a:pt x="540287" y="494432"/>
              </a:lnTo>
              <a:lnTo>
                <a:pt x="1018304" y="0"/>
              </a:lnTo>
              <a:lnTo>
                <a:pt x="103643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0.67686</cdr:x>
      <cdr:y>0.64877</cdr:y>
    </cdr:from>
    <cdr:to>
      <cdr:x>0.81674</cdr:x>
      <cdr:y>0.78767</cdr:y>
    </cdr:to>
    <cdr:sp macro="" textlink="">
      <cdr:nvSpPr>
        <cdr:cNvPr id="238" name="FracNo 824 StartRow 2719">
          <a:extLst xmlns:a="http://schemas.openxmlformats.org/drawingml/2006/main">
            <a:ext uri="{FF2B5EF4-FFF2-40B4-BE49-F238E27FC236}">
              <a16:creationId xmlns:a16="http://schemas.microsoft.com/office/drawing/2014/main" id="{417B04A5-4209-4361-C34C-D6CE343A8662}"/>
            </a:ext>
          </a:extLst>
        </cdr:cNvPr>
        <cdr:cNvSpPr/>
      </cdr:nvSpPr>
      <cdr:spPr>
        <a:xfrm xmlns:a="http://schemas.openxmlformats.org/drawingml/2006/main">
          <a:off x="4951359" y="4943662"/>
          <a:ext cx="1023259" cy="10583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23259" h="1058399">
              <a:moveTo>
                <a:pt x="838256" y="172604"/>
              </a:moveTo>
              <a:lnTo>
                <a:pt x="0" y="1039647"/>
              </a:lnTo>
              <a:lnTo>
                <a:pt x="18130" y="1058398"/>
              </a:lnTo>
              <a:lnTo>
                <a:pt x="856385" y="191356"/>
              </a:lnTo>
              <a:lnTo>
                <a:pt x="1023258" y="18752"/>
              </a:lnTo>
              <a:lnTo>
                <a:pt x="100512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0.3052</cdr:x>
      <cdr:y>0.72492</cdr:y>
    </cdr:from>
    <cdr:to>
      <cdr:x>0.44475</cdr:x>
      <cdr:y>0.86348</cdr:y>
    </cdr:to>
    <cdr:sp macro="" textlink="">
      <cdr:nvSpPr>
        <cdr:cNvPr id="239" name="FracNo 825 StartRow 2728">
          <a:extLst xmlns:a="http://schemas.openxmlformats.org/drawingml/2006/main">
            <a:ext uri="{FF2B5EF4-FFF2-40B4-BE49-F238E27FC236}">
              <a16:creationId xmlns:a16="http://schemas.microsoft.com/office/drawing/2014/main" id="{BF059D10-6B87-C0B5-1EE7-23B92AE37F31}"/>
            </a:ext>
          </a:extLst>
        </cdr:cNvPr>
        <cdr:cNvSpPr/>
      </cdr:nvSpPr>
      <cdr:spPr>
        <a:xfrm xmlns:a="http://schemas.openxmlformats.org/drawingml/2006/main">
          <a:off x="2232633" y="5523866"/>
          <a:ext cx="1020770" cy="10558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20770" h="1055825">
              <a:moveTo>
                <a:pt x="699920" y="350620"/>
              </a:moveTo>
              <a:lnTo>
                <a:pt x="522318" y="534321"/>
              </a:lnTo>
              <a:lnTo>
                <a:pt x="18130" y="1055824"/>
              </a:lnTo>
              <a:lnTo>
                <a:pt x="0" y="1037072"/>
              </a:lnTo>
              <a:lnTo>
                <a:pt x="504189" y="515569"/>
              </a:lnTo>
              <a:lnTo>
                <a:pt x="681790" y="331868"/>
              </a:lnTo>
              <a:lnTo>
                <a:pt x="1002640" y="0"/>
              </a:lnTo>
              <a:lnTo>
                <a:pt x="102076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0.3094</cdr:x>
      <cdr:y>0.72909</cdr:y>
    </cdr:from>
    <cdr:to>
      <cdr:x>0.44894</cdr:x>
      <cdr:y>0.86765</cdr:y>
    </cdr:to>
    <cdr:sp macro="" textlink="">
      <cdr:nvSpPr>
        <cdr:cNvPr id="240" name="FracNo 979 StartRow 2739">
          <a:extLst xmlns:a="http://schemas.openxmlformats.org/drawingml/2006/main">
            <a:ext uri="{FF2B5EF4-FFF2-40B4-BE49-F238E27FC236}">
              <a16:creationId xmlns:a16="http://schemas.microsoft.com/office/drawing/2014/main" id="{12907E8F-991C-A939-25B4-116C021AA023}"/>
            </a:ext>
          </a:extLst>
        </cdr:cNvPr>
        <cdr:cNvSpPr/>
      </cdr:nvSpPr>
      <cdr:spPr>
        <a:xfrm xmlns:a="http://schemas.openxmlformats.org/drawingml/2006/main">
          <a:off x="2263349" y="5555636"/>
          <a:ext cx="1020770" cy="10558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20770" h="1055825">
              <a:moveTo>
                <a:pt x="662772" y="351539"/>
              </a:moveTo>
              <a:lnTo>
                <a:pt x="473473" y="547339"/>
              </a:lnTo>
              <a:lnTo>
                <a:pt x="0" y="1037072"/>
              </a:lnTo>
              <a:lnTo>
                <a:pt x="18129" y="1055824"/>
              </a:lnTo>
              <a:lnTo>
                <a:pt x="491602" y="566091"/>
              </a:lnTo>
              <a:lnTo>
                <a:pt x="680901" y="370291"/>
              </a:lnTo>
              <a:lnTo>
                <a:pt x="1020769" y="18752"/>
              </a:lnTo>
              <a:lnTo>
                <a:pt x="100263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0.29198</cdr:x>
      <cdr:y>0.27778</cdr:y>
    </cdr:from>
    <cdr:to>
      <cdr:x>0.4315</cdr:x>
      <cdr:y>0.41633</cdr:y>
    </cdr:to>
    <cdr:sp macro="" textlink="">
      <cdr:nvSpPr>
        <cdr:cNvPr id="241" name="FracNo 725 StartRow 2750">
          <a:extLst xmlns:a="http://schemas.openxmlformats.org/drawingml/2006/main">
            <a:ext uri="{FF2B5EF4-FFF2-40B4-BE49-F238E27FC236}">
              <a16:creationId xmlns:a16="http://schemas.microsoft.com/office/drawing/2014/main" id="{008189ED-C055-9416-30ED-F3EE57B96899}"/>
            </a:ext>
          </a:extLst>
        </cdr:cNvPr>
        <cdr:cNvSpPr/>
      </cdr:nvSpPr>
      <cdr:spPr>
        <a:xfrm xmlns:a="http://schemas.openxmlformats.org/drawingml/2006/main">
          <a:off x="2135868" y="2116685"/>
          <a:ext cx="1020677" cy="10557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20677" h="1055729">
              <a:moveTo>
                <a:pt x="719723" y="330041"/>
              </a:moveTo>
              <a:lnTo>
                <a:pt x="619083" y="434136"/>
              </a:lnTo>
              <a:lnTo>
                <a:pt x="372517" y="689170"/>
              </a:lnTo>
              <a:lnTo>
                <a:pt x="18129" y="1055728"/>
              </a:lnTo>
              <a:lnTo>
                <a:pt x="0" y="1036976"/>
              </a:lnTo>
              <a:lnTo>
                <a:pt x="354388" y="670418"/>
              </a:lnTo>
              <a:lnTo>
                <a:pt x="600954" y="415385"/>
              </a:lnTo>
              <a:lnTo>
                <a:pt x="701593" y="311289"/>
              </a:lnTo>
              <a:lnTo>
                <a:pt x="1002547" y="0"/>
              </a:lnTo>
              <a:lnTo>
                <a:pt x="102067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0.77813</cdr:y>
    </cdr:from>
    <cdr:to>
      <cdr:x>0.22898</cdr:x>
      <cdr:y>0.91679</cdr:y>
    </cdr:to>
    <cdr:sp macro="" textlink="">
      <cdr:nvSpPr>
        <cdr:cNvPr id="242" name="FracNo 908 StartRow 2763">
          <a:extLst xmlns:a="http://schemas.openxmlformats.org/drawingml/2006/main">
            <a:ext uri="{FF2B5EF4-FFF2-40B4-BE49-F238E27FC236}">
              <a16:creationId xmlns:a16="http://schemas.microsoft.com/office/drawing/2014/main" id="{9E96B26E-A49F-E29E-D03E-CA5F18CC0E2A}"/>
            </a:ext>
          </a:extLst>
        </cdr:cNvPr>
        <cdr:cNvSpPr/>
      </cdr:nvSpPr>
      <cdr:spPr>
        <a:xfrm xmlns:a="http://schemas.openxmlformats.org/drawingml/2006/main">
          <a:off x="671676" y="5929319"/>
          <a:ext cx="1003379" cy="10565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03379" h="1056590">
              <a:moveTo>
                <a:pt x="363842" y="680252"/>
              </a:moveTo>
              <a:lnTo>
                <a:pt x="0" y="1056589"/>
              </a:lnTo>
              <a:lnTo>
                <a:pt x="0" y="1019085"/>
              </a:lnTo>
              <a:lnTo>
                <a:pt x="357268" y="649548"/>
              </a:lnTo>
              <a:lnTo>
                <a:pt x="985249" y="0"/>
              </a:lnTo>
              <a:lnTo>
                <a:pt x="100337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0.36888</cdr:x>
      <cdr:y>0.26898</cdr:y>
    </cdr:from>
    <cdr:to>
      <cdr:x>0.507</cdr:x>
      <cdr:y>0.40613</cdr:y>
    </cdr:to>
    <cdr:sp macro="" textlink="">
      <cdr:nvSpPr>
        <cdr:cNvPr id="243" name="FracNo 863 StartRow 2772">
          <a:extLst xmlns:a="http://schemas.openxmlformats.org/drawingml/2006/main">
            <a:ext uri="{FF2B5EF4-FFF2-40B4-BE49-F238E27FC236}">
              <a16:creationId xmlns:a16="http://schemas.microsoft.com/office/drawing/2014/main" id="{36CBC6A6-19EE-641E-6BA5-C8690674DBAF}"/>
            </a:ext>
          </a:extLst>
        </cdr:cNvPr>
        <cdr:cNvSpPr/>
      </cdr:nvSpPr>
      <cdr:spPr>
        <a:xfrm xmlns:a="http://schemas.openxmlformats.org/drawingml/2006/main">
          <a:off x="2698441" y="2049660"/>
          <a:ext cx="1010337" cy="10450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10337" h="1045033">
              <a:moveTo>
                <a:pt x="377931" y="635370"/>
              </a:moveTo>
              <a:lnTo>
                <a:pt x="279247" y="737443"/>
              </a:lnTo>
              <a:lnTo>
                <a:pt x="38381" y="986581"/>
              </a:lnTo>
              <a:lnTo>
                <a:pt x="0" y="1026281"/>
              </a:lnTo>
              <a:lnTo>
                <a:pt x="18129" y="1045032"/>
              </a:lnTo>
              <a:lnTo>
                <a:pt x="56510" y="1005333"/>
              </a:lnTo>
              <a:lnTo>
                <a:pt x="297377" y="756195"/>
              </a:lnTo>
              <a:lnTo>
                <a:pt x="396061" y="654122"/>
              </a:lnTo>
              <a:lnTo>
                <a:pt x="1010336" y="18752"/>
              </a:lnTo>
              <a:lnTo>
                <a:pt x="99220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0.51377</cdr:x>
      <cdr:y>0.24584</cdr:y>
    </cdr:from>
    <cdr:to>
      <cdr:x>0.64898</cdr:x>
      <cdr:y>0.3801</cdr:y>
    </cdr:to>
    <cdr:sp macro="" textlink="">
      <cdr:nvSpPr>
        <cdr:cNvPr id="244" name="FracNo 933 StartRow 2785">
          <a:extLst xmlns:a="http://schemas.openxmlformats.org/drawingml/2006/main">
            <a:ext uri="{FF2B5EF4-FFF2-40B4-BE49-F238E27FC236}">
              <a16:creationId xmlns:a16="http://schemas.microsoft.com/office/drawing/2014/main" id="{A8315E5F-F93F-93C3-1C80-3FE1A7A272FD}"/>
            </a:ext>
          </a:extLst>
        </cdr:cNvPr>
        <cdr:cNvSpPr/>
      </cdr:nvSpPr>
      <cdr:spPr>
        <a:xfrm xmlns:a="http://schemas.openxmlformats.org/drawingml/2006/main">
          <a:off x="3758311" y="1873284"/>
          <a:ext cx="989098" cy="10230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89098" h="1023066">
              <a:moveTo>
                <a:pt x="600650" y="383035"/>
              </a:moveTo>
              <a:lnTo>
                <a:pt x="87490" y="913819"/>
              </a:lnTo>
              <a:lnTo>
                <a:pt x="0" y="1004313"/>
              </a:lnTo>
              <a:lnTo>
                <a:pt x="18130" y="1023065"/>
              </a:lnTo>
              <a:lnTo>
                <a:pt x="105619" y="932571"/>
              </a:lnTo>
              <a:lnTo>
                <a:pt x="618779" y="401787"/>
              </a:lnTo>
              <a:lnTo>
                <a:pt x="989097" y="18752"/>
              </a:lnTo>
              <a:lnTo>
                <a:pt x="9709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0.47608</cdr:x>
      <cdr:y>0.57448</cdr:y>
    </cdr:from>
    <cdr:to>
      <cdr:x>0.6109</cdr:x>
      <cdr:y>0.70835</cdr:y>
    </cdr:to>
    <cdr:sp macro="" textlink="">
      <cdr:nvSpPr>
        <cdr:cNvPr id="245" name="FracNo 279 StartRow 2796">
          <a:extLst xmlns:a="http://schemas.openxmlformats.org/drawingml/2006/main">
            <a:ext uri="{FF2B5EF4-FFF2-40B4-BE49-F238E27FC236}">
              <a16:creationId xmlns:a16="http://schemas.microsoft.com/office/drawing/2014/main" id="{ADE2DB33-EE7B-19E7-C1E9-303CEA16E7B7}"/>
            </a:ext>
          </a:extLst>
        </cdr:cNvPr>
        <cdr:cNvSpPr/>
      </cdr:nvSpPr>
      <cdr:spPr>
        <a:xfrm xmlns:a="http://schemas.openxmlformats.org/drawingml/2006/main">
          <a:off x="3482603" y="4377511"/>
          <a:ext cx="986269" cy="10201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86269" h="1020140">
              <a:moveTo>
                <a:pt x="414232" y="572929"/>
              </a:moveTo>
              <a:lnTo>
                <a:pt x="0" y="1001387"/>
              </a:lnTo>
              <a:lnTo>
                <a:pt x="18129" y="1020139"/>
              </a:lnTo>
              <a:lnTo>
                <a:pt x="432362" y="591680"/>
              </a:lnTo>
              <a:lnTo>
                <a:pt x="449661" y="573787"/>
              </a:lnTo>
              <a:lnTo>
                <a:pt x="986268" y="18752"/>
              </a:lnTo>
              <a:lnTo>
                <a:pt x="968139" y="0"/>
              </a:lnTo>
              <a:lnTo>
                <a:pt x="431532" y="55503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0.80933</cdr:x>
      <cdr:y>0.30221</cdr:y>
    </cdr:from>
    <cdr:to>
      <cdr:x>0.94246</cdr:x>
      <cdr:y>0.43687</cdr:y>
    </cdr:to>
    <cdr:sp macro="" textlink="">
      <cdr:nvSpPr>
        <cdr:cNvPr id="246" name="FracNo 848 StartRow 2807">
          <a:extLst xmlns:a="http://schemas.openxmlformats.org/drawingml/2006/main">
            <a:ext uri="{FF2B5EF4-FFF2-40B4-BE49-F238E27FC236}">
              <a16:creationId xmlns:a16="http://schemas.microsoft.com/office/drawing/2014/main" id="{7C541A36-AA00-DE36-476C-1973084392E7}"/>
            </a:ext>
          </a:extLst>
        </cdr:cNvPr>
        <cdr:cNvSpPr/>
      </cdr:nvSpPr>
      <cdr:spPr>
        <a:xfrm xmlns:a="http://schemas.openxmlformats.org/drawingml/2006/main">
          <a:off x="5920390" y="2302863"/>
          <a:ext cx="973918" cy="10261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73918" h="1026116">
              <a:moveTo>
                <a:pt x="775803" y="242422"/>
              </a:moveTo>
              <a:lnTo>
                <a:pt x="523884" y="502992"/>
              </a:lnTo>
              <a:lnTo>
                <a:pt x="18129" y="1026115"/>
              </a:lnTo>
              <a:lnTo>
                <a:pt x="0" y="1007364"/>
              </a:lnTo>
              <a:lnTo>
                <a:pt x="505755" y="484240"/>
              </a:lnTo>
              <a:lnTo>
                <a:pt x="767822" y="213173"/>
              </a:lnTo>
              <a:lnTo>
                <a:pt x="973917" y="0"/>
              </a:lnTo>
              <a:lnTo>
                <a:pt x="973917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0.80983</cdr:x>
      <cdr:y>0.36048</cdr:y>
    </cdr:from>
    <cdr:to>
      <cdr:x>0.94246</cdr:x>
      <cdr:y>0.49464</cdr:y>
    </cdr:to>
    <cdr:sp macro="" textlink="">
      <cdr:nvSpPr>
        <cdr:cNvPr id="247" name="FracNo 181 StartRow 2818">
          <a:extLst xmlns:a="http://schemas.openxmlformats.org/drawingml/2006/main">
            <a:ext uri="{FF2B5EF4-FFF2-40B4-BE49-F238E27FC236}">
              <a16:creationId xmlns:a16="http://schemas.microsoft.com/office/drawing/2014/main" id="{5C9CF23B-006B-E729-500B-2EA93AFB4518}"/>
            </a:ext>
          </a:extLst>
        </cdr:cNvPr>
        <cdr:cNvSpPr/>
      </cdr:nvSpPr>
      <cdr:spPr>
        <a:xfrm xmlns:a="http://schemas.openxmlformats.org/drawingml/2006/main">
          <a:off x="5924043" y="2746830"/>
          <a:ext cx="970265" cy="10223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70265" h="1022338">
              <a:moveTo>
                <a:pt x="725401" y="253272"/>
              </a:moveTo>
              <a:lnTo>
                <a:pt x="0" y="1003586"/>
              </a:lnTo>
              <a:lnTo>
                <a:pt x="18129" y="1022337"/>
              </a:lnTo>
              <a:lnTo>
                <a:pt x="731258" y="284718"/>
              </a:lnTo>
              <a:lnTo>
                <a:pt x="941512" y="67243"/>
              </a:lnTo>
              <a:lnTo>
                <a:pt x="970264" y="37504"/>
              </a:lnTo>
              <a:lnTo>
                <a:pt x="970264" y="0"/>
              </a:lnTo>
              <a:lnTo>
                <a:pt x="939273" y="3205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0.8099</cdr:x>
      <cdr:y>0.79846</cdr:y>
    </cdr:from>
    <cdr:to>
      <cdr:x>0.94246</cdr:x>
      <cdr:y>0.9301</cdr:y>
    </cdr:to>
    <cdr:sp macro="" textlink="">
      <cdr:nvSpPr>
        <cdr:cNvPr id="248" name="FracNo 424 StartRow 2829">
          <a:extLst xmlns:a="http://schemas.openxmlformats.org/drawingml/2006/main">
            <a:ext uri="{FF2B5EF4-FFF2-40B4-BE49-F238E27FC236}">
              <a16:creationId xmlns:a16="http://schemas.microsoft.com/office/drawing/2014/main" id="{B99A8A7C-7F8E-91F1-130C-717AA9D578D2}"/>
            </a:ext>
          </a:extLst>
        </cdr:cNvPr>
        <cdr:cNvSpPr/>
      </cdr:nvSpPr>
      <cdr:spPr>
        <a:xfrm xmlns:a="http://schemas.openxmlformats.org/drawingml/2006/main">
          <a:off x="5924545" y="6084299"/>
          <a:ext cx="969763" cy="10030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69763" h="1003067">
              <a:moveTo>
                <a:pt x="135794" y="900112"/>
              </a:moveTo>
              <a:lnTo>
                <a:pt x="36258" y="1003066"/>
              </a:lnTo>
              <a:lnTo>
                <a:pt x="0" y="1003066"/>
              </a:lnTo>
              <a:lnTo>
                <a:pt x="103401" y="896113"/>
              </a:lnTo>
              <a:lnTo>
                <a:pt x="969762" y="0"/>
              </a:lnTo>
              <a:lnTo>
                <a:pt x="969762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0.79181</cdr:y>
    </cdr:from>
    <cdr:to>
      <cdr:x>0.223</cdr:x>
      <cdr:y>0.92453</cdr:y>
    </cdr:to>
    <cdr:sp macro="" textlink="">
      <cdr:nvSpPr>
        <cdr:cNvPr id="249" name="FracNo 841 StartRow 2838">
          <a:extLst xmlns:a="http://schemas.openxmlformats.org/drawingml/2006/main">
            <a:ext uri="{FF2B5EF4-FFF2-40B4-BE49-F238E27FC236}">
              <a16:creationId xmlns:a16="http://schemas.microsoft.com/office/drawing/2014/main" id="{98F849DC-FD63-FCF8-3568-CB1715655014}"/>
            </a:ext>
          </a:extLst>
        </cdr:cNvPr>
        <cdr:cNvSpPr/>
      </cdr:nvSpPr>
      <cdr:spPr>
        <a:xfrm xmlns:a="http://schemas.openxmlformats.org/drawingml/2006/main">
          <a:off x="671676" y="6033615"/>
          <a:ext cx="959603" cy="10113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59603" h="1011309">
              <a:moveTo>
                <a:pt x="307997" y="655229"/>
              </a:moveTo>
              <a:lnTo>
                <a:pt x="0" y="973804"/>
              </a:lnTo>
              <a:lnTo>
                <a:pt x="0" y="1011308"/>
              </a:lnTo>
              <a:lnTo>
                <a:pt x="313928" y="686599"/>
              </a:lnTo>
              <a:lnTo>
                <a:pt x="959602" y="18751"/>
              </a:lnTo>
              <a:lnTo>
                <a:pt x="94147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0.81147</cdr:x>
      <cdr:y>0.41938</cdr:y>
    </cdr:from>
    <cdr:to>
      <cdr:x>0.94246</cdr:x>
      <cdr:y>0.55191</cdr:y>
    </cdr:to>
    <cdr:sp macro="" textlink="">
      <cdr:nvSpPr>
        <cdr:cNvPr id="250" name="FracNo 188 StartRow 2847">
          <a:extLst xmlns:a="http://schemas.openxmlformats.org/drawingml/2006/main">
            <a:ext uri="{FF2B5EF4-FFF2-40B4-BE49-F238E27FC236}">
              <a16:creationId xmlns:a16="http://schemas.microsoft.com/office/drawing/2014/main" id="{0272BE1F-D307-273D-7BB0-4FDD117B97DC}"/>
            </a:ext>
          </a:extLst>
        </cdr:cNvPr>
        <cdr:cNvSpPr/>
      </cdr:nvSpPr>
      <cdr:spPr>
        <a:xfrm xmlns:a="http://schemas.openxmlformats.org/drawingml/2006/main">
          <a:off x="5936101" y="3195704"/>
          <a:ext cx="958207" cy="10098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58207" h="1009866">
              <a:moveTo>
                <a:pt x="114322" y="872865"/>
              </a:moveTo>
              <a:lnTo>
                <a:pt x="0" y="991113"/>
              </a:lnTo>
              <a:lnTo>
                <a:pt x="18130" y="1009865"/>
              </a:lnTo>
              <a:lnTo>
                <a:pt x="130288" y="893854"/>
              </a:lnTo>
              <a:lnTo>
                <a:pt x="958206" y="37504"/>
              </a:lnTo>
              <a:lnTo>
                <a:pt x="95820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0.6425</cdr:x>
      <cdr:y>0.43526</cdr:y>
    </cdr:from>
    <cdr:to>
      <cdr:x>0.77458</cdr:x>
      <cdr:y>0.56641</cdr:y>
    </cdr:to>
    <cdr:sp macro="" textlink="">
      <cdr:nvSpPr>
        <cdr:cNvPr id="251" name="FracNo 182 StartRow 2856">
          <a:extLst xmlns:a="http://schemas.openxmlformats.org/drawingml/2006/main">
            <a:ext uri="{FF2B5EF4-FFF2-40B4-BE49-F238E27FC236}">
              <a16:creationId xmlns:a16="http://schemas.microsoft.com/office/drawing/2014/main" id="{3DD60D28-C7F6-098E-252B-C4D1BDA7D451}"/>
            </a:ext>
          </a:extLst>
        </cdr:cNvPr>
        <cdr:cNvSpPr/>
      </cdr:nvSpPr>
      <cdr:spPr>
        <a:xfrm xmlns:a="http://schemas.openxmlformats.org/drawingml/2006/main">
          <a:off x="4700029" y="3316686"/>
          <a:ext cx="966151" cy="9993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66151" h="999331">
              <a:moveTo>
                <a:pt x="683754" y="273343"/>
              </a:moveTo>
              <a:lnTo>
                <a:pt x="111003" y="865763"/>
              </a:lnTo>
              <a:lnTo>
                <a:pt x="0" y="980578"/>
              </a:lnTo>
              <a:lnTo>
                <a:pt x="18130" y="999330"/>
              </a:lnTo>
              <a:lnTo>
                <a:pt x="129132" y="884515"/>
              </a:lnTo>
              <a:lnTo>
                <a:pt x="701883" y="292094"/>
              </a:lnTo>
              <a:lnTo>
                <a:pt x="966150" y="18752"/>
              </a:lnTo>
              <a:lnTo>
                <a:pt x="94802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0.57243</cdr:x>
      <cdr:y>0.51442</cdr:y>
    </cdr:from>
    <cdr:to>
      <cdr:x>0.70445</cdr:x>
      <cdr:y>0.64551</cdr:y>
    </cdr:to>
    <cdr:sp macro="" textlink="">
      <cdr:nvSpPr>
        <cdr:cNvPr id="252" name="FracNo 1020 StartRow 2867">
          <a:extLst xmlns:a="http://schemas.openxmlformats.org/drawingml/2006/main">
            <a:ext uri="{FF2B5EF4-FFF2-40B4-BE49-F238E27FC236}">
              <a16:creationId xmlns:a16="http://schemas.microsoft.com/office/drawing/2014/main" id="{BD6E0AD3-536A-2F32-655D-79451EE9EEEB}"/>
            </a:ext>
          </a:extLst>
        </cdr:cNvPr>
        <cdr:cNvSpPr/>
      </cdr:nvSpPr>
      <cdr:spPr>
        <a:xfrm xmlns:a="http://schemas.openxmlformats.org/drawingml/2006/main">
          <a:off x="4187436" y="3919894"/>
          <a:ext cx="965762" cy="9989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65762" h="998928">
              <a:moveTo>
                <a:pt x="744393" y="247723"/>
              </a:moveTo>
              <a:lnTo>
                <a:pt x="641725" y="353916"/>
              </a:lnTo>
              <a:lnTo>
                <a:pt x="18129" y="998927"/>
              </a:lnTo>
              <a:lnTo>
                <a:pt x="0" y="980176"/>
              </a:lnTo>
              <a:lnTo>
                <a:pt x="623596" y="335164"/>
              </a:lnTo>
              <a:lnTo>
                <a:pt x="726263" y="228971"/>
              </a:lnTo>
              <a:lnTo>
                <a:pt x="947631" y="0"/>
              </a:lnTo>
              <a:lnTo>
                <a:pt x="96576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0.22222</cdr:x>
      <cdr:y>0.21492</cdr:y>
    </cdr:to>
    <cdr:sp macro="" textlink="">
      <cdr:nvSpPr>
        <cdr:cNvPr id="253" name="FracNo 943 StartRow 2878">
          <a:extLst xmlns:a="http://schemas.openxmlformats.org/drawingml/2006/main">
            <a:ext uri="{FF2B5EF4-FFF2-40B4-BE49-F238E27FC236}">
              <a16:creationId xmlns:a16="http://schemas.microsoft.com/office/drawing/2014/main" id="{E9DD133A-D562-77FC-44A1-815C9B8068EF}"/>
            </a:ext>
          </a:extLst>
        </cdr:cNvPr>
        <cdr:cNvSpPr/>
      </cdr:nvSpPr>
      <cdr:spPr>
        <a:xfrm xmlns:a="http://schemas.openxmlformats.org/drawingml/2006/main">
          <a:off x="671676" y="651036"/>
          <a:ext cx="953919" cy="9866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53919" h="986679">
              <a:moveTo>
                <a:pt x="263549" y="714078"/>
              </a:moveTo>
              <a:lnTo>
                <a:pt x="0" y="986678"/>
              </a:lnTo>
              <a:lnTo>
                <a:pt x="0" y="949174"/>
              </a:lnTo>
              <a:lnTo>
                <a:pt x="253532" y="686936"/>
              </a:lnTo>
              <a:lnTo>
                <a:pt x="917660" y="0"/>
              </a:lnTo>
              <a:lnTo>
                <a:pt x="95391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0.51392</cdr:x>
      <cdr:y>0.33647</cdr:y>
    </cdr:from>
    <cdr:to>
      <cdr:x>0.64373</cdr:x>
      <cdr:y>0.46536</cdr:y>
    </cdr:to>
    <cdr:sp macro="" textlink="">
      <cdr:nvSpPr>
        <cdr:cNvPr id="254" name="FracNo 116 StartRow 2887">
          <a:extLst xmlns:a="http://schemas.openxmlformats.org/drawingml/2006/main">
            <a:ext uri="{FF2B5EF4-FFF2-40B4-BE49-F238E27FC236}">
              <a16:creationId xmlns:a16="http://schemas.microsoft.com/office/drawing/2014/main" id="{DC044654-0248-FB2C-07BB-9083FC2223AA}"/>
            </a:ext>
          </a:extLst>
        </cdr:cNvPr>
        <cdr:cNvSpPr/>
      </cdr:nvSpPr>
      <cdr:spPr>
        <a:xfrm xmlns:a="http://schemas.openxmlformats.org/drawingml/2006/main">
          <a:off x="3759405" y="2563875"/>
          <a:ext cx="949576" cy="9821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49576" h="982185">
              <a:moveTo>
                <a:pt x="599439" y="380912"/>
              </a:moveTo>
              <a:lnTo>
                <a:pt x="18130" y="982184"/>
              </a:lnTo>
              <a:lnTo>
                <a:pt x="0" y="963433"/>
              </a:lnTo>
              <a:lnTo>
                <a:pt x="581310" y="362160"/>
              </a:lnTo>
              <a:lnTo>
                <a:pt x="715628" y="223228"/>
              </a:lnTo>
              <a:lnTo>
                <a:pt x="931446" y="0"/>
              </a:lnTo>
              <a:lnTo>
                <a:pt x="949575" y="18751"/>
              </a:lnTo>
              <a:lnTo>
                <a:pt x="733758" y="24198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0.81398</cdr:x>
      <cdr:y>0.34129</cdr:y>
    </cdr:from>
    <cdr:to>
      <cdr:x>0.94246</cdr:x>
      <cdr:y>0.47133</cdr:y>
    </cdr:to>
    <cdr:sp macro="" textlink="">
      <cdr:nvSpPr>
        <cdr:cNvPr id="255" name="FracNo 789 StartRow 2898">
          <a:extLst xmlns:a="http://schemas.openxmlformats.org/drawingml/2006/main">
            <a:ext uri="{FF2B5EF4-FFF2-40B4-BE49-F238E27FC236}">
              <a16:creationId xmlns:a16="http://schemas.microsoft.com/office/drawing/2014/main" id="{B96FF4C2-FC23-1C1A-567E-7AFDEE2137A1}"/>
            </a:ext>
          </a:extLst>
        </cdr:cNvPr>
        <cdr:cNvSpPr/>
      </cdr:nvSpPr>
      <cdr:spPr>
        <a:xfrm xmlns:a="http://schemas.openxmlformats.org/drawingml/2006/main">
          <a:off x="5954403" y="2600595"/>
          <a:ext cx="939905" cy="9909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39905" h="990935">
              <a:moveTo>
                <a:pt x="96342" y="910035"/>
              </a:moveTo>
              <a:lnTo>
                <a:pt x="18130" y="990934"/>
              </a:lnTo>
              <a:lnTo>
                <a:pt x="0" y="972182"/>
              </a:lnTo>
              <a:lnTo>
                <a:pt x="79719" y="889726"/>
              </a:lnTo>
              <a:lnTo>
                <a:pt x="766831" y="179017"/>
              </a:lnTo>
              <a:lnTo>
                <a:pt x="939904" y="0"/>
              </a:lnTo>
              <a:lnTo>
                <a:pt x="939904" y="37504"/>
              </a:lnTo>
              <a:lnTo>
                <a:pt x="770475" y="212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0.68334</cdr:x>
      <cdr:y>0.49276</cdr:y>
    </cdr:from>
    <cdr:to>
      <cdr:x>0.81289</cdr:x>
      <cdr:y>0.6214</cdr:y>
    </cdr:to>
    <cdr:sp macro="" textlink="">
      <cdr:nvSpPr>
        <cdr:cNvPr id="256" name="FracNo 184 StartRow 2909">
          <a:extLst xmlns:a="http://schemas.openxmlformats.org/drawingml/2006/main">
            <a:ext uri="{FF2B5EF4-FFF2-40B4-BE49-F238E27FC236}">
              <a16:creationId xmlns:a16="http://schemas.microsoft.com/office/drawing/2014/main" id="{D86D71D8-49C5-A9EF-B83B-90F00273A595}"/>
            </a:ext>
          </a:extLst>
        </cdr:cNvPr>
        <cdr:cNvSpPr/>
      </cdr:nvSpPr>
      <cdr:spPr>
        <a:xfrm xmlns:a="http://schemas.openxmlformats.org/drawingml/2006/main">
          <a:off x="4998746" y="3754831"/>
          <a:ext cx="947696" cy="9802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47696" h="980242">
              <a:moveTo>
                <a:pt x="228359" y="762791"/>
              </a:moveTo>
              <a:lnTo>
                <a:pt x="18129" y="980241"/>
              </a:lnTo>
              <a:lnTo>
                <a:pt x="0" y="961489"/>
              </a:lnTo>
              <a:lnTo>
                <a:pt x="210229" y="744039"/>
              </a:lnTo>
              <a:lnTo>
                <a:pt x="929566" y="0"/>
              </a:lnTo>
              <a:lnTo>
                <a:pt x="94769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0.56252</cdr:y>
    </cdr:from>
    <cdr:to>
      <cdr:x>0.22008</cdr:x>
      <cdr:y>0.69234</cdr:y>
    </cdr:to>
    <cdr:sp macro="" textlink="">
      <cdr:nvSpPr>
        <cdr:cNvPr id="257" name="FracNo 502 StartRow 2918">
          <a:extLst xmlns:a="http://schemas.openxmlformats.org/drawingml/2006/main">
            <a:ext uri="{FF2B5EF4-FFF2-40B4-BE49-F238E27FC236}">
              <a16:creationId xmlns:a16="http://schemas.microsoft.com/office/drawing/2014/main" id="{F7132303-BCD3-327D-B21A-1DD0E751A90F}"/>
            </a:ext>
          </a:extLst>
        </cdr:cNvPr>
        <cdr:cNvSpPr/>
      </cdr:nvSpPr>
      <cdr:spPr>
        <a:xfrm xmlns:a="http://schemas.openxmlformats.org/drawingml/2006/main">
          <a:off x="671676" y="4286434"/>
          <a:ext cx="938253" cy="9892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38253" h="989226">
              <a:moveTo>
                <a:pt x="526840" y="444292"/>
              </a:moveTo>
              <a:lnTo>
                <a:pt x="309833" y="668752"/>
              </a:lnTo>
              <a:lnTo>
                <a:pt x="0" y="989225"/>
              </a:lnTo>
              <a:lnTo>
                <a:pt x="0" y="951721"/>
              </a:lnTo>
              <a:lnTo>
                <a:pt x="299221" y="642224"/>
              </a:lnTo>
              <a:lnTo>
                <a:pt x="513632" y="420450"/>
              </a:lnTo>
              <a:lnTo>
                <a:pt x="920122" y="0"/>
              </a:lnTo>
              <a:lnTo>
                <a:pt x="93825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0.40236</cdr:y>
    </cdr:from>
    <cdr:to>
      <cdr:x>0.22</cdr:x>
      <cdr:y>0.5321</cdr:y>
    </cdr:to>
    <cdr:sp macro="" textlink="">
      <cdr:nvSpPr>
        <cdr:cNvPr id="258" name="FracNo 735 StartRow 2929">
          <a:extLst xmlns:a="http://schemas.openxmlformats.org/drawingml/2006/main">
            <a:ext uri="{FF2B5EF4-FFF2-40B4-BE49-F238E27FC236}">
              <a16:creationId xmlns:a16="http://schemas.microsoft.com/office/drawing/2014/main" id="{7001BEF9-7002-FCA8-10A7-8542B2CD4FE1}"/>
            </a:ext>
          </a:extLst>
        </cdr:cNvPr>
        <cdr:cNvSpPr/>
      </cdr:nvSpPr>
      <cdr:spPr>
        <a:xfrm xmlns:a="http://schemas.openxmlformats.org/drawingml/2006/main">
          <a:off x="671676" y="3065999"/>
          <a:ext cx="937645" cy="9885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37645" h="988597">
              <a:moveTo>
                <a:pt x="860481" y="98564"/>
              </a:moveTo>
              <a:lnTo>
                <a:pt x="0" y="988596"/>
              </a:lnTo>
              <a:lnTo>
                <a:pt x="0" y="951092"/>
              </a:lnTo>
              <a:lnTo>
                <a:pt x="843844" y="78269"/>
              </a:lnTo>
              <a:lnTo>
                <a:pt x="919515" y="0"/>
              </a:lnTo>
              <a:lnTo>
                <a:pt x="93764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0.17236</cdr:y>
    </cdr:from>
    <cdr:to>
      <cdr:x>0.21764</cdr:x>
      <cdr:y>0.29976</cdr:y>
    </cdr:to>
    <cdr:sp macro="" textlink="">
      <cdr:nvSpPr>
        <cdr:cNvPr id="259" name="FracNo 767 StartRow 2938">
          <a:extLst xmlns:a="http://schemas.openxmlformats.org/drawingml/2006/main">
            <a:ext uri="{FF2B5EF4-FFF2-40B4-BE49-F238E27FC236}">
              <a16:creationId xmlns:a16="http://schemas.microsoft.com/office/drawing/2014/main" id="{A4D96089-4619-23E7-1C44-9F1EDE00D9F8}"/>
            </a:ext>
          </a:extLst>
        </cdr:cNvPr>
        <cdr:cNvSpPr/>
      </cdr:nvSpPr>
      <cdr:spPr>
        <a:xfrm xmlns:a="http://schemas.openxmlformats.org/drawingml/2006/main">
          <a:off x="671676" y="1313421"/>
          <a:ext cx="920400" cy="9707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20400" h="970760">
              <a:moveTo>
                <a:pt x="640720" y="270532"/>
              </a:moveTo>
              <a:lnTo>
                <a:pt x="0" y="933255"/>
              </a:lnTo>
              <a:lnTo>
                <a:pt x="0" y="970759"/>
              </a:lnTo>
              <a:lnTo>
                <a:pt x="653593" y="294720"/>
              </a:lnTo>
              <a:lnTo>
                <a:pt x="920399" y="18751"/>
              </a:lnTo>
              <a:lnTo>
                <a:pt x="90227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0.81578</cdr:x>
      <cdr:y>0.19587</cdr:y>
    </cdr:from>
    <cdr:to>
      <cdr:x>0.94223</cdr:x>
      <cdr:y>0.32144</cdr:y>
    </cdr:to>
    <cdr:sp macro="" textlink="">
      <cdr:nvSpPr>
        <cdr:cNvPr id="260" name="FracNo 759 StartRow 2947">
          <a:extLst xmlns:a="http://schemas.openxmlformats.org/drawingml/2006/main">
            <a:ext uri="{FF2B5EF4-FFF2-40B4-BE49-F238E27FC236}">
              <a16:creationId xmlns:a16="http://schemas.microsoft.com/office/drawing/2014/main" id="{69ADCC47-F159-5EF6-FC66-8FFF9FD001EA}"/>
            </a:ext>
          </a:extLst>
        </cdr:cNvPr>
        <cdr:cNvSpPr/>
      </cdr:nvSpPr>
      <cdr:spPr>
        <a:xfrm xmlns:a="http://schemas.openxmlformats.org/drawingml/2006/main">
          <a:off x="5967566" y="1492531"/>
          <a:ext cx="925070" cy="9568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25070" h="956838">
              <a:moveTo>
                <a:pt x="499047" y="421900"/>
              </a:moveTo>
              <a:lnTo>
                <a:pt x="0" y="938085"/>
              </a:lnTo>
              <a:lnTo>
                <a:pt x="18129" y="956837"/>
              </a:lnTo>
              <a:lnTo>
                <a:pt x="517177" y="440652"/>
              </a:lnTo>
              <a:lnTo>
                <a:pt x="925069" y="18752"/>
              </a:lnTo>
              <a:lnTo>
                <a:pt x="90694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0.40293</cdr:x>
      <cdr:y>0.08544</cdr:y>
    </cdr:from>
    <cdr:to>
      <cdr:x>0.53056</cdr:x>
      <cdr:y>0.20971</cdr:y>
    </cdr:to>
    <cdr:sp macro="" textlink="">
      <cdr:nvSpPr>
        <cdr:cNvPr id="261" name="FracNo 1005 StartRow 2956">
          <a:extLst xmlns:a="http://schemas.openxmlformats.org/drawingml/2006/main">
            <a:ext uri="{FF2B5EF4-FFF2-40B4-BE49-F238E27FC236}">
              <a16:creationId xmlns:a16="http://schemas.microsoft.com/office/drawing/2014/main" id="{B7EF2F9D-99AD-4872-F05C-E9577FFB076F}"/>
            </a:ext>
          </a:extLst>
        </cdr:cNvPr>
        <cdr:cNvSpPr/>
      </cdr:nvSpPr>
      <cdr:spPr>
        <a:xfrm xmlns:a="http://schemas.openxmlformats.org/drawingml/2006/main">
          <a:off x="2947488" y="651036"/>
          <a:ext cx="933659" cy="9469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33659" h="946971">
              <a:moveTo>
                <a:pt x="573928" y="372084"/>
              </a:moveTo>
              <a:lnTo>
                <a:pt x="18130" y="946970"/>
              </a:lnTo>
              <a:lnTo>
                <a:pt x="0" y="928218"/>
              </a:lnTo>
              <a:lnTo>
                <a:pt x="544793" y="364716"/>
              </a:lnTo>
              <a:lnTo>
                <a:pt x="897400" y="0"/>
              </a:lnTo>
              <a:lnTo>
                <a:pt x="93365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0.39239</cdr:x>
      <cdr:y>0.46498</cdr:y>
    </cdr:from>
    <cdr:to>
      <cdr:x>0.51848</cdr:x>
      <cdr:y>0.59018</cdr:y>
    </cdr:to>
    <cdr:sp macro="" textlink="">
      <cdr:nvSpPr>
        <cdr:cNvPr id="262" name="FracNo 926 StartRow 2965">
          <a:extLst xmlns:a="http://schemas.openxmlformats.org/drawingml/2006/main">
            <a:ext uri="{FF2B5EF4-FFF2-40B4-BE49-F238E27FC236}">
              <a16:creationId xmlns:a16="http://schemas.microsoft.com/office/drawing/2014/main" id="{25FA167D-F4D4-E92C-1D0E-844765682170}"/>
            </a:ext>
          </a:extLst>
        </cdr:cNvPr>
        <cdr:cNvSpPr/>
      </cdr:nvSpPr>
      <cdr:spPr>
        <a:xfrm xmlns:a="http://schemas.openxmlformats.org/drawingml/2006/main">
          <a:off x="2870435" y="3543110"/>
          <a:ext cx="922379" cy="9540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22379" h="954055">
              <a:moveTo>
                <a:pt x="821859" y="122723"/>
              </a:moveTo>
              <a:lnTo>
                <a:pt x="18129" y="954054"/>
              </a:lnTo>
              <a:lnTo>
                <a:pt x="0" y="935302"/>
              </a:lnTo>
              <a:lnTo>
                <a:pt x="803729" y="103971"/>
              </a:lnTo>
              <a:lnTo>
                <a:pt x="904248" y="0"/>
              </a:lnTo>
              <a:lnTo>
                <a:pt x="92237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0.81787</cdr:x>
      <cdr:y>0.25303</cdr:y>
    </cdr:from>
    <cdr:to>
      <cdr:x>0.94246</cdr:x>
      <cdr:y>0.37921</cdr:y>
    </cdr:to>
    <cdr:sp macro="" textlink="">
      <cdr:nvSpPr>
        <cdr:cNvPr id="263" name="FracNo 917 StartRow 2974">
          <a:extLst xmlns:a="http://schemas.openxmlformats.org/drawingml/2006/main">
            <a:ext uri="{FF2B5EF4-FFF2-40B4-BE49-F238E27FC236}">
              <a16:creationId xmlns:a16="http://schemas.microsoft.com/office/drawing/2014/main" id="{ACABD4FD-CCC6-61C4-765D-213C241AD0CD}"/>
            </a:ext>
          </a:extLst>
        </cdr:cNvPr>
        <cdr:cNvSpPr/>
      </cdr:nvSpPr>
      <cdr:spPr>
        <a:xfrm xmlns:a="http://schemas.openxmlformats.org/drawingml/2006/main">
          <a:off x="5982878" y="1928090"/>
          <a:ext cx="911430" cy="9614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11430" h="961482">
              <a:moveTo>
                <a:pt x="166500" y="808016"/>
              </a:moveTo>
              <a:lnTo>
                <a:pt x="99066" y="877765"/>
              </a:lnTo>
              <a:lnTo>
                <a:pt x="18129" y="961481"/>
              </a:lnTo>
              <a:lnTo>
                <a:pt x="0" y="942729"/>
              </a:lnTo>
              <a:lnTo>
                <a:pt x="80937" y="859013"/>
              </a:lnTo>
              <a:lnTo>
                <a:pt x="149875" y="787707"/>
              </a:lnTo>
              <a:lnTo>
                <a:pt x="911429" y="0"/>
              </a:lnTo>
              <a:lnTo>
                <a:pt x="911429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0.3986</cdr:y>
    </cdr:from>
    <cdr:to>
      <cdr:x>0.2162</cdr:x>
      <cdr:y>0.52457</cdr:y>
    </cdr:to>
    <cdr:sp macro="" textlink="">
      <cdr:nvSpPr>
        <cdr:cNvPr id="264" name="FracNo 997 StartRow 2985">
          <a:extLst xmlns:a="http://schemas.openxmlformats.org/drawingml/2006/main">
            <a:ext uri="{FF2B5EF4-FFF2-40B4-BE49-F238E27FC236}">
              <a16:creationId xmlns:a16="http://schemas.microsoft.com/office/drawing/2014/main" id="{7C892225-BAC4-214A-D3B3-51C35F1CBBE6}"/>
            </a:ext>
          </a:extLst>
        </cdr:cNvPr>
        <cdr:cNvSpPr/>
      </cdr:nvSpPr>
      <cdr:spPr>
        <a:xfrm xmlns:a="http://schemas.openxmlformats.org/drawingml/2006/main">
          <a:off x="671676" y="3037301"/>
          <a:ext cx="909900" cy="9599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09900" h="959900">
              <a:moveTo>
                <a:pt x="39082" y="881971"/>
              </a:moveTo>
              <a:lnTo>
                <a:pt x="0" y="922395"/>
              </a:lnTo>
              <a:lnTo>
                <a:pt x="0" y="959899"/>
              </a:lnTo>
              <a:lnTo>
                <a:pt x="39877" y="918653"/>
              </a:lnTo>
              <a:lnTo>
                <a:pt x="909899" y="18752"/>
              </a:lnTo>
              <a:lnTo>
                <a:pt x="89177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0.55806</cdr:y>
    </cdr:from>
    <cdr:to>
      <cdr:x>0.21559</cdr:x>
      <cdr:y>0.68343</cdr:y>
    </cdr:to>
    <cdr:sp macro="" textlink="">
      <cdr:nvSpPr>
        <cdr:cNvPr id="265" name="FracNo 928 StartRow 2994">
          <a:extLst xmlns:a="http://schemas.openxmlformats.org/drawingml/2006/main">
            <a:ext uri="{FF2B5EF4-FFF2-40B4-BE49-F238E27FC236}">
              <a16:creationId xmlns:a16="http://schemas.microsoft.com/office/drawing/2014/main" id="{95BC28AF-F43C-52CF-B6EB-DC3F22C54809}"/>
            </a:ext>
          </a:extLst>
        </cdr:cNvPr>
        <cdr:cNvSpPr/>
      </cdr:nvSpPr>
      <cdr:spPr>
        <a:xfrm xmlns:a="http://schemas.openxmlformats.org/drawingml/2006/main">
          <a:off x="671676" y="4252454"/>
          <a:ext cx="905401" cy="9552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05401" h="955247">
              <a:moveTo>
                <a:pt x="348673" y="594598"/>
              </a:moveTo>
              <a:lnTo>
                <a:pt x="245156" y="701671"/>
              </a:lnTo>
              <a:lnTo>
                <a:pt x="0" y="955246"/>
              </a:lnTo>
              <a:lnTo>
                <a:pt x="0" y="917742"/>
              </a:lnTo>
              <a:lnTo>
                <a:pt x="232492" y="677265"/>
              </a:lnTo>
              <a:lnTo>
                <a:pt x="335153" y="571079"/>
              </a:lnTo>
              <a:lnTo>
                <a:pt x="887271" y="0"/>
              </a:lnTo>
              <a:lnTo>
                <a:pt x="90540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0.68813</cdr:x>
      <cdr:y>0.54864</cdr:y>
    </cdr:from>
    <cdr:to>
      <cdr:x>0.81314</cdr:x>
      <cdr:y>0.67277</cdr:y>
    </cdr:to>
    <cdr:sp macro="" textlink="">
      <cdr:nvSpPr>
        <cdr:cNvPr id="266" name="FracNo 839 StartRow 3005">
          <a:extLst xmlns:a="http://schemas.openxmlformats.org/drawingml/2006/main">
            <a:ext uri="{FF2B5EF4-FFF2-40B4-BE49-F238E27FC236}">
              <a16:creationId xmlns:a16="http://schemas.microsoft.com/office/drawing/2014/main" id="{AFEC82E9-AA98-C21F-2AB5-1FAC7AD9E2DE}"/>
            </a:ext>
          </a:extLst>
        </cdr:cNvPr>
        <cdr:cNvSpPr/>
      </cdr:nvSpPr>
      <cdr:spPr>
        <a:xfrm xmlns:a="http://schemas.openxmlformats.org/drawingml/2006/main">
          <a:off x="5033800" y="4180637"/>
          <a:ext cx="914457" cy="9458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14457" h="945861">
              <a:moveTo>
                <a:pt x="844964" y="90631"/>
              </a:moveTo>
              <a:lnTo>
                <a:pt x="187512" y="770661"/>
              </a:lnTo>
              <a:lnTo>
                <a:pt x="18130" y="945860"/>
              </a:lnTo>
              <a:lnTo>
                <a:pt x="0" y="927108"/>
              </a:lnTo>
              <a:lnTo>
                <a:pt x="169382" y="751909"/>
              </a:lnTo>
              <a:lnTo>
                <a:pt x="826835" y="71879"/>
              </a:lnTo>
              <a:lnTo>
                <a:pt x="896327" y="0"/>
              </a:lnTo>
              <a:lnTo>
                <a:pt x="91445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0.44055</cdr:x>
      <cdr:y>0.60207</cdr:y>
    </cdr:from>
    <cdr:to>
      <cdr:x>0.56406</cdr:x>
      <cdr:y>0.72471</cdr:y>
    </cdr:to>
    <cdr:sp macro="" textlink="">
      <cdr:nvSpPr>
        <cdr:cNvPr id="267" name="FracNo 747 StartRow 3016">
          <a:extLst xmlns:a="http://schemas.openxmlformats.org/drawingml/2006/main">
            <a:ext uri="{FF2B5EF4-FFF2-40B4-BE49-F238E27FC236}">
              <a16:creationId xmlns:a16="http://schemas.microsoft.com/office/drawing/2014/main" id="{D8E5BACE-7488-4A59-3819-CEC009C418ED}"/>
            </a:ext>
          </a:extLst>
        </cdr:cNvPr>
        <cdr:cNvSpPr/>
      </cdr:nvSpPr>
      <cdr:spPr>
        <a:xfrm xmlns:a="http://schemas.openxmlformats.org/drawingml/2006/main">
          <a:off x="3222717" y="4587741"/>
          <a:ext cx="903526" cy="9345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03526" h="934555">
              <a:moveTo>
                <a:pt x="650905" y="242544"/>
              </a:moveTo>
              <a:lnTo>
                <a:pt x="552039" y="344805"/>
              </a:lnTo>
              <a:lnTo>
                <a:pt x="0" y="915803"/>
              </a:lnTo>
              <a:lnTo>
                <a:pt x="18129" y="934554"/>
              </a:lnTo>
              <a:lnTo>
                <a:pt x="570169" y="363557"/>
              </a:lnTo>
              <a:lnTo>
                <a:pt x="669034" y="261296"/>
              </a:lnTo>
              <a:lnTo>
                <a:pt x="903525" y="18752"/>
              </a:lnTo>
              <a:lnTo>
                <a:pt x="88539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0.72666</cdr:x>
      <cdr:y>0.60762</cdr:y>
    </cdr:from>
    <cdr:to>
      <cdr:x>0.84994</cdr:x>
      <cdr:y>0.73003</cdr:y>
    </cdr:to>
    <cdr:sp macro="" textlink="">
      <cdr:nvSpPr>
        <cdr:cNvPr id="268" name="FracNo 801 StartRow 3027">
          <a:extLst xmlns:a="http://schemas.openxmlformats.org/drawingml/2006/main">
            <a:ext uri="{FF2B5EF4-FFF2-40B4-BE49-F238E27FC236}">
              <a16:creationId xmlns:a16="http://schemas.microsoft.com/office/drawing/2014/main" id="{5E2DF751-71D4-B7B7-7A33-8BB19F2696D7}"/>
            </a:ext>
          </a:extLst>
        </cdr:cNvPr>
        <cdr:cNvSpPr/>
      </cdr:nvSpPr>
      <cdr:spPr>
        <a:xfrm xmlns:a="http://schemas.openxmlformats.org/drawingml/2006/main">
          <a:off x="5315653" y="4630059"/>
          <a:ext cx="901834" cy="9328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01834" h="932806">
              <a:moveTo>
                <a:pt x="97271" y="850944"/>
              </a:moveTo>
              <a:lnTo>
                <a:pt x="18129" y="932805"/>
              </a:lnTo>
              <a:lnTo>
                <a:pt x="0" y="914053"/>
              </a:lnTo>
              <a:lnTo>
                <a:pt x="79142" y="832192"/>
              </a:lnTo>
              <a:lnTo>
                <a:pt x="591260" y="302487"/>
              </a:lnTo>
              <a:lnTo>
                <a:pt x="883704" y="0"/>
              </a:lnTo>
              <a:lnTo>
                <a:pt x="901833" y="18752"/>
              </a:lnTo>
              <a:lnTo>
                <a:pt x="609389" y="32123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0.39947</cdr:x>
      <cdr:y>0.08544</cdr:y>
    </cdr:from>
    <cdr:to>
      <cdr:x>0.52365</cdr:x>
      <cdr:y>0.20628</cdr:y>
    </cdr:to>
    <cdr:sp macro="" textlink="">
      <cdr:nvSpPr>
        <cdr:cNvPr id="269" name="FracNo 892 StartRow 3038">
          <a:extLst xmlns:a="http://schemas.openxmlformats.org/drawingml/2006/main">
            <a:ext uri="{FF2B5EF4-FFF2-40B4-BE49-F238E27FC236}">
              <a16:creationId xmlns:a16="http://schemas.microsoft.com/office/drawing/2014/main" id="{CF8360CF-8E91-6379-D839-087F327A44C9}"/>
            </a:ext>
          </a:extLst>
        </cdr:cNvPr>
        <cdr:cNvSpPr/>
      </cdr:nvSpPr>
      <cdr:spPr>
        <a:xfrm xmlns:a="http://schemas.openxmlformats.org/drawingml/2006/main">
          <a:off x="2922231" y="651036"/>
          <a:ext cx="908402" cy="9208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08402" h="920846">
              <a:moveTo>
                <a:pt x="183204" y="712598"/>
              </a:moveTo>
              <a:lnTo>
                <a:pt x="0" y="902094"/>
              </a:lnTo>
              <a:lnTo>
                <a:pt x="18130" y="920845"/>
              </a:lnTo>
              <a:lnTo>
                <a:pt x="205141" y="727411"/>
              </a:lnTo>
              <a:lnTo>
                <a:pt x="908401" y="0"/>
              </a:lnTo>
              <a:lnTo>
                <a:pt x="8721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0.34734</cdr:y>
    </cdr:from>
    <cdr:to>
      <cdr:x>0.21202</cdr:x>
      <cdr:y>0.46916</cdr:y>
    </cdr:to>
    <cdr:sp macro="" textlink="">
      <cdr:nvSpPr>
        <cdr:cNvPr id="270" name="FracNo 501 StartRow 3047">
          <a:extLst xmlns:a="http://schemas.openxmlformats.org/drawingml/2006/main">
            <a:ext uri="{FF2B5EF4-FFF2-40B4-BE49-F238E27FC236}">
              <a16:creationId xmlns:a16="http://schemas.microsoft.com/office/drawing/2014/main" id="{E7399F58-9D3B-5C9E-AA34-5CD96F5A36FD}"/>
            </a:ext>
          </a:extLst>
        </cdr:cNvPr>
        <cdr:cNvSpPr/>
      </cdr:nvSpPr>
      <cdr:spPr>
        <a:xfrm xmlns:a="http://schemas.openxmlformats.org/drawingml/2006/main">
          <a:off x="671676" y="2646756"/>
          <a:ext cx="879290" cy="9282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79290" h="928239">
              <a:moveTo>
                <a:pt x="709832" y="156525"/>
              </a:moveTo>
              <a:lnTo>
                <a:pt x="0" y="890734"/>
              </a:lnTo>
              <a:lnTo>
                <a:pt x="0" y="928238"/>
              </a:lnTo>
              <a:lnTo>
                <a:pt x="727570" y="175682"/>
              </a:lnTo>
              <a:lnTo>
                <a:pt x="743602" y="159099"/>
              </a:lnTo>
              <a:lnTo>
                <a:pt x="879289" y="18752"/>
              </a:lnTo>
              <a:lnTo>
                <a:pt x="861160" y="0"/>
              </a:lnTo>
              <a:lnTo>
                <a:pt x="725473" y="14034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0.60727</cdr:x>
      <cdr:y>0.75205</cdr:y>
    </cdr:from>
    <cdr:to>
      <cdr:x>0.72832</cdr:x>
      <cdr:y>0.87225</cdr:y>
    </cdr:to>
    <cdr:sp macro="" textlink="">
      <cdr:nvSpPr>
        <cdr:cNvPr id="271" name="FracNo 431 StartRow 3058">
          <a:extLst xmlns:a="http://schemas.openxmlformats.org/drawingml/2006/main">
            <a:ext uri="{FF2B5EF4-FFF2-40B4-BE49-F238E27FC236}">
              <a16:creationId xmlns:a16="http://schemas.microsoft.com/office/drawing/2014/main" id="{4D7066C3-231F-E9D0-ED86-3B76FEAD81B8}"/>
            </a:ext>
          </a:extLst>
        </cdr:cNvPr>
        <cdr:cNvSpPr/>
      </cdr:nvSpPr>
      <cdr:spPr>
        <a:xfrm xmlns:a="http://schemas.openxmlformats.org/drawingml/2006/main">
          <a:off x="4442333" y="5730599"/>
          <a:ext cx="885510" cy="9159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85510" h="915920">
              <a:moveTo>
                <a:pt x="593356" y="283434"/>
              </a:moveTo>
              <a:lnTo>
                <a:pt x="368699" y="515807"/>
              </a:lnTo>
              <a:lnTo>
                <a:pt x="0" y="897167"/>
              </a:lnTo>
              <a:lnTo>
                <a:pt x="18129" y="915919"/>
              </a:lnTo>
              <a:lnTo>
                <a:pt x="386828" y="534558"/>
              </a:lnTo>
              <a:lnTo>
                <a:pt x="611485" y="302186"/>
              </a:lnTo>
              <a:lnTo>
                <a:pt x="885509" y="18752"/>
              </a:lnTo>
              <a:lnTo>
                <a:pt x="86737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0.60305</cdr:x>
      <cdr:y>0.74785</cdr:y>
    </cdr:from>
    <cdr:to>
      <cdr:x>0.7241</cdr:x>
      <cdr:y>0.86805</cdr:y>
    </cdr:to>
    <cdr:sp macro="" textlink="">
      <cdr:nvSpPr>
        <cdr:cNvPr id="272" name="FracNo 999 StartRow 3069">
          <a:extLst xmlns:a="http://schemas.openxmlformats.org/drawingml/2006/main">
            <a:ext uri="{FF2B5EF4-FFF2-40B4-BE49-F238E27FC236}">
              <a16:creationId xmlns:a16="http://schemas.microsoft.com/office/drawing/2014/main" id="{94B43406-2BF2-564C-B99A-0912ACD2A535}"/>
            </a:ext>
          </a:extLst>
        </cdr:cNvPr>
        <cdr:cNvSpPr/>
      </cdr:nvSpPr>
      <cdr:spPr>
        <a:xfrm xmlns:a="http://schemas.openxmlformats.org/drawingml/2006/main">
          <a:off x="4411434" y="5698639"/>
          <a:ext cx="885509" cy="9159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85509" h="915919">
              <a:moveTo>
                <a:pt x="595257" y="318971"/>
              </a:moveTo>
              <a:lnTo>
                <a:pt x="417727" y="502597"/>
              </a:lnTo>
              <a:lnTo>
                <a:pt x="18129" y="915918"/>
              </a:lnTo>
              <a:lnTo>
                <a:pt x="0" y="897167"/>
              </a:lnTo>
              <a:lnTo>
                <a:pt x="399598" y="483845"/>
              </a:lnTo>
              <a:lnTo>
                <a:pt x="577127" y="300219"/>
              </a:lnTo>
              <a:lnTo>
                <a:pt x="867379" y="0"/>
              </a:lnTo>
              <a:lnTo>
                <a:pt x="88550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0.82354</cdr:x>
      <cdr:y>0.72693</cdr:y>
    </cdr:from>
    <cdr:to>
      <cdr:x>0.94246</cdr:x>
      <cdr:y>0.84748</cdr:y>
    </cdr:to>
    <cdr:sp macro="" textlink="">
      <cdr:nvSpPr>
        <cdr:cNvPr id="273" name="FracNo 435 StartRow 3080">
          <a:extLst xmlns:a="http://schemas.openxmlformats.org/drawingml/2006/main">
            <a:ext uri="{FF2B5EF4-FFF2-40B4-BE49-F238E27FC236}">
              <a16:creationId xmlns:a16="http://schemas.microsoft.com/office/drawing/2014/main" id="{CC2629F1-629B-83C2-1DEA-40E46AA55EA4}"/>
            </a:ext>
          </a:extLst>
        </cdr:cNvPr>
        <cdr:cNvSpPr/>
      </cdr:nvSpPr>
      <cdr:spPr>
        <a:xfrm xmlns:a="http://schemas.openxmlformats.org/drawingml/2006/main">
          <a:off x="6024342" y="5539237"/>
          <a:ext cx="869966" cy="9185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69966" h="918594">
              <a:moveTo>
                <a:pt x="184060" y="746965"/>
              </a:moveTo>
              <a:lnTo>
                <a:pt x="18130" y="918593"/>
              </a:lnTo>
              <a:lnTo>
                <a:pt x="0" y="899841"/>
              </a:lnTo>
              <a:lnTo>
                <a:pt x="169462" y="724560"/>
              </a:lnTo>
              <a:lnTo>
                <a:pt x="869965" y="0"/>
              </a:lnTo>
              <a:lnTo>
                <a:pt x="869965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0.3858</cdr:x>
      <cdr:y>0.14601</cdr:y>
    </cdr:from>
    <cdr:to>
      <cdr:x>0.5059</cdr:x>
      <cdr:y>0.26527</cdr:y>
    </cdr:to>
    <cdr:sp macro="" textlink="">
      <cdr:nvSpPr>
        <cdr:cNvPr id="274" name="FracNo 359 StartRow 3089">
          <a:extLst xmlns:a="http://schemas.openxmlformats.org/drawingml/2006/main">
            <a:ext uri="{FF2B5EF4-FFF2-40B4-BE49-F238E27FC236}">
              <a16:creationId xmlns:a16="http://schemas.microsoft.com/office/drawing/2014/main" id="{BB7891B4-B991-D8F4-7A15-A90DC6DA352B}"/>
            </a:ext>
          </a:extLst>
        </cdr:cNvPr>
        <cdr:cNvSpPr/>
      </cdr:nvSpPr>
      <cdr:spPr>
        <a:xfrm xmlns:a="http://schemas.openxmlformats.org/drawingml/2006/main">
          <a:off x="2822195" y="1112631"/>
          <a:ext cx="878533" cy="9087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78533" h="908703">
              <a:moveTo>
                <a:pt x="805103" y="94702"/>
              </a:moveTo>
              <a:lnTo>
                <a:pt x="18129" y="908702"/>
              </a:lnTo>
              <a:lnTo>
                <a:pt x="0" y="889950"/>
              </a:lnTo>
              <a:lnTo>
                <a:pt x="786974" y="75950"/>
              </a:lnTo>
              <a:lnTo>
                <a:pt x="860402" y="0"/>
              </a:lnTo>
              <a:lnTo>
                <a:pt x="87853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0.25762</cdr:x>
      <cdr:y>0.14318</cdr:y>
    </cdr:from>
    <cdr:to>
      <cdr:x>0.37737</cdr:x>
      <cdr:y>0.26208</cdr:y>
    </cdr:to>
    <cdr:sp macro="" textlink="">
      <cdr:nvSpPr>
        <cdr:cNvPr id="275" name="FracNo 788 StartRow 3098">
          <a:extLst xmlns:a="http://schemas.openxmlformats.org/drawingml/2006/main">
            <a:ext uri="{FF2B5EF4-FFF2-40B4-BE49-F238E27FC236}">
              <a16:creationId xmlns:a16="http://schemas.microsoft.com/office/drawing/2014/main" id="{DA9F0725-0BE4-3992-0562-92271DB1F48C}"/>
            </a:ext>
          </a:extLst>
        </cdr:cNvPr>
        <cdr:cNvSpPr/>
      </cdr:nvSpPr>
      <cdr:spPr>
        <a:xfrm xmlns:a="http://schemas.openxmlformats.org/drawingml/2006/main">
          <a:off x="1884529" y="1091000"/>
          <a:ext cx="876002" cy="9060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76002" h="906085">
              <a:moveTo>
                <a:pt x="554672" y="351116"/>
              </a:moveTo>
              <a:lnTo>
                <a:pt x="18129" y="906084"/>
              </a:lnTo>
              <a:lnTo>
                <a:pt x="0" y="887332"/>
              </a:lnTo>
              <a:lnTo>
                <a:pt x="536543" y="332363"/>
              </a:lnTo>
              <a:lnTo>
                <a:pt x="852293" y="5770"/>
              </a:lnTo>
              <a:lnTo>
                <a:pt x="857871" y="0"/>
              </a:lnTo>
              <a:lnTo>
                <a:pt x="876001" y="18751"/>
              </a:lnTo>
              <a:lnTo>
                <a:pt x="870422" y="2452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0.52578</cdr:x>
      <cdr:y>0.24239</cdr:y>
    </cdr:from>
    <cdr:to>
      <cdr:x>0.64551</cdr:x>
      <cdr:y>0.36127</cdr:y>
    </cdr:to>
    <cdr:sp macro="" textlink="">
      <cdr:nvSpPr>
        <cdr:cNvPr id="276" name="FracNo 355 StartRow 3109">
          <a:extLst xmlns:a="http://schemas.openxmlformats.org/drawingml/2006/main">
            <a:ext uri="{FF2B5EF4-FFF2-40B4-BE49-F238E27FC236}">
              <a16:creationId xmlns:a16="http://schemas.microsoft.com/office/drawing/2014/main" id="{5358E019-D0A6-3874-5CDE-114C08C838B8}"/>
            </a:ext>
          </a:extLst>
        </cdr:cNvPr>
        <cdr:cNvSpPr/>
      </cdr:nvSpPr>
      <cdr:spPr>
        <a:xfrm xmlns:a="http://schemas.openxmlformats.org/drawingml/2006/main">
          <a:off x="3846216" y="1847022"/>
          <a:ext cx="875804" cy="9058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75804" h="905880">
              <a:moveTo>
                <a:pt x="404782" y="468445"/>
              </a:moveTo>
              <a:lnTo>
                <a:pt x="0" y="887128"/>
              </a:lnTo>
              <a:lnTo>
                <a:pt x="18130" y="905879"/>
              </a:lnTo>
              <a:lnTo>
                <a:pt x="422911" y="487196"/>
              </a:lnTo>
              <a:lnTo>
                <a:pt x="875803" y="18752"/>
              </a:lnTo>
              <a:lnTo>
                <a:pt x="85767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0.22332</cdr:x>
      <cdr:y>0.08544</cdr:y>
    </cdr:from>
    <cdr:to>
      <cdr:x>0.34358</cdr:x>
      <cdr:y>0.20239</cdr:y>
    </cdr:to>
    <cdr:sp macro="" textlink="">
      <cdr:nvSpPr>
        <cdr:cNvPr id="277" name="FracNo 582 StartRow 3118">
          <a:extLst xmlns:a="http://schemas.openxmlformats.org/drawingml/2006/main">
            <a:ext uri="{FF2B5EF4-FFF2-40B4-BE49-F238E27FC236}">
              <a16:creationId xmlns:a16="http://schemas.microsoft.com/office/drawing/2014/main" id="{8671820F-F60E-F81A-375F-30C4A56B4C71}"/>
            </a:ext>
          </a:extLst>
        </cdr:cNvPr>
        <cdr:cNvSpPr/>
      </cdr:nvSpPr>
      <cdr:spPr>
        <a:xfrm xmlns:a="http://schemas.openxmlformats.org/drawingml/2006/main">
          <a:off x="1633628" y="651036"/>
          <a:ext cx="879711" cy="8911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79711" h="891170">
              <a:moveTo>
                <a:pt x="426112" y="431672"/>
              </a:moveTo>
              <a:lnTo>
                <a:pt x="0" y="872418"/>
              </a:lnTo>
              <a:lnTo>
                <a:pt x="18129" y="891169"/>
              </a:lnTo>
              <a:lnTo>
                <a:pt x="453400" y="440951"/>
              </a:lnTo>
              <a:lnTo>
                <a:pt x="879710" y="0"/>
              </a:lnTo>
              <a:lnTo>
                <a:pt x="84345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0.64655</cdr:x>
      <cdr:y>0.81361</cdr:y>
    </cdr:from>
    <cdr:to>
      <cdr:x>0.76634</cdr:x>
      <cdr:y>0.9301</cdr:y>
    </cdr:to>
    <cdr:sp macro="" textlink="">
      <cdr:nvSpPr>
        <cdr:cNvPr id="278" name="FracNo 913 StartRow 3127">
          <a:extLst xmlns:a="http://schemas.openxmlformats.org/drawingml/2006/main">
            <a:ext uri="{FF2B5EF4-FFF2-40B4-BE49-F238E27FC236}">
              <a16:creationId xmlns:a16="http://schemas.microsoft.com/office/drawing/2014/main" id="{9926A721-F4FF-AC23-DE64-281D5406526A}"/>
            </a:ext>
          </a:extLst>
        </cdr:cNvPr>
        <cdr:cNvSpPr/>
      </cdr:nvSpPr>
      <cdr:spPr>
        <a:xfrm xmlns:a="http://schemas.openxmlformats.org/drawingml/2006/main">
          <a:off x="4729611" y="6199737"/>
          <a:ext cx="876287" cy="8876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76287" h="887629">
              <a:moveTo>
                <a:pt x="379420" y="495178"/>
              </a:moveTo>
              <a:lnTo>
                <a:pt x="74106" y="810976"/>
              </a:lnTo>
              <a:lnTo>
                <a:pt x="0" y="887628"/>
              </a:lnTo>
              <a:lnTo>
                <a:pt x="36258" y="887628"/>
              </a:lnTo>
              <a:lnTo>
                <a:pt x="106865" y="814596"/>
              </a:lnTo>
              <a:lnTo>
                <a:pt x="406482" y="504690"/>
              </a:lnTo>
              <a:lnTo>
                <a:pt x="876286" y="18752"/>
              </a:lnTo>
              <a:lnTo>
                <a:pt x="85815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0.24478</cdr:y>
    </cdr:from>
    <cdr:to>
      <cdr:x>0.2083</cdr:x>
      <cdr:y>0.3629</cdr:y>
    </cdr:to>
    <cdr:sp macro="" textlink="">
      <cdr:nvSpPr>
        <cdr:cNvPr id="279" name="FracNo 586 StartRow 3138">
          <a:extLst xmlns:a="http://schemas.openxmlformats.org/drawingml/2006/main">
            <a:ext uri="{FF2B5EF4-FFF2-40B4-BE49-F238E27FC236}">
              <a16:creationId xmlns:a16="http://schemas.microsoft.com/office/drawing/2014/main" id="{A094A787-D10A-EA90-BD31-3949A1FF8F09}"/>
            </a:ext>
          </a:extLst>
        </cdr:cNvPr>
        <cdr:cNvSpPr/>
      </cdr:nvSpPr>
      <cdr:spPr>
        <a:xfrm xmlns:a="http://schemas.openxmlformats.org/drawingml/2006/main">
          <a:off x="671676" y="1865215"/>
          <a:ext cx="852063" cy="9000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52063" h="900077">
              <a:moveTo>
                <a:pt x="348299" y="502312"/>
              </a:moveTo>
              <a:lnTo>
                <a:pt x="0" y="862572"/>
              </a:lnTo>
              <a:lnTo>
                <a:pt x="0" y="900076"/>
              </a:lnTo>
              <a:lnTo>
                <a:pt x="355871" y="531984"/>
              </a:lnTo>
              <a:lnTo>
                <a:pt x="852062" y="18752"/>
              </a:lnTo>
              <a:lnTo>
                <a:pt x="83393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0.25262</cdr:x>
      <cdr:y>0.08544</cdr:y>
    </cdr:from>
    <cdr:to>
      <cdr:x>0.3714</cdr:x>
      <cdr:y>0.20092</cdr:y>
    </cdr:to>
    <cdr:sp macro="" textlink="">
      <cdr:nvSpPr>
        <cdr:cNvPr id="280" name="FracNo 729 StartRow 3147">
          <a:extLst xmlns:a="http://schemas.openxmlformats.org/drawingml/2006/main">
            <a:ext uri="{FF2B5EF4-FFF2-40B4-BE49-F238E27FC236}">
              <a16:creationId xmlns:a16="http://schemas.microsoft.com/office/drawing/2014/main" id="{B6AAF422-7650-31E8-1D28-90640DF34E4F}"/>
            </a:ext>
          </a:extLst>
        </cdr:cNvPr>
        <cdr:cNvSpPr/>
      </cdr:nvSpPr>
      <cdr:spPr>
        <a:xfrm xmlns:a="http://schemas.openxmlformats.org/drawingml/2006/main">
          <a:off x="1847969" y="651036"/>
          <a:ext cx="868866" cy="8799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68866" h="879953">
              <a:moveTo>
                <a:pt x="647169" y="191805"/>
              </a:moveTo>
              <a:lnTo>
                <a:pt x="0" y="861200"/>
              </a:lnTo>
              <a:lnTo>
                <a:pt x="18129" y="879952"/>
              </a:lnTo>
              <a:lnTo>
                <a:pt x="679390" y="195982"/>
              </a:lnTo>
              <a:lnTo>
                <a:pt x="868865" y="0"/>
              </a:lnTo>
              <a:lnTo>
                <a:pt x="83260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0.20736</cdr:x>
      <cdr:y>0.23136</cdr:y>
    </cdr:from>
    <cdr:to>
      <cdr:x>0.32446</cdr:x>
      <cdr:y>0.34764</cdr:y>
    </cdr:to>
    <cdr:sp macro="" textlink="">
      <cdr:nvSpPr>
        <cdr:cNvPr id="281" name="FracNo 766 StartRow 3156">
          <a:extLst xmlns:a="http://schemas.openxmlformats.org/drawingml/2006/main">
            <a:ext uri="{FF2B5EF4-FFF2-40B4-BE49-F238E27FC236}">
              <a16:creationId xmlns:a16="http://schemas.microsoft.com/office/drawing/2014/main" id="{C2E6F9C3-AA79-69B7-1C09-0B8816FEDF39}"/>
            </a:ext>
          </a:extLst>
        </cdr:cNvPr>
        <cdr:cNvSpPr/>
      </cdr:nvSpPr>
      <cdr:spPr>
        <a:xfrm xmlns:a="http://schemas.openxmlformats.org/drawingml/2006/main">
          <a:off x="1516872" y="1762964"/>
          <a:ext cx="856615" cy="8860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56615" h="886033">
              <a:moveTo>
                <a:pt x="148529" y="713650"/>
              </a:moveTo>
              <a:lnTo>
                <a:pt x="0" y="867280"/>
              </a:lnTo>
              <a:lnTo>
                <a:pt x="18129" y="886032"/>
              </a:lnTo>
              <a:lnTo>
                <a:pt x="166659" y="732401"/>
              </a:lnTo>
              <a:lnTo>
                <a:pt x="856614" y="18751"/>
              </a:lnTo>
              <a:lnTo>
                <a:pt x="8384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0.20388</cdr:x>
      <cdr:y>0.65735</cdr:y>
    </cdr:from>
    <cdr:to>
      <cdr:x>0.32091</cdr:x>
      <cdr:y>0.77357</cdr:y>
    </cdr:to>
    <cdr:sp macro="" textlink="">
      <cdr:nvSpPr>
        <cdr:cNvPr id="282" name="FracNo 745 StartRow 3165">
          <a:extLst xmlns:a="http://schemas.openxmlformats.org/drawingml/2006/main">
            <a:ext uri="{FF2B5EF4-FFF2-40B4-BE49-F238E27FC236}">
              <a16:creationId xmlns:a16="http://schemas.microsoft.com/office/drawing/2014/main" id="{A65E6254-0D9D-F695-BF71-04F282B0358B}"/>
            </a:ext>
          </a:extLst>
        </cdr:cNvPr>
        <cdr:cNvSpPr/>
      </cdr:nvSpPr>
      <cdr:spPr>
        <a:xfrm xmlns:a="http://schemas.openxmlformats.org/drawingml/2006/main">
          <a:off x="1491406" y="5009039"/>
          <a:ext cx="856151" cy="8855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56151" h="885553">
              <a:moveTo>
                <a:pt x="489413" y="398084"/>
              </a:moveTo>
              <a:lnTo>
                <a:pt x="18130" y="885552"/>
              </a:lnTo>
              <a:lnTo>
                <a:pt x="0" y="866800"/>
              </a:lnTo>
              <a:lnTo>
                <a:pt x="471284" y="379332"/>
              </a:lnTo>
              <a:lnTo>
                <a:pt x="838021" y="0"/>
              </a:lnTo>
              <a:lnTo>
                <a:pt x="85615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0.56791</cdr:x>
      <cdr:y>0.42773</cdr:y>
    </cdr:from>
    <cdr:to>
      <cdr:x>0.68413</cdr:x>
      <cdr:y>0.54313</cdr:y>
    </cdr:to>
    <cdr:sp macro="" textlink="">
      <cdr:nvSpPr>
        <cdr:cNvPr id="283" name="FracNo 930 StartRow 3174">
          <a:extLst xmlns:a="http://schemas.openxmlformats.org/drawingml/2006/main">
            <a:ext uri="{FF2B5EF4-FFF2-40B4-BE49-F238E27FC236}">
              <a16:creationId xmlns:a16="http://schemas.microsoft.com/office/drawing/2014/main" id="{E8B65820-C467-B319-139D-9D207E05ADBB}"/>
            </a:ext>
          </a:extLst>
        </cdr:cNvPr>
        <cdr:cNvSpPr/>
      </cdr:nvSpPr>
      <cdr:spPr>
        <a:xfrm xmlns:a="http://schemas.openxmlformats.org/drawingml/2006/main">
          <a:off x="4154358" y="3259287"/>
          <a:ext cx="850198" cy="8793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50198" h="879396">
              <a:moveTo>
                <a:pt x="788702" y="44855"/>
              </a:moveTo>
              <a:lnTo>
                <a:pt x="656674" y="181417"/>
              </a:lnTo>
              <a:lnTo>
                <a:pt x="0" y="860643"/>
              </a:lnTo>
              <a:lnTo>
                <a:pt x="18129" y="879395"/>
              </a:lnTo>
              <a:lnTo>
                <a:pt x="674803" y="200169"/>
              </a:lnTo>
              <a:lnTo>
                <a:pt x="806831" y="63607"/>
              </a:lnTo>
              <a:lnTo>
                <a:pt x="850197" y="18753"/>
              </a:lnTo>
              <a:lnTo>
                <a:pt x="83206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0.77122</cdr:y>
    </cdr:from>
    <cdr:to>
      <cdr:x>0.20646</cdr:x>
      <cdr:y>0.88752</cdr:y>
    </cdr:to>
    <cdr:sp macro="" textlink="">
      <cdr:nvSpPr>
        <cdr:cNvPr id="284" name="FracNo 877 StartRow 3185">
          <a:extLst xmlns:a="http://schemas.openxmlformats.org/drawingml/2006/main">
            <a:ext uri="{FF2B5EF4-FFF2-40B4-BE49-F238E27FC236}">
              <a16:creationId xmlns:a16="http://schemas.microsoft.com/office/drawing/2014/main" id="{89404189-B036-C7C9-ADCC-CAF3F69FA1AE}"/>
            </a:ext>
          </a:extLst>
        </cdr:cNvPr>
        <cdr:cNvSpPr/>
      </cdr:nvSpPr>
      <cdr:spPr>
        <a:xfrm xmlns:a="http://schemas.openxmlformats.org/drawingml/2006/main">
          <a:off x="671676" y="5876661"/>
          <a:ext cx="838656" cy="8862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8656" h="886209">
              <a:moveTo>
                <a:pt x="306236" y="569455"/>
              </a:moveTo>
              <a:lnTo>
                <a:pt x="0" y="886208"/>
              </a:lnTo>
              <a:lnTo>
                <a:pt x="0" y="848704"/>
              </a:lnTo>
              <a:lnTo>
                <a:pt x="299616" y="538799"/>
              </a:lnTo>
              <a:lnTo>
                <a:pt x="820525" y="0"/>
              </a:lnTo>
              <a:lnTo>
                <a:pt x="83865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0.82805</cdr:x>
      <cdr:y>0.56263</cdr:y>
    </cdr:from>
    <cdr:to>
      <cdr:x>0.94246</cdr:x>
      <cdr:y>0.6787</cdr:y>
    </cdr:to>
    <cdr:sp macro="" textlink="">
      <cdr:nvSpPr>
        <cdr:cNvPr id="285" name="FracNo 739 StartRow 3194">
          <a:extLst xmlns:a="http://schemas.openxmlformats.org/drawingml/2006/main">
            <a:ext uri="{FF2B5EF4-FFF2-40B4-BE49-F238E27FC236}">
              <a16:creationId xmlns:a16="http://schemas.microsoft.com/office/drawing/2014/main" id="{CED17886-CF86-CB91-7F13-7034BB03F75F}"/>
            </a:ext>
          </a:extLst>
        </cdr:cNvPr>
        <cdr:cNvSpPr/>
      </cdr:nvSpPr>
      <cdr:spPr>
        <a:xfrm xmlns:a="http://schemas.openxmlformats.org/drawingml/2006/main">
          <a:off x="6057327" y="4287219"/>
          <a:ext cx="836981" cy="8844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6981" h="884476">
              <a:moveTo>
                <a:pt x="488575" y="360371"/>
              </a:moveTo>
              <a:lnTo>
                <a:pt x="213079" y="645327"/>
              </a:lnTo>
              <a:lnTo>
                <a:pt x="0" y="865724"/>
              </a:lnTo>
              <a:lnTo>
                <a:pt x="18130" y="884475"/>
              </a:lnTo>
              <a:lnTo>
                <a:pt x="231209" y="664079"/>
              </a:lnTo>
              <a:lnTo>
                <a:pt x="498698" y="387403"/>
              </a:lnTo>
              <a:lnTo>
                <a:pt x="836980" y="37504"/>
              </a:lnTo>
              <a:lnTo>
                <a:pt x="83698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0.13178</cdr:x>
      <cdr:y>0.81694</cdr:y>
    </cdr:from>
    <cdr:to>
      <cdr:x>0.24822</cdr:x>
      <cdr:y>0.9301</cdr:y>
    </cdr:to>
    <cdr:sp macro="" textlink="">
      <cdr:nvSpPr>
        <cdr:cNvPr id="286" name="FracNo 24 StartRow 3205">
          <a:extLst xmlns:a="http://schemas.openxmlformats.org/drawingml/2006/main">
            <a:ext uri="{FF2B5EF4-FFF2-40B4-BE49-F238E27FC236}">
              <a16:creationId xmlns:a16="http://schemas.microsoft.com/office/drawing/2014/main" id="{F674E359-169B-AD90-BC03-33F8206A5B24}"/>
            </a:ext>
          </a:extLst>
        </cdr:cNvPr>
        <cdr:cNvSpPr/>
      </cdr:nvSpPr>
      <cdr:spPr>
        <a:xfrm xmlns:a="http://schemas.openxmlformats.org/drawingml/2006/main">
          <a:off x="964015" y="6225115"/>
          <a:ext cx="851752" cy="8622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51752" h="862251">
              <a:moveTo>
                <a:pt x="427761" y="419799"/>
              </a:moveTo>
              <a:lnTo>
                <a:pt x="0" y="862250"/>
              </a:lnTo>
              <a:lnTo>
                <a:pt x="36259" y="862250"/>
              </a:lnTo>
              <a:lnTo>
                <a:pt x="454717" y="429421"/>
              </a:lnTo>
              <a:lnTo>
                <a:pt x="851751" y="18752"/>
              </a:lnTo>
              <a:lnTo>
                <a:pt x="83362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0.32268</cdr:x>
      <cdr:y>0.13754</cdr:y>
    </cdr:from>
    <cdr:to>
      <cdr:x>0.43785</cdr:x>
      <cdr:y>0.25191</cdr:y>
    </cdr:to>
    <cdr:sp macro="" textlink="">
      <cdr:nvSpPr>
        <cdr:cNvPr id="287" name="FracNo 805 StartRow 3214">
          <a:extLst xmlns:a="http://schemas.openxmlformats.org/drawingml/2006/main">
            <a:ext uri="{FF2B5EF4-FFF2-40B4-BE49-F238E27FC236}">
              <a16:creationId xmlns:a16="http://schemas.microsoft.com/office/drawing/2014/main" id="{FA7BCEC3-A5A7-B78F-625E-BA7F82439567}"/>
            </a:ext>
          </a:extLst>
        </cdr:cNvPr>
        <cdr:cNvSpPr/>
      </cdr:nvSpPr>
      <cdr:spPr>
        <a:xfrm xmlns:a="http://schemas.openxmlformats.org/drawingml/2006/main">
          <a:off x="2360468" y="1048073"/>
          <a:ext cx="842522" cy="8714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42522" h="871456">
              <a:moveTo>
                <a:pt x="291102" y="551604"/>
              </a:moveTo>
              <a:lnTo>
                <a:pt x="0" y="852703"/>
              </a:lnTo>
              <a:lnTo>
                <a:pt x="18130" y="871455"/>
              </a:lnTo>
              <a:lnTo>
                <a:pt x="309231" y="570356"/>
              </a:lnTo>
              <a:lnTo>
                <a:pt x="394483" y="482177"/>
              </a:lnTo>
              <a:lnTo>
                <a:pt x="842521" y="18752"/>
              </a:lnTo>
              <a:lnTo>
                <a:pt x="824392" y="0"/>
              </a:lnTo>
              <a:lnTo>
                <a:pt x="376354" y="46342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0.20677</cdr:x>
      <cdr:y>0.19958</cdr:y>
    </cdr:to>
    <cdr:sp macro="" textlink="">
      <cdr:nvSpPr>
        <cdr:cNvPr id="288" name="FracNo 838 StartRow 3225">
          <a:extLst xmlns:a="http://schemas.openxmlformats.org/drawingml/2006/main">
            <a:ext uri="{FF2B5EF4-FFF2-40B4-BE49-F238E27FC236}">
              <a16:creationId xmlns:a16="http://schemas.microsoft.com/office/drawing/2014/main" id="{01EB7E79-273F-0A03-3EFF-CEA8F3000A30}"/>
            </a:ext>
          </a:extLst>
        </cdr:cNvPr>
        <cdr:cNvSpPr/>
      </cdr:nvSpPr>
      <cdr:spPr>
        <a:xfrm xmlns:a="http://schemas.openxmlformats.org/drawingml/2006/main">
          <a:off x="671676" y="651036"/>
          <a:ext cx="840921" cy="8698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40921" h="869800">
              <a:moveTo>
                <a:pt x="443549" y="373514"/>
              </a:moveTo>
              <a:lnTo>
                <a:pt x="0" y="832295"/>
              </a:lnTo>
              <a:lnTo>
                <a:pt x="0" y="869799"/>
              </a:lnTo>
              <a:lnTo>
                <a:pt x="463536" y="390345"/>
              </a:lnTo>
              <a:lnTo>
                <a:pt x="840920" y="0"/>
              </a:lnTo>
              <a:lnTo>
                <a:pt x="80466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0.50398</cdr:x>
      <cdr:y>0.15705</cdr:y>
    </cdr:from>
    <cdr:to>
      <cdr:x>0.61865</cdr:x>
      <cdr:y>0.27091</cdr:y>
    </cdr:to>
    <cdr:sp macro="" textlink="">
      <cdr:nvSpPr>
        <cdr:cNvPr id="289" name="FracNo 721 StartRow 3234">
          <a:extLst xmlns:a="http://schemas.openxmlformats.org/drawingml/2006/main">
            <a:ext uri="{FF2B5EF4-FFF2-40B4-BE49-F238E27FC236}">
              <a16:creationId xmlns:a16="http://schemas.microsoft.com/office/drawing/2014/main" id="{6D4694A2-3330-2F12-C613-FAEC1BC73F71}"/>
            </a:ext>
          </a:extLst>
        </cdr:cNvPr>
        <cdr:cNvSpPr/>
      </cdr:nvSpPr>
      <cdr:spPr>
        <a:xfrm xmlns:a="http://schemas.openxmlformats.org/drawingml/2006/main">
          <a:off x="3686733" y="1196727"/>
          <a:ext cx="838829" cy="8676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8829" h="867637">
              <a:moveTo>
                <a:pt x="701256" y="123546"/>
              </a:moveTo>
              <a:lnTo>
                <a:pt x="0" y="848884"/>
              </a:lnTo>
              <a:lnTo>
                <a:pt x="18130" y="867636"/>
              </a:lnTo>
              <a:lnTo>
                <a:pt x="719385" y="142298"/>
              </a:lnTo>
              <a:lnTo>
                <a:pt x="838828" y="18752"/>
              </a:lnTo>
              <a:lnTo>
                <a:pt x="82069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0.51774</cdr:x>
      <cdr:y>0.81864</cdr:y>
    </cdr:from>
    <cdr:to>
      <cdr:x>0.63246</cdr:x>
      <cdr:y>0.9301</cdr:y>
    </cdr:to>
    <cdr:sp macro="" textlink="">
      <cdr:nvSpPr>
        <cdr:cNvPr id="290" name="FracNo 262 StartRow 3243">
          <a:extLst xmlns:a="http://schemas.openxmlformats.org/drawingml/2006/main">
            <a:ext uri="{FF2B5EF4-FFF2-40B4-BE49-F238E27FC236}">
              <a16:creationId xmlns:a16="http://schemas.microsoft.com/office/drawing/2014/main" id="{1B3D79C6-44FC-7885-E37A-EE16BA432CD9}"/>
            </a:ext>
          </a:extLst>
        </cdr:cNvPr>
        <cdr:cNvSpPr/>
      </cdr:nvSpPr>
      <cdr:spPr>
        <a:xfrm xmlns:a="http://schemas.openxmlformats.org/drawingml/2006/main">
          <a:off x="3787347" y="6238059"/>
          <a:ext cx="839238" cy="8493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9238" h="849307">
              <a:moveTo>
                <a:pt x="468110" y="402624"/>
              </a:moveTo>
              <a:lnTo>
                <a:pt x="36259" y="849306"/>
              </a:lnTo>
              <a:lnTo>
                <a:pt x="0" y="849306"/>
              </a:lnTo>
              <a:lnTo>
                <a:pt x="441602" y="392539"/>
              </a:lnTo>
              <a:lnTo>
                <a:pt x="821108" y="0"/>
              </a:lnTo>
              <a:lnTo>
                <a:pt x="83923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0.74501</cdr:x>
      <cdr:y>0.75513</cdr:y>
    </cdr:from>
    <cdr:to>
      <cdr:x>0.85785</cdr:x>
      <cdr:y>0.86717</cdr:y>
    </cdr:to>
    <cdr:sp macro="" textlink="">
      <cdr:nvSpPr>
        <cdr:cNvPr id="291" name="FracNo 912 StartRow 3252">
          <a:extLst xmlns:a="http://schemas.openxmlformats.org/drawingml/2006/main">
            <a:ext uri="{FF2B5EF4-FFF2-40B4-BE49-F238E27FC236}">
              <a16:creationId xmlns:a16="http://schemas.microsoft.com/office/drawing/2014/main" id="{FD6E58C8-6074-81B9-DDC3-4A06CADCF40E}"/>
            </a:ext>
          </a:extLst>
        </cdr:cNvPr>
        <cdr:cNvSpPr/>
      </cdr:nvSpPr>
      <cdr:spPr>
        <a:xfrm xmlns:a="http://schemas.openxmlformats.org/drawingml/2006/main">
          <a:off x="5449918" y="5754076"/>
          <a:ext cx="825426" cy="8537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25426" h="853773">
              <a:moveTo>
                <a:pt x="512111" y="305322"/>
              </a:moveTo>
              <a:lnTo>
                <a:pt x="0" y="835020"/>
              </a:lnTo>
              <a:lnTo>
                <a:pt x="18129" y="853772"/>
              </a:lnTo>
              <a:lnTo>
                <a:pt x="530240" y="324074"/>
              </a:lnTo>
              <a:lnTo>
                <a:pt x="825425" y="18752"/>
              </a:lnTo>
              <a:lnTo>
                <a:pt x="80729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0.61063</cdr:x>
      <cdr:y>0.4682</cdr:y>
    </cdr:from>
    <cdr:to>
      <cdr:x>0.72234</cdr:x>
      <cdr:y>0.57913</cdr:y>
    </cdr:to>
    <cdr:sp macro="" textlink="">
      <cdr:nvSpPr>
        <cdr:cNvPr id="292" name="FracNo 198 StartRow 3261">
          <a:extLst xmlns:a="http://schemas.openxmlformats.org/drawingml/2006/main">
            <a:ext uri="{FF2B5EF4-FFF2-40B4-BE49-F238E27FC236}">
              <a16:creationId xmlns:a16="http://schemas.microsoft.com/office/drawing/2014/main" id="{1298E1BC-CD51-50A2-214B-DDDABE87DCB5}"/>
            </a:ext>
          </a:extLst>
        </cdr:cNvPr>
        <cdr:cNvSpPr/>
      </cdr:nvSpPr>
      <cdr:spPr>
        <a:xfrm xmlns:a="http://schemas.openxmlformats.org/drawingml/2006/main">
          <a:off x="4466894" y="3567710"/>
          <a:ext cx="817198" cy="8452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17198" h="845262">
              <a:moveTo>
                <a:pt x="567775" y="276741"/>
              </a:moveTo>
              <a:lnTo>
                <a:pt x="362267" y="489305"/>
              </a:lnTo>
              <a:lnTo>
                <a:pt x="18130" y="845261"/>
              </a:lnTo>
              <a:lnTo>
                <a:pt x="0" y="826509"/>
              </a:lnTo>
              <a:lnTo>
                <a:pt x="344138" y="470554"/>
              </a:lnTo>
              <a:lnTo>
                <a:pt x="549645" y="257989"/>
              </a:lnTo>
              <a:lnTo>
                <a:pt x="799068" y="0"/>
              </a:lnTo>
              <a:lnTo>
                <a:pt x="81719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0.8335</cdr:x>
      <cdr:y>0.46661</cdr:y>
    </cdr:from>
    <cdr:to>
      <cdr:x>0.94246</cdr:x>
      <cdr:y>0.57726</cdr:y>
    </cdr:to>
    <cdr:sp macro="" textlink="">
      <cdr:nvSpPr>
        <cdr:cNvPr id="293" name="FracNo 736 StartRow 3272">
          <a:extLst xmlns:a="http://schemas.openxmlformats.org/drawingml/2006/main">
            <a:ext uri="{FF2B5EF4-FFF2-40B4-BE49-F238E27FC236}">
              <a16:creationId xmlns:a16="http://schemas.microsoft.com/office/drawing/2014/main" id="{EA5DAA38-D3FB-AB18-71A9-9F7086728A6F}"/>
            </a:ext>
          </a:extLst>
        </cdr:cNvPr>
        <cdr:cNvSpPr/>
      </cdr:nvSpPr>
      <cdr:spPr>
        <a:xfrm xmlns:a="http://schemas.openxmlformats.org/drawingml/2006/main">
          <a:off x="6097234" y="3555538"/>
          <a:ext cx="797074" cy="8431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97074" h="843199">
              <a:moveTo>
                <a:pt x="338640" y="474176"/>
              </a:moveTo>
              <a:lnTo>
                <a:pt x="0" y="824447"/>
              </a:lnTo>
              <a:lnTo>
                <a:pt x="18130" y="843198"/>
              </a:lnTo>
              <a:lnTo>
                <a:pt x="349067" y="500895"/>
              </a:lnTo>
              <a:lnTo>
                <a:pt x="797073" y="37504"/>
              </a:lnTo>
              <a:lnTo>
                <a:pt x="79707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0.72478</cdr:x>
      <cdr:y>0.57337</cdr:y>
    </cdr:from>
    <cdr:to>
      <cdr:x>0.83454</cdr:x>
      <cdr:y>0.68236</cdr:y>
    </cdr:to>
    <cdr:sp macro="" textlink="">
      <cdr:nvSpPr>
        <cdr:cNvPr id="294" name="FracNo 868 StartRow 3281">
          <a:extLst xmlns:a="http://schemas.openxmlformats.org/drawingml/2006/main">
            <a:ext uri="{FF2B5EF4-FFF2-40B4-BE49-F238E27FC236}">
              <a16:creationId xmlns:a16="http://schemas.microsoft.com/office/drawing/2014/main" id="{3B40C2CD-B50F-9607-D13B-7BD8B8159674}"/>
            </a:ext>
          </a:extLst>
        </cdr:cNvPr>
        <cdr:cNvSpPr/>
      </cdr:nvSpPr>
      <cdr:spPr>
        <a:xfrm xmlns:a="http://schemas.openxmlformats.org/drawingml/2006/main">
          <a:off x="5301918" y="4369078"/>
          <a:ext cx="802902" cy="8304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02902" h="830475">
              <a:moveTo>
                <a:pt x="553761" y="276448"/>
              </a:moveTo>
              <a:lnTo>
                <a:pt x="258141" y="582220"/>
              </a:lnTo>
              <a:lnTo>
                <a:pt x="18130" y="830474"/>
              </a:lnTo>
              <a:lnTo>
                <a:pt x="0" y="811722"/>
              </a:lnTo>
              <a:lnTo>
                <a:pt x="240012" y="563468"/>
              </a:lnTo>
              <a:lnTo>
                <a:pt x="535631" y="257696"/>
              </a:lnTo>
              <a:lnTo>
                <a:pt x="784772" y="0"/>
              </a:lnTo>
              <a:lnTo>
                <a:pt x="80290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0.83408</cdr:x>
      <cdr:y>0.63212</cdr:y>
    </cdr:from>
    <cdr:to>
      <cdr:x>0.94246</cdr:x>
      <cdr:y>0.7422</cdr:y>
    </cdr:to>
    <cdr:sp macro="" textlink="">
      <cdr:nvSpPr>
        <cdr:cNvPr id="295" name="FracNo 763 StartRow 3292">
          <a:extLst xmlns:a="http://schemas.openxmlformats.org/drawingml/2006/main">
            <a:ext uri="{FF2B5EF4-FFF2-40B4-BE49-F238E27FC236}">
              <a16:creationId xmlns:a16="http://schemas.microsoft.com/office/drawing/2014/main" id="{97B8ADA3-928E-786A-CCC4-8098504C75AB}"/>
            </a:ext>
          </a:extLst>
        </cdr:cNvPr>
        <cdr:cNvSpPr/>
      </cdr:nvSpPr>
      <cdr:spPr>
        <a:xfrm xmlns:a="http://schemas.openxmlformats.org/drawingml/2006/main">
          <a:off x="6101489" y="4816733"/>
          <a:ext cx="792819" cy="8387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92819" h="838798">
              <a:moveTo>
                <a:pt x="108408" y="745418"/>
              </a:moveTo>
              <a:lnTo>
                <a:pt x="18129" y="838797"/>
              </a:lnTo>
              <a:lnTo>
                <a:pt x="0" y="820045"/>
              </a:lnTo>
              <a:lnTo>
                <a:pt x="92349" y="724525"/>
              </a:lnTo>
              <a:lnTo>
                <a:pt x="688568" y="107830"/>
              </a:lnTo>
              <a:lnTo>
                <a:pt x="792818" y="0"/>
              </a:lnTo>
              <a:lnTo>
                <a:pt x="792818" y="37504"/>
              </a:lnTo>
              <a:lnTo>
                <a:pt x="691262" y="14254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0.34687</cdr:x>
      <cdr:y>0.8225</cdr:y>
    </cdr:from>
    <cdr:to>
      <cdr:x>0.45771</cdr:x>
      <cdr:y>0.9301</cdr:y>
    </cdr:to>
    <cdr:sp macro="" textlink="">
      <cdr:nvSpPr>
        <cdr:cNvPr id="296" name="FracNo 814 StartRow 3303">
          <a:extLst xmlns:a="http://schemas.openxmlformats.org/drawingml/2006/main">
            <a:ext uri="{FF2B5EF4-FFF2-40B4-BE49-F238E27FC236}">
              <a16:creationId xmlns:a16="http://schemas.microsoft.com/office/drawing/2014/main" id="{D8015E16-0AD4-AB39-8230-14690B35D7C1}"/>
            </a:ext>
          </a:extLst>
        </cdr:cNvPr>
        <cdr:cNvSpPr/>
      </cdr:nvSpPr>
      <cdr:spPr>
        <a:xfrm xmlns:a="http://schemas.openxmlformats.org/drawingml/2006/main">
          <a:off x="2537422" y="6267485"/>
          <a:ext cx="810789" cy="8198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10789" h="819881">
              <a:moveTo>
                <a:pt x="400181" y="405956"/>
              </a:moveTo>
              <a:lnTo>
                <a:pt x="194712" y="618481"/>
              </a:lnTo>
              <a:lnTo>
                <a:pt x="0" y="819880"/>
              </a:lnTo>
              <a:lnTo>
                <a:pt x="36258" y="819880"/>
              </a:lnTo>
              <a:lnTo>
                <a:pt x="222217" y="627535"/>
              </a:lnTo>
              <a:lnTo>
                <a:pt x="424464" y="418342"/>
              </a:lnTo>
              <a:lnTo>
                <a:pt x="810788" y="18752"/>
              </a:lnTo>
              <a:lnTo>
                <a:pt x="79265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0.1354</cdr:x>
      <cdr:y>0.08544</cdr:y>
    </cdr:from>
    <cdr:to>
      <cdr:x>0.24623</cdr:x>
      <cdr:y>0.19303</cdr:y>
    </cdr:to>
    <cdr:sp macro="" textlink="">
      <cdr:nvSpPr>
        <cdr:cNvPr id="297" name="FracNo 595 StartRow 3314">
          <a:extLst xmlns:a="http://schemas.openxmlformats.org/drawingml/2006/main">
            <a:ext uri="{FF2B5EF4-FFF2-40B4-BE49-F238E27FC236}">
              <a16:creationId xmlns:a16="http://schemas.microsoft.com/office/drawing/2014/main" id="{E5E58A3C-B1C0-0405-897F-65457F76AD2D}"/>
            </a:ext>
          </a:extLst>
        </cdr:cNvPr>
        <cdr:cNvSpPr/>
      </cdr:nvSpPr>
      <cdr:spPr>
        <a:xfrm xmlns:a="http://schemas.openxmlformats.org/drawingml/2006/main">
          <a:off x="990473" y="651036"/>
          <a:ext cx="810750" cy="8198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10750" h="819841">
              <a:moveTo>
                <a:pt x="278567" y="550457"/>
              </a:moveTo>
              <a:lnTo>
                <a:pt x="18129" y="819840"/>
              </a:lnTo>
              <a:lnTo>
                <a:pt x="0" y="801088"/>
              </a:lnTo>
              <a:lnTo>
                <a:pt x="254481" y="537867"/>
              </a:lnTo>
              <a:lnTo>
                <a:pt x="774490" y="0"/>
              </a:lnTo>
              <a:lnTo>
                <a:pt x="81074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0.58376</cdr:x>
      <cdr:y>0.6727</cdr:y>
    </cdr:from>
    <cdr:to>
      <cdr:x>0.69302</cdr:x>
      <cdr:y>0.78119</cdr:y>
    </cdr:to>
    <cdr:sp macro="" textlink="">
      <cdr:nvSpPr>
        <cdr:cNvPr id="298" name="FracNo 922 StartRow 3323">
          <a:extLst xmlns:a="http://schemas.openxmlformats.org/drawingml/2006/main">
            <a:ext uri="{FF2B5EF4-FFF2-40B4-BE49-F238E27FC236}">
              <a16:creationId xmlns:a16="http://schemas.microsoft.com/office/drawing/2014/main" id="{EF3EC427-92B2-38F6-9F13-3C5E47AB4FA1}"/>
            </a:ext>
          </a:extLst>
        </cdr:cNvPr>
        <cdr:cNvSpPr/>
      </cdr:nvSpPr>
      <cdr:spPr>
        <a:xfrm xmlns:a="http://schemas.openxmlformats.org/drawingml/2006/main">
          <a:off x="4270327" y="5125988"/>
          <a:ext cx="799241" cy="8266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99241" h="826688">
              <a:moveTo>
                <a:pt x="326511" y="507715"/>
              </a:moveTo>
              <a:lnTo>
                <a:pt x="18129" y="826687"/>
              </a:lnTo>
              <a:lnTo>
                <a:pt x="0" y="807935"/>
              </a:lnTo>
              <a:lnTo>
                <a:pt x="308382" y="488963"/>
              </a:lnTo>
              <a:lnTo>
                <a:pt x="540705" y="248661"/>
              </a:lnTo>
              <a:lnTo>
                <a:pt x="781110" y="0"/>
              </a:lnTo>
              <a:lnTo>
                <a:pt x="799240" y="18751"/>
              </a:lnTo>
              <a:lnTo>
                <a:pt x="558834" y="26741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0.83586</cdr:x>
      <cdr:y>0.22444</cdr:y>
    </cdr:from>
    <cdr:to>
      <cdr:x>0.94246</cdr:x>
      <cdr:y>0.33275</cdr:y>
    </cdr:to>
    <cdr:sp macro="" textlink="">
      <cdr:nvSpPr>
        <cdr:cNvPr id="299" name="FracNo 873 StartRow 3334">
          <a:extLst xmlns:a="http://schemas.openxmlformats.org/drawingml/2006/main">
            <a:ext uri="{FF2B5EF4-FFF2-40B4-BE49-F238E27FC236}">
              <a16:creationId xmlns:a16="http://schemas.microsoft.com/office/drawing/2014/main" id="{784CE0F2-22EE-1D5C-F372-390F946C470A}"/>
            </a:ext>
          </a:extLst>
        </cdr:cNvPr>
        <cdr:cNvSpPr/>
      </cdr:nvSpPr>
      <cdr:spPr>
        <a:xfrm xmlns:a="http://schemas.openxmlformats.org/drawingml/2006/main">
          <a:off x="6114479" y="1710207"/>
          <a:ext cx="779829" cy="8253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79829" h="825362">
              <a:moveTo>
                <a:pt x="565361" y="221833"/>
              </a:moveTo>
              <a:lnTo>
                <a:pt x="0" y="806609"/>
              </a:lnTo>
              <a:lnTo>
                <a:pt x="18129" y="825361"/>
              </a:lnTo>
              <a:lnTo>
                <a:pt x="570347" y="254179"/>
              </a:lnTo>
              <a:lnTo>
                <a:pt x="779828" y="37504"/>
              </a:lnTo>
              <a:lnTo>
                <a:pt x="77982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0.19842</cdr:x>
      <cdr:y>0.33135</cdr:y>
    </cdr:from>
    <cdr:to>
      <cdr:x>0.30622</cdr:x>
      <cdr:y>0.43839</cdr:y>
    </cdr:to>
    <cdr:sp macro="" textlink="">
      <cdr:nvSpPr>
        <cdr:cNvPr id="300" name="FracNo 590 StartRow 3343">
          <a:extLst xmlns:a="http://schemas.openxmlformats.org/drawingml/2006/main">
            <a:ext uri="{FF2B5EF4-FFF2-40B4-BE49-F238E27FC236}">
              <a16:creationId xmlns:a16="http://schemas.microsoft.com/office/drawing/2014/main" id="{A30D8D86-00A7-C36B-ED3B-65FBB05C0F33}"/>
            </a:ext>
          </a:extLst>
        </cdr:cNvPr>
        <cdr:cNvSpPr/>
      </cdr:nvSpPr>
      <cdr:spPr>
        <a:xfrm xmlns:a="http://schemas.openxmlformats.org/drawingml/2006/main">
          <a:off x="1451506" y="2524899"/>
          <a:ext cx="788543" cy="8156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8543" h="815623">
              <a:moveTo>
                <a:pt x="691366" y="119265"/>
              </a:moveTo>
              <a:lnTo>
                <a:pt x="535043" y="280956"/>
              </a:lnTo>
              <a:lnTo>
                <a:pt x="18129" y="815622"/>
              </a:lnTo>
              <a:lnTo>
                <a:pt x="0" y="796870"/>
              </a:lnTo>
              <a:lnTo>
                <a:pt x="516914" y="262204"/>
              </a:lnTo>
              <a:lnTo>
                <a:pt x="673237" y="100513"/>
              </a:lnTo>
              <a:lnTo>
                <a:pt x="770412" y="0"/>
              </a:lnTo>
              <a:lnTo>
                <a:pt x="78854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0.75929</cdr:x>
      <cdr:y>0.17121</cdr:y>
    </cdr:from>
    <cdr:to>
      <cdr:x>0.86691</cdr:x>
      <cdr:y>0.27808</cdr:y>
    </cdr:to>
    <cdr:sp macro="" textlink="">
      <cdr:nvSpPr>
        <cdr:cNvPr id="301" name="FracNo 679 StartRow 3354">
          <a:extLst xmlns:a="http://schemas.openxmlformats.org/drawingml/2006/main">
            <a:ext uri="{FF2B5EF4-FFF2-40B4-BE49-F238E27FC236}">
              <a16:creationId xmlns:a16="http://schemas.microsoft.com/office/drawing/2014/main" id="{F51F178E-1E53-CB4C-99C5-C6AB05C3E9C1}"/>
            </a:ext>
          </a:extLst>
        </cdr:cNvPr>
        <cdr:cNvSpPr/>
      </cdr:nvSpPr>
      <cdr:spPr>
        <a:xfrm xmlns:a="http://schemas.openxmlformats.org/drawingml/2006/main">
          <a:off x="5554382" y="1304631"/>
          <a:ext cx="787268" cy="8143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7268" h="814305">
              <a:moveTo>
                <a:pt x="533509" y="243720"/>
              </a:moveTo>
              <a:lnTo>
                <a:pt x="0" y="795552"/>
              </a:lnTo>
              <a:lnTo>
                <a:pt x="18129" y="814304"/>
              </a:lnTo>
              <a:lnTo>
                <a:pt x="551638" y="262472"/>
              </a:lnTo>
              <a:lnTo>
                <a:pt x="787267" y="18752"/>
              </a:lnTo>
              <a:lnTo>
                <a:pt x="76913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0.79999</cdr:y>
    </cdr:from>
    <cdr:to>
      <cdr:x>0.1975</cdr:x>
      <cdr:y>0.90739</cdr:y>
    </cdr:to>
    <cdr:sp macro="" textlink="">
      <cdr:nvSpPr>
        <cdr:cNvPr id="302" name="FracNo 36 StartRow 3363">
          <a:extLst xmlns:a="http://schemas.openxmlformats.org/drawingml/2006/main">
            <a:ext uri="{FF2B5EF4-FFF2-40B4-BE49-F238E27FC236}">
              <a16:creationId xmlns:a16="http://schemas.microsoft.com/office/drawing/2014/main" id="{051E55D0-B947-59EE-1996-4E4DD70F6EB6}"/>
            </a:ext>
          </a:extLst>
        </cdr:cNvPr>
        <cdr:cNvSpPr/>
      </cdr:nvSpPr>
      <cdr:spPr>
        <a:xfrm xmlns:a="http://schemas.openxmlformats.org/drawingml/2006/main">
          <a:off x="671676" y="6095943"/>
          <a:ext cx="773042" cy="8183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73042" h="818342">
              <a:moveTo>
                <a:pt x="305658" y="502186"/>
              </a:moveTo>
              <a:lnTo>
                <a:pt x="0" y="818341"/>
              </a:lnTo>
              <a:lnTo>
                <a:pt x="0" y="780837"/>
              </a:lnTo>
              <a:lnTo>
                <a:pt x="298490" y="472097"/>
              </a:lnTo>
              <a:lnTo>
                <a:pt x="754912" y="0"/>
              </a:lnTo>
              <a:lnTo>
                <a:pt x="77304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0.55719</cdr:x>
      <cdr:y>0.14132</cdr:y>
    </cdr:from>
    <cdr:to>
      <cdr:x>0.6641</cdr:x>
      <cdr:y>0.24748</cdr:y>
    </cdr:to>
    <cdr:sp macro="" textlink="">
      <cdr:nvSpPr>
        <cdr:cNvPr id="303" name="FracNo 1003 StartRow 3372">
          <a:extLst xmlns:a="http://schemas.openxmlformats.org/drawingml/2006/main">
            <a:ext uri="{FF2B5EF4-FFF2-40B4-BE49-F238E27FC236}">
              <a16:creationId xmlns:a16="http://schemas.microsoft.com/office/drawing/2014/main" id="{44356FDE-45B8-34B0-7ACA-42A864DA3BAA}"/>
            </a:ext>
          </a:extLst>
        </cdr:cNvPr>
        <cdr:cNvSpPr/>
      </cdr:nvSpPr>
      <cdr:spPr>
        <a:xfrm xmlns:a="http://schemas.openxmlformats.org/drawingml/2006/main">
          <a:off x="4075963" y="1076870"/>
          <a:ext cx="782067" cy="8089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2067" h="808924">
              <a:moveTo>
                <a:pt x="506984" y="303281"/>
              </a:moveTo>
              <a:lnTo>
                <a:pt x="18129" y="808923"/>
              </a:lnTo>
              <a:lnTo>
                <a:pt x="0" y="790171"/>
              </a:lnTo>
              <a:lnTo>
                <a:pt x="488855" y="284528"/>
              </a:lnTo>
              <a:lnTo>
                <a:pt x="735069" y="29859"/>
              </a:lnTo>
              <a:lnTo>
                <a:pt x="763937" y="0"/>
              </a:lnTo>
              <a:lnTo>
                <a:pt x="782066" y="18752"/>
              </a:lnTo>
              <a:lnTo>
                <a:pt x="753198" y="4861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0.56086</cdr:x>
      <cdr:y>0.14496</cdr:y>
    </cdr:from>
    <cdr:to>
      <cdr:x>0.66777</cdr:x>
      <cdr:y>0.25112</cdr:y>
    </cdr:to>
    <cdr:sp macro="" textlink="">
      <cdr:nvSpPr>
        <cdr:cNvPr id="304" name="FracNo 347 StartRow 3383">
          <a:extLst xmlns:a="http://schemas.openxmlformats.org/drawingml/2006/main">
            <a:ext uri="{FF2B5EF4-FFF2-40B4-BE49-F238E27FC236}">
              <a16:creationId xmlns:a16="http://schemas.microsoft.com/office/drawing/2014/main" id="{73B1A376-729C-CB37-3E18-53968F11D004}"/>
            </a:ext>
          </a:extLst>
        </cdr:cNvPr>
        <cdr:cNvSpPr/>
      </cdr:nvSpPr>
      <cdr:spPr>
        <a:xfrm xmlns:a="http://schemas.openxmlformats.org/drawingml/2006/main">
          <a:off x="4102783" y="1104610"/>
          <a:ext cx="782066" cy="8089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2066" h="808925">
              <a:moveTo>
                <a:pt x="577255" y="230596"/>
              </a:moveTo>
              <a:lnTo>
                <a:pt x="18129" y="808924"/>
              </a:lnTo>
              <a:lnTo>
                <a:pt x="0" y="790172"/>
              </a:lnTo>
              <a:lnTo>
                <a:pt x="559126" y="211843"/>
              </a:lnTo>
              <a:lnTo>
                <a:pt x="708249" y="57600"/>
              </a:lnTo>
              <a:lnTo>
                <a:pt x="763936" y="0"/>
              </a:lnTo>
              <a:lnTo>
                <a:pt x="782065" y="18752"/>
              </a:lnTo>
              <a:lnTo>
                <a:pt x="726378" y="763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0.83697</cdr:x>
      <cdr:y>0.59445</cdr:y>
    </cdr:from>
    <cdr:to>
      <cdr:x>0.94246</cdr:x>
      <cdr:y>0.70166</cdr:y>
    </cdr:to>
    <cdr:sp macro="" textlink="">
      <cdr:nvSpPr>
        <cdr:cNvPr id="305" name="FracNo 183 StartRow 3394">
          <a:extLst xmlns:a="http://schemas.openxmlformats.org/drawingml/2006/main">
            <a:ext uri="{FF2B5EF4-FFF2-40B4-BE49-F238E27FC236}">
              <a16:creationId xmlns:a16="http://schemas.microsoft.com/office/drawing/2014/main" id="{90E1B9C3-3D66-213E-5F62-595DC81D1171}"/>
            </a:ext>
          </a:extLst>
        </cdr:cNvPr>
        <cdr:cNvSpPr/>
      </cdr:nvSpPr>
      <cdr:spPr>
        <a:xfrm xmlns:a="http://schemas.openxmlformats.org/drawingml/2006/main">
          <a:off x="6122582" y="4529678"/>
          <a:ext cx="771726" cy="8169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71726" h="816981">
              <a:moveTo>
                <a:pt x="491276" y="327584"/>
              </a:moveTo>
              <a:lnTo>
                <a:pt x="400362" y="421620"/>
              </a:lnTo>
              <a:lnTo>
                <a:pt x="18129" y="816980"/>
              </a:lnTo>
              <a:lnTo>
                <a:pt x="0" y="798228"/>
              </a:lnTo>
              <a:lnTo>
                <a:pt x="382233" y="402868"/>
              </a:lnTo>
              <a:lnTo>
                <a:pt x="477585" y="304242"/>
              </a:lnTo>
              <a:lnTo>
                <a:pt x="771725" y="0"/>
              </a:lnTo>
              <a:lnTo>
                <a:pt x="771725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0.53773</cdr:x>
      <cdr:y>0.56321</cdr:y>
    </cdr:from>
    <cdr:to>
      <cdr:x>0.64424</cdr:x>
      <cdr:y>0.66896</cdr:y>
    </cdr:to>
    <cdr:sp macro="" textlink="">
      <cdr:nvSpPr>
        <cdr:cNvPr id="306" name="FracNo 264 StartRow 3405">
          <a:extLst xmlns:a="http://schemas.openxmlformats.org/drawingml/2006/main">
            <a:ext uri="{FF2B5EF4-FFF2-40B4-BE49-F238E27FC236}">
              <a16:creationId xmlns:a16="http://schemas.microsoft.com/office/drawing/2014/main" id="{44905868-A268-5385-11E4-8F10C36D69D1}"/>
            </a:ext>
          </a:extLst>
        </cdr:cNvPr>
        <cdr:cNvSpPr/>
      </cdr:nvSpPr>
      <cdr:spPr>
        <a:xfrm xmlns:a="http://schemas.openxmlformats.org/drawingml/2006/main">
          <a:off x="3933637" y="4291642"/>
          <a:ext cx="779088" cy="8058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79088" h="805843">
              <a:moveTo>
                <a:pt x="94882" y="726454"/>
              </a:moveTo>
              <a:lnTo>
                <a:pt x="18130" y="805842"/>
              </a:lnTo>
              <a:lnTo>
                <a:pt x="0" y="787090"/>
              </a:lnTo>
              <a:lnTo>
                <a:pt x="76753" y="707702"/>
              </a:lnTo>
              <a:lnTo>
                <a:pt x="141333" y="640904"/>
              </a:lnTo>
              <a:lnTo>
                <a:pt x="760957" y="0"/>
              </a:lnTo>
              <a:lnTo>
                <a:pt x="779087" y="18752"/>
              </a:lnTo>
              <a:lnTo>
                <a:pt x="159462" y="65965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0.13419</cdr:x>
      <cdr:y>0.59271</cdr:y>
    </cdr:from>
    <cdr:to>
      <cdr:x>0.23991</cdr:x>
      <cdr:y>0.69769</cdr:y>
    </cdr:to>
    <cdr:sp macro="" textlink="">
      <cdr:nvSpPr>
        <cdr:cNvPr id="307" name="FracNo 881 StartRow 3416">
          <a:extLst xmlns:a="http://schemas.openxmlformats.org/drawingml/2006/main">
            <a:ext uri="{FF2B5EF4-FFF2-40B4-BE49-F238E27FC236}">
              <a16:creationId xmlns:a16="http://schemas.microsoft.com/office/drawing/2014/main" id="{F2C7FFB3-E432-D1FE-C73C-3B156A19FDB1}"/>
            </a:ext>
          </a:extLst>
        </cdr:cNvPr>
        <cdr:cNvSpPr/>
      </cdr:nvSpPr>
      <cdr:spPr>
        <a:xfrm xmlns:a="http://schemas.openxmlformats.org/drawingml/2006/main">
          <a:off x="981653" y="4516463"/>
          <a:ext cx="773353" cy="7999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73353" h="799912">
              <a:moveTo>
                <a:pt x="598813" y="161781"/>
              </a:moveTo>
              <a:lnTo>
                <a:pt x="352954" y="416083"/>
              </a:lnTo>
              <a:lnTo>
                <a:pt x="0" y="781159"/>
              </a:lnTo>
              <a:lnTo>
                <a:pt x="18129" y="799911"/>
              </a:lnTo>
              <a:lnTo>
                <a:pt x="371084" y="434835"/>
              </a:lnTo>
              <a:lnTo>
                <a:pt x="616943" y="180533"/>
              </a:lnTo>
              <a:lnTo>
                <a:pt x="773352" y="18752"/>
              </a:lnTo>
              <a:lnTo>
                <a:pt x="75522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0.59812</cdr:x>
      <cdr:y>0.57361</cdr:y>
    </cdr:from>
    <cdr:to>
      <cdr:x>0.70375</cdr:x>
      <cdr:y>0.67848</cdr:y>
    </cdr:to>
    <cdr:sp macro="" textlink="">
      <cdr:nvSpPr>
        <cdr:cNvPr id="308" name="FracNo 996 StartRow 3427">
          <a:extLst xmlns:a="http://schemas.openxmlformats.org/drawingml/2006/main">
            <a:ext uri="{FF2B5EF4-FFF2-40B4-BE49-F238E27FC236}">
              <a16:creationId xmlns:a16="http://schemas.microsoft.com/office/drawing/2014/main" id="{CE537AC5-555E-B3F6-63AA-DECCBE34A9E7}"/>
            </a:ext>
          </a:extLst>
        </cdr:cNvPr>
        <cdr:cNvSpPr/>
      </cdr:nvSpPr>
      <cdr:spPr>
        <a:xfrm xmlns:a="http://schemas.openxmlformats.org/drawingml/2006/main">
          <a:off x="4375396" y="4370874"/>
          <a:ext cx="772643" cy="7991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72643" h="799177">
              <a:moveTo>
                <a:pt x="568438" y="192466"/>
              </a:moveTo>
              <a:lnTo>
                <a:pt x="435636" y="329828"/>
              </a:lnTo>
              <a:lnTo>
                <a:pt x="211490" y="561672"/>
              </a:lnTo>
              <a:lnTo>
                <a:pt x="0" y="780424"/>
              </a:lnTo>
              <a:lnTo>
                <a:pt x="18130" y="799176"/>
              </a:lnTo>
              <a:lnTo>
                <a:pt x="229619" y="580424"/>
              </a:lnTo>
              <a:lnTo>
                <a:pt x="453765" y="348580"/>
              </a:lnTo>
              <a:lnTo>
                <a:pt x="586567" y="211217"/>
              </a:lnTo>
              <a:lnTo>
                <a:pt x="772642" y="18752"/>
              </a:lnTo>
              <a:lnTo>
                <a:pt x="75451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0.32824</cdr:x>
      <cdr:y>0.40277</cdr:y>
    </cdr:from>
    <cdr:to>
      <cdr:x>0.43355</cdr:x>
      <cdr:y>0.50735</cdr:y>
    </cdr:to>
    <cdr:sp macro="" textlink="">
      <cdr:nvSpPr>
        <cdr:cNvPr id="309" name="FracNo 1012 StartRow 3440">
          <a:extLst xmlns:a="http://schemas.openxmlformats.org/drawingml/2006/main">
            <a:ext uri="{FF2B5EF4-FFF2-40B4-BE49-F238E27FC236}">
              <a16:creationId xmlns:a16="http://schemas.microsoft.com/office/drawing/2014/main" id="{872D7A69-603B-7142-1ADF-26B44CD62C6D}"/>
            </a:ext>
          </a:extLst>
        </cdr:cNvPr>
        <cdr:cNvSpPr/>
      </cdr:nvSpPr>
      <cdr:spPr>
        <a:xfrm xmlns:a="http://schemas.openxmlformats.org/drawingml/2006/main">
          <a:off x="2401108" y="3069138"/>
          <a:ext cx="770375" cy="7968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70375" h="796831">
              <a:moveTo>
                <a:pt x="138130" y="672708"/>
              </a:moveTo>
              <a:lnTo>
                <a:pt x="18129" y="796830"/>
              </a:lnTo>
              <a:lnTo>
                <a:pt x="0" y="778079"/>
              </a:lnTo>
              <a:lnTo>
                <a:pt x="120000" y="653957"/>
              </a:lnTo>
              <a:lnTo>
                <a:pt x="335714" y="430836"/>
              </a:lnTo>
              <a:lnTo>
                <a:pt x="752244" y="0"/>
              </a:lnTo>
              <a:lnTo>
                <a:pt x="770374" y="18752"/>
              </a:lnTo>
              <a:lnTo>
                <a:pt x="353843" y="44958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0.23189</cdr:x>
      <cdr:y>0.48532</cdr:y>
    </cdr:from>
    <cdr:to>
      <cdr:x>0.33696</cdr:x>
      <cdr:y>0.58966</cdr:y>
    </cdr:to>
    <cdr:sp macro="" textlink="">
      <cdr:nvSpPr>
        <cdr:cNvPr id="310" name="FracNo 993 StartRow 3451">
          <a:extLst xmlns:a="http://schemas.openxmlformats.org/drawingml/2006/main">
            <a:ext uri="{FF2B5EF4-FFF2-40B4-BE49-F238E27FC236}">
              <a16:creationId xmlns:a16="http://schemas.microsoft.com/office/drawing/2014/main" id="{263FDC9A-00A0-115D-068D-D4AC1CB47DED}"/>
            </a:ext>
          </a:extLst>
        </cdr:cNvPr>
        <cdr:cNvSpPr/>
      </cdr:nvSpPr>
      <cdr:spPr>
        <a:xfrm xmlns:a="http://schemas.openxmlformats.org/drawingml/2006/main">
          <a:off x="1696290" y="3698173"/>
          <a:ext cx="768666" cy="7950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68666" h="795063">
              <a:moveTo>
                <a:pt x="531862" y="226183"/>
              </a:moveTo>
              <a:lnTo>
                <a:pt x="0" y="776310"/>
              </a:lnTo>
              <a:lnTo>
                <a:pt x="18129" y="795062"/>
              </a:lnTo>
              <a:lnTo>
                <a:pt x="549991" y="244935"/>
              </a:lnTo>
              <a:lnTo>
                <a:pt x="768665" y="18751"/>
              </a:lnTo>
              <a:lnTo>
                <a:pt x="75053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0.29404</cdr:x>
      <cdr:y>0.34274</cdr:y>
    </cdr:from>
    <cdr:to>
      <cdr:x>0.39905</cdr:x>
      <cdr:y>0.44701</cdr:y>
    </cdr:to>
    <cdr:sp macro="" textlink="">
      <cdr:nvSpPr>
        <cdr:cNvPr id="311" name="FracNo 866 StartRow 3460">
          <a:extLst xmlns:a="http://schemas.openxmlformats.org/drawingml/2006/main">
            <a:ext uri="{FF2B5EF4-FFF2-40B4-BE49-F238E27FC236}">
              <a16:creationId xmlns:a16="http://schemas.microsoft.com/office/drawing/2014/main" id="{90E30413-F9D6-BBA1-D45D-B5E306158099}"/>
            </a:ext>
          </a:extLst>
        </cdr:cNvPr>
        <cdr:cNvSpPr/>
      </cdr:nvSpPr>
      <cdr:spPr>
        <a:xfrm xmlns:a="http://schemas.openxmlformats.org/drawingml/2006/main">
          <a:off x="2150944" y="2611664"/>
          <a:ext cx="768177" cy="7945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68177" h="794559">
              <a:moveTo>
                <a:pt x="219072" y="586714"/>
              </a:moveTo>
              <a:lnTo>
                <a:pt x="18129" y="794558"/>
              </a:lnTo>
              <a:lnTo>
                <a:pt x="0" y="775806"/>
              </a:lnTo>
              <a:lnTo>
                <a:pt x="200942" y="567962"/>
              </a:lnTo>
              <a:lnTo>
                <a:pt x="580433" y="175439"/>
              </a:lnTo>
              <a:lnTo>
                <a:pt x="585878" y="169808"/>
              </a:lnTo>
              <a:lnTo>
                <a:pt x="750047" y="0"/>
              </a:lnTo>
              <a:lnTo>
                <a:pt x="768176" y="18752"/>
              </a:lnTo>
              <a:lnTo>
                <a:pt x="604007" y="188559"/>
              </a:lnTo>
              <a:lnTo>
                <a:pt x="598562" y="19419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0.30988</cdr:x>
      <cdr:y>0.50387</cdr:y>
    </cdr:from>
    <cdr:to>
      <cdr:x>0.41484</cdr:x>
      <cdr:y>0.60809</cdr:y>
    </cdr:to>
    <cdr:sp macro="" textlink="">
      <cdr:nvSpPr>
        <cdr:cNvPr id="312" name="FracNo 932 StartRow 3473">
          <a:extLst xmlns:a="http://schemas.openxmlformats.org/drawingml/2006/main">
            <a:ext uri="{FF2B5EF4-FFF2-40B4-BE49-F238E27FC236}">
              <a16:creationId xmlns:a16="http://schemas.microsoft.com/office/drawing/2014/main" id="{1DB6695B-5B0F-10EF-C961-FD364D60F6C6}"/>
            </a:ext>
          </a:extLst>
        </cdr:cNvPr>
        <cdr:cNvSpPr/>
      </cdr:nvSpPr>
      <cdr:spPr>
        <a:xfrm xmlns:a="http://schemas.openxmlformats.org/drawingml/2006/main">
          <a:off x="2266809" y="3839454"/>
          <a:ext cx="767809" cy="7941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67809" h="794177">
              <a:moveTo>
                <a:pt x="463145" y="333878"/>
              </a:moveTo>
              <a:lnTo>
                <a:pt x="18129" y="794176"/>
              </a:lnTo>
              <a:lnTo>
                <a:pt x="0" y="775424"/>
              </a:lnTo>
              <a:lnTo>
                <a:pt x="445016" y="315126"/>
              </a:lnTo>
              <a:lnTo>
                <a:pt x="470013" y="289270"/>
              </a:lnTo>
              <a:lnTo>
                <a:pt x="749679" y="0"/>
              </a:lnTo>
              <a:lnTo>
                <a:pt x="767808" y="18751"/>
              </a:lnTo>
              <a:lnTo>
                <a:pt x="488142" y="30802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0.56687</cdr:y>
    </cdr:from>
    <cdr:to>
      <cdr:x>0.19482</cdr:x>
      <cdr:y>0.67161</cdr:y>
    </cdr:to>
    <cdr:sp macro="" textlink="">
      <cdr:nvSpPr>
        <cdr:cNvPr id="313" name="FracNo 980 StartRow 3484">
          <a:extLst xmlns:a="http://schemas.openxmlformats.org/drawingml/2006/main">
            <a:ext uri="{FF2B5EF4-FFF2-40B4-BE49-F238E27FC236}">
              <a16:creationId xmlns:a16="http://schemas.microsoft.com/office/drawing/2014/main" id="{54A465B6-3398-B074-572A-7E7FF84613EE}"/>
            </a:ext>
          </a:extLst>
        </cdr:cNvPr>
        <cdr:cNvSpPr/>
      </cdr:nvSpPr>
      <cdr:spPr>
        <a:xfrm xmlns:a="http://schemas.openxmlformats.org/drawingml/2006/main">
          <a:off x="671676" y="4319559"/>
          <a:ext cx="753445" cy="7980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53445" h="798072">
              <a:moveTo>
                <a:pt x="410587" y="335881"/>
              </a:moveTo>
              <a:lnTo>
                <a:pt x="148442" y="607027"/>
              </a:lnTo>
              <a:lnTo>
                <a:pt x="0" y="760568"/>
              </a:lnTo>
              <a:lnTo>
                <a:pt x="0" y="798071"/>
              </a:lnTo>
              <a:lnTo>
                <a:pt x="155048" y="637698"/>
              </a:lnTo>
              <a:lnTo>
                <a:pt x="422339" y="361228"/>
              </a:lnTo>
              <a:lnTo>
                <a:pt x="753444" y="18752"/>
              </a:lnTo>
              <a:lnTo>
                <a:pt x="73531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0.79685</cdr:y>
    </cdr:from>
    <cdr:to>
      <cdr:x>0.19433</cdr:x>
      <cdr:y>0.90109</cdr:y>
    </cdr:to>
    <cdr:sp macro="" textlink="">
      <cdr:nvSpPr>
        <cdr:cNvPr id="314" name="FracNo 859 StartRow 3495">
          <a:extLst xmlns:a="http://schemas.openxmlformats.org/drawingml/2006/main">
            <a:ext uri="{FF2B5EF4-FFF2-40B4-BE49-F238E27FC236}">
              <a16:creationId xmlns:a16="http://schemas.microsoft.com/office/drawing/2014/main" id="{921885EB-FFD2-968D-5FC8-38747102A42E}"/>
            </a:ext>
          </a:extLst>
        </cdr:cNvPr>
        <cdr:cNvSpPr/>
      </cdr:nvSpPr>
      <cdr:spPr>
        <a:xfrm xmlns:a="http://schemas.openxmlformats.org/drawingml/2006/main">
          <a:off x="671676" y="6071962"/>
          <a:ext cx="749858" cy="7943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49858" h="794361">
              <a:moveTo>
                <a:pt x="581802" y="192578"/>
              </a:moveTo>
              <a:lnTo>
                <a:pt x="0" y="794360"/>
              </a:lnTo>
              <a:lnTo>
                <a:pt x="0" y="756857"/>
              </a:lnTo>
              <a:lnTo>
                <a:pt x="567736" y="169623"/>
              </a:lnTo>
              <a:lnTo>
                <a:pt x="731727" y="0"/>
              </a:lnTo>
              <a:lnTo>
                <a:pt x="74985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0.33975</cdr:x>
      <cdr:y>0.63628</cdr:y>
    </cdr:from>
    <cdr:to>
      <cdr:x>0.4434</cdr:x>
      <cdr:y>0.7392</cdr:y>
    </cdr:to>
    <cdr:sp macro="" textlink="">
      <cdr:nvSpPr>
        <cdr:cNvPr id="315" name="FracNo 869 StartRow 3504">
          <a:extLst xmlns:a="http://schemas.openxmlformats.org/drawingml/2006/main">
            <a:ext uri="{FF2B5EF4-FFF2-40B4-BE49-F238E27FC236}">
              <a16:creationId xmlns:a16="http://schemas.microsoft.com/office/drawing/2014/main" id="{73EA1966-EC7E-B98E-8460-800FA5DC0275}"/>
            </a:ext>
          </a:extLst>
        </cdr:cNvPr>
        <cdr:cNvSpPr/>
      </cdr:nvSpPr>
      <cdr:spPr>
        <a:xfrm xmlns:a="http://schemas.openxmlformats.org/drawingml/2006/main">
          <a:off x="2485321" y="4848440"/>
          <a:ext cx="758240" cy="7842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58240" h="784281">
              <a:moveTo>
                <a:pt x="636438" y="144737"/>
              </a:moveTo>
              <a:lnTo>
                <a:pt x="269630" y="524141"/>
              </a:lnTo>
              <a:lnTo>
                <a:pt x="18129" y="784280"/>
              </a:lnTo>
              <a:lnTo>
                <a:pt x="0" y="765528"/>
              </a:lnTo>
              <a:lnTo>
                <a:pt x="251501" y="505389"/>
              </a:lnTo>
              <a:lnTo>
                <a:pt x="618309" y="125985"/>
              </a:lnTo>
              <a:lnTo>
                <a:pt x="658797" y="84106"/>
              </a:lnTo>
              <a:lnTo>
                <a:pt x="740110" y="0"/>
              </a:lnTo>
              <a:lnTo>
                <a:pt x="758239" y="18752"/>
              </a:lnTo>
              <a:lnTo>
                <a:pt x="676926" y="10285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0.12223</cdr:y>
    </cdr:from>
    <cdr:to>
      <cdr:x>0.19423</cdr:x>
      <cdr:y>0.22638</cdr:y>
    </cdr:to>
    <cdr:sp macro="" textlink="">
      <cdr:nvSpPr>
        <cdr:cNvPr id="316" name="FracNo 585 StartRow 3517">
          <a:extLst xmlns:a="http://schemas.openxmlformats.org/drawingml/2006/main">
            <a:ext uri="{FF2B5EF4-FFF2-40B4-BE49-F238E27FC236}">
              <a16:creationId xmlns:a16="http://schemas.microsoft.com/office/drawing/2014/main" id="{EA600B03-D8C8-4C41-94E7-D63A3B021CEE}"/>
            </a:ext>
          </a:extLst>
        </cdr:cNvPr>
        <cdr:cNvSpPr/>
      </cdr:nvSpPr>
      <cdr:spPr>
        <a:xfrm xmlns:a="http://schemas.openxmlformats.org/drawingml/2006/main">
          <a:off x="671676" y="931404"/>
          <a:ext cx="749140" cy="7936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49140" h="793619">
              <a:moveTo>
                <a:pt x="420641" y="321028"/>
              </a:moveTo>
              <a:lnTo>
                <a:pt x="0" y="756115"/>
              </a:lnTo>
              <a:lnTo>
                <a:pt x="0" y="793618"/>
              </a:lnTo>
              <a:lnTo>
                <a:pt x="431073" y="347741"/>
              </a:lnTo>
              <a:lnTo>
                <a:pt x="749139" y="18752"/>
              </a:lnTo>
              <a:lnTo>
                <a:pt x="73101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0.6671</cdr:x>
      <cdr:y>0.82891</cdr:y>
    </cdr:from>
    <cdr:to>
      <cdr:x>0.77149</cdr:x>
      <cdr:y>0.9301</cdr:y>
    </cdr:to>
    <cdr:sp macro="" textlink="">
      <cdr:nvSpPr>
        <cdr:cNvPr id="317" name="FracNo 433 StartRow 3526">
          <a:extLst xmlns:a="http://schemas.openxmlformats.org/drawingml/2006/main">
            <a:ext uri="{FF2B5EF4-FFF2-40B4-BE49-F238E27FC236}">
              <a16:creationId xmlns:a16="http://schemas.microsoft.com/office/drawing/2014/main" id="{159F8823-63F6-8598-8B5F-C03D49C4D5D3}"/>
            </a:ext>
          </a:extLst>
        </cdr:cNvPr>
        <cdr:cNvSpPr/>
      </cdr:nvSpPr>
      <cdr:spPr>
        <a:xfrm xmlns:a="http://schemas.openxmlformats.org/drawingml/2006/main">
          <a:off x="4879958" y="6316270"/>
          <a:ext cx="763624" cy="7710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63624" h="771096">
              <a:moveTo>
                <a:pt x="708206" y="38568"/>
              </a:moveTo>
              <a:lnTo>
                <a:pt x="0" y="771095"/>
              </a:lnTo>
              <a:lnTo>
                <a:pt x="36259" y="771095"/>
              </a:lnTo>
              <a:lnTo>
                <a:pt x="727242" y="56382"/>
              </a:lnTo>
              <a:lnTo>
                <a:pt x="763623" y="18751"/>
              </a:lnTo>
              <a:lnTo>
                <a:pt x="74549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0.30681</cdr:x>
      <cdr:y>0.50291</cdr:y>
    </cdr:from>
    <cdr:to>
      <cdr:x>0.40968</cdr:x>
      <cdr:y>0.60505</cdr:y>
    </cdr:to>
    <cdr:sp macro="" textlink="">
      <cdr:nvSpPr>
        <cdr:cNvPr id="318" name="FracNo 749 StartRow 3535">
          <a:extLst xmlns:a="http://schemas.openxmlformats.org/drawingml/2006/main">
            <a:ext uri="{FF2B5EF4-FFF2-40B4-BE49-F238E27FC236}">
              <a16:creationId xmlns:a16="http://schemas.microsoft.com/office/drawing/2014/main" id="{52764874-F92D-5BBA-DC18-34E4A1426D66}"/>
            </a:ext>
          </a:extLst>
        </cdr:cNvPr>
        <cdr:cNvSpPr/>
      </cdr:nvSpPr>
      <cdr:spPr>
        <a:xfrm xmlns:a="http://schemas.openxmlformats.org/drawingml/2006/main">
          <a:off x="2244393" y="3832142"/>
          <a:ext cx="752463" cy="7783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52463" h="778303">
              <a:moveTo>
                <a:pt x="608328" y="130331"/>
              </a:moveTo>
              <a:lnTo>
                <a:pt x="492429" y="250210"/>
              </a:lnTo>
              <a:lnTo>
                <a:pt x="0" y="759550"/>
              </a:lnTo>
              <a:lnTo>
                <a:pt x="18129" y="778302"/>
              </a:lnTo>
              <a:lnTo>
                <a:pt x="510558" y="268963"/>
              </a:lnTo>
              <a:lnTo>
                <a:pt x="626457" y="149084"/>
              </a:lnTo>
              <a:lnTo>
                <a:pt x="752462" y="18751"/>
              </a:lnTo>
              <a:lnTo>
                <a:pt x="73433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0.65808</cdr:x>
      <cdr:y>0.27442</cdr:y>
    </cdr:from>
    <cdr:to>
      <cdr:x>0.76057</cdr:x>
      <cdr:y>0.37618</cdr:y>
    </cdr:to>
    <cdr:sp macro="" textlink="">
      <cdr:nvSpPr>
        <cdr:cNvPr id="319" name="FracNo 797 StartRow 3546">
          <a:extLst xmlns:a="http://schemas.openxmlformats.org/drawingml/2006/main">
            <a:ext uri="{FF2B5EF4-FFF2-40B4-BE49-F238E27FC236}">
              <a16:creationId xmlns:a16="http://schemas.microsoft.com/office/drawing/2014/main" id="{97870CAE-5ECB-7907-EBF4-AE138A62E55F}"/>
            </a:ext>
          </a:extLst>
        </cdr:cNvPr>
        <cdr:cNvSpPr/>
      </cdr:nvSpPr>
      <cdr:spPr>
        <a:xfrm xmlns:a="http://schemas.openxmlformats.org/drawingml/2006/main">
          <a:off x="4814000" y="2091071"/>
          <a:ext cx="749703" cy="7754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49703" h="775451">
              <a:moveTo>
                <a:pt x="211851" y="537571"/>
              </a:moveTo>
              <a:lnTo>
                <a:pt x="58651" y="696032"/>
              </a:lnTo>
              <a:lnTo>
                <a:pt x="0" y="756697"/>
              </a:lnTo>
              <a:lnTo>
                <a:pt x="18129" y="775450"/>
              </a:lnTo>
              <a:lnTo>
                <a:pt x="76780" y="714784"/>
              </a:lnTo>
              <a:lnTo>
                <a:pt x="229980" y="556322"/>
              </a:lnTo>
              <a:lnTo>
                <a:pt x="749702" y="18752"/>
              </a:lnTo>
              <a:lnTo>
                <a:pt x="73157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0.74352</cdr:x>
      <cdr:y>0.82986</cdr:y>
    </cdr:from>
    <cdr:to>
      <cdr:x>0.84696</cdr:x>
      <cdr:y>0.9301</cdr:y>
    </cdr:to>
    <cdr:sp macro="" textlink="">
      <cdr:nvSpPr>
        <cdr:cNvPr id="320" name="FracNo 872 StartRow 3557">
          <a:extLst xmlns:a="http://schemas.openxmlformats.org/drawingml/2006/main">
            <a:ext uri="{FF2B5EF4-FFF2-40B4-BE49-F238E27FC236}">
              <a16:creationId xmlns:a16="http://schemas.microsoft.com/office/drawing/2014/main" id="{2970B254-88B9-1021-189C-8648588CF50E}"/>
            </a:ext>
          </a:extLst>
        </cdr:cNvPr>
        <cdr:cNvSpPr/>
      </cdr:nvSpPr>
      <cdr:spPr>
        <a:xfrm xmlns:a="http://schemas.openxmlformats.org/drawingml/2006/main">
          <a:off x="5439034" y="6323502"/>
          <a:ext cx="756631" cy="7638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56631" h="763864">
              <a:moveTo>
                <a:pt x="598041" y="145283"/>
              </a:moveTo>
              <a:lnTo>
                <a:pt x="0" y="763863"/>
              </a:lnTo>
              <a:lnTo>
                <a:pt x="36258" y="763863"/>
              </a:lnTo>
              <a:lnTo>
                <a:pt x="619619" y="160469"/>
              </a:lnTo>
              <a:lnTo>
                <a:pt x="756630" y="18752"/>
              </a:lnTo>
              <a:lnTo>
                <a:pt x="73850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0.77792</cdr:x>
      <cdr:y>0.83103</cdr:y>
    </cdr:from>
    <cdr:to>
      <cdr:x>0.88018</cdr:x>
      <cdr:y>0.9301</cdr:y>
    </cdr:to>
    <cdr:sp macro="" textlink="">
      <cdr:nvSpPr>
        <cdr:cNvPr id="321" name="FracNo 1031 StartRow 3566">
          <a:extLst xmlns:a="http://schemas.openxmlformats.org/drawingml/2006/main">
            <a:ext uri="{FF2B5EF4-FFF2-40B4-BE49-F238E27FC236}">
              <a16:creationId xmlns:a16="http://schemas.microsoft.com/office/drawing/2014/main" id="{670DC501-2768-3CF9-C83E-311E15EA897B}"/>
            </a:ext>
          </a:extLst>
        </cdr:cNvPr>
        <cdr:cNvSpPr/>
      </cdr:nvSpPr>
      <cdr:spPr>
        <a:xfrm xmlns:a="http://schemas.openxmlformats.org/drawingml/2006/main">
          <a:off x="5690652" y="6332423"/>
          <a:ext cx="748006" cy="7549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48006" h="754943">
              <a:moveTo>
                <a:pt x="715976" y="14378"/>
              </a:moveTo>
              <a:lnTo>
                <a:pt x="0" y="754942"/>
              </a:lnTo>
              <a:lnTo>
                <a:pt x="36259" y="754942"/>
              </a:lnTo>
              <a:lnTo>
                <a:pt x="734451" y="32772"/>
              </a:lnTo>
              <a:lnTo>
                <a:pt x="748005" y="18752"/>
              </a:lnTo>
              <a:lnTo>
                <a:pt x="72987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0.37112</cdr:x>
      <cdr:y>0.34983</cdr:y>
    </cdr:from>
    <cdr:to>
      <cdr:x>0.47172</cdr:x>
      <cdr:y>0.44972</cdr:y>
    </cdr:to>
    <cdr:sp macro="" textlink="">
      <cdr:nvSpPr>
        <cdr:cNvPr id="322" name="FracNo 842 StartRow 3575">
          <a:extLst xmlns:a="http://schemas.openxmlformats.org/drawingml/2006/main">
            <a:ext uri="{FF2B5EF4-FFF2-40B4-BE49-F238E27FC236}">
              <a16:creationId xmlns:a16="http://schemas.microsoft.com/office/drawing/2014/main" id="{8F00DC51-9B2F-96D8-A8C7-3793C45C473F}"/>
            </a:ext>
          </a:extLst>
        </cdr:cNvPr>
        <cdr:cNvSpPr/>
      </cdr:nvSpPr>
      <cdr:spPr>
        <a:xfrm xmlns:a="http://schemas.openxmlformats.org/drawingml/2006/main">
          <a:off x="2714805" y="2665724"/>
          <a:ext cx="735894" cy="7611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35894" h="761167">
              <a:moveTo>
                <a:pt x="67229" y="672876"/>
              </a:moveTo>
              <a:lnTo>
                <a:pt x="22017" y="719641"/>
              </a:lnTo>
              <a:lnTo>
                <a:pt x="0" y="742414"/>
              </a:lnTo>
              <a:lnTo>
                <a:pt x="18129" y="761166"/>
              </a:lnTo>
              <a:lnTo>
                <a:pt x="40146" y="738393"/>
              </a:lnTo>
              <a:lnTo>
                <a:pt x="85358" y="691628"/>
              </a:lnTo>
              <a:lnTo>
                <a:pt x="618545" y="140131"/>
              </a:lnTo>
              <a:lnTo>
                <a:pt x="735893" y="18752"/>
              </a:lnTo>
              <a:lnTo>
                <a:pt x="717764" y="0"/>
              </a:lnTo>
              <a:lnTo>
                <a:pt x="600415" y="12137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0.36838</cdr:x>
      <cdr:y>0.34711</cdr:y>
    </cdr:from>
    <cdr:to>
      <cdr:x>0.46897</cdr:x>
      <cdr:y>0.447</cdr:y>
    </cdr:to>
    <cdr:sp macro="" textlink="">
      <cdr:nvSpPr>
        <cdr:cNvPr id="323" name="FracNo 870 StartRow 3588">
          <a:extLst xmlns:a="http://schemas.openxmlformats.org/drawingml/2006/main">
            <a:ext uri="{FF2B5EF4-FFF2-40B4-BE49-F238E27FC236}">
              <a16:creationId xmlns:a16="http://schemas.microsoft.com/office/drawing/2014/main" id="{7A645D87-9340-CA55-23EA-F5210EB3129C}"/>
            </a:ext>
          </a:extLst>
        </cdr:cNvPr>
        <cdr:cNvSpPr/>
      </cdr:nvSpPr>
      <cdr:spPr>
        <a:xfrm xmlns:a="http://schemas.openxmlformats.org/drawingml/2006/main">
          <a:off x="2694745" y="2644976"/>
          <a:ext cx="735895" cy="7611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35895" h="761167">
              <a:moveTo>
                <a:pt x="189791" y="583609"/>
              </a:moveTo>
              <a:lnTo>
                <a:pt x="60206" y="717644"/>
              </a:lnTo>
              <a:lnTo>
                <a:pt x="18130" y="761166"/>
              </a:lnTo>
              <a:lnTo>
                <a:pt x="0" y="742414"/>
              </a:lnTo>
              <a:lnTo>
                <a:pt x="42077" y="698892"/>
              </a:lnTo>
              <a:lnTo>
                <a:pt x="171661" y="564857"/>
              </a:lnTo>
              <a:lnTo>
                <a:pt x="580356" y="142127"/>
              </a:lnTo>
              <a:lnTo>
                <a:pt x="717765" y="0"/>
              </a:lnTo>
              <a:lnTo>
                <a:pt x="735894" y="18752"/>
              </a:lnTo>
              <a:lnTo>
                <a:pt x="598486" y="16087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0.68559</cdr:x>
      <cdr:y>0.83173</cdr:y>
    </cdr:from>
    <cdr:to>
      <cdr:x>0.78714</cdr:x>
      <cdr:y>0.9301</cdr:y>
    </cdr:to>
    <cdr:sp macro="" textlink="">
      <cdr:nvSpPr>
        <cdr:cNvPr id="324" name="FracNo 923 StartRow 3601">
          <a:extLst xmlns:a="http://schemas.openxmlformats.org/drawingml/2006/main">
            <a:ext uri="{FF2B5EF4-FFF2-40B4-BE49-F238E27FC236}">
              <a16:creationId xmlns:a16="http://schemas.microsoft.com/office/drawing/2014/main" id="{38A772BC-51F3-DF05-827C-B03F8C4CB0A0}"/>
            </a:ext>
          </a:extLst>
        </cdr:cNvPr>
        <cdr:cNvSpPr/>
      </cdr:nvSpPr>
      <cdr:spPr>
        <a:xfrm xmlns:a="http://schemas.openxmlformats.org/drawingml/2006/main">
          <a:off x="5015230" y="6337746"/>
          <a:ext cx="742860" cy="7496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42860" h="749620">
              <a:moveTo>
                <a:pt x="283880" y="455990"/>
              </a:moveTo>
              <a:lnTo>
                <a:pt x="0" y="749619"/>
              </a:lnTo>
              <a:lnTo>
                <a:pt x="36259" y="749619"/>
              </a:lnTo>
              <a:lnTo>
                <a:pt x="313037" y="463335"/>
              </a:lnTo>
              <a:lnTo>
                <a:pt x="742859" y="18752"/>
              </a:lnTo>
              <a:lnTo>
                <a:pt x="72473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0.5861</cdr:x>
      <cdr:y>0.61946</cdr:y>
    </cdr:from>
    <cdr:to>
      <cdr:x>0.68634</cdr:x>
      <cdr:y>0.719</cdr:y>
    </cdr:to>
    <cdr:sp macro="" textlink="">
      <cdr:nvSpPr>
        <cdr:cNvPr id="325" name="FracNo 272 StartRow 3610">
          <a:extLst xmlns:a="http://schemas.openxmlformats.org/drawingml/2006/main">
            <a:ext uri="{FF2B5EF4-FFF2-40B4-BE49-F238E27FC236}">
              <a16:creationId xmlns:a16="http://schemas.microsoft.com/office/drawing/2014/main" id="{4468415C-BE2D-BB1F-4407-0B1CD496A920}"/>
            </a:ext>
          </a:extLst>
        </cdr:cNvPr>
        <cdr:cNvSpPr/>
      </cdr:nvSpPr>
      <cdr:spPr>
        <a:xfrm xmlns:a="http://schemas.openxmlformats.org/drawingml/2006/main">
          <a:off x="4287427" y="4720283"/>
          <a:ext cx="733280" cy="7584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33280" h="758462">
              <a:moveTo>
                <a:pt x="525431" y="233738"/>
              </a:moveTo>
              <a:lnTo>
                <a:pt x="18130" y="758461"/>
              </a:lnTo>
              <a:lnTo>
                <a:pt x="0" y="739709"/>
              </a:lnTo>
              <a:lnTo>
                <a:pt x="507301" y="214986"/>
              </a:lnTo>
              <a:lnTo>
                <a:pt x="509934" y="212263"/>
              </a:lnTo>
              <a:lnTo>
                <a:pt x="523605" y="198122"/>
              </a:lnTo>
              <a:lnTo>
                <a:pt x="715150" y="0"/>
              </a:lnTo>
              <a:lnTo>
                <a:pt x="733279" y="18751"/>
              </a:lnTo>
              <a:lnTo>
                <a:pt x="541734" y="216874"/>
              </a:lnTo>
              <a:lnTo>
                <a:pt x="528063" y="23101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0.14221</cdr:x>
      <cdr:y>0.3325</cdr:y>
    </cdr:from>
    <cdr:to>
      <cdr:x>0.24237</cdr:x>
      <cdr:y>0.43195</cdr:y>
    </cdr:to>
    <cdr:sp macro="" textlink="">
      <cdr:nvSpPr>
        <cdr:cNvPr id="326" name="FracNo 798 StartRow 3623">
          <a:extLst xmlns:a="http://schemas.openxmlformats.org/drawingml/2006/main">
            <a:ext uri="{FF2B5EF4-FFF2-40B4-BE49-F238E27FC236}">
              <a16:creationId xmlns:a16="http://schemas.microsoft.com/office/drawing/2014/main" id="{437A04BE-2CEE-383F-630A-7B898447E9ED}"/>
            </a:ext>
          </a:extLst>
        </cdr:cNvPr>
        <cdr:cNvSpPr/>
      </cdr:nvSpPr>
      <cdr:spPr>
        <a:xfrm xmlns:a="http://schemas.openxmlformats.org/drawingml/2006/main">
          <a:off x="1040279" y="2533647"/>
          <a:ext cx="732680" cy="7578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32680" h="757841">
              <a:moveTo>
                <a:pt x="443408" y="317957"/>
              </a:moveTo>
              <a:lnTo>
                <a:pt x="18129" y="757840"/>
              </a:lnTo>
              <a:lnTo>
                <a:pt x="0" y="739089"/>
              </a:lnTo>
              <a:lnTo>
                <a:pt x="425278" y="299206"/>
              </a:lnTo>
              <a:lnTo>
                <a:pt x="469509" y="253456"/>
              </a:lnTo>
              <a:lnTo>
                <a:pt x="714550" y="0"/>
              </a:lnTo>
              <a:lnTo>
                <a:pt x="732679" y="18752"/>
              </a:lnTo>
              <a:lnTo>
                <a:pt x="487638" y="27220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0.54742</cdr:y>
    </cdr:from>
    <cdr:to>
      <cdr:x>0.19026</cdr:x>
      <cdr:y>0.64763</cdr:y>
    </cdr:to>
    <cdr:sp macro="" textlink="">
      <cdr:nvSpPr>
        <cdr:cNvPr id="327" name="FracNo 973 StartRow 3634">
          <a:extLst xmlns:a="http://schemas.openxmlformats.org/drawingml/2006/main">
            <a:ext uri="{FF2B5EF4-FFF2-40B4-BE49-F238E27FC236}">
              <a16:creationId xmlns:a16="http://schemas.microsoft.com/office/drawing/2014/main" id="{0AF58E9B-F8AA-DC90-4285-0A6F30466830}"/>
            </a:ext>
          </a:extLst>
        </cdr:cNvPr>
        <cdr:cNvSpPr/>
      </cdr:nvSpPr>
      <cdr:spPr>
        <a:xfrm xmlns:a="http://schemas.openxmlformats.org/drawingml/2006/main">
          <a:off x="671676" y="4171347"/>
          <a:ext cx="720112" cy="7635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0112" h="763594">
              <a:moveTo>
                <a:pt x="96051" y="664243"/>
              </a:moveTo>
              <a:lnTo>
                <a:pt x="0" y="763593"/>
              </a:lnTo>
              <a:lnTo>
                <a:pt x="0" y="726090"/>
              </a:lnTo>
              <a:lnTo>
                <a:pt x="93633" y="629241"/>
              </a:lnTo>
              <a:lnTo>
                <a:pt x="701982" y="0"/>
              </a:lnTo>
              <a:lnTo>
                <a:pt x="72011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0.31672</cdr:y>
    </cdr:from>
    <cdr:to>
      <cdr:x>0.18991</cdr:x>
      <cdr:y>0.41658</cdr:y>
    </cdr:to>
    <cdr:sp macro="" textlink="">
      <cdr:nvSpPr>
        <cdr:cNvPr id="328" name="FracNo 799 StartRow 3643">
          <a:extLst xmlns:a="http://schemas.openxmlformats.org/drawingml/2006/main">
            <a:ext uri="{FF2B5EF4-FFF2-40B4-BE49-F238E27FC236}">
              <a16:creationId xmlns:a16="http://schemas.microsoft.com/office/drawing/2014/main" id="{9FEE0085-1602-0D45-814A-C2A3BE1C6AFA}"/>
            </a:ext>
          </a:extLst>
        </cdr:cNvPr>
        <cdr:cNvSpPr/>
      </cdr:nvSpPr>
      <cdr:spPr>
        <a:xfrm xmlns:a="http://schemas.openxmlformats.org/drawingml/2006/main">
          <a:off x="671676" y="2413415"/>
          <a:ext cx="717556" cy="7609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7556" h="760951">
              <a:moveTo>
                <a:pt x="564464" y="177102"/>
              </a:moveTo>
              <a:lnTo>
                <a:pt x="352863" y="395970"/>
              </a:lnTo>
              <a:lnTo>
                <a:pt x="0" y="760950"/>
              </a:lnTo>
              <a:lnTo>
                <a:pt x="0" y="723446"/>
              </a:lnTo>
              <a:lnTo>
                <a:pt x="341558" y="370159"/>
              </a:lnTo>
              <a:lnTo>
                <a:pt x="549199" y="155387"/>
              </a:lnTo>
              <a:lnTo>
                <a:pt x="699426" y="0"/>
              </a:lnTo>
              <a:lnTo>
                <a:pt x="71755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0.19102</cdr:x>
      <cdr:y>0.18394</cdr:y>
    </cdr:to>
    <cdr:sp macro="" textlink="">
      <cdr:nvSpPr>
        <cdr:cNvPr id="329" name="FracNo 1033 StartRow 3654">
          <a:extLst xmlns:a="http://schemas.openxmlformats.org/drawingml/2006/main">
            <a:ext uri="{FF2B5EF4-FFF2-40B4-BE49-F238E27FC236}">
              <a16:creationId xmlns:a16="http://schemas.microsoft.com/office/drawing/2014/main" id="{E3A4FED6-33A5-70C5-B544-8432D3949BF8}"/>
            </a:ext>
          </a:extLst>
        </cdr:cNvPr>
        <cdr:cNvSpPr/>
      </cdr:nvSpPr>
      <cdr:spPr>
        <a:xfrm xmlns:a="http://schemas.openxmlformats.org/drawingml/2006/main">
          <a:off x="671676" y="651036"/>
          <a:ext cx="725683" cy="7506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5683" h="750605">
              <a:moveTo>
                <a:pt x="437643" y="297931"/>
              </a:moveTo>
              <a:lnTo>
                <a:pt x="0" y="750604"/>
              </a:lnTo>
              <a:lnTo>
                <a:pt x="0" y="713100"/>
              </a:lnTo>
              <a:lnTo>
                <a:pt x="415777" y="283045"/>
              </a:lnTo>
              <a:lnTo>
                <a:pt x="689424" y="0"/>
              </a:lnTo>
              <a:lnTo>
                <a:pt x="72568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0.49395</cdr:x>
      <cdr:y>0.56477</cdr:y>
    </cdr:from>
    <cdr:to>
      <cdr:x>0.59296</cdr:x>
      <cdr:y>0.66309</cdr:y>
    </cdr:to>
    <cdr:sp macro="" textlink="">
      <cdr:nvSpPr>
        <cdr:cNvPr id="330" name="FracNo 828 StartRow 3663">
          <a:extLst xmlns:a="http://schemas.openxmlformats.org/drawingml/2006/main">
            <a:ext uri="{FF2B5EF4-FFF2-40B4-BE49-F238E27FC236}">
              <a16:creationId xmlns:a16="http://schemas.microsoft.com/office/drawing/2014/main" id="{41419DA1-8CD9-9B01-81D8-A7F666FF9D3A}"/>
            </a:ext>
          </a:extLst>
        </cdr:cNvPr>
        <cdr:cNvSpPr/>
      </cdr:nvSpPr>
      <cdr:spPr>
        <a:xfrm xmlns:a="http://schemas.openxmlformats.org/drawingml/2006/main">
          <a:off x="3613341" y="4303567"/>
          <a:ext cx="724303" cy="7491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4303" h="749178">
              <a:moveTo>
                <a:pt x="707545" y="36085"/>
              </a:moveTo>
              <a:lnTo>
                <a:pt x="116207" y="647731"/>
              </a:lnTo>
              <a:lnTo>
                <a:pt x="18129" y="749177"/>
              </a:lnTo>
              <a:lnTo>
                <a:pt x="0" y="730425"/>
              </a:lnTo>
              <a:lnTo>
                <a:pt x="98077" y="628979"/>
              </a:lnTo>
              <a:lnTo>
                <a:pt x="689416" y="17333"/>
              </a:lnTo>
              <a:lnTo>
                <a:pt x="706173" y="0"/>
              </a:lnTo>
              <a:lnTo>
                <a:pt x="72430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0.77619</cdr:x>
      <cdr:y>0.67522</cdr:y>
    </cdr:from>
    <cdr:to>
      <cdr:x>0.87426</cdr:x>
      <cdr:y>0.77261</cdr:y>
    </cdr:to>
    <cdr:sp macro="" textlink="">
      <cdr:nvSpPr>
        <cdr:cNvPr id="331" name="FracNo 867 StartRow 3674">
          <a:extLst xmlns:a="http://schemas.openxmlformats.org/drawingml/2006/main">
            <a:ext uri="{FF2B5EF4-FFF2-40B4-BE49-F238E27FC236}">
              <a16:creationId xmlns:a16="http://schemas.microsoft.com/office/drawing/2014/main" id="{3D0765AA-9993-1083-7AC4-65FEBD97578E}"/>
            </a:ext>
          </a:extLst>
        </cdr:cNvPr>
        <cdr:cNvSpPr/>
      </cdr:nvSpPr>
      <cdr:spPr>
        <a:xfrm xmlns:a="http://schemas.openxmlformats.org/drawingml/2006/main">
          <a:off x="5677958" y="5145211"/>
          <a:ext cx="717412" cy="7420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7412" h="742048">
              <a:moveTo>
                <a:pt x="292173" y="458592"/>
              </a:moveTo>
              <a:lnTo>
                <a:pt x="18130" y="742047"/>
              </a:lnTo>
              <a:lnTo>
                <a:pt x="0" y="723295"/>
              </a:lnTo>
              <a:lnTo>
                <a:pt x="274044" y="439840"/>
              </a:lnTo>
              <a:lnTo>
                <a:pt x="699281" y="0"/>
              </a:lnTo>
              <a:lnTo>
                <a:pt x="717411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0.84484</cdr:x>
      <cdr:y>0.83316</cdr:y>
    </cdr:from>
    <cdr:to>
      <cdr:x>0.94246</cdr:x>
      <cdr:y>0.9301</cdr:y>
    </cdr:to>
    <cdr:sp macro="" textlink="">
      <cdr:nvSpPr>
        <cdr:cNvPr id="332" name="FracNo 785 StartRow 3683">
          <a:extLst xmlns:a="http://schemas.openxmlformats.org/drawingml/2006/main">
            <a:ext uri="{FF2B5EF4-FFF2-40B4-BE49-F238E27FC236}">
              <a16:creationId xmlns:a16="http://schemas.microsoft.com/office/drawing/2014/main" id="{46856A69-A162-98F6-4862-DCEF623E57FB}"/>
            </a:ext>
          </a:extLst>
        </cdr:cNvPr>
        <cdr:cNvSpPr/>
      </cdr:nvSpPr>
      <cdr:spPr>
        <a:xfrm xmlns:a="http://schemas.openxmlformats.org/drawingml/2006/main">
          <a:off x="6180169" y="6348702"/>
          <a:ext cx="714139" cy="7386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4139" h="738664">
              <a:moveTo>
                <a:pt x="126312" y="645517"/>
              </a:moveTo>
              <a:lnTo>
                <a:pt x="36259" y="738663"/>
              </a:lnTo>
              <a:lnTo>
                <a:pt x="0" y="738663"/>
              </a:lnTo>
              <a:lnTo>
                <a:pt x="94870" y="640535"/>
              </a:lnTo>
              <a:lnTo>
                <a:pt x="714138" y="0"/>
              </a:lnTo>
              <a:lnTo>
                <a:pt x="714138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0.72172</cdr:x>
      <cdr:y>0.37566</cdr:y>
    </cdr:from>
    <cdr:to>
      <cdr:x>0.81925</cdr:x>
      <cdr:y>0.47251</cdr:y>
    </cdr:to>
    <cdr:sp macro="" textlink="">
      <cdr:nvSpPr>
        <cdr:cNvPr id="333" name="FracNo 815 StartRow 3692">
          <a:extLst xmlns:a="http://schemas.openxmlformats.org/drawingml/2006/main">
            <a:ext uri="{FF2B5EF4-FFF2-40B4-BE49-F238E27FC236}">
              <a16:creationId xmlns:a16="http://schemas.microsoft.com/office/drawing/2014/main" id="{4482CD82-F3F7-22EE-DB32-F354466EA5A6}"/>
            </a:ext>
          </a:extLst>
        </cdr:cNvPr>
        <cdr:cNvSpPr/>
      </cdr:nvSpPr>
      <cdr:spPr>
        <a:xfrm xmlns:a="http://schemas.openxmlformats.org/drawingml/2006/main">
          <a:off x="5279523" y="2862523"/>
          <a:ext cx="713465" cy="7379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3465" h="737966">
              <a:moveTo>
                <a:pt x="228495" y="482871"/>
              </a:moveTo>
              <a:lnTo>
                <a:pt x="0" y="719213"/>
              </a:lnTo>
              <a:lnTo>
                <a:pt x="18129" y="737965"/>
              </a:lnTo>
              <a:lnTo>
                <a:pt x="246625" y="501623"/>
              </a:lnTo>
              <a:lnTo>
                <a:pt x="713464" y="18752"/>
              </a:lnTo>
              <a:lnTo>
                <a:pt x="6953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0.64686</cdr:x>
      <cdr:y>0.08544</cdr:y>
    </cdr:from>
    <cdr:to>
      <cdr:x>0.7456</cdr:x>
      <cdr:y>0.18102</cdr:y>
    </cdr:to>
    <cdr:sp macro="" textlink="">
      <cdr:nvSpPr>
        <cdr:cNvPr id="334" name="FracNo 670 StartRow 3701">
          <a:extLst xmlns:a="http://schemas.openxmlformats.org/drawingml/2006/main">
            <a:ext uri="{FF2B5EF4-FFF2-40B4-BE49-F238E27FC236}">
              <a16:creationId xmlns:a16="http://schemas.microsoft.com/office/drawing/2014/main" id="{5910FB51-EE8C-1219-0376-40CA5C450235}"/>
            </a:ext>
          </a:extLst>
        </cdr:cNvPr>
        <cdr:cNvSpPr/>
      </cdr:nvSpPr>
      <cdr:spPr>
        <a:xfrm xmlns:a="http://schemas.openxmlformats.org/drawingml/2006/main">
          <a:off x="4731936" y="651036"/>
          <a:ext cx="722250" cy="7283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2250" h="728302">
              <a:moveTo>
                <a:pt x="135589" y="569302"/>
              </a:moveTo>
              <a:lnTo>
                <a:pt x="79096" y="627737"/>
              </a:lnTo>
              <a:lnTo>
                <a:pt x="0" y="709549"/>
              </a:lnTo>
              <a:lnTo>
                <a:pt x="18129" y="728301"/>
              </a:lnTo>
              <a:lnTo>
                <a:pt x="97225" y="646488"/>
              </a:lnTo>
              <a:lnTo>
                <a:pt x="155406" y="586309"/>
              </a:lnTo>
              <a:lnTo>
                <a:pt x="722249" y="0"/>
              </a:lnTo>
              <a:lnTo>
                <a:pt x="68599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0.84643</cdr:x>
      <cdr:y>0.27282</cdr:y>
    </cdr:from>
    <cdr:to>
      <cdr:x>0.94246</cdr:x>
      <cdr:y>0.37063</cdr:y>
    </cdr:to>
    <cdr:sp macro="" textlink="">
      <cdr:nvSpPr>
        <cdr:cNvPr id="335" name="FracNo 773 StartRow 3712">
          <a:extLst xmlns:a="http://schemas.openxmlformats.org/drawingml/2006/main">
            <a:ext uri="{FF2B5EF4-FFF2-40B4-BE49-F238E27FC236}">
              <a16:creationId xmlns:a16="http://schemas.microsoft.com/office/drawing/2014/main" id="{02D2B6DB-44FA-FED0-E879-1CD005662FD3}"/>
            </a:ext>
          </a:extLst>
        </cdr:cNvPr>
        <cdr:cNvSpPr/>
      </cdr:nvSpPr>
      <cdr:spPr>
        <a:xfrm xmlns:a="http://schemas.openxmlformats.org/drawingml/2006/main">
          <a:off x="6191817" y="2078856"/>
          <a:ext cx="702491" cy="7453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02491" h="745369">
              <a:moveTo>
                <a:pt x="273106" y="444130"/>
              </a:moveTo>
              <a:lnTo>
                <a:pt x="17758" y="708247"/>
              </a:lnTo>
              <a:lnTo>
                <a:pt x="0" y="726616"/>
              </a:lnTo>
              <a:lnTo>
                <a:pt x="18129" y="745368"/>
              </a:lnTo>
              <a:lnTo>
                <a:pt x="35887" y="726999"/>
              </a:lnTo>
              <a:lnTo>
                <a:pt x="284475" y="469875"/>
              </a:lnTo>
              <a:lnTo>
                <a:pt x="702490" y="37504"/>
              </a:lnTo>
              <a:lnTo>
                <a:pt x="70249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0.84667</cdr:x>
      <cdr:y>0.43821</cdr:y>
    </cdr:from>
    <cdr:to>
      <cdr:x>0.94246</cdr:x>
      <cdr:y>0.53579</cdr:y>
    </cdr:to>
    <cdr:sp macro="" textlink="">
      <cdr:nvSpPr>
        <cdr:cNvPr id="336" name="FracNo 777 StartRow 3723">
          <a:extLst xmlns:a="http://schemas.openxmlformats.org/drawingml/2006/main">
            <a:ext uri="{FF2B5EF4-FFF2-40B4-BE49-F238E27FC236}">
              <a16:creationId xmlns:a16="http://schemas.microsoft.com/office/drawing/2014/main" id="{60BF29E2-B907-264A-6358-BD83C2E69E34}"/>
            </a:ext>
          </a:extLst>
        </cdr:cNvPr>
        <cdr:cNvSpPr/>
      </cdr:nvSpPr>
      <cdr:spPr>
        <a:xfrm xmlns:a="http://schemas.openxmlformats.org/drawingml/2006/main">
          <a:off x="6193594" y="3339162"/>
          <a:ext cx="700714" cy="7435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00714" h="743529">
              <a:moveTo>
                <a:pt x="97113" y="661832"/>
              </a:moveTo>
              <a:lnTo>
                <a:pt x="18130" y="743528"/>
              </a:lnTo>
              <a:lnTo>
                <a:pt x="0" y="724776"/>
              </a:lnTo>
              <a:lnTo>
                <a:pt x="81082" y="640911"/>
              </a:lnTo>
              <a:lnTo>
                <a:pt x="700713" y="0"/>
              </a:lnTo>
              <a:lnTo>
                <a:pt x="700713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0.54448</cdr:y>
    </cdr:from>
    <cdr:to>
      <cdr:x>0.1873</cdr:x>
      <cdr:y>0.64176</cdr:y>
    </cdr:to>
    <cdr:sp macro="" textlink="">
      <cdr:nvSpPr>
        <cdr:cNvPr id="337" name="FracNo 938 StartRow 3732">
          <a:extLst xmlns:a="http://schemas.openxmlformats.org/drawingml/2006/main">
            <a:ext uri="{FF2B5EF4-FFF2-40B4-BE49-F238E27FC236}">
              <a16:creationId xmlns:a16="http://schemas.microsoft.com/office/drawing/2014/main" id="{FCA07FAA-05E1-2EAA-6D0B-0A79C3ACC950}"/>
            </a:ext>
          </a:extLst>
        </cdr:cNvPr>
        <cdr:cNvSpPr/>
      </cdr:nvSpPr>
      <cdr:spPr>
        <a:xfrm xmlns:a="http://schemas.openxmlformats.org/drawingml/2006/main">
          <a:off x="671676" y="4148975"/>
          <a:ext cx="698483" cy="7412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98483" h="741223">
              <a:moveTo>
                <a:pt x="259567" y="435237"/>
              </a:moveTo>
              <a:lnTo>
                <a:pt x="0" y="703718"/>
              </a:lnTo>
              <a:lnTo>
                <a:pt x="0" y="741222"/>
              </a:lnTo>
              <a:lnTo>
                <a:pt x="266484" y="465586"/>
              </a:lnTo>
              <a:lnTo>
                <a:pt x="698482" y="18752"/>
              </a:lnTo>
              <a:lnTo>
                <a:pt x="68035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0.41373</cdr:x>
      <cdr:y>0.15</cdr:y>
    </cdr:from>
    <cdr:to>
      <cdr:x>0.50991</cdr:x>
      <cdr:y>0.24551</cdr:y>
    </cdr:to>
    <cdr:sp macro="" textlink="">
      <cdr:nvSpPr>
        <cdr:cNvPr id="338" name="FracNo 967 StartRow 3741">
          <a:extLst xmlns:a="http://schemas.openxmlformats.org/drawingml/2006/main">
            <a:ext uri="{FF2B5EF4-FFF2-40B4-BE49-F238E27FC236}">
              <a16:creationId xmlns:a16="http://schemas.microsoft.com/office/drawing/2014/main" id="{BF94FB00-3F52-35B3-381E-339BA9918F7E}"/>
            </a:ext>
          </a:extLst>
        </cdr:cNvPr>
        <cdr:cNvSpPr/>
      </cdr:nvSpPr>
      <cdr:spPr>
        <a:xfrm xmlns:a="http://schemas.openxmlformats.org/drawingml/2006/main">
          <a:off x="3026484" y="1143003"/>
          <a:ext cx="703607" cy="7277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03607" h="727770">
              <a:moveTo>
                <a:pt x="442519" y="251302"/>
              </a:moveTo>
              <a:lnTo>
                <a:pt x="0" y="709017"/>
              </a:lnTo>
              <a:lnTo>
                <a:pt x="18130" y="727769"/>
              </a:lnTo>
              <a:lnTo>
                <a:pt x="460648" y="270053"/>
              </a:lnTo>
              <a:lnTo>
                <a:pt x="703606" y="18752"/>
              </a:lnTo>
              <a:lnTo>
                <a:pt x="68547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0.60133</cdr:x>
      <cdr:y>0.83589</cdr:y>
    </cdr:from>
    <cdr:to>
      <cdr:x>0.69869</cdr:x>
      <cdr:y>0.9301</cdr:y>
    </cdr:to>
    <cdr:sp macro="" textlink="">
      <cdr:nvSpPr>
        <cdr:cNvPr id="339" name="FracNo 876 StartRow 3750">
          <a:extLst xmlns:a="http://schemas.openxmlformats.org/drawingml/2006/main">
            <a:ext uri="{FF2B5EF4-FFF2-40B4-BE49-F238E27FC236}">
              <a16:creationId xmlns:a16="http://schemas.microsoft.com/office/drawing/2014/main" id="{9092EB6A-8146-7B16-D6C8-48BF318BA20E}"/>
            </a:ext>
          </a:extLst>
        </cdr:cNvPr>
        <cdr:cNvSpPr/>
      </cdr:nvSpPr>
      <cdr:spPr>
        <a:xfrm xmlns:a="http://schemas.openxmlformats.org/drawingml/2006/main">
          <a:off x="4398877" y="6369460"/>
          <a:ext cx="712200" cy="7179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2200" h="717906">
              <a:moveTo>
                <a:pt x="282772" y="462926"/>
              </a:moveTo>
              <a:lnTo>
                <a:pt x="36258" y="717905"/>
              </a:lnTo>
              <a:lnTo>
                <a:pt x="0" y="717905"/>
              </a:lnTo>
              <a:lnTo>
                <a:pt x="257855" y="451194"/>
              </a:lnTo>
              <a:lnTo>
                <a:pt x="412155" y="291595"/>
              </a:lnTo>
              <a:lnTo>
                <a:pt x="694069" y="0"/>
              </a:lnTo>
              <a:lnTo>
                <a:pt x="712199" y="18752"/>
              </a:lnTo>
              <a:lnTo>
                <a:pt x="430284" y="31034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0.73495</cdr:x>
      <cdr:y>0.67652</cdr:y>
    </cdr:from>
    <cdr:to>
      <cdr:x>0.8308</cdr:x>
      <cdr:y>0.7717</cdr:y>
    </cdr:to>
    <cdr:sp macro="" textlink="">
      <cdr:nvSpPr>
        <cdr:cNvPr id="340" name="FracNo 880 StartRow 3761">
          <a:extLst xmlns:a="http://schemas.openxmlformats.org/drawingml/2006/main">
            <a:ext uri="{FF2B5EF4-FFF2-40B4-BE49-F238E27FC236}">
              <a16:creationId xmlns:a16="http://schemas.microsoft.com/office/drawing/2014/main" id="{112BB06B-4D67-ACF5-9991-A16D1DCB0BC9}"/>
            </a:ext>
          </a:extLst>
        </cdr:cNvPr>
        <cdr:cNvSpPr/>
      </cdr:nvSpPr>
      <cdr:spPr>
        <a:xfrm xmlns:a="http://schemas.openxmlformats.org/drawingml/2006/main">
          <a:off x="5376282" y="5155059"/>
          <a:ext cx="701222" cy="7253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01222" h="725303">
              <a:moveTo>
                <a:pt x="339004" y="393409"/>
              </a:moveTo>
              <a:lnTo>
                <a:pt x="18129" y="725302"/>
              </a:lnTo>
              <a:lnTo>
                <a:pt x="0" y="706550"/>
              </a:lnTo>
              <a:lnTo>
                <a:pt x="320875" y="374657"/>
              </a:lnTo>
              <a:lnTo>
                <a:pt x="683092" y="0"/>
              </a:lnTo>
              <a:lnTo>
                <a:pt x="70122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0.84795</cdr:x>
      <cdr:y>0.51426</cdr:y>
    </cdr:from>
    <cdr:to>
      <cdr:x>0.94246</cdr:x>
      <cdr:y>0.61057</cdr:y>
    </cdr:to>
    <cdr:sp macro="" textlink="">
      <cdr:nvSpPr>
        <cdr:cNvPr id="341" name="FracNo 929 StartRow 3770">
          <a:extLst xmlns:a="http://schemas.openxmlformats.org/drawingml/2006/main">
            <a:ext uri="{FF2B5EF4-FFF2-40B4-BE49-F238E27FC236}">
              <a16:creationId xmlns:a16="http://schemas.microsoft.com/office/drawing/2014/main" id="{56BFCABD-7FA7-326B-7948-D20800C27AE9}"/>
            </a:ext>
          </a:extLst>
        </cdr:cNvPr>
        <cdr:cNvSpPr/>
      </cdr:nvSpPr>
      <cdr:spPr>
        <a:xfrm xmlns:a="http://schemas.openxmlformats.org/drawingml/2006/main">
          <a:off x="6202943" y="3918662"/>
          <a:ext cx="691365" cy="7338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91365" h="733860">
              <a:moveTo>
                <a:pt x="343226" y="360094"/>
              </a:moveTo>
              <a:lnTo>
                <a:pt x="0" y="715107"/>
              </a:lnTo>
              <a:lnTo>
                <a:pt x="18130" y="733859"/>
              </a:lnTo>
              <a:lnTo>
                <a:pt x="352355" y="388155"/>
              </a:lnTo>
              <a:lnTo>
                <a:pt x="691364" y="37503"/>
              </a:lnTo>
              <a:lnTo>
                <a:pt x="69136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0.52414</cdr:x>
      <cdr:y>0.49712</cdr:y>
    </cdr:from>
    <cdr:to>
      <cdr:x>0.61968</cdr:x>
      <cdr:y>0.59199</cdr:y>
    </cdr:to>
    <cdr:sp macro="" textlink="">
      <cdr:nvSpPr>
        <cdr:cNvPr id="342" name="FracNo 114 StartRow 3779">
          <a:extLst xmlns:a="http://schemas.openxmlformats.org/drawingml/2006/main">
            <a:ext uri="{FF2B5EF4-FFF2-40B4-BE49-F238E27FC236}">
              <a16:creationId xmlns:a16="http://schemas.microsoft.com/office/drawing/2014/main" id="{D6A762CE-EA6F-0BEE-EC77-2AF0EBA1A6C2}"/>
            </a:ext>
          </a:extLst>
        </cdr:cNvPr>
        <cdr:cNvSpPr/>
      </cdr:nvSpPr>
      <cdr:spPr>
        <a:xfrm xmlns:a="http://schemas.openxmlformats.org/drawingml/2006/main">
          <a:off x="3834213" y="3788049"/>
          <a:ext cx="698904" cy="7229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98904" h="722906">
              <a:moveTo>
                <a:pt x="494009" y="193179"/>
              </a:moveTo>
              <a:lnTo>
                <a:pt x="0" y="704153"/>
              </a:lnTo>
              <a:lnTo>
                <a:pt x="18129" y="722905"/>
              </a:lnTo>
              <a:lnTo>
                <a:pt x="512139" y="211930"/>
              </a:lnTo>
              <a:lnTo>
                <a:pt x="698903" y="18752"/>
              </a:lnTo>
              <a:lnTo>
                <a:pt x="68077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0.84955</cdr:x>
      <cdr:y>0.279</cdr:y>
    </cdr:from>
    <cdr:to>
      <cdr:x>0.94246</cdr:x>
      <cdr:y>0.37373</cdr:y>
    </cdr:to>
    <cdr:sp macro="" textlink="">
      <cdr:nvSpPr>
        <cdr:cNvPr id="343" name="FracNo 927 StartRow 3788">
          <a:extLst xmlns:a="http://schemas.openxmlformats.org/drawingml/2006/main">
            <a:ext uri="{FF2B5EF4-FFF2-40B4-BE49-F238E27FC236}">
              <a16:creationId xmlns:a16="http://schemas.microsoft.com/office/drawing/2014/main" id="{9312F5F6-641D-912A-C3D0-A2CF3834509D}"/>
            </a:ext>
          </a:extLst>
        </cdr:cNvPr>
        <cdr:cNvSpPr/>
      </cdr:nvSpPr>
      <cdr:spPr>
        <a:xfrm xmlns:a="http://schemas.openxmlformats.org/drawingml/2006/main">
          <a:off x="6214609" y="2126007"/>
          <a:ext cx="679699" cy="7217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9699" h="721793">
              <a:moveTo>
                <a:pt x="284082" y="446707"/>
              </a:moveTo>
              <a:lnTo>
                <a:pt x="58681" y="679848"/>
              </a:lnTo>
              <a:lnTo>
                <a:pt x="18130" y="721792"/>
              </a:lnTo>
              <a:lnTo>
                <a:pt x="0" y="703040"/>
              </a:lnTo>
              <a:lnTo>
                <a:pt x="40552" y="661096"/>
              </a:lnTo>
              <a:lnTo>
                <a:pt x="272533" y="421149"/>
              </a:lnTo>
              <a:lnTo>
                <a:pt x="679698" y="0"/>
              </a:lnTo>
              <a:lnTo>
                <a:pt x="679698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0.11806</cdr:x>
      <cdr:y>0.83982</cdr:y>
    </cdr:from>
    <cdr:to>
      <cdr:x>0.21146</cdr:x>
      <cdr:y>0.9301</cdr:y>
    </cdr:to>
    <cdr:sp macro="" textlink="">
      <cdr:nvSpPr>
        <cdr:cNvPr id="344" name="FracNo 741 StartRow 3799">
          <a:extLst xmlns:a="http://schemas.openxmlformats.org/drawingml/2006/main">
            <a:ext uri="{FF2B5EF4-FFF2-40B4-BE49-F238E27FC236}">
              <a16:creationId xmlns:a16="http://schemas.microsoft.com/office/drawing/2014/main" id="{D6EF3BFB-782B-B065-DAB4-94CE54D7F314}"/>
            </a:ext>
          </a:extLst>
        </cdr:cNvPr>
        <cdr:cNvSpPr/>
      </cdr:nvSpPr>
      <cdr:spPr>
        <a:xfrm xmlns:a="http://schemas.openxmlformats.org/drawingml/2006/main">
          <a:off x="863634" y="6399402"/>
          <a:ext cx="683251" cy="6879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83251" h="687964">
              <a:moveTo>
                <a:pt x="296607" y="381169"/>
              </a:moveTo>
              <a:lnTo>
                <a:pt x="0" y="687963"/>
              </a:lnTo>
              <a:lnTo>
                <a:pt x="36258" y="687963"/>
              </a:lnTo>
              <a:lnTo>
                <a:pt x="324781" y="389532"/>
              </a:lnTo>
              <a:lnTo>
                <a:pt x="683250" y="18752"/>
              </a:lnTo>
              <a:lnTo>
                <a:pt x="66512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0.34338</cdr:y>
    </cdr:from>
    <cdr:to>
      <cdr:x>0.18217</cdr:x>
      <cdr:y>0.43555</cdr:y>
    </cdr:to>
    <cdr:sp macro="" textlink="">
      <cdr:nvSpPr>
        <cdr:cNvPr id="345" name="FracNo 727 StartRow 3808">
          <a:extLst xmlns:a="http://schemas.openxmlformats.org/drawingml/2006/main">
            <a:ext uri="{FF2B5EF4-FFF2-40B4-BE49-F238E27FC236}">
              <a16:creationId xmlns:a16="http://schemas.microsoft.com/office/drawing/2014/main" id="{B94E6365-95EF-1243-414E-A7941A900837}"/>
            </a:ext>
          </a:extLst>
        </cdr:cNvPr>
        <cdr:cNvSpPr/>
      </cdr:nvSpPr>
      <cdr:spPr>
        <a:xfrm xmlns:a="http://schemas.openxmlformats.org/drawingml/2006/main">
          <a:off x="671676" y="2616522"/>
          <a:ext cx="660922" cy="7023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0922" h="702371">
              <a:moveTo>
                <a:pt x="615930" y="65289"/>
              </a:moveTo>
              <a:lnTo>
                <a:pt x="494207" y="191192"/>
              </a:lnTo>
              <a:lnTo>
                <a:pt x="0" y="702370"/>
              </a:lnTo>
              <a:lnTo>
                <a:pt x="0" y="664867"/>
              </a:lnTo>
              <a:lnTo>
                <a:pt x="479672" y="168722"/>
              </a:lnTo>
              <a:lnTo>
                <a:pt x="598770" y="45533"/>
              </a:lnTo>
              <a:lnTo>
                <a:pt x="642792" y="0"/>
              </a:lnTo>
              <a:lnTo>
                <a:pt x="66092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0.20705</cdr:x>
      <cdr:y>0.44612</cdr:y>
    </cdr:from>
    <cdr:to>
      <cdr:x>0.29809</cdr:x>
      <cdr:y>0.53652</cdr:y>
    </cdr:to>
    <cdr:sp macro="" textlink="">
      <cdr:nvSpPr>
        <cdr:cNvPr id="346" name="FracNo 840 StartRow 3819">
          <a:extLst xmlns:a="http://schemas.openxmlformats.org/drawingml/2006/main">
            <a:ext uri="{FF2B5EF4-FFF2-40B4-BE49-F238E27FC236}">
              <a16:creationId xmlns:a16="http://schemas.microsoft.com/office/drawing/2014/main" id="{6EA8A9B9-DE60-A5E0-7F66-DC51158288CD}"/>
            </a:ext>
          </a:extLst>
        </cdr:cNvPr>
        <cdr:cNvSpPr/>
      </cdr:nvSpPr>
      <cdr:spPr>
        <a:xfrm xmlns:a="http://schemas.openxmlformats.org/drawingml/2006/main">
          <a:off x="1514618" y="3399415"/>
          <a:ext cx="666005" cy="6888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6005" h="688877">
              <a:moveTo>
                <a:pt x="420815" y="272361"/>
              </a:moveTo>
              <a:lnTo>
                <a:pt x="18129" y="688876"/>
              </a:lnTo>
              <a:lnTo>
                <a:pt x="0" y="670124"/>
              </a:lnTo>
              <a:lnTo>
                <a:pt x="402686" y="253609"/>
              </a:lnTo>
              <a:lnTo>
                <a:pt x="647874" y="0"/>
              </a:lnTo>
              <a:lnTo>
                <a:pt x="66600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0.85312</cdr:x>
      <cdr:y>0.66417</cdr:y>
    </cdr:from>
    <cdr:to>
      <cdr:x>0.94246</cdr:x>
      <cdr:y>0.75535</cdr:y>
    </cdr:to>
    <cdr:sp macro="" textlink="">
      <cdr:nvSpPr>
        <cdr:cNvPr id="347" name="FracNo 1000 StartRow 3828">
          <a:extLst xmlns:a="http://schemas.openxmlformats.org/drawingml/2006/main">
            <a:ext uri="{FF2B5EF4-FFF2-40B4-BE49-F238E27FC236}">
              <a16:creationId xmlns:a16="http://schemas.microsoft.com/office/drawing/2014/main" id="{DF97173A-A54F-E9CB-1C44-938FB74FC9FF}"/>
            </a:ext>
          </a:extLst>
        </cdr:cNvPr>
        <cdr:cNvSpPr/>
      </cdr:nvSpPr>
      <cdr:spPr>
        <a:xfrm xmlns:a="http://schemas.openxmlformats.org/drawingml/2006/main">
          <a:off x="6240730" y="5061003"/>
          <a:ext cx="653578" cy="6947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53578" h="694776">
              <a:moveTo>
                <a:pt x="341548" y="360249"/>
              </a:moveTo>
              <a:lnTo>
                <a:pt x="18129" y="694775"/>
              </a:lnTo>
              <a:lnTo>
                <a:pt x="0" y="676023"/>
              </a:lnTo>
              <a:lnTo>
                <a:pt x="332646" y="331953"/>
              </a:lnTo>
              <a:lnTo>
                <a:pt x="653577" y="0"/>
              </a:lnTo>
              <a:lnTo>
                <a:pt x="653577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0.59051</cdr:x>
      <cdr:y>0.63361</cdr:y>
    </cdr:from>
    <cdr:to>
      <cdr:x>0.68091</cdr:x>
      <cdr:y>0.72338</cdr:y>
    </cdr:to>
    <cdr:sp macro="" textlink="">
      <cdr:nvSpPr>
        <cdr:cNvPr id="348" name="FracNo 849 StartRow 3837">
          <a:extLst xmlns:a="http://schemas.openxmlformats.org/drawingml/2006/main">
            <a:ext uri="{FF2B5EF4-FFF2-40B4-BE49-F238E27FC236}">
              <a16:creationId xmlns:a16="http://schemas.microsoft.com/office/drawing/2014/main" id="{90120E6D-C2BF-381F-81CD-ACE4BAE790E8}"/>
            </a:ext>
          </a:extLst>
        </cdr:cNvPr>
        <cdr:cNvSpPr/>
      </cdr:nvSpPr>
      <cdr:spPr>
        <a:xfrm xmlns:a="http://schemas.openxmlformats.org/drawingml/2006/main">
          <a:off x="4319701" y="4828111"/>
          <a:ext cx="661306" cy="6840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1306" h="684016">
              <a:moveTo>
                <a:pt x="115869" y="545415"/>
              </a:moveTo>
              <a:lnTo>
                <a:pt x="0" y="665263"/>
              </a:lnTo>
              <a:lnTo>
                <a:pt x="18130" y="684015"/>
              </a:lnTo>
              <a:lnTo>
                <a:pt x="133998" y="564167"/>
              </a:lnTo>
              <a:lnTo>
                <a:pt x="509460" y="175811"/>
              </a:lnTo>
              <a:lnTo>
                <a:pt x="560337" y="123187"/>
              </a:lnTo>
              <a:lnTo>
                <a:pt x="661305" y="18752"/>
              </a:lnTo>
              <a:lnTo>
                <a:pt x="643176" y="0"/>
              </a:lnTo>
              <a:lnTo>
                <a:pt x="542208" y="104435"/>
              </a:lnTo>
              <a:lnTo>
                <a:pt x="491331" y="15706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0.27335</cdr:x>
      <cdr:y>0.84158</cdr:y>
    </cdr:from>
    <cdr:to>
      <cdr:x>0.36497</cdr:x>
      <cdr:y>0.9301</cdr:y>
    </cdr:to>
    <cdr:sp macro="" textlink="">
      <cdr:nvSpPr>
        <cdr:cNvPr id="349" name="FracNo 26 StartRow 3850">
          <a:extLst xmlns:a="http://schemas.openxmlformats.org/drawingml/2006/main">
            <a:ext uri="{FF2B5EF4-FFF2-40B4-BE49-F238E27FC236}">
              <a16:creationId xmlns:a16="http://schemas.microsoft.com/office/drawing/2014/main" id="{4C986B80-6B7E-0DCC-DA2C-74FAA337D7AB}"/>
            </a:ext>
          </a:extLst>
        </cdr:cNvPr>
        <cdr:cNvSpPr/>
      </cdr:nvSpPr>
      <cdr:spPr>
        <a:xfrm xmlns:a="http://schemas.openxmlformats.org/drawingml/2006/main">
          <a:off x="1999575" y="6412813"/>
          <a:ext cx="670286" cy="6745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0286" h="674553">
              <a:moveTo>
                <a:pt x="330020" y="333198"/>
              </a:moveTo>
              <a:lnTo>
                <a:pt x="0" y="674552"/>
              </a:lnTo>
              <a:lnTo>
                <a:pt x="36258" y="674552"/>
              </a:lnTo>
              <a:lnTo>
                <a:pt x="357105" y="342688"/>
              </a:lnTo>
              <a:lnTo>
                <a:pt x="670285" y="18752"/>
              </a:lnTo>
              <a:lnTo>
                <a:pt x="65215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0.45345</cdr:x>
      <cdr:y>0.73416</cdr:y>
    </cdr:from>
    <cdr:to>
      <cdr:x>0.54312</cdr:x>
      <cdr:y>0.8232</cdr:y>
    </cdr:to>
    <cdr:sp macro="" textlink="">
      <cdr:nvSpPr>
        <cdr:cNvPr id="350" name="FracNo 910 StartRow 3859">
          <a:extLst xmlns:a="http://schemas.openxmlformats.org/drawingml/2006/main">
            <a:ext uri="{FF2B5EF4-FFF2-40B4-BE49-F238E27FC236}">
              <a16:creationId xmlns:a16="http://schemas.microsoft.com/office/drawing/2014/main" id="{06F0C1D4-BE71-5A81-2FF4-6F31D4D54452}"/>
            </a:ext>
          </a:extLst>
        </cdr:cNvPr>
        <cdr:cNvSpPr/>
      </cdr:nvSpPr>
      <cdr:spPr>
        <a:xfrm xmlns:a="http://schemas.openxmlformats.org/drawingml/2006/main">
          <a:off x="3317090" y="5594311"/>
          <a:ext cx="655963" cy="6784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55963" h="678491">
              <a:moveTo>
                <a:pt x="130542" y="524712"/>
              </a:moveTo>
              <a:lnTo>
                <a:pt x="0" y="659738"/>
              </a:lnTo>
              <a:lnTo>
                <a:pt x="18129" y="678490"/>
              </a:lnTo>
              <a:lnTo>
                <a:pt x="148671" y="543464"/>
              </a:lnTo>
              <a:lnTo>
                <a:pt x="655962" y="18752"/>
              </a:lnTo>
              <a:lnTo>
                <a:pt x="63783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0.81202</cdr:x>
      <cdr:y>0.14958</cdr:y>
    </cdr:from>
    <cdr:to>
      <cdr:x>0.90135</cdr:x>
      <cdr:y>0.23827</cdr:y>
    </cdr:to>
    <cdr:sp macro="" textlink="">
      <cdr:nvSpPr>
        <cdr:cNvPr id="351" name="FracNo 674 StartRow 3868">
          <a:extLst xmlns:a="http://schemas.openxmlformats.org/drawingml/2006/main">
            <a:ext uri="{FF2B5EF4-FFF2-40B4-BE49-F238E27FC236}">
              <a16:creationId xmlns:a16="http://schemas.microsoft.com/office/drawing/2014/main" id="{73BB8FA0-4CEF-B890-38AC-55C8C246DE9A}"/>
            </a:ext>
          </a:extLst>
        </cdr:cNvPr>
        <cdr:cNvSpPr/>
      </cdr:nvSpPr>
      <cdr:spPr>
        <a:xfrm xmlns:a="http://schemas.openxmlformats.org/drawingml/2006/main">
          <a:off x="5940090" y="1139763"/>
          <a:ext cx="653451" cy="6758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53451" h="675892">
              <a:moveTo>
                <a:pt x="405937" y="237262"/>
              </a:moveTo>
              <a:lnTo>
                <a:pt x="0" y="657139"/>
              </a:lnTo>
              <a:lnTo>
                <a:pt x="18130" y="675891"/>
              </a:lnTo>
              <a:lnTo>
                <a:pt x="424065" y="256014"/>
              </a:lnTo>
              <a:lnTo>
                <a:pt x="653450" y="18752"/>
              </a:lnTo>
              <a:lnTo>
                <a:pt x="63532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0.45543</cdr:x>
      <cdr:y>0.1534</cdr:y>
    </cdr:from>
    <cdr:to>
      <cdr:x>0.54471</cdr:x>
      <cdr:y>0.24205</cdr:y>
    </cdr:to>
    <cdr:sp macro="" textlink="">
      <cdr:nvSpPr>
        <cdr:cNvPr id="352" name="FracNo 860 StartRow 3877">
          <a:extLst xmlns:a="http://schemas.openxmlformats.org/drawingml/2006/main">
            <a:ext uri="{FF2B5EF4-FFF2-40B4-BE49-F238E27FC236}">
              <a16:creationId xmlns:a16="http://schemas.microsoft.com/office/drawing/2014/main" id="{13B4D10A-99DC-5E44-D4C1-01C4EE2A0D55}"/>
            </a:ext>
          </a:extLst>
        </cdr:cNvPr>
        <cdr:cNvSpPr/>
      </cdr:nvSpPr>
      <cdr:spPr>
        <a:xfrm xmlns:a="http://schemas.openxmlformats.org/drawingml/2006/main">
          <a:off x="3331560" y="1168885"/>
          <a:ext cx="653076" cy="6755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53076" h="675505">
              <a:moveTo>
                <a:pt x="341198" y="341340"/>
              </a:moveTo>
              <a:lnTo>
                <a:pt x="18129" y="675504"/>
              </a:lnTo>
              <a:lnTo>
                <a:pt x="0" y="656752"/>
              </a:lnTo>
              <a:lnTo>
                <a:pt x="323068" y="322588"/>
              </a:lnTo>
              <a:lnTo>
                <a:pt x="634946" y="0"/>
              </a:lnTo>
              <a:lnTo>
                <a:pt x="653075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0.85464</cdr:x>
      <cdr:y>0.26553</cdr:y>
    </cdr:from>
    <cdr:to>
      <cdr:x>0.94246</cdr:x>
      <cdr:y>0.3552</cdr:y>
    </cdr:to>
    <cdr:sp macro="" textlink="">
      <cdr:nvSpPr>
        <cdr:cNvPr id="353" name="FracNo 1011 StartRow 3886">
          <a:extLst xmlns:a="http://schemas.openxmlformats.org/drawingml/2006/main">
            <a:ext uri="{FF2B5EF4-FFF2-40B4-BE49-F238E27FC236}">
              <a16:creationId xmlns:a16="http://schemas.microsoft.com/office/drawing/2014/main" id="{E98E697B-2723-02E6-66D7-17FC06236C49}"/>
            </a:ext>
          </a:extLst>
        </cdr:cNvPr>
        <cdr:cNvSpPr/>
      </cdr:nvSpPr>
      <cdr:spPr>
        <a:xfrm xmlns:a="http://schemas.openxmlformats.org/drawingml/2006/main">
          <a:off x="6251830" y="2023340"/>
          <a:ext cx="642478" cy="6832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42478" h="683294">
              <a:moveTo>
                <a:pt x="428274" y="221559"/>
              </a:moveTo>
              <a:lnTo>
                <a:pt x="0" y="664541"/>
              </a:lnTo>
              <a:lnTo>
                <a:pt x="18129" y="683293"/>
              </a:lnTo>
              <a:lnTo>
                <a:pt x="434318" y="252811"/>
              </a:lnTo>
              <a:lnTo>
                <a:pt x="642477" y="37503"/>
              </a:lnTo>
              <a:lnTo>
                <a:pt x="64247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0.78027</cdr:x>
      <cdr:y>0.39243</cdr:y>
    </cdr:from>
    <cdr:to>
      <cdr:x>0.86708</cdr:x>
      <cdr:y>0.47864</cdr:y>
    </cdr:to>
    <cdr:sp macro="" textlink="">
      <cdr:nvSpPr>
        <cdr:cNvPr id="354" name="FracNo 191 StartRow 3895">
          <a:extLst xmlns:a="http://schemas.openxmlformats.org/drawingml/2006/main">
            <a:ext uri="{FF2B5EF4-FFF2-40B4-BE49-F238E27FC236}">
              <a16:creationId xmlns:a16="http://schemas.microsoft.com/office/drawing/2014/main" id="{AD70F74C-C273-BAD2-9AA1-CA0CD48BFC42}"/>
            </a:ext>
          </a:extLst>
        </cdr:cNvPr>
        <cdr:cNvSpPr/>
      </cdr:nvSpPr>
      <cdr:spPr>
        <a:xfrm xmlns:a="http://schemas.openxmlformats.org/drawingml/2006/main">
          <a:off x="5707813" y="2990340"/>
          <a:ext cx="635061" cy="6568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35061" h="656870">
              <a:moveTo>
                <a:pt x="125695" y="508106"/>
              </a:moveTo>
              <a:lnTo>
                <a:pt x="0" y="638118"/>
              </a:lnTo>
              <a:lnTo>
                <a:pt x="18129" y="656869"/>
              </a:lnTo>
              <a:lnTo>
                <a:pt x="143824" y="526858"/>
              </a:lnTo>
              <a:lnTo>
                <a:pt x="635060" y="18752"/>
              </a:lnTo>
              <a:lnTo>
                <a:pt x="61693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0.663</cdr:x>
      <cdr:y>0.67822</cdr:y>
    </cdr:from>
    <cdr:to>
      <cdr:x>0.7498</cdr:x>
      <cdr:y>0.76441</cdr:y>
    </cdr:to>
    <cdr:sp macro="" textlink="">
      <cdr:nvSpPr>
        <cdr:cNvPr id="355" name="FracNo 425 StartRow 3904">
          <a:extLst xmlns:a="http://schemas.openxmlformats.org/drawingml/2006/main">
            <a:ext uri="{FF2B5EF4-FFF2-40B4-BE49-F238E27FC236}">
              <a16:creationId xmlns:a16="http://schemas.microsoft.com/office/drawing/2014/main" id="{8D757219-1FD1-6E61-9C06-E641359E29E7}"/>
            </a:ext>
          </a:extLst>
        </cdr:cNvPr>
        <cdr:cNvSpPr/>
      </cdr:nvSpPr>
      <cdr:spPr>
        <a:xfrm xmlns:a="http://schemas.openxmlformats.org/drawingml/2006/main">
          <a:off x="4849995" y="5168044"/>
          <a:ext cx="634944" cy="6567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34944" h="656749">
              <a:moveTo>
                <a:pt x="245233" y="421845"/>
              </a:moveTo>
              <a:lnTo>
                <a:pt x="18130" y="656748"/>
              </a:lnTo>
              <a:lnTo>
                <a:pt x="0" y="637996"/>
              </a:lnTo>
              <a:lnTo>
                <a:pt x="227104" y="403093"/>
              </a:lnTo>
              <a:lnTo>
                <a:pt x="616814" y="0"/>
              </a:lnTo>
              <a:lnTo>
                <a:pt x="634943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0.4055</cdr:x>
      <cdr:y>0.4183</cdr:y>
    </cdr:from>
    <cdr:to>
      <cdr:x>0.49148</cdr:x>
      <cdr:y>0.50368</cdr:y>
    </cdr:to>
    <cdr:sp macro="" textlink="">
      <cdr:nvSpPr>
        <cdr:cNvPr id="356" name="FracNo 119 StartRow 3913">
          <a:extLst xmlns:a="http://schemas.openxmlformats.org/drawingml/2006/main">
            <a:ext uri="{FF2B5EF4-FFF2-40B4-BE49-F238E27FC236}">
              <a16:creationId xmlns:a16="http://schemas.microsoft.com/office/drawing/2014/main" id="{EFCE4E5D-36EB-95F8-FF0F-9BA9D6D103CD}"/>
            </a:ext>
          </a:extLst>
        </cdr:cNvPr>
        <cdr:cNvSpPr/>
      </cdr:nvSpPr>
      <cdr:spPr>
        <a:xfrm xmlns:a="http://schemas.openxmlformats.org/drawingml/2006/main">
          <a:off x="2966297" y="3187475"/>
          <a:ext cx="628963" cy="6505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8963" h="650564">
              <a:moveTo>
                <a:pt x="146673" y="517604"/>
              </a:moveTo>
              <a:lnTo>
                <a:pt x="18129" y="650563"/>
              </a:lnTo>
              <a:lnTo>
                <a:pt x="0" y="631811"/>
              </a:lnTo>
              <a:lnTo>
                <a:pt x="128544" y="498852"/>
              </a:lnTo>
              <a:lnTo>
                <a:pt x="610833" y="0"/>
              </a:lnTo>
              <a:lnTo>
                <a:pt x="62896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0.23736</cdr:x>
      <cdr:y>0.24736</cdr:y>
    </cdr:from>
    <cdr:to>
      <cdr:x>0.32306</cdr:x>
      <cdr:y>0.33245</cdr:y>
    </cdr:to>
    <cdr:sp macro="" textlink="">
      <cdr:nvSpPr>
        <cdr:cNvPr id="357" name="FracNo 598 StartRow 3922">
          <a:extLst xmlns:a="http://schemas.openxmlformats.org/drawingml/2006/main">
            <a:ext uri="{FF2B5EF4-FFF2-40B4-BE49-F238E27FC236}">
              <a16:creationId xmlns:a16="http://schemas.microsoft.com/office/drawing/2014/main" id="{0D8D0551-443F-6C63-E1F0-9F661472AD58}"/>
            </a:ext>
          </a:extLst>
        </cdr:cNvPr>
        <cdr:cNvSpPr/>
      </cdr:nvSpPr>
      <cdr:spPr>
        <a:xfrm xmlns:a="http://schemas.openxmlformats.org/drawingml/2006/main">
          <a:off x="1736347" y="1884876"/>
          <a:ext cx="626880" cy="6484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6880" h="648408">
              <a:moveTo>
                <a:pt x="319497" y="336689"/>
              </a:moveTo>
              <a:lnTo>
                <a:pt x="18129" y="648407"/>
              </a:lnTo>
              <a:lnTo>
                <a:pt x="0" y="629654"/>
              </a:lnTo>
              <a:lnTo>
                <a:pt x="301368" y="317937"/>
              </a:lnTo>
              <a:lnTo>
                <a:pt x="608749" y="0"/>
              </a:lnTo>
              <a:lnTo>
                <a:pt x="62687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0.85802</cdr:x>
      <cdr:y>0.67391</cdr:y>
    </cdr:from>
    <cdr:to>
      <cdr:x>0.94246</cdr:x>
      <cdr:y>0.76022</cdr:y>
    </cdr:to>
    <cdr:sp macro="" textlink="">
      <cdr:nvSpPr>
        <cdr:cNvPr id="358" name="FracNo 762 StartRow 3931">
          <a:extLst xmlns:a="http://schemas.openxmlformats.org/drawingml/2006/main">
            <a:ext uri="{FF2B5EF4-FFF2-40B4-BE49-F238E27FC236}">
              <a16:creationId xmlns:a16="http://schemas.microsoft.com/office/drawing/2014/main" id="{A07893CC-342D-4570-8F0E-F5DAA9F91CB9}"/>
            </a:ext>
          </a:extLst>
        </cdr:cNvPr>
        <cdr:cNvSpPr/>
      </cdr:nvSpPr>
      <cdr:spPr>
        <a:xfrm xmlns:a="http://schemas.openxmlformats.org/drawingml/2006/main">
          <a:off x="6276586" y="5135178"/>
          <a:ext cx="617722" cy="6576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17722" h="657688">
              <a:moveTo>
                <a:pt x="583125" y="73288"/>
              </a:moveTo>
              <a:lnTo>
                <a:pt x="18129" y="657687"/>
              </a:lnTo>
              <a:lnTo>
                <a:pt x="0" y="638935"/>
              </a:lnTo>
              <a:lnTo>
                <a:pt x="582079" y="36866"/>
              </a:lnTo>
              <a:lnTo>
                <a:pt x="617721" y="0"/>
              </a:lnTo>
              <a:lnTo>
                <a:pt x="617721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0.28446</cdr:y>
    </cdr:from>
    <cdr:to>
      <cdr:x>0.17436</cdr:x>
      <cdr:y>0.36765</cdr:y>
    </cdr:to>
    <cdr:sp macro="" textlink="">
      <cdr:nvSpPr>
        <cdr:cNvPr id="359" name="FracNo 854 StartRow 3940">
          <a:extLst xmlns:a="http://schemas.openxmlformats.org/drawingml/2006/main">
            <a:ext uri="{FF2B5EF4-FFF2-40B4-BE49-F238E27FC236}">
              <a16:creationId xmlns:a16="http://schemas.microsoft.com/office/drawing/2014/main" id="{15EE54E2-2DB1-1B06-EA7B-B2A567B36698}"/>
            </a:ext>
          </a:extLst>
        </cdr:cNvPr>
        <cdr:cNvSpPr/>
      </cdr:nvSpPr>
      <cdr:spPr>
        <a:xfrm xmlns:a="http://schemas.openxmlformats.org/drawingml/2006/main">
          <a:off x="671676" y="2167589"/>
          <a:ext cx="603772" cy="6338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3772" h="633883">
              <a:moveTo>
                <a:pt x="331140" y="263242"/>
              </a:moveTo>
              <a:lnTo>
                <a:pt x="0" y="605755"/>
              </a:lnTo>
              <a:lnTo>
                <a:pt x="9065" y="633882"/>
              </a:lnTo>
              <a:lnTo>
                <a:pt x="345330" y="286069"/>
              </a:lnTo>
              <a:lnTo>
                <a:pt x="603771" y="18752"/>
              </a:lnTo>
              <a:lnTo>
                <a:pt x="58564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0.21501</cdr:x>
      <cdr:y>0.47935</cdr:y>
    </cdr:from>
    <cdr:to>
      <cdr:x>0.29866</cdr:x>
      <cdr:y>0.56241</cdr:y>
    </cdr:to>
    <cdr:sp macro="" textlink="">
      <cdr:nvSpPr>
        <cdr:cNvPr id="360" name="FracNo 734 StartRow 3949">
          <a:extLst xmlns:a="http://schemas.openxmlformats.org/drawingml/2006/main">
            <a:ext uri="{FF2B5EF4-FFF2-40B4-BE49-F238E27FC236}">
              <a16:creationId xmlns:a16="http://schemas.microsoft.com/office/drawing/2014/main" id="{0BCBC172-8F43-3BAE-C342-48B49CB3D0AA}"/>
            </a:ext>
          </a:extLst>
        </cdr:cNvPr>
        <cdr:cNvSpPr/>
      </cdr:nvSpPr>
      <cdr:spPr>
        <a:xfrm xmlns:a="http://schemas.openxmlformats.org/drawingml/2006/main">
          <a:off x="1572827" y="3652648"/>
          <a:ext cx="611903" cy="6329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11903" h="632917">
              <a:moveTo>
                <a:pt x="406778" y="193416"/>
              </a:moveTo>
              <a:lnTo>
                <a:pt x="0" y="614164"/>
              </a:lnTo>
              <a:lnTo>
                <a:pt x="18130" y="632916"/>
              </a:lnTo>
              <a:lnTo>
                <a:pt x="424908" y="212168"/>
              </a:lnTo>
              <a:lnTo>
                <a:pt x="611902" y="18752"/>
              </a:lnTo>
              <a:lnTo>
                <a:pt x="59377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0.17782</cdr:x>
      <cdr:y>0.26095</cdr:y>
    </cdr:from>
    <cdr:to>
      <cdr:x>0.26143</cdr:x>
      <cdr:y>0.34398</cdr:y>
    </cdr:to>
    <cdr:sp macro="" textlink="">
      <cdr:nvSpPr>
        <cdr:cNvPr id="361" name="FracNo 593 StartRow 3958">
          <a:extLst xmlns:a="http://schemas.openxmlformats.org/drawingml/2006/main">
            <a:ext uri="{FF2B5EF4-FFF2-40B4-BE49-F238E27FC236}">
              <a16:creationId xmlns:a16="http://schemas.microsoft.com/office/drawing/2014/main" id="{07F68A93-A431-2DC3-3EC6-69AF285CC3BA}"/>
            </a:ext>
          </a:extLst>
        </cdr:cNvPr>
        <cdr:cNvSpPr/>
      </cdr:nvSpPr>
      <cdr:spPr>
        <a:xfrm xmlns:a="http://schemas.openxmlformats.org/drawingml/2006/main">
          <a:off x="1300771" y="1988441"/>
          <a:ext cx="611661" cy="6326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11661" h="632667">
              <a:moveTo>
                <a:pt x="46626" y="565687"/>
              </a:moveTo>
              <a:lnTo>
                <a:pt x="0" y="613914"/>
              </a:lnTo>
              <a:lnTo>
                <a:pt x="18129" y="632666"/>
              </a:lnTo>
              <a:lnTo>
                <a:pt x="64755" y="584439"/>
              </a:lnTo>
              <a:lnTo>
                <a:pt x="611660" y="18752"/>
              </a:lnTo>
              <a:lnTo>
                <a:pt x="59353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0.14236</cdr:x>
      <cdr:y>0.2</cdr:y>
    </cdr:from>
    <cdr:to>
      <cdr:x>0.22587</cdr:x>
      <cdr:y>0.28293</cdr:y>
    </cdr:to>
    <cdr:sp macro="" textlink="">
      <cdr:nvSpPr>
        <cdr:cNvPr id="362" name="FracNo 811 StartRow 3967">
          <a:extLst xmlns:a="http://schemas.openxmlformats.org/drawingml/2006/main">
            <a:ext uri="{FF2B5EF4-FFF2-40B4-BE49-F238E27FC236}">
              <a16:creationId xmlns:a16="http://schemas.microsoft.com/office/drawing/2014/main" id="{04DE8C8E-5D9C-FD3F-DACD-238639277A6D}"/>
            </a:ext>
          </a:extLst>
        </cdr:cNvPr>
        <cdr:cNvSpPr/>
      </cdr:nvSpPr>
      <cdr:spPr>
        <a:xfrm xmlns:a="http://schemas.openxmlformats.org/drawingml/2006/main">
          <a:off x="1041358" y="1524023"/>
          <a:ext cx="610951" cy="6319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10951" h="631932">
              <a:moveTo>
                <a:pt x="202098" y="441645"/>
              </a:moveTo>
              <a:lnTo>
                <a:pt x="18130" y="631931"/>
              </a:lnTo>
              <a:lnTo>
                <a:pt x="0" y="613179"/>
              </a:lnTo>
              <a:lnTo>
                <a:pt x="183969" y="422892"/>
              </a:lnTo>
              <a:lnTo>
                <a:pt x="592821" y="0"/>
              </a:lnTo>
              <a:lnTo>
                <a:pt x="61095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0.24749</cdr:x>
      <cdr:y>0.73842</cdr:y>
    </cdr:from>
    <cdr:to>
      <cdr:x>0.33079</cdr:x>
      <cdr:y>0.82114</cdr:y>
    </cdr:to>
    <cdr:sp macro="" textlink="">
      <cdr:nvSpPr>
        <cdr:cNvPr id="363" name="FracNo 865 StartRow 3976">
          <a:extLst xmlns:a="http://schemas.openxmlformats.org/drawingml/2006/main">
            <a:ext uri="{FF2B5EF4-FFF2-40B4-BE49-F238E27FC236}">
              <a16:creationId xmlns:a16="http://schemas.microsoft.com/office/drawing/2014/main" id="{41A953AC-5D4D-FC14-439E-84D50980CB9F}"/>
            </a:ext>
          </a:extLst>
        </cdr:cNvPr>
        <cdr:cNvSpPr/>
      </cdr:nvSpPr>
      <cdr:spPr>
        <a:xfrm xmlns:a="http://schemas.openxmlformats.org/drawingml/2006/main">
          <a:off x="1810408" y="5626755"/>
          <a:ext cx="609395" cy="6303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9395" h="630323">
              <a:moveTo>
                <a:pt x="336124" y="301406"/>
              </a:moveTo>
              <a:lnTo>
                <a:pt x="18129" y="630322"/>
              </a:lnTo>
              <a:lnTo>
                <a:pt x="0" y="611570"/>
              </a:lnTo>
              <a:lnTo>
                <a:pt x="317994" y="282654"/>
              </a:lnTo>
              <a:lnTo>
                <a:pt x="591264" y="0"/>
              </a:lnTo>
              <a:lnTo>
                <a:pt x="60939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0.82544</cdr:x>
      <cdr:y>0.08544</cdr:y>
    </cdr:from>
    <cdr:to>
      <cdr:x>0.90856</cdr:x>
      <cdr:y>0.16551</cdr:y>
    </cdr:to>
    <cdr:sp macro="" textlink="">
      <cdr:nvSpPr>
        <cdr:cNvPr id="364" name="FracNo 673 StartRow 3985">
          <a:extLst xmlns:a="http://schemas.openxmlformats.org/drawingml/2006/main">
            <a:ext uri="{FF2B5EF4-FFF2-40B4-BE49-F238E27FC236}">
              <a16:creationId xmlns:a16="http://schemas.microsoft.com/office/drawing/2014/main" id="{C0D8B1BE-4426-CE49-6FD8-9F2D268D88ED}"/>
            </a:ext>
          </a:extLst>
        </cdr:cNvPr>
        <cdr:cNvSpPr/>
      </cdr:nvSpPr>
      <cdr:spPr>
        <a:xfrm xmlns:a="http://schemas.openxmlformats.org/drawingml/2006/main">
          <a:off x="6038276" y="651036"/>
          <a:ext cx="608039" cy="6101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8039" h="610170">
              <a:moveTo>
                <a:pt x="94220" y="531463"/>
              </a:moveTo>
              <a:lnTo>
                <a:pt x="18129" y="610169"/>
              </a:lnTo>
              <a:lnTo>
                <a:pt x="0" y="591416"/>
              </a:lnTo>
              <a:lnTo>
                <a:pt x="73753" y="515130"/>
              </a:lnTo>
              <a:lnTo>
                <a:pt x="571780" y="0"/>
              </a:lnTo>
              <a:lnTo>
                <a:pt x="60803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0.15519</cdr:x>
      <cdr:y>0.58942</cdr:y>
    </cdr:from>
    <cdr:to>
      <cdr:x>0.23659</cdr:x>
      <cdr:y>0.67025</cdr:y>
    </cdr:to>
    <cdr:sp macro="" textlink="">
      <cdr:nvSpPr>
        <cdr:cNvPr id="365" name="FracNo 514 StartRow 3994">
          <a:extLst xmlns:a="http://schemas.openxmlformats.org/drawingml/2006/main">
            <a:ext uri="{FF2B5EF4-FFF2-40B4-BE49-F238E27FC236}">
              <a16:creationId xmlns:a16="http://schemas.microsoft.com/office/drawing/2014/main" id="{4AA8525A-6428-8332-DA76-C79D09CB81DD}"/>
            </a:ext>
          </a:extLst>
        </cdr:cNvPr>
        <cdr:cNvSpPr/>
      </cdr:nvSpPr>
      <cdr:spPr>
        <a:xfrm xmlns:a="http://schemas.openxmlformats.org/drawingml/2006/main">
          <a:off x="1135220" y="4491349"/>
          <a:ext cx="595507" cy="6159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95507" h="615958">
              <a:moveTo>
                <a:pt x="314400" y="272008"/>
              </a:moveTo>
              <a:lnTo>
                <a:pt x="150828" y="441197"/>
              </a:lnTo>
              <a:lnTo>
                <a:pt x="0" y="597206"/>
              </a:lnTo>
              <a:lnTo>
                <a:pt x="18129" y="615957"/>
              </a:lnTo>
              <a:lnTo>
                <a:pt x="168958" y="459949"/>
              </a:lnTo>
              <a:lnTo>
                <a:pt x="332529" y="290760"/>
              </a:lnTo>
              <a:lnTo>
                <a:pt x="595506" y="18752"/>
              </a:lnTo>
              <a:lnTo>
                <a:pt x="57737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0.86309</cdr:x>
      <cdr:y>0.31212</cdr:y>
    </cdr:from>
    <cdr:to>
      <cdr:x>0.94246</cdr:x>
      <cdr:y>0.39339</cdr:y>
    </cdr:to>
    <cdr:sp macro="" textlink="">
      <cdr:nvSpPr>
        <cdr:cNvPr id="366" name="FracNo 675 StartRow 4005">
          <a:extLst xmlns:a="http://schemas.openxmlformats.org/drawingml/2006/main">
            <a:ext uri="{FF2B5EF4-FFF2-40B4-BE49-F238E27FC236}">
              <a16:creationId xmlns:a16="http://schemas.microsoft.com/office/drawing/2014/main" id="{BADAD442-DE3F-0A80-7A10-6DBFCBCF77BA}"/>
            </a:ext>
          </a:extLst>
        </cdr:cNvPr>
        <cdr:cNvSpPr/>
      </cdr:nvSpPr>
      <cdr:spPr>
        <a:xfrm xmlns:a="http://schemas.openxmlformats.org/drawingml/2006/main">
          <a:off x="6313692" y="2378353"/>
          <a:ext cx="580616" cy="6193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0616" h="619308">
              <a:moveTo>
                <a:pt x="564478" y="16691"/>
              </a:moveTo>
              <a:lnTo>
                <a:pt x="185436" y="408750"/>
              </a:lnTo>
              <a:lnTo>
                <a:pt x="0" y="600555"/>
              </a:lnTo>
              <a:lnTo>
                <a:pt x="18128" y="619307"/>
              </a:lnTo>
              <a:lnTo>
                <a:pt x="203566" y="427502"/>
              </a:lnTo>
              <a:lnTo>
                <a:pt x="565219" y="53429"/>
              </a:lnTo>
              <a:lnTo>
                <a:pt x="580615" y="37504"/>
              </a:lnTo>
              <a:lnTo>
                <a:pt x="58061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0.61394</cdr:x>
      <cdr:y>0.32012</cdr:y>
    </cdr:from>
    <cdr:to>
      <cdr:x>0.69451</cdr:x>
      <cdr:y>0.40012</cdr:y>
    </cdr:to>
    <cdr:sp macro="" textlink="">
      <cdr:nvSpPr>
        <cdr:cNvPr id="367" name="FracNo 843 StartRow 4016">
          <a:extLst xmlns:a="http://schemas.openxmlformats.org/drawingml/2006/main">
            <a:ext uri="{FF2B5EF4-FFF2-40B4-BE49-F238E27FC236}">
              <a16:creationId xmlns:a16="http://schemas.microsoft.com/office/drawing/2014/main" id="{1AFFEAA5-3B30-4AAC-BC99-F1757F7DF917}"/>
            </a:ext>
          </a:extLst>
        </cdr:cNvPr>
        <cdr:cNvSpPr/>
      </cdr:nvSpPr>
      <cdr:spPr>
        <a:xfrm xmlns:a="http://schemas.openxmlformats.org/drawingml/2006/main">
          <a:off x="4491060" y="2439314"/>
          <a:ext cx="589387" cy="6096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9387" h="609628">
              <a:moveTo>
                <a:pt x="496823" y="76990"/>
              </a:moveTo>
              <a:lnTo>
                <a:pt x="319972" y="259914"/>
              </a:lnTo>
              <a:lnTo>
                <a:pt x="235015" y="347789"/>
              </a:lnTo>
              <a:lnTo>
                <a:pt x="0" y="590875"/>
              </a:lnTo>
              <a:lnTo>
                <a:pt x="18129" y="609627"/>
              </a:lnTo>
              <a:lnTo>
                <a:pt x="253144" y="366541"/>
              </a:lnTo>
              <a:lnTo>
                <a:pt x="338101" y="278666"/>
              </a:lnTo>
              <a:lnTo>
                <a:pt x="514952" y="95742"/>
              </a:lnTo>
              <a:lnTo>
                <a:pt x="589386" y="18752"/>
              </a:lnTo>
              <a:lnTo>
                <a:pt x="57125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0.38983</cdr:x>
      <cdr:y>0.58416</cdr:y>
    </cdr:from>
    <cdr:to>
      <cdr:x>0.47038</cdr:x>
      <cdr:y>0.66415</cdr:y>
    </cdr:to>
    <cdr:sp macro="" textlink="">
      <cdr:nvSpPr>
        <cdr:cNvPr id="368" name="FracNo 108 StartRow 4029">
          <a:extLst xmlns:a="http://schemas.openxmlformats.org/drawingml/2006/main">
            <a:ext uri="{FF2B5EF4-FFF2-40B4-BE49-F238E27FC236}">
              <a16:creationId xmlns:a16="http://schemas.microsoft.com/office/drawing/2014/main" id="{E182E980-E60D-1F9D-ED33-4CBEE5CC278F}"/>
            </a:ext>
          </a:extLst>
        </cdr:cNvPr>
        <cdr:cNvSpPr/>
      </cdr:nvSpPr>
      <cdr:spPr>
        <a:xfrm xmlns:a="http://schemas.openxmlformats.org/drawingml/2006/main">
          <a:off x="2851704" y="4451316"/>
          <a:ext cx="589248" cy="6094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9248" h="609484">
              <a:moveTo>
                <a:pt x="225463" y="395028"/>
              </a:moveTo>
              <a:lnTo>
                <a:pt x="123995" y="499982"/>
              </a:lnTo>
              <a:lnTo>
                <a:pt x="18129" y="609483"/>
              </a:lnTo>
              <a:lnTo>
                <a:pt x="0" y="590731"/>
              </a:lnTo>
              <a:lnTo>
                <a:pt x="105865" y="481230"/>
              </a:lnTo>
              <a:lnTo>
                <a:pt x="207334" y="376277"/>
              </a:lnTo>
              <a:lnTo>
                <a:pt x="571118" y="0"/>
              </a:lnTo>
              <a:lnTo>
                <a:pt x="58924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0.2076</cdr:x>
      <cdr:y>0.7612</cdr:y>
    </cdr:from>
    <cdr:to>
      <cdr:x>0.28787</cdr:x>
      <cdr:y>0.84091</cdr:y>
    </cdr:to>
    <cdr:sp macro="" textlink="">
      <cdr:nvSpPr>
        <cdr:cNvPr id="369" name="FracNo 810 StartRow 4040">
          <a:extLst xmlns:a="http://schemas.openxmlformats.org/drawingml/2006/main">
            <a:ext uri="{FF2B5EF4-FFF2-40B4-BE49-F238E27FC236}">
              <a16:creationId xmlns:a16="http://schemas.microsoft.com/office/drawing/2014/main" id="{0341415B-A9F6-9C71-B6CE-FF7564DF152E}"/>
            </a:ext>
          </a:extLst>
        </cdr:cNvPr>
        <cdr:cNvSpPr/>
      </cdr:nvSpPr>
      <cdr:spPr>
        <a:xfrm xmlns:a="http://schemas.openxmlformats.org/drawingml/2006/main">
          <a:off x="1518647" y="5800333"/>
          <a:ext cx="587200" cy="6073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7200" h="607366">
              <a:moveTo>
                <a:pt x="363485" y="250149"/>
              </a:moveTo>
              <a:lnTo>
                <a:pt x="18129" y="607365"/>
              </a:lnTo>
              <a:lnTo>
                <a:pt x="0" y="588613"/>
              </a:lnTo>
              <a:lnTo>
                <a:pt x="345355" y="231398"/>
              </a:lnTo>
              <a:lnTo>
                <a:pt x="569070" y="0"/>
              </a:lnTo>
              <a:lnTo>
                <a:pt x="58719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0.12252</cdr:x>
      <cdr:y>0.43611</cdr:y>
    </cdr:from>
    <cdr:to>
      <cdr:x>0.20108</cdr:x>
      <cdr:y>0.51412</cdr:y>
    </cdr:to>
    <cdr:sp macro="" textlink="">
      <cdr:nvSpPr>
        <cdr:cNvPr id="370" name="FracNo 893 StartRow 4049">
          <a:extLst xmlns:a="http://schemas.openxmlformats.org/drawingml/2006/main">
            <a:ext uri="{FF2B5EF4-FFF2-40B4-BE49-F238E27FC236}">
              <a16:creationId xmlns:a16="http://schemas.microsoft.com/office/drawing/2014/main" id="{241EF8E9-E758-FF6C-DEC3-2367DD12E560}"/>
            </a:ext>
          </a:extLst>
        </cdr:cNvPr>
        <cdr:cNvSpPr/>
      </cdr:nvSpPr>
      <cdr:spPr>
        <a:xfrm xmlns:a="http://schemas.openxmlformats.org/drawingml/2006/main">
          <a:off x="896229" y="3323136"/>
          <a:ext cx="574729" cy="5944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74729" h="594467">
              <a:moveTo>
                <a:pt x="33915" y="540634"/>
              </a:moveTo>
              <a:lnTo>
                <a:pt x="0" y="575714"/>
              </a:lnTo>
              <a:lnTo>
                <a:pt x="18129" y="594466"/>
              </a:lnTo>
              <a:lnTo>
                <a:pt x="52045" y="559386"/>
              </a:lnTo>
              <a:lnTo>
                <a:pt x="574728" y="18752"/>
              </a:lnTo>
              <a:lnTo>
                <a:pt x="55659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0.70427</cdr:y>
    </cdr:from>
    <cdr:to>
      <cdr:x>0.16876</cdr:x>
      <cdr:y>0.78313</cdr:y>
    </cdr:to>
    <cdr:sp macro="" textlink="">
      <cdr:nvSpPr>
        <cdr:cNvPr id="371" name="FracNo 23 StartRow 4058">
          <a:extLst xmlns:a="http://schemas.openxmlformats.org/drawingml/2006/main">
            <a:ext uri="{FF2B5EF4-FFF2-40B4-BE49-F238E27FC236}">
              <a16:creationId xmlns:a16="http://schemas.microsoft.com/office/drawing/2014/main" id="{E7EEC263-68F8-577B-4D99-1974032DE93B}"/>
            </a:ext>
          </a:extLst>
        </cdr:cNvPr>
        <cdr:cNvSpPr/>
      </cdr:nvSpPr>
      <cdr:spPr>
        <a:xfrm xmlns:a="http://schemas.openxmlformats.org/drawingml/2006/main">
          <a:off x="671676" y="5366571"/>
          <a:ext cx="562802" cy="6008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2802" h="600882">
              <a:moveTo>
                <a:pt x="163843" y="431411"/>
              </a:moveTo>
              <a:lnTo>
                <a:pt x="0" y="600881"/>
              </a:lnTo>
              <a:lnTo>
                <a:pt x="0" y="563377"/>
              </a:lnTo>
              <a:lnTo>
                <a:pt x="158565" y="399366"/>
              </a:lnTo>
              <a:lnTo>
                <a:pt x="544672" y="0"/>
              </a:lnTo>
              <a:lnTo>
                <a:pt x="562801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0.6185</cdr:x>
      <cdr:y>0.08544</cdr:y>
    </cdr:from>
    <cdr:to>
      <cdr:x>0.6979</cdr:x>
      <cdr:y>0.16182</cdr:y>
    </cdr:to>
    <cdr:sp macro="" textlink="">
      <cdr:nvSpPr>
        <cdr:cNvPr id="372" name="FracNo 668 StartRow 4067">
          <a:extLst xmlns:a="http://schemas.openxmlformats.org/drawingml/2006/main">
            <a:ext uri="{FF2B5EF4-FFF2-40B4-BE49-F238E27FC236}">
              <a16:creationId xmlns:a16="http://schemas.microsoft.com/office/drawing/2014/main" id="{0504E5DD-13B1-B17B-86A3-8C5539426C36}"/>
            </a:ext>
          </a:extLst>
        </cdr:cNvPr>
        <cdr:cNvSpPr/>
      </cdr:nvSpPr>
      <cdr:spPr>
        <a:xfrm xmlns:a="http://schemas.openxmlformats.org/drawingml/2006/main">
          <a:off x="4524447" y="651036"/>
          <a:ext cx="580849" cy="5820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0849" h="582044">
              <a:moveTo>
                <a:pt x="531619" y="13416"/>
              </a:moveTo>
              <a:lnTo>
                <a:pt x="286585" y="266864"/>
              </a:lnTo>
              <a:lnTo>
                <a:pt x="0" y="563291"/>
              </a:lnTo>
              <a:lnTo>
                <a:pt x="18130" y="582043"/>
              </a:lnTo>
              <a:lnTo>
                <a:pt x="304714" y="285617"/>
              </a:lnTo>
              <a:lnTo>
                <a:pt x="566966" y="14358"/>
              </a:lnTo>
              <a:lnTo>
                <a:pt x="580848" y="0"/>
              </a:lnTo>
              <a:lnTo>
                <a:pt x="54458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0.63083</cdr:x>
      <cdr:y>0.74442</cdr:y>
    </cdr:from>
    <cdr:to>
      <cdr:x>0.7089</cdr:x>
      <cdr:y>0.82194</cdr:y>
    </cdr:to>
    <cdr:sp macro="" textlink="">
      <cdr:nvSpPr>
        <cdr:cNvPr id="373" name="FracNo 422 StartRow 4078">
          <a:extLst xmlns:a="http://schemas.openxmlformats.org/drawingml/2006/main">
            <a:ext uri="{FF2B5EF4-FFF2-40B4-BE49-F238E27FC236}">
              <a16:creationId xmlns:a16="http://schemas.microsoft.com/office/drawing/2014/main" id="{C7D94925-CAF5-B7FF-88AF-3E73CA51502D}"/>
            </a:ext>
          </a:extLst>
        </cdr:cNvPr>
        <cdr:cNvSpPr/>
      </cdr:nvSpPr>
      <cdr:spPr>
        <a:xfrm xmlns:a="http://schemas.openxmlformats.org/drawingml/2006/main">
          <a:off x="4614630" y="5672448"/>
          <a:ext cx="571137" cy="5907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71137" h="590751">
              <a:moveTo>
                <a:pt x="392955" y="203051"/>
              </a:moveTo>
              <a:lnTo>
                <a:pt x="214531" y="387603"/>
              </a:lnTo>
              <a:lnTo>
                <a:pt x="18129" y="590750"/>
              </a:lnTo>
              <a:lnTo>
                <a:pt x="0" y="571998"/>
              </a:lnTo>
              <a:lnTo>
                <a:pt x="196402" y="368851"/>
              </a:lnTo>
              <a:lnTo>
                <a:pt x="374826" y="184299"/>
              </a:lnTo>
              <a:lnTo>
                <a:pt x="553007" y="0"/>
              </a:lnTo>
              <a:lnTo>
                <a:pt x="57113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0.57208</cdr:x>
      <cdr:y>0.27987</cdr:y>
    </cdr:from>
    <cdr:to>
      <cdr:x>0.65014</cdr:x>
      <cdr:y>0.35738</cdr:y>
    </cdr:to>
    <cdr:sp macro="" textlink="">
      <cdr:nvSpPr>
        <cdr:cNvPr id="374" name="FracNo 350 StartRow 4089">
          <a:extLst xmlns:a="http://schemas.openxmlformats.org/drawingml/2006/main">
            <a:ext uri="{FF2B5EF4-FFF2-40B4-BE49-F238E27FC236}">
              <a16:creationId xmlns:a16="http://schemas.microsoft.com/office/drawing/2014/main" id="{BF317744-C673-F8B2-526E-AEE03CA47E7A}"/>
            </a:ext>
          </a:extLst>
        </cdr:cNvPr>
        <cdr:cNvSpPr/>
      </cdr:nvSpPr>
      <cdr:spPr>
        <a:xfrm xmlns:a="http://schemas.openxmlformats.org/drawingml/2006/main">
          <a:off x="4184891" y="2132597"/>
          <a:ext cx="571046" cy="5906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71046" h="590657">
              <a:moveTo>
                <a:pt x="279245" y="320572"/>
              </a:moveTo>
              <a:lnTo>
                <a:pt x="18129" y="590656"/>
              </a:lnTo>
              <a:lnTo>
                <a:pt x="0" y="571904"/>
              </a:lnTo>
              <a:lnTo>
                <a:pt x="261116" y="301821"/>
              </a:lnTo>
              <a:lnTo>
                <a:pt x="552916" y="0"/>
              </a:lnTo>
              <a:lnTo>
                <a:pt x="57104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0.56863</cdr:x>
      <cdr:y>0.27644</cdr:y>
    </cdr:from>
    <cdr:to>
      <cdr:x>0.6467</cdr:x>
      <cdr:y>0.35396</cdr:y>
    </cdr:to>
    <cdr:sp macro="" textlink="">
      <cdr:nvSpPr>
        <cdr:cNvPr id="375" name="FracNo 978 StartRow 4098">
          <a:extLst xmlns:a="http://schemas.openxmlformats.org/drawingml/2006/main">
            <a:ext uri="{FF2B5EF4-FFF2-40B4-BE49-F238E27FC236}">
              <a16:creationId xmlns:a16="http://schemas.microsoft.com/office/drawing/2014/main" id="{663DF013-7239-4BD6-BA6C-D4823370137E}"/>
            </a:ext>
          </a:extLst>
        </cdr:cNvPr>
        <cdr:cNvSpPr/>
      </cdr:nvSpPr>
      <cdr:spPr>
        <a:xfrm xmlns:a="http://schemas.openxmlformats.org/drawingml/2006/main">
          <a:off x="4159669" y="2106509"/>
          <a:ext cx="571046" cy="5906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71046" h="590656">
              <a:moveTo>
                <a:pt x="536533" y="54448"/>
              </a:moveTo>
              <a:lnTo>
                <a:pt x="18129" y="590655"/>
              </a:lnTo>
              <a:lnTo>
                <a:pt x="0" y="571903"/>
              </a:lnTo>
              <a:lnTo>
                <a:pt x="518404" y="35696"/>
              </a:lnTo>
              <a:lnTo>
                <a:pt x="552915" y="0"/>
              </a:lnTo>
              <a:lnTo>
                <a:pt x="57104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0.86578</cdr:x>
      <cdr:y>0.09639</cdr:y>
    </cdr:from>
    <cdr:to>
      <cdr:x>0.94246</cdr:x>
      <cdr:y>0.175</cdr:y>
    </cdr:to>
    <cdr:sp macro="" textlink="">
      <cdr:nvSpPr>
        <cdr:cNvPr id="376" name="FracNo 758 StartRow 4107">
          <a:extLst xmlns:a="http://schemas.openxmlformats.org/drawingml/2006/main">
            <a:ext uri="{FF2B5EF4-FFF2-40B4-BE49-F238E27FC236}">
              <a16:creationId xmlns:a16="http://schemas.microsoft.com/office/drawing/2014/main" id="{8C98EC71-57DB-D457-EF56-35E7F8499889}"/>
            </a:ext>
          </a:extLst>
        </cdr:cNvPr>
        <cdr:cNvSpPr/>
      </cdr:nvSpPr>
      <cdr:spPr>
        <a:xfrm xmlns:a="http://schemas.openxmlformats.org/drawingml/2006/main">
          <a:off x="6333318" y="734511"/>
          <a:ext cx="560990" cy="5990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0990" h="599008">
              <a:moveTo>
                <a:pt x="248249" y="360984"/>
              </a:moveTo>
              <a:lnTo>
                <a:pt x="18130" y="599007"/>
              </a:lnTo>
              <a:lnTo>
                <a:pt x="0" y="580255"/>
              </a:lnTo>
              <a:lnTo>
                <a:pt x="237805" y="334283"/>
              </a:lnTo>
              <a:lnTo>
                <a:pt x="560989" y="0"/>
              </a:lnTo>
              <a:lnTo>
                <a:pt x="560989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0.86675</cdr:x>
      <cdr:y>0.49077</cdr:y>
    </cdr:from>
    <cdr:to>
      <cdr:x>0.94246</cdr:x>
      <cdr:y>0.56841</cdr:y>
    </cdr:to>
    <cdr:sp macro="" textlink="">
      <cdr:nvSpPr>
        <cdr:cNvPr id="377" name="FracNo 199 StartRow 4116">
          <a:extLst xmlns:a="http://schemas.openxmlformats.org/drawingml/2006/main">
            <a:ext uri="{FF2B5EF4-FFF2-40B4-BE49-F238E27FC236}">
              <a16:creationId xmlns:a16="http://schemas.microsoft.com/office/drawing/2014/main" id="{736E63E6-13A4-56F1-A43F-CF1108669BAB}"/>
            </a:ext>
          </a:extLst>
        </cdr:cNvPr>
        <cdr:cNvSpPr/>
      </cdr:nvSpPr>
      <cdr:spPr>
        <a:xfrm xmlns:a="http://schemas.openxmlformats.org/drawingml/2006/main">
          <a:off x="6340448" y="3739657"/>
          <a:ext cx="553860" cy="5916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3860" h="591632">
              <a:moveTo>
                <a:pt x="88251" y="481598"/>
              </a:moveTo>
              <a:lnTo>
                <a:pt x="0" y="572879"/>
              </a:lnTo>
              <a:lnTo>
                <a:pt x="18129" y="591631"/>
              </a:lnTo>
              <a:lnTo>
                <a:pt x="103491" y="503338"/>
              </a:lnTo>
              <a:lnTo>
                <a:pt x="553859" y="37503"/>
              </a:lnTo>
              <a:lnTo>
                <a:pt x="55385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0.29633</cdr:x>
      <cdr:y>0.40557</cdr:y>
    </cdr:from>
    <cdr:to>
      <cdr:x>0.37327</cdr:x>
      <cdr:y>0.48196</cdr:y>
    </cdr:to>
    <cdr:sp macro="" textlink="">
      <cdr:nvSpPr>
        <cdr:cNvPr id="378" name="FracNo 851 StartRow 4125">
          <a:extLst xmlns:a="http://schemas.openxmlformats.org/drawingml/2006/main">
            <a:ext uri="{FF2B5EF4-FFF2-40B4-BE49-F238E27FC236}">
              <a16:creationId xmlns:a16="http://schemas.microsoft.com/office/drawing/2014/main" id="{71546306-382B-A84D-F15C-5FD206C5677B}"/>
            </a:ext>
          </a:extLst>
        </cdr:cNvPr>
        <cdr:cNvSpPr/>
      </cdr:nvSpPr>
      <cdr:spPr>
        <a:xfrm xmlns:a="http://schemas.openxmlformats.org/drawingml/2006/main">
          <a:off x="2167726" y="3090407"/>
          <a:ext cx="562831" cy="5821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2831" h="582159">
              <a:moveTo>
                <a:pt x="151749" y="443950"/>
              </a:moveTo>
              <a:lnTo>
                <a:pt x="18130" y="582158"/>
              </a:lnTo>
              <a:lnTo>
                <a:pt x="0" y="563406"/>
              </a:lnTo>
              <a:lnTo>
                <a:pt x="133620" y="425198"/>
              </a:lnTo>
              <a:lnTo>
                <a:pt x="544700" y="0"/>
              </a:lnTo>
              <a:lnTo>
                <a:pt x="56283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0.59259</cdr:x>
      <cdr:y>0.08544</cdr:y>
    </cdr:from>
    <cdr:to>
      <cdr:x>0.67035</cdr:x>
      <cdr:y>0.1602</cdr:y>
    </cdr:to>
    <cdr:sp macro="" textlink="">
      <cdr:nvSpPr>
        <cdr:cNvPr id="379" name="FracNo 934 StartRow 4134">
          <a:extLst xmlns:a="http://schemas.openxmlformats.org/drawingml/2006/main">
            <a:ext uri="{FF2B5EF4-FFF2-40B4-BE49-F238E27FC236}">
              <a16:creationId xmlns:a16="http://schemas.microsoft.com/office/drawing/2014/main" id="{CB3C4D4F-0435-D110-5B33-1F4AD45CA460}"/>
            </a:ext>
          </a:extLst>
        </cdr:cNvPr>
        <cdr:cNvSpPr/>
      </cdr:nvSpPr>
      <cdr:spPr>
        <a:xfrm xmlns:a="http://schemas.openxmlformats.org/drawingml/2006/main">
          <a:off x="4334910" y="651036"/>
          <a:ext cx="568870" cy="5696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8870" h="569654">
              <a:moveTo>
                <a:pt x="551482" y="17984"/>
              </a:moveTo>
              <a:lnTo>
                <a:pt x="494251" y="77180"/>
              </a:lnTo>
              <a:lnTo>
                <a:pt x="18129" y="569653"/>
              </a:lnTo>
              <a:lnTo>
                <a:pt x="0" y="550902"/>
              </a:lnTo>
              <a:lnTo>
                <a:pt x="476122" y="58429"/>
              </a:lnTo>
              <a:lnTo>
                <a:pt x="519448" y="13615"/>
              </a:lnTo>
              <a:lnTo>
                <a:pt x="532611" y="0"/>
              </a:lnTo>
              <a:lnTo>
                <a:pt x="5688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0.77306</cdr:x>
      <cdr:y>0.36335</cdr:y>
    </cdr:from>
    <cdr:to>
      <cdr:x>0.84891</cdr:x>
      <cdr:y>0.43867</cdr:y>
    </cdr:to>
    <cdr:sp macro="" textlink="">
      <cdr:nvSpPr>
        <cdr:cNvPr id="380" name="FracNo 192 StartRow 4145">
          <a:extLst xmlns:a="http://schemas.openxmlformats.org/drawingml/2006/main">
            <a:ext uri="{FF2B5EF4-FFF2-40B4-BE49-F238E27FC236}">
              <a16:creationId xmlns:a16="http://schemas.microsoft.com/office/drawing/2014/main" id="{9D5A7045-0A8B-57C6-DADD-CA37C64A9865}"/>
            </a:ext>
          </a:extLst>
        </cdr:cNvPr>
        <cdr:cNvSpPr/>
      </cdr:nvSpPr>
      <cdr:spPr>
        <a:xfrm xmlns:a="http://schemas.openxmlformats.org/drawingml/2006/main">
          <a:off x="5655054" y="2768734"/>
          <a:ext cx="554893" cy="5739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4893" h="573949">
              <a:moveTo>
                <a:pt x="265881" y="280184"/>
              </a:moveTo>
              <a:lnTo>
                <a:pt x="0" y="555196"/>
              </a:lnTo>
              <a:lnTo>
                <a:pt x="18129" y="573948"/>
              </a:lnTo>
              <a:lnTo>
                <a:pt x="284011" y="298936"/>
              </a:lnTo>
              <a:lnTo>
                <a:pt x="537133" y="37121"/>
              </a:lnTo>
              <a:lnTo>
                <a:pt x="554892" y="18752"/>
              </a:lnTo>
              <a:lnTo>
                <a:pt x="536763" y="0"/>
              </a:lnTo>
              <a:lnTo>
                <a:pt x="519004" y="1836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0.86879</cdr:x>
      <cdr:y>0.65344</cdr:y>
    </cdr:from>
    <cdr:to>
      <cdr:x>0.94246</cdr:x>
      <cdr:y>0.72905</cdr:y>
    </cdr:to>
    <cdr:sp macro="" textlink="">
      <cdr:nvSpPr>
        <cdr:cNvPr id="381" name="FracNo 430 StartRow 4156">
          <a:extLst xmlns:a="http://schemas.openxmlformats.org/drawingml/2006/main">
            <a:ext uri="{FF2B5EF4-FFF2-40B4-BE49-F238E27FC236}">
              <a16:creationId xmlns:a16="http://schemas.microsoft.com/office/drawing/2014/main" id="{29FB60D0-742E-EBFA-07C4-D415153BEFCC}"/>
            </a:ext>
          </a:extLst>
        </cdr:cNvPr>
        <cdr:cNvSpPr/>
      </cdr:nvSpPr>
      <cdr:spPr>
        <a:xfrm xmlns:a="http://schemas.openxmlformats.org/drawingml/2006/main">
          <a:off x="6355398" y="4979192"/>
          <a:ext cx="538910" cy="5761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8910" h="576169">
              <a:moveTo>
                <a:pt x="384812" y="196892"/>
              </a:moveTo>
              <a:lnTo>
                <a:pt x="18130" y="576168"/>
              </a:lnTo>
              <a:lnTo>
                <a:pt x="0" y="557416"/>
              </a:lnTo>
              <a:lnTo>
                <a:pt x="379448" y="164937"/>
              </a:lnTo>
              <a:lnTo>
                <a:pt x="538909" y="0"/>
              </a:lnTo>
              <a:lnTo>
                <a:pt x="538909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0.31918</cdr:x>
      <cdr:y>0.58656</cdr:y>
    </cdr:from>
    <cdr:to>
      <cdr:x>0.3937</cdr:x>
      <cdr:y>0.66056</cdr:y>
    </cdr:to>
    <cdr:sp macro="" textlink="">
      <cdr:nvSpPr>
        <cdr:cNvPr id="382" name="FracNo 944 StartRow 4165">
          <a:extLst xmlns:a="http://schemas.openxmlformats.org/drawingml/2006/main">
            <a:ext uri="{FF2B5EF4-FFF2-40B4-BE49-F238E27FC236}">
              <a16:creationId xmlns:a16="http://schemas.microsoft.com/office/drawing/2014/main" id="{E3A4F78B-CAB5-3480-535D-37BEF44E751B}"/>
            </a:ext>
          </a:extLst>
        </cdr:cNvPr>
        <cdr:cNvSpPr/>
      </cdr:nvSpPr>
      <cdr:spPr>
        <a:xfrm xmlns:a="http://schemas.openxmlformats.org/drawingml/2006/main">
          <a:off x="2334890" y="4469583"/>
          <a:ext cx="545139" cy="5638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5139" h="563860">
              <a:moveTo>
                <a:pt x="14091" y="530533"/>
              </a:moveTo>
              <a:lnTo>
                <a:pt x="0" y="545107"/>
              </a:lnTo>
              <a:lnTo>
                <a:pt x="18130" y="563859"/>
              </a:lnTo>
              <a:lnTo>
                <a:pt x="32221" y="549284"/>
              </a:lnTo>
              <a:lnTo>
                <a:pt x="97547" y="481715"/>
              </a:lnTo>
              <a:lnTo>
                <a:pt x="420061" y="148125"/>
              </a:lnTo>
              <a:lnTo>
                <a:pt x="545138" y="18752"/>
              </a:lnTo>
              <a:lnTo>
                <a:pt x="527009" y="0"/>
              </a:lnTo>
              <a:lnTo>
                <a:pt x="401932" y="129373"/>
              </a:lnTo>
              <a:lnTo>
                <a:pt x="79417" y="46296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0.57383</cdr:x>
      <cdr:y>0.08544</cdr:y>
    </cdr:from>
    <cdr:to>
      <cdr:x>0.64944</cdr:x>
      <cdr:y>0.15805</cdr:y>
    </cdr:to>
    <cdr:sp macro="" textlink="">
      <cdr:nvSpPr>
        <cdr:cNvPr id="383" name="FracNo 724 StartRow 4178">
          <a:extLst xmlns:a="http://schemas.openxmlformats.org/drawingml/2006/main">
            <a:ext uri="{FF2B5EF4-FFF2-40B4-BE49-F238E27FC236}">
              <a16:creationId xmlns:a16="http://schemas.microsoft.com/office/drawing/2014/main" id="{44D9FB61-EE65-2EC2-DBC8-88975DEF1AD7}"/>
            </a:ext>
          </a:extLst>
        </cdr:cNvPr>
        <cdr:cNvSpPr/>
      </cdr:nvSpPr>
      <cdr:spPr>
        <a:xfrm xmlns:a="http://schemas.openxmlformats.org/drawingml/2006/main">
          <a:off x="4197706" y="651036"/>
          <a:ext cx="553060" cy="5533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3060" h="553301">
              <a:moveTo>
                <a:pt x="376834" y="144773"/>
              </a:moveTo>
              <a:lnTo>
                <a:pt x="0" y="534548"/>
              </a:lnTo>
              <a:lnTo>
                <a:pt x="18130" y="553300"/>
              </a:lnTo>
              <a:lnTo>
                <a:pt x="408182" y="149852"/>
              </a:lnTo>
              <a:lnTo>
                <a:pt x="553059" y="0"/>
              </a:lnTo>
              <a:lnTo>
                <a:pt x="51680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0.47463</cdr:x>
      <cdr:y>0.70354</cdr:y>
    </cdr:from>
    <cdr:to>
      <cdr:x>0.54823</cdr:x>
      <cdr:y>0.77663</cdr:y>
    </cdr:to>
    <cdr:sp macro="" textlink="">
      <cdr:nvSpPr>
        <cdr:cNvPr id="384" name="FracNo 890 StartRow 4187">
          <a:extLst xmlns:a="http://schemas.openxmlformats.org/drawingml/2006/main">
            <a:ext uri="{FF2B5EF4-FFF2-40B4-BE49-F238E27FC236}">
              <a16:creationId xmlns:a16="http://schemas.microsoft.com/office/drawing/2014/main" id="{9776D123-7D0E-4376-1537-08BDFFEEA7E2}"/>
            </a:ext>
          </a:extLst>
        </cdr:cNvPr>
        <cdr:cNvSpPr/>
      </cdr:nvSpPr>
      <cdr:spPr>
        <a:xfrm xmlns:a="http://schemas.openxmlformats.org/drawingml/2006/main">
          <a:off x="3471985" y="5360963"/>
          <a:ext cx="538429" cy="5569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8429" h="556920">
              <a:moveTo>
                <a:pt x="43111" y="531080"/>
              </a:moveTo>
              <a:lnTo>
                <a:pt x="18129" y="556919"/>
              </a:lnTo>
              <a:lnTo>
                <a:pt x="0" y="538167"/>
              </a:lnTo>
              <a:lnTo>
                <a:pt x="24981" y="512328"/>
              </a:lnTo>
              <a:lnTo>
                <a:pt x="520298" y="0"/>
              </a:lnTo>
              <a:lnTo>
                <a:pt x="53842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0.47784</cdr:x>
      <cdr:y>0.70673</cdr:y>
    </cdr:from>
    <cdr:to>
      <cdr:x>0.55145</cdr:x>
      <cdr:y>0.77982</cdr:y>
    </cdr:to>
    <cdr:sp macro="" textlink="">
      <cdr:nvSpPr>
        <cdr:cNvPr id="385" name="FracNo 987 StartRow 4196">
          <a:extLst xmlns:a="http://schemas.openxmlformats.org/drawingml/2006/main">
            <a:ext uri="{FF2B5EF4-FFF2-40B4-BE49-F238E27FC236}">
              <a16:creationId xmlns:a16="http://schemas.microsoft.com/office/drawing/2014/main" id="{14D2D13F-317D-0A3A-17BD-04B1B7AFC32F}"/>
            </a:ext>
          </a:extLst>
        </cdr:cNvPr>
        <cdr:cNvSpPr/>
      </cdr:nvSpPr>
      <cdr:spPr>
        <a:xfrm xmlns:a="http://schemas.openxmlformats.org/drawingml/2006/main">
          <a:off x="3495507" y="5385293"/>
          <a:ext cx="538429" cy="5569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8429" h="556920">
              <a:moveTo>
                <a:pt x="452553" y="70072"/>
              </a:moveTo>
              <a:lnTo>
                <a:pt x="0" y="538167"/>
              </a:lnTo>
              <a:lnTo>
                <a:pt x="18129" y="556919"/>
              </a:lnTo>
              <a:lnTo>
                <a:pt x="470683" y="88824"/>
              </a:lnTo>
              <a:lnTo>
                <a:pt x="538428" y="18752"/>
              </a:lnTo>
              <a:lnTo>
                <a:pt x="52029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0.33795</cdr:x>
      <cdr:y>0.85846</cdr:y>
    </cdr:from>
    <cdr:to>
      <cdr:x>0.41258</cdr:x>
      <cdr:y>0.9301</cdr:y>
    </cdr:to>
    <cdr:sp macro="" textlink="">
      <cdr:nvSpPr>
        <cdr:cNvPr id="386" name="FracNo 985 StartRow 4205">
          <a:extLst xmlns:a="http://schemas.openxmlformats.org/drawingml/2006/main">
            <a:ext uri="{FF2B5EF4-FFF2-40B4-BE49-F238E27FC236}">
              <a16:creationId xmlns:a16="http://schemas.microsoft.com/office/drawing/2014/main" id="{C6C05AA1-4F06-1C39-A41A-001A13692791}"/>
            </a:ext>
          </a:extLst>
        </cdr:cNvPr>
        <cdr:cNvSpPr/>
      </cdr:nvSpPr>
      <cdr:spPr>
        <a:xfrm xmlns:a="http://schemas.openxmlformats.org/drawingml/2006/main">
          <a:off x="2472163" y="6541437"/>
          <a:ext cx="545933" cy="5459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5933" h="545929">
              <a:moveTo>
                <a:pt x="497513" y="31329"/>
              </a:moveTo>
              <a:lnTo>
                <a:pt x="260333" y="276655"/>
              </a:lnTo>
              <a:lnTo>
                <a:pt x="0" y="545928"/>
              </a:lnTo>
              <a:lnTo>
                <a:pt x="36259" y="545928"/>
              </a:lnTo>
              <a:lnTo>
                <a:pt x="287114" y="286458"/>
              </a:lnTo>
              <a:lnTo>
                <a:pt x="516622" y="49068"/>
              </a:lnTo>
              <a:lnTo>
                <a:pt x="545932" y="18752"/>
              </a:lnTo>
              <a:lnTo>
                <a:pt x="52780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0.61362</cdr:x>
      <cdr:y>0.08544</cdr:y>
    </cdr:from>
    <cdr:to>
      <cdr:x>0.68815</cdr:x>
      <cdr:y>0.15698</cdr:y>
    </cdr:to>
    <cdr:sp macro="" textlink="">
      <cdr:nvSpPr>
        <cdr:cNvPr id="387" name="FracNo 346 StartRow 4216">
          <a:extLst xmlns:a="http://schemas.openxmlformats.org/drawingml/2006/main">
            <a:ext uri="{FF2B5EF4-FFF2-40B4-BE49-F238E27FC236}">
              <a16:creationId xmlns:a16="http://schemas.microsoft.com/office/drawing/2014/main" id="{DB9AE5A2-2A28-76FB-1641-5B07DAE4C00D}"/>
            </a:ext>
          </a:extLst>
        </cdr:cNvPr>
        <cdr:cNvSpPr/>
      </cdr:nvSpPr>
      <cdr:spPr>
        <a:xfrm xmlns:a="http://schemas.openxmlformats.org/drawingml/2006/main">
          <a:off x="4488775" y="651036"/>
          <a:ext cx="545176" cy="5451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5176" h="545146">
              <a:moveTo>
                <a:pt x="118294" y="404037"/>
              </a:moveTo>
              <a:lnTo>
                <a:pt x="0" y="526394"/>
              </a:lnTo>
              <a:lnTo>
                <a:pt x="18129" y="545145"/>
              </a:lnTo>
              <a:lnTo>
                <a:pt x="139854" y="419240"/>
              </a:lnTo>
              <a:lnTo>
                <a:pt x="344993" y="207057"/>
              </a:lnTo>
              <a:lnTo>
                <a:pt x="545175" y="0"/>
              </a:lnTo>
              <a:lnTo>
                <a:pt x="508916" y="0"/>
              </a:lnTo>
              <a:lnTo>
                <a:pt x="317651" y="19783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0.5113</cdr:x>
      <cdr:y>0.81951</cdr:y>
    </cdr:from>
    <cdr:to>
      <cdr:x>0.58444</cdr:x>
      <cdr:y>0.89214</cdr:y>
    </cdr:to>
    <cdr:sp macro="" textlink="">
      <cdr:nvSpPr>
        <cdr:cNvPr id="388" name="FracNo 834 StartRow 4227">
          <a:extLst xmlns:a="http://schemas.openxmlformats.org/drawingml/2006/main">
            <a:ext uri="{FF2B5EF4-FFF2-40B4-BE49-F238E27FC236}">
              <a16:creationId xmlns:a16="http://schemas.microsoft.com/office/drawing/2014/main" id="{C25085C5-7E4A-9489-A886-CCA9D0EA8245}"/>
            </a:ext>
          </a:extLst>
        </cdr:cNvPr>
        <cdr:cNvSpPr/>
      </cdr:nvSpPr>
      <cdr:spPr>
        <a:xfrm xmlns:a="http://schemas.openxmlformats.org/drawingml/2006/main">
          <a:off x="3740247" y="6244666"/>
          <a:ext cx="535085" cy="5534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5085" h="553461">
              <a:moveTo>
                <a:pt x="132786" y="397362"/>
              </a:moveTo>
              <a:lnTo>
                <a:pt x="0" y="534709"/>
              </a:lnTo>
              <a:lnTo>
                <a:pt x="18129" y="553460"/>
              </a:lnTo>
              <a:lnTo>
                <a:pt x="150915" y="416113"/>
              </a:lnTo>
              <a:lnTo>
                <a:pt x="535084" y="18752"/>
              </a:lnTo>
              <a:lnTo>
                <a:pt x="51695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0.28302</cdr:x>
      <cdr:y>0.31886</cdr:y>
    </cdr:from>
    <cdr:to>
      <cdr:x>0.35604</cdr:x>
      <cdr:y>0.39137</cdr:y>
    </cdr:to>
    <cdr:sp macro="" textlink="">
      <cdr:nvSpPr>
        <cdr:cNvPr id="389" name="FracNo 935 StartRow 4236">
          <a:extLst xmlns:a="http://schemas.openxmlformats.org/drawingml/2006/main">
            <a:ext uri="{FF2B5EF4-FFF2-40B4-BE49-F238E27FC236}">
              <a16:creationId xmlns:a16="http://schemas.microsoft.com/office/drawing/2014/main" id="{F211D367-3930-FCD1-F8A1-A25405767AEE}"/>
            </a:ext>
          </a:extLst>
        </cdr:cNvPr>
        <cdr:cNvSpPr/>
      </cdr:nvSpPr>
      <cdr:spPr>
        <a:xfrm xmlns:a="http://schemas.openxmlformats.org/drawingml/2006/main">
          <a:off x="2070339" y="2429737"/>
          <a:ext cx="534129" cy="5524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4129" h="552472">
              <a:moveTo>
                <a:pt x="48199" y="521369"/>
              </a:moveTo>
              <a:lnTo>
                <a:pt x="18129" y="552471"/>
              </a:lnTo>
              <a:lnTo>
                <a:pt x="0" y="533719"/>
              </a:lnTo>
              <a:lnTo>
                <a:pt x="30070" y="502617"/>
              </a:lnTo>
              <a:lnTo>
                <a:pt x="170498" y="357366"/>
              </a:lnTo>
              <a:lnTo>
                <a:pt x="515999" y="0"/>
              </a:lnTo>
              <a:lnTo>
                <a:pt x="534128" y="18752"/>
              </a:lnTo>
              <a:lnTo>
                <a:pt x="188627" y="37611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0.76326</cdr:x>
      <cdr:y>0.73938</cdr:y>
    </cdr:from>
    <cdr:to>
      <cdr:x>0.8362</cdr:x>
      <cdr:y>0.81181</cdr:y>
    </cdr:to>
    <cdr:sp macro="" textlink="">
      <cdr:nvSpPr>
        <cdr:cNvPr id="390" name="FracNo 806 StartRow 4247">
          <a:extLst xmlns:a="http://schemas.openxmlformats.org/drawingml/2006/main">
            <a:ext uri="{FF2B5EF4-FFF2-40B4-BE49-F238E27FC236}">
              <a16:creationId xmlns:a16="http://schemas.microsoft.com/office/drawing/2014/main" id="{58BEF3F8-D5E3-09D1-01E1-F7AC04D1C7EA}"/>
            </a:ext>
          </a:extLst>
        </cdr:cNvPr>
        <cdr:cNvSpPr/>
      </cdr:nvSpPr>
      <cdr:spPr>
        <a:xfrm xmlns:a="http://schemas.openxmlformats.org/drawingml/2006/main">
          <a:off x="5583398" y="5634071"/>
          <a:ext cx="533604" cy="5519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3604" h="551929">
              <a:moveTo>
                <a:pt x="456871" y="98120"/>
              </a:moveTo>
              <a:lnTo>
                <a:pt x="18129" y="551928"/>
              </a:lnTo>
              <a:lnTo>
                <a:pt x="0" y="533176"/>
              </a:lnTo>
              <a:lnTo>
                <a:pt x="438741" y="79368"/>
              </a:lnTo>
              <a:lnTo>
                <a:pt x="515474" y="0"/>
              </a:lnTo>
              <a:lnTo>
                <a:pt x="53360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0.54297</cdr:x>
      <cdr:y>0.08544</cdr:y>
    </cdr:from>
    <cdr:to>
      <cdr:x>0.61712</cdr:x>
      <cdr:y>0.1566</cdr:y>
    </cdr:to>
    <cdr:sp macro="" textlink="">
      <cdr:nvSpPr>
        <cdr:cNvPr id="391" name="FracNo 358 StartRow 4256">
          <a:extLst xmlns:a="http://schemas.openxmlformats.org/drawingml/2006/main">
            <a:ext uri="{FF2B5EF4-FFF2-40B4-BE49-F238E27FC236}">
              <a16:creationId xmlns:a16="http://schemas.microsoft.com/office/drawing/2014/main" id="{6445844B-E23F-A5A0-315E-DE6FB2D93174}"/>
            </a:ext>
          </a:extLst>
        </cdr:cNvPr>
        <cdr:cNvSpPr/>
      </cdr:nvSpPr>
      <cdr:spPr>
        <a:xfrm xmlns:a="http://schemas.openxmlformats.org/drawingml/2006/main">
          <a:off x="3971958" y="651036"/>
          <a:ext cx="542367" cy="5422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2367" h="542242">
              <a:moveTo>
                <a:pt x="407134" y="139877"/>
              </a:moveTo>
              <a:lnTo>
                <a:pt x="18129" y="542241"/>
              </a:lnTo>
              <a:lnTo>
                <a:pt x="0" y="523489"/>
              </a:lnTo>
              <a:lnTo>
                <a:pt x="375552" y="135040"/>
              </a:lnTo>
              <a:lnTo>
                <a:pt x="506108" y="0"/>
              </a:lnTo>
              <a:lnTo>
                <a:pt x="54236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0.35263</cdr:x>
      <cdr:y>0.71602</cdr:y>
    </cdr:from>
    <cdr:to>
      <cdr:x>0.4251</cdr:x>
      <cdr:y>0.78797</cdr:y>
    </cdr:to>
    <cdr:sp macro="" textlink="">
      <cdr:nvSpPr>
        <cdr:cNvPr id="392" name="FracNo 808 StartRow 4265">
          <a:extLst xmlns:a="http://schemas.openxmlformats.org/drawingml/2006/main">
            <a:ext uri="{FF2B5EF4-FFF2-40B4-BE49-F238E27FC236}">
              <a16:creationId xmlns:a16="http://schemas.microsoft.com/office/drawing/2014/main" id="{3F49B745-8FD6-8679-B58E-FA33F7CC7EC5}"/>
            </a:ext>
          </a:extLst>
        </cdr:cNvPr>
        <cdr:cNvSpPr/>
      </cdr:nvSpPr>
      <cdr:spPr>
        <a:xfrm xmlns:a="http://schemas.openxmlformats.org/drawingml/2006/main">
          <a:off x="2579584" y="5456049"/>
          <a:ext cx="530099" cy="5483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0099" h="548303">
              <a:moveTo>
                <a:pt x="320788" y="235249"/>
              </a:moveTo>
              <a:lnTo>
                <a:pt x="175367" y="385665"/>
              </a:lnTo>
              <a:lnTo>
                <a:pt x="18129" y="548302"/>
              </a:lnTo>
              <a:lnTo>
                <a:pt x="0" y="529550"/>
              </a:lnTo>
              <a:lnTo>
                <a:pt x="157238" y="366913"/>
              </a:lnTo>
              <a:lnTo>
                <a:pt x="302659" y="216497"/>
              </a:lnTo>
              <a:lnTo>
                <a:pt x="511968" y="0"/>
              </a:lnTo>
              <a:lnTo>
                <a:pt x="53009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0.41437</cdr:x>
      <cdr:y>0.81918</cdr:y>
    </cdr:from>
    <cdr:to>
      <cdr:x>0.48662</cdr:x>
      <cdr:y>0.89092</cdr:y>
    </cdr:to>
    <cdr:sp macro="" textlink="">
      <cdr:nvSpPr>
        <cdr:cNvPr id="393" name="FracNo 265 StartRow 4276">
          <a:extLst xmlns:a="http://schemas.openxmlformats.org/drawingml/2006/main">
            <a:ext uri="{FF2B5EF4-FFF2-40B4-BE49-F238E27FC236}">
              <a16:creationId xmlns:a16="http://schemas.microsoft.com/office/drawing/2014/main" id="{A59DA12E-082A-3552-48FB-410670C0D1F2}"/>
            </a:ext>
          </a:extLst>
        </cdr:cNvPr>
        <cdr:cNvSpPr/>
      </cdr:nvSpPr>
      <cdr:spPr>
        <a:xfrm xmlns:a="http://schemas.openxmlformats.org/drawingml/2006/main">
          <a:off x="3031201" y="6242145"/>
          <a:ext cx="528531" cy="5466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8531" h="546682">
              <a:moveTo>
                <a:pt x="10761" y="516798"/>
              </a:moveTo>
              <a:lnTo>
                <a:pt x="0" y="527929"/>
              </a:lnTo>
              <a:lnTo>
                <a:pt x="18129" y="546681"/>
              </a:lnTo>
              <a:lnTo>
                <a:pt x="28890" y="535551"/>
              </a:lnTo>
              <a:lnTo>
                <a:pt x="528530" y="18751"/>
              </a:lnTo>
              <a:lnTo>
                <a:pt x="51040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0.87145</cdr:x>
      <cdr:y>0.60439</cdr:y>
    </cdr:from>
    <cdr:to>
      <cdr:x>0.94246</cdr:x>
      <cdr:y>0.67736</cdr:y>
    </cdr:to>
    <cdr:sp macro="" textlink="">
      <cdr:nvSpPr>
        <cdr:cNvPr id="394" name="FracNo 803 StartRow 4285">
          <a:extLst xmlns:a="http://schemas.openxmlformats.org/drawingml/2006/main">
            <a:ext uri="{FF2B5EF4-FFF2-40B4-BE49-F238E27FC236}">
              <a16:creationId xmlns:a16="http://schemas.microsoft.com/office/drawing/2014/main" id="{005E3B81-19E7-6D94-7D1A-4134E774AD58}"/>
            </a:ext>
          </a:extLst>
        </cdr:cNvPr>
        <cdr:cNvSpPr/>
      </cdr:nvSpPr>
      <cdr:spPr>
        <a:xfrm xmlns:a="http://schemas.openxmlformats.org/drawingml/2006/main">
          <a:off x="6374847" y="4605437"/>
          <a:ext cx="519461" cy="5560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9461" h="556052">
              <a:moveTo>
                <a:pt x="499836" y="20297"/>
              </a:moveTo>
              <a:lnTo>
                <a:pt x="203211" y="327109"/>
              </a:lnTo>
              <a:lnTo>
                <a:pt x="0" y="537299"/>
              </a:lnTo>
              <a:lnTo>
                <a:pt x="18129" y="556051"/>
              </a:lnTo>
              <a:lnTo>
                <a:pt x="221340" y="345861"/>
              </a:lnTo>
              <a:lnTo>
                <a:pt x="500961" y="56638"/>
              </a:lnTo>
              <a:lnTo>
                <a:pt x="519460" y="37504"/>
              </a:lnTo>
              <a:lnTo>
                <a:pt x="51946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0.16388</cdr:x>
      <cdr:y>0.15699</cdr:y>
    </cdr:to>
    <cdr:sp macro="" textlink="">
      <cdr:nvSpPr>
        <cdr:cNvPr id="395" name="FracNo 989 StartRow 4296">
          <a:extLst xmlns:a="http://schemas.openxmlformats.org/drawingml/2006/main">
            <a:ext uri="{FF2B5EF4-FFF2-40B4-BE49-F238E27FC236}">
              <a16:creationId xmlns:a16="http://schemas.microsoft.com/office/drawing/2014/main" id="{D62E54E6-1EE9-59BA-3B9B-17D42EE3DB11}"/>
            </a:ext>
          </a:extLst>
        </cdr:cNvPr>
        <cdr:cNvSpPr/>
      </cdr:nvSpPr>
      <cdr:spPr>
        <a:xfrm xmlns:a="http://schemas.openxmlformats.org/drawingml/2006/main">
          <a:off x="671676" y="651036"/>
          <a:ext cx="527130" cy="5452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7130" h="545233">
              <a:moveTo>
                <a:pt x="204063" y="334161"/>
              </a:moveTo>
              <a:lnTo>
                <a:pt x="0" y="545232"/>
              </a:lnTo>
              <a:lnTo>
                <a:pt x="0" y="507728"/>
              </a:lnTo>
              <a:lnTo>
                <a:pt x="190026" y="311176"/>
              </a:lnTo>
              <a:lnTo>
                <a:pt x="490870" y="0"/>
              </a:lnTo>
              <a:lnTo>
                <a:pt x="52712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0.49321</cdr:x>
      <cdr:y>0.53559</cdr:y>
    </cdr:from>
    <cdr:to>
      <cdr:x>0.56526</cdr:x>
      <cdr:y>0.60714</cdr:y>
    </cdr:to>
    <cdr:sp macro="" textlink="">
      <cdr:nvSpPr>
        <cdr:cNvPr id="396" name="FracNo 110 StartRow 4305">
          <a:extLst xmlns:a="http://schemas.openxmlformats.org/drawingml/2006/main">
            <a:ext uri="{FF2B5EF4-FFF2-40B4-BE49-F238E27FC236}">
              <a16:creationId xmlns:a16="http://schemas.microsoft.com/office/drawing/2014/main" id="{E84C9E94-36E2-8B8A-15A7-2716C556EB72}"/>
            </a:ext>
          </a:extLst>
        </cdr:cNvPr>
        <cdr:cNvSpPr/>
      </cdr:nvSpPr>
      <cdr:spPr>
        <a:xfrm xmlns:a="http://schemas.openxmlformats.org/drawingml/2006/main">
          <a:off x="3607915" y="4081173"/>
          <a:ext cx="527103" cy="5452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7103" h="545204">
              <a:moveTo>
                <a:pt x="158120" y="400405"/>
              </a:moveTo>
              <a:lnTo>
                <a:pt x="18130" y="545203"/>
              </a:lnTo>
              <a:lnTo>
                <a:pt x="0" y="526451"/>
              </a:lnTo>
              <a:lnTo>
                <a:pt x="139991" y="381654"/>
              </a:lnTo>
              <a:lnTo>
                <a:pt x="508973" y="0"/>
              </a:lnTo>
              <a:lnTo>
                <a:pt x="52710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0.47203</cdr:x>
      <cdr:y>0.6025</cdr:y>
    </cdr:from>
    <cdr:to>
      <cdr:x>0.54393</cdr:x>
      <cdr:y>0.6739</cdr:y>
    </cdr:to>
    <cdr:sp macro="" textlink="">
      <cdr:nvSpPr>
        <cdr:cNvPr id="397" name="FracNo 104 StartRow 4314">
          <a:extLst xmlns:a="http://schemas.openxmlformats.org/drawingml/2006/main">
            <a:ext uri="{FF2B5EF4-FFF2-40B4-BE49-F238E27FC236}">
              <a16:creationId xmlns:a16="http://schemas.microsoft.com/office/drawing/2014/main" id="{F7D297AC-AFE5-A70B-E425-90C36F6C9A96}"/>
            </a:ext>
          </a:extLst>
        </cdr:cNvPr>
        <cdr:cNvSpPr/>
      </cdr:nvSpPr>
      <cdr:spPr>
        <a:xfrm xmlns:a="http://schemas.openxmlformats.org/drawingml/2006/main">
          <a:off x="3452973" y="4591078"/>
          <a:ext cx="526007" cy="5440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6007" h="544072">
              <a:moveTo>
                <a:pt x="204894" y="350892"/>
              </a:moveTo>
              <a:lnTo>
                <a:pt x="195875" y="360220"/>
              </a:lnTo>
              <a:lnTo>
                <a:pt x="18129" y="544071"/>
              </a:lnTo>
              <a:lnTo>
                <a:pt x="0" y="525319"/>
              </a:lnTo>
              <a:lnTo>
                <a:pt x="177746" y="341468"/>
              </a:lnTo>
              <a:lnTo>
                <a:pt x="186765" y="332140"/>
              </a:lnTo>
              <a:lnTo>
                <a:pt x="507877" y="0"/>
              </a:lnTo>
              <a:lnTo>
                <a:pt x="52600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0.51653</cdr:x>
      <cdr:y>0.08544</cdr:y>
    </cdr:from>
    <cdr:to>
      <cdr:x>0.58928</cdr:x>
      <cdr:y>0.15522</cdr:y>
    </cdr:to>
    <cdr:sp macro="" textlink="">
      <cdr:nvSpPr>
        <cdr:cNvPr id="398" name="FracNo 921 StartRow 4325">
          <a:extLst xmlns:a="http://schemas.openxmlformats.org/drawingml/2006/main">
            <a:ext uri="{FF2B5EF4-FFF2-40B4-BE49-F238E27FC236}">
              <a16:creationId xmlns:a16="http://schemas.microsoft.com/office/drawing/2014/main" id="{DD18AD52-9453-4864-CC11-BA3AC176B42E}"/>
            </a:ext>
          </a:extLst>
        </cdr:cNvPr>
        <cdr:cNvSpPr/>
      </cdr:nvSpPr>
      <cdr:spPr>
        <a:xfrm xmlns:a="http://schemas.openxmlformats.org/drawingml/2006/main">
          <a:off x="3778495" y="651036"/>
          <a:ext cx="532218" cy="5317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2218" h="531743">
              <a:moveTo>
                <a:pt x="494429" y="1582"/>
              </a:moveTo>
              <a:lnTo>
                <a:pt x="0" y="512991"/>
              </a:lnTo>
              <a:lnTo>
                <a:pt x="18129" y="531742"/>
              </a:lnTo>
              <a:lnTo>
                <a:pt x="530632" y="1639"/>
              </a:lnTo>
              <a:lnTo>
                <a:pt x="532217" y="0"/>
              </a:lnTo>
              <a:lnTo>
                <a:pt x="49595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0.87228</cdr:x>
      <cdr:y>0.84376</cdr:y>
    </cdr:from>
    <cdr:to>
      <cdr:x>0.94246</cdr:x>
      <cdr:y>0.91591</cdr:y>
    </cdr:to>
    <cdr:sp macro="" textlink="">
      <cdr:nvSpPr>
        <cdr:cNvPr id="399" name="FracNo 1021 StartRow 4334">
          <a:extLst xmlns:a="http://schemas.openxmlformats.org/drawingml/2006/main">
            <a:ext uri="{FF2B5EF4-FFF2-40B4-BE49-F238E27FC236}">
              <a16:creationId xmlns:a16="http://schemas.microsoft.com/office/drawing/2014/main" id="{15C736FE-AB40-1914-A89A-95B7AE19BA14}"/>
            </a:ext>
          </a:extLst>
        </cdr:cNvPr>
        <cdr:cNvSpPr/>
      </cdr:nvSpPr>
      <cdr:spPr>
        <a:xfrm xmlns:a="http://schemas.openxmlformats.org/drawingml/2006/main">
          <a:off x="6380919" y="6429486"/>
          <a:ext cx="513389" cy="5497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3389" h="549772">
              <a:moveTo>
                <a:pt x="316144" y="204018"/>
              </a:moveTo>
              <a:lnTo>
                <a:pt x="0" y="531019"/>
              </a:lnTo>
              <a:lnTo>
                <a:pt x="18129" y="549771"/>
              </a:lnTo>
              <a:lnTo>
                <a:pt x="323110" y="234317"/>
              </a:lnTo>
              <a:lnTo>
                <a:pt x="513388" y="37504"/>
              </a:lnTo>
              <a:lnTo>
                <a:pt x="51338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0.61758</cdr:x>
      <cdr:y>0.4308</cdr:y>
    </cdr:from>
    <cdr:to>
      <cdr:x>0.68722</cdr:x>
      <cdr:y>0.49995</cdr:y>
    </cdr:to>
    <cdr:sp macro="" textlink="">
      <cdr:nvSpPr>
        <cdr:cNvPr id="400" name="FracNo 115 StartRow 4343">
          <a:extLst xmlns:a="http://schemas.openxmlformats.org/drawingml/2006/main">
            <a:ext uri="{FF2B5EF4-FFF2-40B4-BE49-F238E27FC236}">
              <a16:creationId xmlns:a16="http://schemas.microsoft.com/office/drawing/2014/main" id="{C47A82D9-DEE5-E0E9-0F37-BD14B5B10A7A}"/>
            </a:ext>
          </a:extLst>
        </cdr:cNvPr>
        <cdr:cNvSpPr/>
      </cdr:nvSpPr>
      <cdr:spPr>
        <a:xfrm xmlns:a="http://schemas.openxmlformats.org/drawingml/2006/main">
          <a:off x="4517734" y="3282695"/>
          <a:ext cx="509452" cy="5269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9452" h="526948">
              <a:moveTo>
                <a:pt x="202069" y="336690"/>
              </a:moveTo>
              <a:lnTo>
                <a:pt x="18129" y="526947"/>
              </a:lnTo>
              <a:lnTo>
                <a:pt x="0" y="508195"/>
              </a:lnTo>
              <a:lnTo>
                <a:pt x="183940" y="317938"/>
              </a:lnTo>
              <a:lnTo>
                <a:pt x="293298" y="204825"/>
              </a:lnTo>
              <a:lnTo>
                <a:pt x="491322" y="0"/>
              </a:lnTo>
              <a:lnTo>
                <a:pt x="509451" y="18752"/>
              </a:lnTo>
              <a:lnTo>
                <a:pt x="311427" y="22357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0.87418</cdr:x>
      <cdr:y>0.61775</cdr:y>
    </cdr:from>
    <cdr:to>
      <cdr:x>0.94246</cdr:x>
      <cdr:y>0.68802</cdr:y>
    </cdr:to>
    <cdr:sp macro="" textlink="">
      <cdr:nvSpPr>
        <cdr:cNvPr id="401" name="FracNo 971 StartRow 4354">
          <a:extLst xmlns:a="http://schemas.openxmlformats.org/drawingml/2006/main">
            <a:ext uri="{FF2B5EF4-FFF2-40B4-BE49-F238E27FC236}">
              <a16:creationId xmlns:a16="http://schemas.microsoft.com/office/drawing/2014/main" id="{807703CE-D163-8C8E-6CDB-A8C5EBFABA40}"/>
            </a:ext>
          </a:extLst>
        </cdr:cNvPr>
        <cdr:cNvSpPr/>
      </cdr:nvSpPr>
      <cdr:spPr>
        <a:xfrm xmlns:a="http://schemas.openxmlformats.org/drawingml/2006/main">
          <a:off x="6394812" y="4707291"/>
          <a:ext cx="499496" cy="5354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9496" h="535402">
              <a:moveTo>
                <a:pt x="65300" y="486609"/>
              </a:moveTo>
              <a:lnTo>
                <a:pt x="18129" y="535401"/>
              </a:lnTo>
              <a:lnTo>
                <a:pt x="0" y="516649"/>
              </a:lnTo>
              <a:lnTo>
                <a:pt x="48802" y="466170"/>
              </a:lnTo>
              <a:lnTo>
                <a:pt x="286507" y="220302"/>
              </a:lnTo>
              <a:lnTo>
                <a:pt x="499495" y="0"/>
              </a:lnTo>
              <a:lnTo>
                <a:pt x="499495" y="37503"/>
              </a:lnTo>
              <a:lnTo>
                <a:pt x="295060" y="24896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0.23908</cdr:x>
      <cdr:y>0.86273</cdr:y>
    </cdr:from>
    <cdr:to>
      <cdr:x>0.30941</cdr:x>
      <cdr:y>0.9301</cdr:y>
    </cdr:to>
    <cdr:sp macro="" textlink="">
      <cdr:nvSpPr>
        <cdr:cNvPr id="402" name="FracNo 936 StartRow 4365">
          <a:extLst xmlns:a="http://schemas.openxmlformats.org/drawingml/2006/main">
            <a:ext uri="{FF2B5EF4-FFF2-40B4-BE49-F238E27FC236}">
              <a16:creationId xmlns:a16="http://schemas.microsoft.com/office/drawing/2014/main" id="{E19A55D1-C272-DA7E-5AF0-5026EF4A657A}"/>
            </a:ext>
          </a:extLst>
        </cdr:cNvPr>
        <cdr:cNvSpPr/>
      </cdr:nvSpPr>
      <cdr:spPr>
        <a:xfrm xmlns:a="http://schemas.openxmlformats.org/drawingml/2006/main">
          <a:off x="1748911" y="6573985"/>
          <a:ext cx="514466" cy="5133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4466" h="513381">
              <a:moveTo>
                <a:pt x="481870" y="52466"/>
              </a:moveTo>
              <a:lnTo>
                <a:pt x="36259" y="513380"/>
              </a:lnTo>
              <a:lnTo>
                <a:pt x="0" y="513380"/>
              </a:lnTo>
              <a:lnTo>
                <a:pt x="462505" y="34992"/>
              </a:lnTo>
              <a:lnTo>
                <a:pt x="496336" y="0"/>
              </a:lnTo>
              <a:lnTo>
                <a:pt x="514465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0.69942</cdr:x>
      <cdr:y>0.50655</cdr:y>
    </cdr:from>
    <cdr:to>
      <cdr:x>0.76757</cdr:x>
      <cdr:y>0.57423</cdr:y>
    </cdr:to>
    <cdr:sp macro="" textlink="">
      <cdr:nvSpPr>
        <cdr:cNvPr id="403" name="FracNo 975 StartRow 4374">
          <a:extLst xmlns:a="http://schemas.openxmlformats.org/drawingml/2006/main">
            <a:ext uri="{FF2B5EF4-FFF2-40B4-BE49-F238E27FC236}">
              <a16:creationId xmlns:a16="http://schemas.microsoft.com/office/drawing/2014/main" id="{F9D63160-83D3-8244-5944-9267C3CED13F}"/>
            </a:ext>
          </a:extLst>
        </cdr:cNvPr>
        <cdr:cNvSpPr/>
      </cdr:nvSpPr>
      <cdr:spPr>
        <a:xfrm xmlns:a="http://schemas.openxmlformats.org/drawingml/2006/main">
          <a:off x="5116369" y="3859931"/>
          <a:ext cx="498569" cy="5156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8569" h="515691">
              <a:moveTo>
                <a:pt x="241168" y="284991"/>
              </a:moveTo>
              <a:lnTo>
                <a:pt x="18129" y="515690"/>
              </a:lnTo>
              <a:lnTo>
                <a:pt x="0" y="496938"/>
              </a:lnTo>
              <a:lnTo>
                <a:pt x="223039" y="266239"/>
              </a:lnTo>
              <a:lnTo>
                <a:pt x="480438" y="0"/>
              </a:lnTo>
              <a:lnTo>
                <a:pt x="49856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0.87578</cdr:x>
      <cdr:y>0.11521</cdr:y>
    </cdr:from>
    <cdr:to>
      <cdr:x>0.94246</cdr:x>
      <cdr:y>0.18389</cdr:y>
    </cdr:to>
    <cdr:sp macro="" textlink="">
      <cdr:nvSpPr>
        <cdr:cNvPr id="404" name="FracNo 757 StartRow 4383">
          <a:extLst xmlns:a="http://schemas.openxmlformats.org/drawingml/2006/main">
            <a:ext uri="{FF2B5EF4-FFF2-40B4-BE49-F238E27FC236}">
              <a16:creationId xmlns:a16="http://schemas.microsoft.com/office/drawing/2014/main" id="{C84FB1E2-E699-C3EA-B217-228571EDAB33}"/>
            </a:ext>
          </a:extLst>
        </cdr:cNvPr>
        <cdr:cNvSpPr/>
      </cdr:nvSpPr>
      <cdr:spPr>
        <a:xfrm xmlns:a="http://schemas.openxmlformats.org/drawingml/2006/main">
          <a:off x="6406519" y="877938"/>
          <a:ext cx="487789" cy="5232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7789" h="523291">
              <a:moveTo>
                <a:pt x="177069" y="358893"/>
              </a:moveTo>
              <a:lnTo>
                <a:pt x="18130" y="523290"/>
              </a:lnTo>
              <a:lnTo>
                <a:pt x="0" y="504538"/>
              </a:lnTo>
              <a:lnTo>
                <a:pt x="165074" y="333796"/>
              </a:lnTo>
              <a:lnTo>
                <a:pt x="487788" y="0"/>
              </a:lnTo>
              <a:lnTo>
                <a:pt x="487788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0.67806</cdr:x>
      <cdr:y>0.86416</cdr:y>
    </cdr:from>
    <cdr:to>
      <cdr:x>0.74694</cdr:x>
      <cdr:y>0.9301</cdr:y>
    </cdr:to>
    <cdr:sp macro="" textlink="">
      <cdr:nvSpPr>
        <cdr:cNvPr id="405" name="FracNo 764 StartRow 4392">
          <a:extLst xmlns:a="http://schemas.openxmlformats.org/drawingml/2006/main">
            <a:ext uri="{FF2B5EF4-FFF2-40B4-BE49-F238E27FC236}">
              <a16:creationId xmlns:a16="http://schemas.microsoft.com/office/drawing/2014/main" id="{1DEB0B8D-D21B-E7FD-BD50-19C69CAD7D5E}"/>
            </a:ext>
          </a:extLst>
        </cdr:cNvPr>
        <cdr:cNvSpPr/>
      </cdr:nvSpPr>
      <cdr:spPr>
        <a:xfrm xmlns:a="http://schemas.openxmlformats.org/drawingml/2006/main">
          <a:off x="4960133" y="6584928"/>
          <a:ext cx="503886" cy="5024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3886" h="502438">
              <a:moveTo>
                <a:pt x="479831" y="6128"/>
              </a:moveTo>
              <a:lnTo>
                <a:pt x="0" y="502437"/>
              </a:lnTo>
              <a:lnTo>
                <a:pt x="36259" y="502437"/>
              </a:lnTo>
              <a:lnTo>
                <a:pt x="498182" y="24651"/>
              </a:lnTo>
              <a:lnTo>
                <a:pt x="503885" y="18752"/>
              </a:lnTo>
              <a:lnTo>
                <a:pt x="48575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0.31656</cdr:x>
      <cdr:y>0.86458</cdr:y>
    </cdr:from>
    <cdr:to>
      <cdr:x>0.38502</cdr:x>
      <cdr:y>0.9301</cdr:y>
    </cdr:to>
    <cdr:sp macro="" textlink="">
      <cdr:nvSpPr>
        <cdr:cNvPr id="406" name="FracNo 21 StartRow 4401">
          <a:extLst xmlns:a="http://schemas.openxmlformats.org/drawingml/2006/main">
            <a:ext uri="{FF2B5EF4-FFF2-40B4-BE49-F238E27FC236}">
              <a16:creationId xmlns:a16="http://schemas.microsoft.com/office/drawing/2014/main" id="{B4F9F5EF-F255-E1F2-86A5-1614EE698E3B}"/>
            </a:ext>
          </a:extLst>
        </cdr:cNvPr>
        <cdr:cNvSpPr/>
      </cdr:nvSpPr>
      <cdr:spPr>
        <a:xfrm xmlns:a="http://schemas.openxmlformats.org/drawingml/2006/main">
          <a:off x="2315692" y="6588093"/>
          <a:ext cx="500825" cy="4992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0825" h="499273">
              <a:moveTo>
                <a:pt x="226790" y="264693"/>
              </a:moveTo>
              <a:lnTo>
                <a:pt x="0" y="499272"/>
              </a:lnTo>
              <a:lnTo>
                <a:pt x="36258" y="499272"/>
              </a:lnTo>
              <a:lnTo>
                <a:pt x="253285" y="274792"/>
              </a:lnTo>
              <a:lnTo>
                <a:pt x="439259" y="82432"/>
              </a:lnTo>
              <a:lnTo>
                <a:pt x="500824" y="18753"/>
              </a:lnTo>
              <a:lnTo>
                <a:pt x="482695" y="0"/>
              </a:lnTo>
              <a:lnTo>
                <a:pt x="421130" y="6368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0.21846</cdr:x>
      <cdr:y>0.33908</cdr:y>
    </cdr:from>
    <cdr:to>
      <cdr:x>0.28561</cdr:x>
      <cdr:y>0.40576</cdr:y>
    </cdr:to>
    <cdr:sp macro="" textlink="">
      <cdr:nvSpPr>
        <cdr:cNvPr id="407" name="FracNo 768 StartRow 4412">
          <a:extLst xmlns:a="http://schemas.openxmlformats.org/drawingml/2006/main">
            <a:ext uri="{FF2B5EF4-FFF2-40B4-BE49-F238E27FC236}">
              <a16:creationId xmlns:a16="http://schemas.microsoft.com/office/drawing/2014/main" id="{0D9C3F34-F2FD-B2CB-896D-1570671CC936}"/>
            </a:ext>
          </a:extLst>
        </cdr:cNvPr>
        <cdr:cNvSpPr/>
      </cdr:nvSpPr>
      <cdr:spPr>
        <a:xfrm xmlns:a="http://schemas.openxmlformats.org/drawingml/2006/main">
          <a:off x="1598083" y="2583800"/>
          <a:ext cx="491210" cy="5080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1210" h="508080">
              <a:moveTo>
                <a:pt x="73359" y="413448"/>
              </a:moveTo>
              <a:lnTo>
                <a:pt x="0" y="489327"/>
              </a:lnTo>
              <a:lnTo>
                <a:pt x="18129" y="508079"/>
              </a:lnTo>
              <a:lnTo>
                <a:pt x="91489" y="432200"/>
              </a:lnTo>
              <a:lnTo>
                <a:pt x="294657" y="222055"/>
              </a:lnTo>
              <a:lnTo>
                <a:pt x="491209" y="18752"/>
              </a:lnTo>
              <a:lnTo>
                <a:pt x="473080" y="0"/>
              </a:lnTo>
              <a:lnTo>
                <a:pt x="276527" y="2033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0.50535</cdr:x>
      <cdr:y>0.08544</cdr:y>
    </cdr:from>
    <cdr:to>
      <cdr:x>0.57324</cdr:x>
      <cdr:y>0.15039</cdr:y>
    </cdr:to>
    <cdr:sp macro="" textlink="">
      <cdr:nvSpPr>
        <cdr:cNvPr id="408" name="FracNo 342 StartRow 4423">
          <a:extLst xmlns:a="http://schemas.openxmlformats.org/drawingml/2006/main">
            <a:ext uri="{FF2B5EF4-FFF2-40B4-BE49-F238E27FC236}">
              <a16:creationId xmlns:a16="http://schemas.microsoft.com/office/drawing/2014/main" id="{27F1AF72-B17E-5B91-E57B-21414141015A}"/>
            </a:ext>
          </a:extLst>
        </cdr:cNvPr>
        <cdr:cNvSpPr/>
      </cdr:nvSpPr>
      <cdr:spPr>
        <a:xfrm xmlns:a="http://schemas.openxmlformats.org/drawingml/2006/main">
          <a:off x="3696729" y="651036"/>
          <a:ext cx="496660" cy="4949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6660" h="494965">
              <a:moveTo>
                <a:pt x="94499" y="415972"/>
              </a:moveTo>
              <a:lnTo>
                <a:pt x="18129" y="494964"/>
              </a:lnTo>
              <a:lnTo>
                <a:pt x="0" y="476212"/>
              </a:lnTo>
              <a:lnTo>
                <a:pt x="73476" y="400212"/>
              </a:lnTo>
              <a:lnTo>
                <a:pt x="460401" y="0"/>
              </a:lnTo>
              <a:lnTo>
                <a:pt x="49665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0.87811</cdr:x>
      <cdr:y>0.76754</cdr:y>
    </cdr:from>
    <cdr:to>
      <cdr:x>0.94246</cdr:x>
      <cdr:y>0.8339</cdr:y>
    </cdr:to>
    <cdr:sp macro="" textlink="">
      <cdr:nvSpPr>
        <cdr:cNvPr id="409" name="FracNo 434 StartRow 4432">
          <a:extLst xmlns:a="http://schemas.openxmlformats.org/drawingml/2006/main">
            <a:ext uri="{FF2B5EF4-FFF2-40B4-BE49-F238E27FC236}">
              <a16:creationId xmlns:a16="http://schemas.microsoft.com/office/drawing/2014/main" id="{17F4E4FB-A651-036D-CE99-D56C23A17044}"/>
            </a:ext>
          </a:extLst>
        </cdr:cNvPr>
        <cdr:cNvSpPr/>
      </cdr:nvSpPr>
      <cdr:spPr>
        <a:xfrm xmlns:a="http://schemas.openxmlformats.org/drawingml/2006/main">
          <a:off x="6423573" y="5848672"/>
          <a:ext cx="470735" cy="5056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0735" h="505653">
              <a:moveTo>
                <a:pt x="269250" y="245907"/>
              </a:moveTo>
              <a:lnTo>
                <a:pt x="18129" y="505652"/>
              </a:lnTo>
              <a:lnTo>
                <a:pt x="0" y="486900"/>
              </a:lnTo>
              <a:lnTo>
                <a:pt x="261179" y="216751"/>
              </a:lnTo>
              <a:lnTo>
                <a:pt x="470734" y="0"/>
              </a:lnTo>
              <a:lnTo>
                <a:pt x="470734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0.87696</cdr:x>
      <cdr:y>0.86506</cdr:y>
    </cdr:from>
    <cdr:to>
      <cdr:x>0.94246</cdr:x>
      <cdr:y>0.9301</cdr:y>
    </cdr:to>
    <cdr:sp macro="" textlink="">
      <cdr:nvSpPr>
        <cdr:cNvPr id="410" name="FracNo 1027 StartRow 4441">
          <a:extLst xmlns:a="http://schemas.openxmlformats.org/drawingml/2006/main">
            <a:ext uri="{FF2B5EF4-FFF2-40B4-BE49-F238E27FC236}">
              <a16:creationId xmlns:a16="http://schemas.microsoft.com/office/drawing/2014/main" id="{A0CC3439-C27E-91B8-37D9-DB9C86C9FA1F}"/>
            </a:ext>
          </a:extLst>
        </cdr:cNvPr>
        <cdr:cNvSpPr/>
      </cdr:nvSpPr>
      <cdr:spPr>
        <a:xfrm xmlns:a="http://schemas.openxmlformats.org/drawingml/2006/main">
          <a:off x="6415138" y="6591740"/>
          <a:ext cx="479170" cy="4956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9170" h="495626">
              <a:moveTo>
                <a:pt x="265960" y="220532"/>
              </a:moveTo>
              <a:lnTo>
                <a:pt x="0" y="495625"/>
              </a:lnTo>
              <a:lnTo>
                <a:pt x="36259" y="495625"/>
              </a:lnTo>
              <a:lnTo>
                <a:pt x="282094" y="241348"/>
              </a:lnTo>
              <a:lnTo>
                <a:pt x="479169" y="37504"/>
              </a:lnTo>
              <a:lnTo>
                <a:pt x="4791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0.15677</cdr:x>
      <cdr:y>0.14993</cdr:y>
    </cdr:to>
    <cdr:sp macro="" textlink="">
      <cdr:nvSpPr>
        <cdr:cNvPr id="411" name="FracNo 995 StartRow 4450">
          <a:extLst xmlns:a="http://schemas.openxmlformats.org/drawingml/2006/main">
            <a:ext uri="{FF2B5EF4-FFF2-40B4-BE49-F238E27FC236}">
              <a16:creationId xmlns:a16="http://schemas.microsoft.com/office/drawing/2014/main" id="{FDA4A85C-517A-9463-D7F9-0C1C81E0D0C7}"/>
            </a:ext>
          </a:extLst>
        </cdr:cNvPr>
        <cdr:cNvSpPr/>
      </cdr:nvSpPr>
      <cdr:spPr>
        <a:xfrm xmlns:a="http://schemas.openxmlformats.org/drawingml/2006/main">
          <a:off x="671676" y="651036"/>
          <a:ext cx="475104" cy="4914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5104" h="491419">
              <a:moveTo>
                <a:pt x="431817" y="7268"/>
              </a:moveTo>
              <a:lnTo>
                <a:pt x="0" y="453915"/>
              </a:lnTo>
              <a:lnTo>
                <a:pt x="0" y="491418"/>
              </a:lnTo>
              <a:lnTo>
                <a:pt x="467495" y="7869"/>
              </a:lnTo>
              <a:lnTo>
                <a:pt x="475103" y="0"/>
              </a:lnTo>
              <a:lnTo>
                <a:pt x="43884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0.14734</cdr:x>
      <cdr:y>0.53619</cdr:y>
    </cdr:from>
    <cdr:to>
      <cdr:x>0.21168</cdr:x>
      <cdr:y>0.60008</cdr:y>
    </cdr:to>
    <cdr:sp macro="" textlink="">
      <cdr:nvSpPr>
        <cdr:cNvPr id="412" name="FracNo 504 StartRow 4459">
          <a:extLst xmlns:a="http://schemas.openxmlformats.org/drawingml/2006/main">
            <a:ext uri="{FF2B5EF4-FFF2-40B4-BE49-F238E27FC236}">
              <a16:creationId xmlns:a16="http://schemas.microsoft.com/office/drawing/2014/main" id="{40781905-1EF2-8954-4ED6-CDFC3A5E9994}"/>
            </a:ext>
          </a:extLst>
        </cdr:cNvPr>
        <cdr:cNvSpPr/>
      </cdr:nvSpPr>
      <cdr:spPr>
        <a:xfrm xmlns:a="http://schemas.openxmlformats.org/drawingml/2006/main">
          <a:off x="1077796" y="4085791"/>
          <a:ext cx="470664" cy="4868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0664" h="486827">
              <a:moveTo>
                <a:pt x="3950" y="463989"/>
              </a:moveTo>
              <a:lnTo>
                <a:pt x="0" y="468074"/>
              </a:lnTo>
              <a:lnTo>
                <a:pt x="18129" y="486826"/>
              </a:lnTo>
              <a:lnTo>
                <a:pt x="22079" y="482741"/>
              </a:lnTo>
              <a:lnTo>
                <a:pt x="470663" y="18751"/>
              </a:lnTo>
              <a:lnTo>
                <a:pt x="4525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0.15023</cdr:x>
      <cdr:y>0.53906</cdr:y>
    </cdr:from>
    <cdr:to>
      <cdr:x>0.21457</cdr:x>
      <cdr:y>0.60295</cdr:y>
    </cdr:to>
    <cdr:sp macro="" textlink="">
      <cdr:nvSpPr>
        <cdr:cNvPr id="413" name="FracNo 1010 StartRow 4468">
          <a:extLst xmlns:a="http://schemas.openxmlformats.org/drawingml/2006/main">
            <a:ext uri="{FF2B5EF4-FFF2-40B4-BE49-F238E27FC236}">
              <a16:creationId xmlns:a16="http://schemas.microsoft.com/office/drawing/2014/main" id="{DEEF1C0B-5EDC-2D83-4C78-8B96472BC583}"/>
            </a:ext>
          </a:extLst>
        </cdr:cNvPr>
        <cdr:cNvSpPr/>
      </cdr:nvSpPr>
      <cdr:spPr>
        <a:xfrm xmlns:a="http://schemas.openxmlformats.org/drawingml/2006/main">
          <a:off x="1098930" y="4107650"/>
          <a:ext cx="470664" cy="4868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0664" h="486828">
              <a:moveTo>
                <a:pt x="401948" y="89827"/>
              </a:moveTo>
              <a:lnTo>
                <a:pt x="18129" y="486827"/>
              </a:lnTo>
              <a:lnTo>
                <a:pt x="0" y="468075"/>
              </a:lnTo>
              <a:lnTo>
                <a:pt x="383819" y="71075"/>
              </a:lnTo>
              <a:lnTo>
                <a:pt x="452534" y="0"/>
              </a:lnTo>
              <a:lnTo>
                <a:pt x="47066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0.54213</cdr:x>
      <cdr:y>0.8676</cdr:y>
    </cdr:from>
    <cdr:to>
      <cdr:x>0.60755</cdr:x>
      <cdr:y>0.9301</cdr:y>
    </cdr:to>
    <cdr:sp macro="" textlink="">
      <cdr:nvSpPr>
        <cdr:cNvPr id="414" name="FracNo 895 StartRow 4477">
          <a:extLst xmlns:a="http://schemas.openxmlformats.org/drawingml/2006/main">
            <a:ext uri="{FF2B5EF4-FFF2-40B4-BE49-F238E27FC236}">
              <a16:creationId xmlns:a16="http://schemas.microsoft.com/office/drawing/2014/main" id="{3FF7E468-3956-7936-11AB-398F85F15A8D}"/>
            </a:ext>
          </a:extLst>
        </cdr:cNvPr>
        <cdr:cNvSpPr/>
      </cdr:nvSpPr>
      <cdr:spPr>
        <a:xfrm xmlns:a="http://schemas.openxmlformats.org/drawingml/2006/main">
          <a:off x="3965754" y="6611093"/>
          <a:ext cx="478589" cy="4762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8589" h="476273">
              <a:moveTo>
                <a:pt x="80913" y="430083"/>
              </a:moveTo>
              <a:lnTo>
                <a:pt x="36258" y="476272"/>
              </a:lnTo>
              <a:lnTo>
                <a:pt x="0" y="476272"/>
              </a:lnTo>
              <a:lnTo>
                <a:pt x="46485" y="428191"/>
              </a:lnTo>
              <a:lnTo>
                <a:pt x="460459" y="0"/>
              </a:lnTo>
              <a:lnTo>
                <a:pt x="478588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0.87985</cdr:x>
      <cdr:y>0.45111</cdr:y>
    </cdr:from>
    <cdr:to>
      <cdr:x>0.94246</cdr:x>
      <cdr:y>0.51574</cdr:y>
    </cdr:to>
    <cdr:sp macro="" textlink="">
      <cdr:nvSpPr>
        <cdr:cNvPr id="415" name="FracNo 737 StartRow 4486">
          <a:extLst xmlns:a="http://schemas.openxmlformats.org/drawingml/2006/main">
            <a:ext uri="{FF2B5EF4-FFF2-40B4-BE49-F238E27FC236}">
              <a16:creationId xmlns:a16="http://schemas.microsoft.com/office/drawing/2014/main" id="{3D439A63-2F0E-9C4D-0ECF-C41E676F4D12}"/>
            </a:ext>
          </a:extLst>
        </cdr:cNvPr>
        <cdr:cNvSpPr/>
      </cdr:nvSpPr>
      <cdr:spPr>
        <a:xfrm xmlns:a="http://schemas.openxmlformats.org/drawingml/2006/main">
          <a:off x="6436267" y="3437433"/>
          <a:ext cx="458041" cy="4925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8041" h="492523">
              <a:moveTo>
                <a:pt x="410577" y="49093"/>
              </a:moveTo>
              <a:lnTo>
                <a:pt x="0" y="473770"/>
              </a:lnTo>
              <a:lnTo>
                <a:pt x="18130" y="492522"/>
              </a:lnTo>
              <a:lnTo>
                <a:pt x="412456" y="84654"/>
              </a:lnTo>
              <a:lnTo>
                <a:pt x="458040" y="37504"/>
              </a:lnTo>
              <a:lnTo>
                <a:pt x="45804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0.25931</cdr:x>
      <cdr:y>0.86793</cdr:y>
    </cdr:from>
    <cdr:to>
      <cdr:x>0.3244</cdr:x>
      <cdr:y>0.9301</cdr:y>
    </cdr:to>
    <cdr:sp macro="" textlink="">
      <cdr:nvSpPr>
        <cdr:cNvPr id="416" name="FracNo 783 StartRow 4495">
          <a:extLst xmlns:a="http://schemas.openxmlformats.org/drawingml/2006/main">
            <a:ext uri="{FF2B5EF4-FFF2-40B4-BE49-F238E27FC236}">
              <a16:creationId xmlns:a16="http://schemas.microsoft.com/office/drawing/2014/main" id="{180B4950-2C7D-759C-E5F3-6A77DCBF74F9}"/>
            </a:ext>
          </a:extLst>
        </cdr:cNvPr>
        <cdr:cNvSpPr/>
      </cdr:nvSpPr>
      <cdr:spPr>
        <a:xfrm xmlns:a="http://schemas.openxmlformats.org/drawingml/2006/main">
          <a:off x="1896929" y="6613618"/>
          <a:ext cx="476148" cy="4737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6148" h="473748">
              <a:moveTo>
                <a:pt x="139709" y="366744"/>
              </a:moveTo>
              <a:lnTo>
                <a:pt x="36259" y="473747"/>
              </a:lnTo>
              <a:lnTo>
                <a:pt x="0" y="473747"/>
              </a:lnTo>
              <a:lnTo>
                <a:pt x="107714" y="362334"/>
              </a:lnTo>
              <a:lnTo>
                <a:pt x="458018" y="0"/>
              </a:lnTo>
              <a:lnTo>
                <a:pt x="47614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0.88002</cdr:x>
      <cdr:y>0.69477</cdr:y>
    </cdr:from>
    <cdr:to>
      <cdr:x>0.94246</cdr:x>
      <cdr:y>0.75924</cdr:y>
    </cdr:to>
    <cdr:sp macro="" textlink="">
      <cdr:nvSpPr>
        <cdr:cNvPr id="417" name="FracNo 965 StartRow 4504">
          <a:extLst xmlns:a="http://schemas.openxmlformats.org/drawingml/2006/main">
            <a:ext uri="{FF2B5EF4-FFF2-40B4-BE49-F238E27FC236}">
              <a16:creationId xmlns:a16="http://schemas.microsoft.com/office/drawing/2014/main" id="{DAED770B-7472-6AED-2A4A-1FB2AE8CAD1A}"/>
            </a:ext>
          </a:extLst>
        </cdr:cNvPr>
        <cdr:cNvSpPr/>
      </cdr:nvSpPr>
      <cdr:spPr>
        <a:xfrm xmlns:a="http://schemas.openxmlformats.org/drawingml/2006/main">
          <a:off x="6437501" y="5294164"/>
          <a:ext cx="456807" cy="4912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6807" h="491247">
              <a:moveTo>
                <a:pt x="272127" y="191022"/>
              </a:moveTo>
              <a:lnTo>
                <a:pt x="0" y="472494"/>
              </a:lnTo>
              <a:lnTo>
                <a:pt x="18130" y="491246"/>
              </a:lnTo>
              <a:lnTo>
                <a:pt x="279456" y="220945"/>
              </a:lnTo>
              <a:lnTo>
                <a:pt x="456806" y="37504"/>
              </a:lnTo>
              <a:lnTo>
                <a:pt x="45680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0.32482</cdr:x>
      <cdr:y>0.86868</cdr:y>
    </cdr:from>
    <cdr:to>
      <cdr:x>0.38915</cdr:x>
      <cdr:y>0.9301</cdr:y>
    </cdr:to>
    <cdr:sp macro="" textlink="">
      <cdr:nvSpPr>
        <cdr:cNvPr id="418" name="FracNo 1024 StartRow 4513">
          <a:extLst xmlns:a="http://schemas.openxmlformats.org/drawingml/2006/main">
            <a:ext uri="{FF2B5EF4-FFF2-40B4-BE49-F238E27FC236}">
              <a16:creationId xmlns:a16="http://schemas.microsoft.com/office/drawing/2014/main" id="{A6AD5BED-470C-4980-7530-BB3843293EC3}"/>
            </a:ext>
          </a:extLst>
        </cdr:cNvPr>
        <cdr:cNvSpPr/>
      </cdr:nvSpPr>
      <cdr:spPr>
        <a:xfrm xmlns:a="http://schemas.openxmlformats.org/drawingml/2006/main">
          <a:off x="2376122" y="6619346"/>
          <a:ext cx="470610" cy="4680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0610" h="468020">
              <a:moveTo>
                <a:pt x="169910" y="292274"/>
              </a:moveTo>
              <a:lnTo>
                <a:pt x="0" y="468019"/>
              </a:lnTo>
              <a:lnTo>
                <a:pt x="36258" y="468019"/>
              </a:lnTo>
              <a:lnTo>
                <a:pt x="197629" y="301107"/>
              </a:lnTo>
              <a:lnTo>
                <a:pt x="378829" y="113684"/>
              </a:lnTo>
              <a:lnTo>
                <a:pt x="470609" y="18752"/>
              </a:lnTo>
              <a:lnTo>
                <a:pt x="452480" y="0"/>
              </a:lnTo>
              <a:lnTo>
                <a:pt x="360700" y="9493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0.73291</cdr:y>
    </cdr:from>
    <cdr:to>
      <cdr:x>0.15332</cdr:x>
      <cdr:y>0.79644</cdr:y>
    </cdr:to>
    <cdr:sp macro="" textlink="">
      <cdr:nvSpPr>
        <cdr:cNvPr id="419" name="FracNo 948 StartRow 4524">
          <a:extLst xmlns:a="http://schemas.openxmlformats.org/drawingml/2006/main">
            <a:ext uri="{FF2B5EF4-FFF2-40B4-BE49-F238E27FC236}">
              <a16:creationId xmlns:a16="http://schemas.microsoft.com/office/drawing/2014/main" id="{3BA983D9-4E4F-6642-AC25-E96B60751A16}"/>
            </a:ext>
          </a:extLst>
        </cdr:cNvPr>
        <cdr:cNvSpPr/>
      </cdr:nvSpPr>
      <cdr:spPr>
        <a:xfrm xmlns:a="http://schemas.openxmlformats.org/drawingml/2006/main">
          <a:off x="671676" y="5584785"/>
          <a:ext cx="449864" cy="4840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9864" h="484065">
              <a:moveTo>
                <a:pt x="90169" y="353295"/>
              </a:moveTo>
              <a:lnTo>
                <a:pt x="0" y="446561"/>
              </a:lnTo>
              <a:lnTo>
                <a:pt x="0" y="484064"/>
              </a:lnTo>
              <a:lnTo>
                <a:pt x="93955" y="386883"/>
              </a:lnTo>
              <a:lnTo>
                <a:pt x="449863" y="18752"/>
              </a:lnTo>
              <a:lnTo>
                <a:pt x="4317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0.88139</cdr:x>
      <cdr:y>0.77906</cdr:y>
    </cdr:from>
    <cdr:to>
      <cdr:x>0.94246</cdr:x>
      <cdr:y>0.84216</cdr:y>
    </cdr:to>
    <cdr:sp macro="" textlink="">
      <cdr:nvSpPr>
        <cdr:cNvPr id="420" name="FracNo 966 StartRow 4533">
          <a:extLst xmlns:a="http://schemas.openxmlformats.org/drawingml/2006/main">
            <a:ext uri="{FF2B5EF4-FFF2-40B4-BE49-F238E27FC236}">
              <a16:creationId xmlns:a16="http://schemas.microsoft.com/office/drawing/2014/main" id="{71F0E35C-4F99-06E9-7654-B077843E6738}"/>
            </a:ext>
          </a:extLst>
        </cdr:cNvPr>
        <cdr:cNvSpPr/>
      </cdr:nvSpPr>
      <cdr:spPr>
        <a:xfrm xmlns:a="http://schemas.openxmlformats.org/drawingml/2006/main">
          <a:off x="6447520" y="5936405"/>
          <a:ext cx="446788" cy="4808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6788" h="480884">
              <a:moveTo>
                <a:pt x="323620" y="127397"/>
              </a:moveTo>
              <a:lnTo>
                <a:pt x="0" y="462131"/>
              </a:lnTo>
              <a:lnTo>
                <a:pt x="18129" y="480883"/>
              </a:lnTo>
              <a:lnTo>
                <a:pt x="328618" y="159731"/>
              </a:lnTo>
              <a:lnTo>
                <a:pt x="446787" y="37504"/>
              </a:lnTo>
              <a:lnTo>
                <a:pt x="44678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0.81481</cdr:x>
      <cdr:y>0.17973</cdr:y>
    </cdr:from>
    <cdr:to>
      <cdr:x>0.87655</cdr:x>
      <cdr:y>0.24104</cdr:y>
    </cdr:to>
    <cdr:sp macro="" textlink="">
      <cdr:nvSpPr>
        <cdr:cNvPr id="421" name="FracNo 827 StartRow 4542">
          <a:extLst xmlns:a="http://schemas.openxmlformats.org/drawingml/2006/main">
            <a:ext uri="{FF2B5EF4-FFF2-40B4-BE49-F238E27FC236}">
              <a16:creationId xmlns:a16="http://schemas.microsoft.com/office/drawing/2014/main" id="{B28250B2-12D9-FEB9-1A90-5DF1C7FCD412}"/>
            </a:ext>
          </a:extLst>
        </cdr:cNvPr>
        <cdr:cNvSpPr/>
      </cdr:nvSpPr>
      <cdr:spPr>
        <a:xfrm xmlns:a="http://schemas.openxmlformats.org/drawingml/2006/main">
          <a:off x="5960466" y="1369541"/>
          <a:ext cx="451678" cy="4671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1678" h="467189">
              <a:moveTo>
                <a:pt x="298945" y="139224"/>
              </a:moveTo>
              <a:lnTo>
                <a:pt x="0" y="448436"/>
              </a:lnTo>
              <a:lnTo>
                <a:pt x="18129" y="467188"/>
              </a:lnTo>
              <a:lnTo>
                <a:pt x="317074" y="157977"/>
              </a:lnTo>
              <a:lnTo>
                <a:pt x="451677" y="18751"/>
              </a:lnTo>
              <a:lnTo>
                <a:pt x="43354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0.59291</cdr:x>
      <cdr:y>0.50843</cdr:y>
    </cdr:from>
    <cdr:to>
      <cdr:x>0.65456</cdr:x>
      <cdr:y>0.56965</cdr:y>
    </cdr:to>
    <cdr:sp macro="" textlink="">
      <cdr:nvSpPr>
        <cdr:cNvPr id="422" name="FracNo 102 StartRow 4551">
          <a:extLst xmlns:a="http://schemas.openxmlformats.org/drawingml/2006/main">
            <a:ext uri="{FF2B5EF4-FFF2-40B4-BE49-F238E27FC236}">
              <a16:creationId xmlns:a16="http://schemas.microsoft.com/office/drawing/2014/main" id="{6B8E377E-C08E-FD15-B429-DDD3E6F9DF13}"/>
            </a:ext>
          </a:extLst>
        </cdr:cNvPr>
        <cdr:cNvSpPr/>
      </cdr:nvSpPr>
      <cdr:spPr>
        <a:xfrm xmlns:a="http://schemas.openxmlformats.org/drawingml/2006/main">
          <a:off x="4337287" y="3874265"/>
          <a:ext cx="450952" cy="4664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0952" h="466438">
              <a:moveTo>
                <a:pt x="6749" y="440705"/>
              </a:moveTo>
              <a:lnTo>
                <a:pt x="0" y="447685"/>
              </a:lnTo>
              <a:lnTo>
                <a:pt x="18129" y="466437"/>
              </a:lnTo>
              <a:lnTo>
                <a:pt x="24878" y="459457"/>
              </a:lnTo>
              <a:lnTo>
                <a:pt x="450951" y="18752"/>
              </a:lnTo>
              <a:lnTo>
                <a:pt x="43282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0.59987</cdr:y>
    </cdr:from>
    <cdr:to>
      <cdr:x>0.15208</cdr:x>
      <cdr:y>0.66216</cdr:y>
    </cdr:to>
    <cdr:sp macro="" textlink="">
      <cdr:nvSpPr>
        <cdr:cNvPr id="423" name="FracNo 516 StartRow 4560">
          <a:extLst xmlns:a="http://schemas.openxmlformats.org/drawingml/2006/main">
            <a:ext uri="{FF2B5EF4-FFF2-40B4-BE49-F238E27FC236}">
              <a16:creationId xmlns:a16="http://schemas.microsoft.com/office/drawing/2014/main" id="{94DED953-026A-A5CB-A3E9-E75DAD67A765}"/>
            </a:ext>
          </a:extLst>
        </cdr:cNvPr>
        <cdr:cNvSpPr/>
      </cdr:nvSpPr>
      <cdr:spPr>
        <a:xfrm xmlns:a="http://schemas.openxmlformats.org/drawingml/2006/main">
          <a:off x="671676" y="4570985"/>
          <a:ext cx="440801" cy="4746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0801" h="474691">
              <a:moveTo>
                <a:pt x="421625" y="1082"/>
              </a:moveTo>
              <a:lnTo>
                <a:pt x="80449" y="353974"/>
              </a:lnTo>
              <a:lnTo>
                <a:pt x="0" y="437186"/>
              </a:lnTo>
              <a:lnTo>
                <a:pt x="0" y="474690"/>
              </a:lnTo>
              <a:lnTo>
                <a:pt x="83909" y="387900"/>
              </a:lnTo>
              <a:lnTo>
                <a:pt x="439709" y="19881"/>
              </a:lnTo>
              <a:lnTo>
                <a:pt x="440800" y="18752"/>
              </a:lnTo>
              <a:lnTo>
                <a:pt x="42267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0.72258</cdr:x>
      <cdr:y>0.47744</cdr:y>
    </cdr:from>
    <cdr:to>
      <cdr:x>0.78402</cdr:x>
      <cdr:y>0.53845</cdr:y>
    </cdr:to>
    <cdr:sp macro="" textlink="">
      <cdr:nvSpPr>
        <cdr:cNvPr id="424" name="FracNo 197 StartRow 4571">
          <a:extLst xmlns:a="http://schemas.openxmlformats.org/drawingml/2006/main">
            <a:ext uri="{FF2B5EF4-FFF2-40B4-BE49-F238E27FC236}">
              <a16:creationId xmlns:a16="http://schemas.microsoft.com/office/drawing/2014/main" id="{EB99485A-B97A-D16D-554C-7151F9639008}"/>
            </a:ext>
          </a:extLst>
        </cdr:cNvPr>
        <cdr:cNvSpPr/>
      </cdr:nvSpPr>
      <cdr:spPr>
        <a:xfrm xmlns:a="http://schemas.openxmlformats.org/drawingml/2006/main">
          <a:off x="5285828" y="3638127"/>
          <a:ext cx="449464" cy="4649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9464" h="464900">
              <a:moveTo>
                <a:pt x="307381" y="128209"/>
              </a:moveTo>
              <a:lnTo>
                <a:pt x="0" y="446147"/>
              </a:lnTo>
              <a:lnTo>
                <a:pt x="18129" y="464899"/>
              </a:lnTo>
              <a:lnTo>
                <a:pt x="325510" y="146961"/>
              </a:lnTo>
              <a:lnTo>
                <a:pt x="449463" y="18752"/>
              </a:lnTo>
              <a:lnTo>
                <a:pt x="4313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0.32308</cdr:x>
      <cdr:y>0.81084</cdr:y>
    </cdr:from>
    <cdr:to>
      <cdr:x>0.38421</cdr:x>
      <cdr:y>0.87154</cdr:y>
    </cdr:to>
    <cdr:sp macro="" textlink="">
      <cdr:nvSpPr>
        <cdr:cNvPr id="425" name="FracNo 782 StartRow 4580">
          <a:extLst xmlns:a="http://schemas.openxmlformats.org/drawingml/2006/main">
            <a:ext uri="{FF2B5EF4-FFF2-40B4-BE49-F238E27FC236}">
              <a16:creationId xmlns:a16="http://schemas.microsoft.com/office/drawing/2014/main" id="{344584D7-8847-03AC-E4F7-95ABA39D38EB}"/>
            </a:ext>
          </a:extLst>
        </cdr:cNvPr>
        <cdr:cNvSpPr/>
      </cdr:nvSpPr>
      <cdr:spPr>
        <a:xfrm xmlns:a="http://schemas.openxmlformats.org/drawingml/2006/main">
          <a:off x="2363397" y="6178579"/>
          <a:ext cx="447176" cy="4625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7176" h="462532">
              <a:moveTo>
                <a:pt x="348523" y="83288"/>
              </a:moveTo>
              <a:lnTo>
                <a:pt x="0" y="443779"/>
              </a:lnTo>
              <a:lnTo>
                <a:pt x="18130" y="462531"/>
              </a:lnTo>
              <a:lnTo>
                <a:pt x="366652" y="102040"/>
              </a:lnTo>
              <a:lnTo>
                <a:pt x="391554" y="76282"/>
              </a:lnTo>
              <a:lnTo>
                <a:pt x="447175" y="18752"/>
              </a:lnTo>
              <a:lnTo>
                <a:pt x="429045" y="0"/>
              </a:lnTo>
              <a:lnTo>
                <a:pt x="373425" y="5753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0.57339</cdr:y>
    </cdr:from>
    <cdr:to>
      <cdr:x>0.15128</cdr:x>
      <cdr:y>0.63489</cdr:y>
    </cdr:to>
    <cdr:sp macro="" textlink="">
      <cdr:nvSpPr>
        <cdr:cNvPr id="426" name="FracNo 505 StartRow 4591">
          <a:extLst xmlns:a="http://schemas.openxmlformats.org/drawingml/2006/main">
            <a:ext uri="{FF2B5EF4-FFF2-40B4-BE49-F238E27FC236}">
              <a16:creationId xmlns:a16="http://schemas.microsoft.com/office/drawing/2014/main" id="{309BA243-2D53-BD63-3CF5-E94F1BBAA592}"/>
            </a:ext>
          </a:extLst>
        </cdr:cNvPr>
        <cdr:cNvSpPr/>
      </cdr:nvSpPr>
      <cdr:spPr>
        <a:xfrm xmlns:a="http://schemas.openxmlformats.org/drawingml/2006/main">
          <a:off x="671676" y="4369241"/>
          <a:ext cx="434934" cy="4686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4934" h="468622">
              <a:moveTo>
                <a:pt x="23367" y="406948"/>
              </a:moveTo>
              <a:lnTo>
                <a:pt x="0" y="431117"/>
              </a:lnTo>
              <a:lnTo>
                <a:pt x="0" y="468621"/>
              </a:lnTo>
              <a:lnTo>
                <a:pt x="24383" y="443401"/>
              </a:lnTo>
              <a:lnTo>
                <a:pt x="434933" y="18752"/>
              </a:lnTo>
              <a:lnTo>
                <a:pt x="41680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0.541</cdr:x>
      <cdr:y>0.67691</cdr:y>
    </cdr:from>
    <cdr:to>
      <cdr:x>0.60149</cdr:x>
      <cdr:y>0.73697</cdr:y>
    </cdr:to>
    <cdr:sp macro="" textlink="">
      <cdr:nvSpPr>
        <cdr:cNvPr id="427" name="FracNo 998 StartRow 4600">
          <a:extLst xmlns:a="http://schemas.openxmlformats.org/drawingml/2006/main">
            <a:ext uri="{FF2B5EF4-FFF2-40B4-BE49-F238E27FC236}">
              <a16:creationId xmlns:a16="http://schemas.microsoft.com/office/drawing/2014/main" id="{A116631F-2462-F291-F61D-EC259FEC14D1}"/>
            </a:ext>
          </a:extLst>
        </cdr:cNvPr>
        <cdr:cNvSpPr/>
      </cdr:nvSpPr>
      <cdr:spPr>
        <a:xfrm xmlns:a="http://schemas.openxmlformats.org/drawingml/2006/main">
          <a:off x="3957510" y="5158024"/>
          <a:ext cx="442519" cy="4577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2519" h="457716">
              <a:moveTo>
                <a:pt x="349326" y="77640"/>
              </a:moveTo>
              <a:lnTo>
                <a:pt x="0" y="438963"/>
              </a:lnTo>
              <a:lnTo>
                <a:pt x="18130" y="457715"/>
              </a:lnTo>
              <a:lnTo>
                <a:pt x="367455" y="96392"/>
              </a:lnTo>
              <a:lnTo>
                <a:pt x="442518" y="18752"/>
              </a:lnTo>
              <a:lnTo>
                <a:pt x="42438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0.31483</cdr:x>
      <cdr:y>0.71344</cdr:y>
    </cdr:from>
    <cdr:to>
      <cdr:x>0.3741</cdr:x>
      <cdr:y>0.7723</cdr:y>
    </cdr:to>
    <cdr:sp macro="" textlink="">
      <cdr:nvSpPr>
        <cdr:cNvPr id="428" name="FracNo 40 StartRow 4609">
          <a:extLst xmlns:a="http://schemas.openxmlformats.org/drawingml/2006/main">
            <a:ext uri="{FF2B5EF4-FFF2-40B4-BE49-F238E27FC236}">
              <a16:creationId xmlns:a16="http://schemas.microsoft.com/office/drawing/2014/main" id="{78A3DD94-6161-A2A6-C6AF-FDE366A0509B}"/>
            </a:ext>
          </a:extLst>
        </cdr:cNvPr>
        <cdr:cNvSpPr/>
      </cdr:nvSpPr>
      <cdr:spPr>
        <a:xfrm xmlns:a="http://schemas.openxmlformats.org/drawingml/2006/main">
          <a:off x="2303058" y="5436425"/>
          <a:ext cx="433574" cy="4484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3574" h="448464">
              <a:moveTo>
                <a:pt x="78097" y="348932"/>
              </a:moveTo>
              <a:lnTo>
                <a:pt x="0" y="429711"/>
              </a:lnTo>
              <a:lnTo>
                <a:pt x="18130" y="448463"/>
              </a:lnTo>
              <a:lnTo>
                <a:pt x="96226" y="367684"/>
              </a:lnTo>
              <a:lnTo>
                <a:pt x="433573" y="18752"/>
              </a:lnTo>
              <a:lnTo>
                <a:pt x="41544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0.88451</cdr:x>
      <cdr:y>0.70369</cdr:y>
    </cdr:from>
    <cdr:to>
      <cdr:x>0.94246</cdr:x>
      <cdr:y>0.7637</cdr:y>
    </cdr:to>
    <cdr:sp macro="" textlink="">
      <cdr:nvSpPr>
        <cdr:cNvPr id="429" name="FracNo 765 StartRow 4618">
          <a:extLst xmlns:a="http://schemas.openxmlformats.org/drawingml/2006/main">
            <a:ext uri="{FF2B5EF4-FFF2-40B4-BE49-F238E27FC236}">
              <a16:creationId xmlns:a16="http://schemas.microsoft.com/office/drawing/2014/main" id="{05402D7C-A07C-D037-3894-B8070A08E2B5}"/>
            </a:ext>
          </a:extLst>
        </cdr:cNvPr>
        <cdr:cNvSpPr/>
      </cdr:nvSpPr>
      <cdr:spPr>
        <a:xfrm xmlns:a="http://schemas.openxmlformats.org/drawingml/2006/main">
          <a:off x="6470365" y="5362149"/>
          <a:ext cx="423943" cy="4572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3943" h="457255">
              <a:moveTo>
                <a:pt x="360105" y="66030"/>
              </a:moveTo>
              <a:lnTo>
                <a:pt x="0" y="438502"/>
              </a:lnTo>
              <a:lnTo>
                <a:pt x="18129" y="457254"/>
              </a:lnTo>
              <a:lnTo>
                <a:pt x="362835" y="100710"/>
              </a:lnTo>
              <a:lnTo>
                <a:pt x="423942" y="37504"/>
              </a:lnTo>
              <a:lnTo>
                <a:pt x="42394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0.4868</cdr:x>
      <cdr:y>0.76595</cdr:y>
    </cdr:from>
    <cdr:to>
      <cdr:x>0.54553</cdr:x>
      <cdr:y>0.82427</cdr:y>
    </cdr:to>
    <cdr:sp macro="" textlink="">
      <cdr:nvSpPr>
        <cdr:cNvPr id="430" name="FracNo 879 StartRow 4627">
          <a:extLst xmlns:a="http://schemas.openxmlformats.org/drawingml/2006/main">
            <a:ext uri="{FF2B5EF4-FFF2-40B4-BE49-F238E27FC236}">
              <a16:creationId xmlns:a16="http://schemas.microsoft.com/office/drawing/2014/main" id="{FB658087-D090-9C56-E2C8-1E67DB5F4711}"/>
            </a:ext>
          </a:extLst>
        </cdr:cNvPr>
        <cdr:cNvSpPr/>
      </cdr:nvSpPr>
      <cdr:spPr>
        <a:xfrm xmlns:a="http://schemas.openxmlformats.org/drawingml/2006/main">
          <a:off x="3561011" y="5836553"/>
          <a:ext cx="429664" cy="4444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9664" h="444420">
              <a:moveTo>
                <a:pt x="390168" y="59603"/>
              </a:moveTo>
              <a:lnTo>
                <a:pt x="18129" y="444419"/>
              </a:lnTo>
              <a:lnTo>
                <a:pt x="0" y="425667"/>
              </a:lnTo>
              <a:lnTo>
                <a:pt x="372038" y="40851"/>
              </a:lnTo>
              <a:lnTo>
                <a:pt x="411534" y="0"/>
              </a:lnTo>
              <a:lnTo>
                <a:pt x="42966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0.88503</cdr:x>
      <cdr:y>0.18746</cdr:y>
    </cdr:from>
    <cdr:to>
      <cdr:x>0.94246</cdr:x>
      <cdr:y>0.24695</cdr:y>
    </cdr:to>
    <cdr:sp macro="" textlink="">
      <cdr:nvSpPr>
        <cdr:cNvPr id="431" name="FracNo 956 StartRow 4636">
          <a:extLst xmlns:a="http://schemas.openxmlformats.org/drawingml/2006/main">
            <a:ext uri="{FF2B5EF4-FFF2-40B4-BE49-F238E27FC236}">
              <a16:creationId xmlns:a16="http://schemas.microsoft.com/office/drawing/2014/main" id="{D49A8305-8E7C-B4AA-AC86-A96F636FABB1}"/>
            </a:ext>
          </a:extLst>
        </cdr:cNvPr>
        <cdr:cNvSpPr/>
      </cdr:nvSpPr>
      <cdr:spPr>
        <a:xfrm xmlns:a="http://schemas.openxmlformats.org/drawingml/2006/main">
          <a:off x="6474168" y="1428417"/>
          <a:ext cx="420140" cy="4533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0140" h="453321">
              <a:moveTo>
                <a:pt x="331870" y="91300"/>
              </a:moveTo>
              <a:lnTo>
                <a:pt x="0" y="434568"/>
              </a:lnTo>
              <a:lnTo>
                <a:pt x="18129" y="453320"/>
              </a:lnTo>
              <a:lnTo>
                <a:pt x="335679" y="124865"/>
              </a:lnTo>
              <a:lnTo>
                <a:pt x="420139" y="37504"/>
              </a:lnTo>
              <a:lnTo>
                <a:pt x="42013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0.81036</cdr:x>
      <cdr:y>0.5654</cdr:y>
    </cdr:from>
    <cdr:to>
      <cdr:x>0.86868</cdr:x>
      <cdr:y>0.62331</cdr:y>
    </cdr:to>
    <cdr:sp macro="" textlink="">
      <cdr:nvSpPr>
        <cdr:cNvPr id="432" name="FracNo 847 StartRow 4645">
          <a:extLst xmlns:a="http://schemas.openxmlformats.org/drawingml/2006/main">
            <a:ext uri="{FF2B5EF4-FFF2-40B4-BE49-F238E27FC236}">
              <a16:creationId xmlns:a16="http://schemas.microsoft.com/office/drawing/2014/main" id="{4D7C9EE3-721B-4FE2-D247-BDDFE5B49857}"/>
            </a:ext>
          </a:extLst>
        </cdr:cNvPr>
        <cdr:cNvSpPr/>
      </cdr:nvSpPr>
      <cdr:spPr>
        <a:xfrm xmlns:a="http://schemas.openxmlformats.org/drawingml/2006/main">
          <a:off x="5927933" y="4308354"/>
          <a:ext cx="426603" cy="4412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6603" h="441253">
              <a:moveTo>
                <a:pt x="375455" y="34151"/>
              </a:moveTo>
              <a:lnTo>
                <a:pt x="0" y="422501"/>
              </a:lnTo>
              <a:lnTo>
                <a:pt x="18129" y="441252"/>
              </a:lnTo>
              <a:lnTo>
                <a:pt x="393584" y="52903"/>
              </a:lnTo>
              <a:lnTo>
                <a:pt x="426602" y="18752"/>
              </a:lnTo>
              <a:lnTo>
                <a:pt x="40847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0.88586</cdr:x>
      <cdr:y>0.12504</cdr:y>
    </cdr:from>
    <cdr:to>
      <cdr:x>0.94246</cdr:x>
      <cdr:y>0.18371</cdr:y>
    </cdr:to>
    <cdr:sp macro="" textlink="">
      <cdr:nvSpPr>
        <cdr:cNvPr id="433" name="FracNo 786 StartRow 4654">
          <a:extLst xmlns:a="http://schemas.openxmlformats.org/drawingml/2006/main">
            <a:ext uri="{FF2B5EF4-FFF2-40B4-BE49-F238E27FC236}">
              <a16:creationId xmlns:a16="http://schemas.microsoft.com/office/drawing/2014/main" id="{9BF11614-502F-8020-5525-4C0AA1146655}"/>
            </a:ext>
          </a:extLst>
        </cdr:cNvPr>
        <cdr:cNvSpPr/>
      </cdr:nvSpPr>
      <cdr:spPr>
        <a:xfrm xmlns:a="http://schemas.openxmlformats.org/drawingml/2006/main">
          <a:off x="6480214" y="952768"/>
          <a:ext cx="414094" cy="4470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4094" h="447067">
              <a:moveTo>
                <a:pt x="304889" y="112955"/>
              </a:moveTo>
              <a:lnTo>
                <a:pt x="0" y="428314"/>
              </a:lnTo>
              <a:lnTo>
                <a:pt x="18129" y="447066"/>
              </a:lnTo>
              <a:lnTo>
                <a:pt x="309670" y="145513"/>
              </a:lnTo>
              <a:lnTo>
                <a:pt x="414093" y="37504"/>
              </a:lnTo>
              <a:lnTo>
                <a:pt x="41409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0.6381</cdr:x>
      <cdr:y>0.87433</cdr:y>
    </cdr:from>
    <cdr:to>
      <cdr:x>0.69674</cdr:x>
      <cdr:y>0.9301</cdr:y>
    </cdr:to>
    <cdr:sp macro="" textlink="">
      <cdr:nvSpPr>
        <cdr:cNvPr id="434" name="FracNo 1016 StartRow 4663">
          <a:extLst xmlns:a="http://schemas.openxmlformats.org/drawingml/2006/main">
            <a:ext uri="{FF2B5EF4-FFF2-40B4-BE49-F238E27FC236}">
              <a16:creationId xmlns:a16="http://schemas.microsoft.com/office/drawing/2014/main" id="{2FC49910-5916-8300-76A7-37ABDBA52BB4}"/>
            </a:ext>
          </a:extLst>
        </cdr:cNvPr>
        <cdr:cNvSpPr/>
      </cdr:nvSpPr>
      <cdr:spPr>
        <a:xfrm xmlns:a="http://schemas.openxmlformats.org/drawingml/2006/main">
          <a:off x="4667858" y="6662415"/>
          <a:ext cx="428971" cy="4249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8971" h="424951">
              <a:moveTo>
                <a:pt x="231744" y="185248"/>
              </a:moveTo>
              <a:lnTo>
                <a:pt x="139510" y="280649"/>
              </a:lnTo>
              <a:lnTo>
                <a:pt x="0" y="424950"/>
              </a:lnTo>
              <a:lnTo>
                <a:pt x="36258" y="424950"/>
              </a:lnTo>
              <a:lnTo>
                <a:pt x="164968" y="291821"/>
              </a:lnTo>
              <a:lnTo>
                <a:pt x="254711" y="198996"/>
              </a:lnTo>
              <a:lnTo>
                <a:pt x="428970" y="18752"/>
              </a:lnTo>
              <a:lnTo>
                <a:pt x="41084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0.33057</cdr:x>
      <cdr:y>0.26121</cdr:y>
    </cdr:from>
    <cdr:to>
      <cdr:x>0.38667</cdr:x>
      <cdr:y>0.31692</cdr:y>
    </cdr:to>
    <cdr:sp macro="" textlink="">
      <cdr:nvSpPr>
        <cdr:cNvPr id="435" name="FracNo 583 StartRow 4674">
          <a:extLst xmlns:a="http://schemas.openxmlformats.org/drawingml/2006/main">
            <a:ext uri="{FF2B5EF4-FFF2-40B4-BE49-F238E27FC236}">
              <a16:creationId xmlns:a16="http://schemas.microsoft.com/office/drawing/2014/main" id="{C61F72AC-3828-18CA-3426-B2200E2D3FEF}"/>
            </a:ext>
          </a:extLst>
        </cdr:cNvPr>
        <cdr:cNvSpPr/>
      </cdr:nvSpPr>
      <cdr:spPr>
        <a:xfrm xmlns:a="http://schemas.openxmlformats.org/drawingml/2006/main">
          <a:off x="2418150" y="1990424"/>
          <a:ext cx="410421" cy="4245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0421" h="424516">
              <a:moveTo>
                <a:pt x="50283" y="391257"/>
              </a:moveTo>
              <a:lnTo>
                <a:pt x="18129" y="424515"/>
              </a:lnTo>
              <a:lnTo>
                <a:pt x="0" y="405763"/>
              </a:lnTo>
              <a:lnTo>
                <a:pt x="32154" y="372505"/>
              </a:lnTo>
              <a:lnTo>
                <a:pt x="318672" y="76147"/>
              </a:lnTo>
              <a:lnTo>
                <a:pt x="392291" y="0"/>
              </a:lnTo>
              <a:lnTo>
                <a:pt x="410420" y="18751"/>
              </a:lnTo>
              <a:lnTo>
                <a:pt x="336801" y="9489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0.23138</cdr:x>
      <cdr:y>0.36279</cdr:y>
    </cdr:from>
    <cdr:to>
      <cdr:x>0.28709</cdr:x>
      <cdr:y>0.41812</cdr:y>
    </cdr:to>
    <cdr:sp macro="" textlink="">
      <cdr:nvSpPr>
        <cdr:cNvPr id="436" name="FracNo 511 StartRow 4685">
          <a:extLst xmlns:a="http://schemas.openxmlformats.org/drawingml/2006/main">
            <a:ext uri="{FF2B5EF4-FFF2-40B4-BE49-F238E27FC236}">
              <a16:creationId xmlns:a16="http://schemas.microsoft.com/office/drawing/2014/main" id="{1AD91C4B-B5FA-4560-064A-BAC38B010CBA}"/>
            </a:ext>
          </a:extLst>
        </cdr:cNvPr>
        <cdr:cNvSpPr/>
      </cdr:nvSpPr>
      <cdr:spPr>
        <a:xfrm xmlns:a="http://schemas.openxmlformats.org/drawingml/2006/main">
          <a:off x="1692561" y="2764468"/>
          <a:ext cx="407583" cy="4215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7583" h="421580">
              <a:moveTo>
                <a:pt x="241038" y="191016"/>
              </a:moveTo>
              <a:lnTo>
                <a:pt x="18129" y="421579"/>
              </a:lnTo>
              <a:lnTo>
                <a:pt x="0" y="402827"/>
              </a:lnTo>
              <a:lnTo>
                <a:pt x="222909" y="172264"/>
              </a:lnTo>
              <a:lnTo>
                <a:pt x="367569" y="22635"/>
              </a:lnTo>
              <a:lnTo>
                <a:pt x="389453" y="0"/>
              </a:lnTo>
              <a:lnTo>
                <a:pt x="407582" y="18752"/>
              </a:lnTo>
              <a:lnTo>
                <a:pt x="385698" y="4138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0.28769</cdr:x>
      <cdr:y>0.71066</cdr:y>
    </cdr:from>
    <cdr:to>
      <cdr:x>0.34335</cdr:x>
      <cdr:y>0.76593</cdr:y>
    </cdr:to>
    <cdr:sp macro="" textlink="">
      <cdr:nvSpPr>
        <cdr:cNvPr id="437" name="FracNo 742 StartRow 4696">
          <a:extLst xmlns:a="http://schemas.openxmlformats.org/drawingml/2006/main">
            <a:ext uri="{FF2B5EF4-FFF2-40B4-BE49-F238E27FC236}">
              <a16:creationId xmlns:a16="http://schemas.microsoft.com/office/drawing/2014/main" id="{D62A161B-2A06-B619-958A-CD6FB35674E3}"/>
            </a:ext>
          </a:extLst>
        </cdr:cNvPr>
        <cdr:cNvSpPr/>
      </cdr:nvSpPr>
      <cdr:spPr>
        <a:xfrm xmlns:a="http://schemas.openxmlformats.org/drawingml/2006/main">
          <a:off x="2104476" y="5415207"/>
          <a:ext cx="407228" cy="4212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7228" h="421214">
              <a:moveTo>
                <a:pt x="256403" y="174757"/>
              </a:moveTo>
              <a:lnTo>
                <a:pt x="18130" y="421213"/>
              </a:lnTo>
              <a:lnTo>
                <a:pt x="0" y="402461"/>
              </a:lnTo>
              <a:lnTo>
                <a:pt x="238273" y="156005"/>
              </a:lnTo>
              <a:lnTo>
                <a:pt x="389098" y="0"/>
              </a:lnTo>
              <a:lnTo>
                <a:pt x="40722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0.48055</cdr:x>
      <cdr:y>0.65826</cdr:y>
    </cdr:from>
    <cdr:to>
      <cdr:x>0.53548</cdr:x>
      <cdr:y>0.7128</cdr:y>
    </cdr:to>
    <cdr:sp macro="" textlink="">
      <cdr:nvSpPr>
        <cdr:cNvPr id="438" name="FracNo 787 StartRow 4705">
          <a:extLst xmlns:a="http://schemas.openxmlformats.org/drawingml/2006/main">
            <a:ext uri="{FF2B5EF4-FFF2-40B4-BE49-F238E27FC236}">
              <a16:creationId xmlns:a16="http://schemas.microsoft.com/office/drawing/2014/main" id="{E31C2774-E904-130E-51C5-D31DD242FBAE}"/>
            </a:ext>
          </a:extLst>
        </cdr:cNvPr>
        <cdr:cNvSpPr/>
      </cdr:nvSpPr>
      <cdr:spPr>
        <a:xfrm xmlns:a="http://schemas.openxmlformats.org/drawingml/2006/main">
          <a:off x="3515336" y="5015936"/>
          <a:ext cx="401775" cy="4155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1775" h="415573">
              <a:moveTo>
                <a:pt x="95964" y="335064"/>
              </a:moveTo>
              <a:lnTo>
                <a:pt x="18130" y="415572"/>
              </a:lnTo>
              <a:lnTo>
                <a:pt x="0" y="396820"/>
              </a:lnTo>
              <a:lnTo>
                <a:pt x="77835" y="316312"/>
              </a:lnTo>
              <a:lnTo>
                <a:pt x="383645" y="0"/>
              </a:lnTo>
              <a:lnTo>
                <a:pt x="40177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0.83752</cdr:y>
    </cdr:from>
    <cdr:to>
      <cdr:x>0.14535</cdr:x>
      <cdr:y>0.89314</cdr:y>
    </cdr:to>
    <cdr:sp macro="" textlink="">
      <cdr:nvSpPr>
        <cdr:cNvPr id="439" name="FracNo 31 StartRow 4714">
          <a:extLst xmlns:a="http://schemas.openxmlformats.org/drawingml/2006/main">
            <a:ext uri="{FF2B5EF4-FFF2-40B4-BE49-F238E27FC236}">
              <a16:creationId xmlns:a16="http://schemas.microsoft.com/office/drawing/2014/main" id="{D18828FC-790E-DCAF-7FCE-F3ED1C3CB059}"/>
            </a:ext>
          </a:extLst>
        </cdr:cNvPr>
        <cdr:cNvSpPr/>
      </cdr:nvSpPr>
      <cdr:spPr>
        <a:xfrm xmlns:a="http://schemas.openxmlformats.org/drawingml/2006/main">
          <a:off x="671676" y="6381913"/>
          <a:ext cx="391616" cy="4238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1616" h="423817">
              <a:moveTo>
                <a:pt x="275476" y="138880"/>
              </a:moveTo>
              <a:lnTo>
                <a:pt x="0" y="423816"/>
              </a:lnTo>
              <a:lnTo>
                <a:pt x="0" y="386312"/>
              </a:lnTo>
              <a:lnTo>
                <a:pt x="262723" y="114566"/>
              </a:lnTo>
              <a:lnTo>
                <a:pt x="373486" y="0"/>
              </a:lnTo>
              <a:lnTo>
                <a:pt x="39161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0.73713</cdr:x>
      <cdr:y>0.87712</cdr:y>
    </cdr:from>
    <cdr:to>
      <cdr:x>0.79297</cdr:x>
      <cdr:y>0.9301</cdr:y>
    </cdr:to>
    <cdr:sp macro="" textlink="">
      <cdr:nvSpPr>
        <cdr:cNvPr id="440" name="FracNo 423 StartRow 4723">
          <a:extLst xmlns:a="http://schemas.openxmlformats.org/drawingml/2006/main">
            <a:ext uri="{FF2B5EF4-FFF2-40B4-BE49-F238E27FC236}">
              <a16:creationId xmlns:a16="http://schemas.microsoft.com/office/drawing/2014/main" id="{BA888CC0-0846-8F84-2447-2D8322CEBBF8}"/>
            </a:ext>
          </a:extLst>
        </cdr:cNvPr>
        <cdr:cNvSpPr/>
      </cdr:nvSpPr>
      <cdr:spPr>
        <a:xfrm xmlns:a="http://schemas.openxmlformats.org/drawingml/2006/main">
          <a:off x="5392241" y="6683624"/>
          <a:ext cx="408467" cy="4037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8467" h="403742">
              <a:moveTo>
                <a:pt x="316512" y="76360"/>
              </a:moveTo>
              <a:lnTo>
                <a:pt x="0" y="403741"/>
              </a:lnTo>
              <a:lnTo>
                <a:pt x="36259" y="403741"/>
              </a:lnTo>
              <a:lnTo>
                <a:pt x="338070" y="91565"/>
              </a:lnTo>
              <a:lnTo>
                <a:pt x="408466" y="18751"/>
              </a:lnTo>
              <a:lnTo>
                <a:pt x="39033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0.14373</cdr:x>
      <cdr:y>0.78823</cdr:y>
    </cdr:from>
    <cdr:to>
      <cdr:x>0.19669</cdr:x>
      <cdr:y>0.84083</cdr:y>
    </cdr:to>
    <cdr:sp macro="" textlink="">
      <cdr:nvSpPr>
        <cdr:cNvPr id="441" name="FracNo 29 StartRow 4732">
          <a:extLst xmlns:a="http://schemas.openxmlformats.org/drawingml/2006/main">
            <a:ext uri="{FF2B5EF4-FFF2-40B4-BE49-F238E27FC236}">
              <a16:creationId xmlns:a16="http://schemas.microsoft.com/office/drawing/2014/main" id="{E1F640AF-7133-38F8-6477-E1FD1EF12CB1}"/>
            </a:ext>
          </a:extLst>
        </cdr:cNvPr>
        <cdr:cNvSpPr/>
      </cdr:nvSpPr>
      <cdr:spPr>
        <a:xfrm xmlns:a="http://schemas.openxmlformats.org/drawingml/2006/main">
          <a:off x="1051394" y="6006342"/>
          <a:ext cx="387464" cy="4007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7464" h="400770">
              <a:moveTo>
                <a:pt x="129640" y="285428"/>
              </a:moveTo>
              <a:lnTo>
                <a:pt x="18129" y="400769"/>
              </a:lnTo>
              <a:lnTo>
                <a:pt x="0" y="382017"/>
              </a:lnTo>
              <a:lnTo>
                <a:pt x="111511" y="266677"/>
              </a:lnTo>
              <a:lnTo>
                <a:pt x="369334" y="0"/>
              </a:lnTo>
              <a:lnTo>
                <a:pt x="387463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0.42755</cdr:y>
    </cdr:from>
    <cdr:to>
      <cdr:x>0.14273</cdr:x>
      <cdr:y>0.48056</cdr:y>
    </cdr:to>
    <cdr:sp macro="" textlink="">
      <cdr:nvSpPr>
        <cdr:cNvPr id="442" name="FracNo 920 StartRow 4741">
          <a:extLst xmlns:a="http://schemas.openxmlformats.org/drawingml/2006/main">
            <a:ext uri="{FF2B5EF4-FFF2-40B4-BE49-F238E27FC236}">
              <a16:creationId xmlns:a16="http://schemas.microsoft.com/office/drawing/2014/main" id="{9F23770F-AFCF-780E-056C-EF14B3C33857}"/>
            </a:ext>
          </a:extLst>
        </cdr:cNvPr>
        <cdr:cNvSpPr/>
      </cdr:nvSpPr>
      <cdr:spPr>
        <a:xfrm xmlns:a="http://schemas.openxmlformats.org/drawingml/2006/main">
          <a:off x="671676" y="3257901"/>
          <a:ext cx="372392" cy="4039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392" h="403932">
              <a:moveTo>
                <a:pt x="339470" y="52802"/>
              </a:moveTo>
              <a:lnTo>
                <a:pt x="0" y="403931"/>
              </a:lnTo>
              <a:lnTo>
                <a:pt x="0" y="366427"/>
              </a:lnTo>
              <a:lnTo>
                <a:pt x="322944" y="32393"/>
              </a:lnTo>
              <a:lnTo>
                <a:pt x="354261" y="0"/>
              </a:lnTo>
              <a:lnTo>
                <a:pt x="37239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0.84505</cdr:x>
      <cdr:y>0.78115</cdr:y>
    </cdr:from>
    <cdr:to>
      <cdr:x>0.89715</cdr:x>
      <cdr:y>0.83289</cdr:y>
    </cdr:to>
    <cdr:sp macro="" textlink="">
      <cdr:nvSpPr>
        <cdr:cNvPr id="443" name="FracNo 428 StartRow 4750">
          <a:extLst xmlns:a="http://schemas.openxmlformats.org/drawingml/2006/main">
            <a:ext uri="{FF2B5EF4-FFF2-40B4-BE49-F238E27FC236}">
              <a16:creationId xmlns:a16="http://schemas.microsoft.com/office/drawing/2014/main" id="{3E4996EE-E4DA-715E-B465-06ADE44A9EB6}"/>
            </a:ext>
          </a:extLst>
        </cdr:cNvPr>
        <cdr:cNvSpPr/>
      </cdr:nvSpPr>
      <cdr:spPr>
        <a:xfrm xmlns:a="http://schemas.openxmlformats.org/drawingml/2006/main">
          <a:off x="6181720" y="5952348"/>
          <a:ext cx="381147" cy="3942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1147" h="394237">
              <a:moveTo>
                <a:pt x="244191" y="122907"/>
              </a:moveTo>
              <a:lnTo>
                <a:pt x="0" y="375484"/>
              </a:lnTo>
              <a:lnTo>
                <a:pt x="18129" y="394236"/>
              </a:lnTo>
              <a:lnTo>
                <a:pt x="262321" y="141659"/>
              </a:lnTo>
              <a:lnTo>
                <a:pt x="381146" y="18752"/>
              </a:lnTo>
              <a:lnTo>
                <a:pt x="36301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0.34239</cdr:x>
      <cdr:y>0.66336</cdr:y>
    </cdr:from>
    <cdr:to>
      <cdr:x>0.394</cdr:x>
      <cdr:y>0.71462</cdr:y>
    </cdr:to>
    <cdr:sp macro="" textlink="">
      <cdr:nvSpPr>
        <cdr:cNvPr id="444" name="FracNo 38 StartRow 4759">
          <a:extLst xmlns:a="http://schemas.openxmlformats.org/drawingml/2006/main">
            <a:ext uri="{FF2B5EF4-FFF2-40B4-BE49-F238E27FC236}">
              <a16:creationId xmlns:a16="http://schemas.microsoft.com/office/drawing/2014/main" id="{224643EE-25FC-1406-7E7E-D0FE12DD9C6B}"/>
            </a:ext>
          </a:extLst>
        </cdr:cNvPr>
        <cdr:cNvSpPr/>
      </cdr:nvSpPr>
      <cdr:spPr>
        <a:xfrm xmlns:a="http://schemas.openxmlformats.org/drawingml/2006/main">
          <a:off x="2504617" y="5054835"/>
          <a:ext cx="377580" cy="3905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7580" h="390547">
              <a:moveTo>
                <a:pt x="151601" y="214986"/>
              </a:moveTo>
              <a:lnTo>
                <a:pt x="0" y="371794"/>
              </a:lnTo>
              <a:lnTo>
                <a:pt x="18129" y="390546"/>
              </a:lnTo>
              <a:lnTo>
                <a:pt x="169730" y="233738"/>
              </a:lnTo>
              <a:lnTo>
                <a:pt x="250334" y="150366"/>
              </a:lnTo>
              <a:lnTo>
                <a:pt x="377579" y="18751"/>
              </a:lnTo>
              <a:lnTo>
                <a:pt x="359450" y="0"/>
              </a:lnTo>
              <a:lnTo>
                <a:pt x="232205" y="13161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0.42756</cdr:x>
      <cdr:y>0.77565</cdr:y>
    </cdr:from>
    <cdr:to>
      <cdr:x>0.4786</cdr:x>
      <cdr:y>0.82633</cdr:y>
    </cdr:to>
    <cdr:sp macro="" textlink="">
      <cdr:nvSpPr>
        <cdr:cNvPr id="445" name="FracNo 276 StartRow 4770">
          <a:extLst xmlns:a="http://schemas.openxmlformats.org/drawingml/2006/main">
            <a:ext uri="{FF2B5EF4-FFF2-40B4-BE49-F238E27FC236}">
              <a16:creationId xmlns:a16="http://schemas.microsoft.com/office/drawing/2014/main" id="{3A39F5DF-31E9-6659-5CE3-A708A90EAEE4}"/>
            </a:ext>
          </a:extLst>
        </cdr:cNvPr>
        <cdr:cNvSpPr/>
      </cdr:nvSpPr>
      <cdr:spPr>
        <a:xfrm xmlns:a="http://schemas.openxmlformats.org/drawingml/2006/main">
          <a:off x="3127719" y="5910467"/>
          <a:ext cx="373357" cy="3861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3357" h="386179">
              <a:moveTo>
                <a:pt x="192066" y="206268"/>
              </a:moveTo>
              <a:lnTo>
                <a:pt x="18129" y="386178"/>
              </a:lnTo>
              <a:lnTo>
                <a:pt x="0" y="367426"/>
              </a:lnTo>
              <a:lnTo>
                <a:pt x="173936" y="187516"/>
              </a:lnTo>
              <a:lnTo>
                <a:pt x="355227" y="0"/>
              </a:lnTo>
              <a:lnTo>
                <a:pt x="37335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0.10692</cdr:x>
      <cdr:y>0.66732</cdr:y>
    </cdr:from>
    <cdr:to>
      <cdr:x>0.15719</cdr:x>
      <cdr:y>0.71723</cdr:y>
    </cdr:to>
    <cdr:sp macro="" textlink="">
      <cdr:nvSpPr>
        <cdr:cNvPr id="446" name="FracNo 28 StartRow 4779">
          <a:extLst xmlns:a="http://schemas.openxmlformats.org/drawingml/2006/main">
            <a:ext uri="{FF2B5EF4-FFF2-40B4-BE49-F238E27FC236}">
              <a16:creationId xmlns:a16="http://schemas.microsoft.com/office/drawing/2014/main" id="{1A4C35D3-1D59-55FB-7C99-EAF934F52FFA}"/>
            </a:ext>
          </a:extLst>
        </cdr:cNvPr>
        <cdr:cNvSpPr/>
      </cdr:nvSpPr>
      <cdr:spPr>
        <a:xfrm xmlns:a="http://schemas.openxmlformats.org/drawingml/2006/main">
          <a:off x="782147" y="5084961"/>
          <a:ext cx="367728" cy="3803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7728" h="380356">
              <a:moveTo>
                <a:pt x="27831" y="370320"/>
              </a:moveTo>
              <a:lnTo>
                <a:pt x="18129" y="380355"/>
              </a:lnTo>
              <a:lnTo>
                <a:pt x="0" y="361604"/>
              </a:lnTo>
              <a:lnTo>
                <a:pt x="9702" y="351568"/>
              </a:lnTo>
              <a:lnTo>
                <a:pt x="349598" y="0"/>
              </a:lnTo>
              <a:lnTo>
                <a:pt x="36772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0.14151</cdr:x>
      <cdr:y>0.13478</cdr:y>
    </cdr:to>
    <cdr:sp macro="" textlink="">
      <cdr:nvSpPr>
        <cdr:cNvPr id="447" name="FracNo 983 StartRow 4788">
          <a:extLst xmlns:a="http://schemas.openxmlformats.org/drawingml/2006/main">
            <a:ext uri="{FF2B5EF4-FFF2-40B4-BE49-F238E27FC236}">
              <a16:creationId xmlns:a16="http://schemas.microsoft.com/office/drawing/2014/main" id="{E2E60ADB-11F4-D9BB-C5A8-09AD69FE3492}"/>
            </a:ext>
          </a:extLst>
        </cdr:cNvPr>
        <cdr:cNvSpPr/>
      </cdr:nvSpPr>
      <cdr:spPr>
        <a:xfrm xmlns:a="http://schemas.openxmlformats.org/drawingml/2006/main">
          <a:off x="671676" y="651036"/>
          <a:ext cx="363491" cy="3759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3491" h="375974">
              <a:moveTo>
                <a:pt x="344836" y="19295"/>
              </a:moveTo>
              <a:lnTo>
                <a:pt x="0" y="375973"/>
              </a:lnTo>
              <a:lnTo>
                <a:pt x="0" y="338470"/>
              </a:lnTo>
              <a:lnTo>
                <a:pt x="310438" y="17370"/>
              </a:lnTo>
              <a:lnTo>
                <a:pt x="327232" y="0"/>
              </a:lnTo>
              <a:lnTo>
                <a:pt x="36349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0.89283</cdr:x>
      <cdr:y>0.88081</cdr:y>
    </cdr:from>
    <cdr:to>
      <cdr:x>0.94246</cdr:x>
      <cdr:y>0.9301</cdr:y>
    </cdr:to>
    <cdr:sp macro="" textlink="">
      <cdr:nvSpPr>
        <cdr:cNvPr id="448" name="FracNo 931 StartRow 4797">
          <a:extLst xmlns:a="http://schemas.openxmlformats.org/drawingml/2006/main">
            <a:ext uri="{FF2B5EF4-FFF2-40B4-BE49-F238E27FC236}">
              <a16:creationId xmlns:a16="http://schemas.microsoft.com/office/drawing/2014/main" id="{8E29E128-D233-3BD7-15E3-0A3B569FD94A}"/>
            </a:ext>
          </a:extLst>
        </cdr:cNvPr>
        <cdr:cNvSpPr/>
      </cdr:nvSpPr>
      <cdr:spPr>
        <a:xfrm xmlns:a="http://schemas.openxmlformats.org/drawingml/2006/main">
          <a:off x="6531194" y="6711782"/>
          <a:ext cx="363114" cy="3755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3114" h="375584">
              <a:moveTo>
                <a:pt x="340057" y="61352"/>
              </a:moveTo>
              <a:lnTo>
                <a:pt x="36258" y="375583"/>
              </a:lnTo>
              <a:lnTo>
                <a:pt x="0" y="375583"/>
              </a:lnTo>
              <a:lnTo>
                <a:pt x="337499" y="26494"/>
              </a:lnTo>
              <a:lnTo>
                <a:pt x="363113" y="0"/>
              </a:lnTo>
              <a:lnTo>
                <a:pt x="363113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0.42323</cdr:x>
      <cdr:y>0.66981</cdr:y>
    </cdr:from>
    <cdr:to>
      <cdr:x>0.47286</cdr:x>
      <cdr:y>0.71908</cdr:y>
    </cdr:to>
    <cdr:sp macro="" textlink="">
      <cdr:nvSpPr>
        <cdr:cNvPr id="449" name="FracNo 271 StartRow 4806">
          <a:extLst xmlns:a="http://schemas.openxmlformats.org/drawingml/2006/main">
            <a:ext uri="{FF2B5EF4-FFF2-40B4-BE49-F238E27FC236}">
              <a16:creationId xmlns:a16="http://schemas.microsoft.com/office/drawing/2014/main" id="{17B63E36-B1CA-2291-A38F-36E2CC897B60}"/>
            </a:ext>
          </a:extLst>
        </cdr:cNvPr>
        <cdr:cNvSpPr/>
      </cdr:nvSpPr>
      <cdr:spPr>
        <a:xfrm xmlns:a="http://schemas.openxmlformats.org/drawingml/2006/main">
          <a:off x="3096017" y="5103925"/>
          <a:ext cx="363028" cy="3754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3028" h="375495">
              <a:moveTo>
                <a:pt x="175039" y="213196"/>
              </a:moveTo>
              <a:lnTo>
                <a:pt x="18129" y="375494"/>
              </a:lnTo>
              <a:lnTo>
                <a:pt x="0" y="356742"/>
              </a:lnTo>
              <a:lnTo>
                <a:pt x="156909" y="194444"/>
              </a:lnTo>
              <a:lnTo>
                <a:pt x="344898" y="0"/>
              </a:lnTo>
              <a:lnTo>
                <a:pt x="363027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0.16603</cdr:x>
      <cdr:y>0.65757</cdr:y>
    </cdr:from>
    <cdr:to>
      <cdr:x>0.21529</cdr:x>
      <cdr:y>0.70649</cdr:y>
    </cdr:to>
    <cdr:sp macro="" textlink="">
      <cdr:nvSpPr>
        <cdr:cNvPr id="450" name="FracNo 889 StartRow 4815">
          <a:extLst xmlns:a="http://schemas.openxmlformats.org/drawingml/2006/main">
            <a:ext uri="{FF2B5EF4-FFF2-40B4-BE49-F238E27FC236}">
              <a16:creationId xmlns:a16="http://schemas.microsoft.com/office/drawing/2014/main" id="{4976D58A-8ADF-F4E9-F785-233D51945906}"/>
            </a:ext>
          </a:extLst>
        </cdr:cNvPr>
        <cdr:cNvSpPr/>
      </cdr:nvSpPr>
      <cdr:spPr>
        <a:xfrm xmlns:a="http://schemas.openxmlformats.org/drawingml/2006/main">
          <a:off x="1214530" y="5010684"/>
          <a:ext cx="360383" cy="3727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0383" h="372759">
              <a:moveTo>
                <a:pt x="252097" y="130755"/>
              </a:moveTo>
              <a:lnTo>
                <a:pt x="18129" y="372758"/>
              </a:lnTo>
              <a:lnTo>
                <a:pt x="0" y="354006"/>
              </a:lnTo>
              <a:lnTo>
                <a:pt x="233968" y="112004"/>
              </a:lnTo>
              <a:lnTo>
                <a:pt x="342252" y="0"/>
              </a:lnTo>
              <a:lnTo>
                <a:pt x="36038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0.20614</cdr:x>
      <cdr:y>0.1987</cdr:y>
    </cdr:from>
    <cdr:to>
      <cdr:x>0.25535</cdr:x>
      <cdr:y>0.24756</cdr:y>
    </cdr:to>
    <cdr:sp macro="" textlink="">
      <cdr:nvSpPr>
        <cdr:cNvPr id="451" name="FracNo 969 StartRow 4824">
          <a:extLst xmlns:a="http://schemas.openxmlformats.org/drawingml/2006/main">
            <a:ext uri="{FF2B5EF4-FFF2-40B4-BE49-F238E27FC236}">
              <a16:creationId xmlns:a16="http://schemas.microsoft.com/office/drawing/2014/main" id="{E42CD9AC-26AA-36AA-C340-3DF8E6EA3A3A}"/>
            </a:ext>
          </a:extLst>
        </cdr:cNvPr>
        <cdr:cNvSpPr/>
      </cdr:nvSpPr>
      <cdr:spPr>
        <a:xfrm xmlns:a="http://schemas.openxmlformats.org/drawingml/2006/main">
          <a:off x="1507974" y="1514113"/>
          <a:ext cx="359940" cy="3723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9940" h="372301">
              <a:moveTo>
                <a:pt x="116856" y="270183"/>
              </a:moveTo>
              <a:lnTo>
                <a:pt x="18129" y="372300"/>
              </a:lnTo>
              <a:lnTo>
                <a:pt x="0" y="353548"/>
              </a:lnTo>
              <a:lnTo>
                <a:pt x="98726" y="251431"/>
              </a:lnTo>
              <a:lnTo>
                <a:pt x="341809" y="0"/>
              </a:lnTo>
              <a:lnTo>
                <a:pt x="35993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0.20339</cdr:x>
      <cdr:y>0.19597</cdr:y>
    </cdr:from>
    <cdr:to>
      <cdr:x>0.2526</cdr:x>
      <cdr:y>0.24483</cdr:y>
    </cdr:to>
    <cdr:sp macro="" textlink="">
      <cdr:nvSpPr>
        <cdr:cNvPr id="452" name="FracNo 924 StartRow 4833">
          <a:extLst xmlns:a="http://schemas.openxmlformats.org/drawingml/2006/main">
            <a:ext uri="{FF2B5EF4-FFF2-40B4-BE49-F238E27FC236}">
              <a16:creationId xmlns:a16="http://schemas.microsoft.com/office/drawing/2014/main" id="{DA0E634A-5055-BEC0-3294-D2F4EBF46DF8}"/>
            </a:ext>
          </a:extLst>
        </cdr:cNvPr>
        <cdr:cNvSpPr/>
      </cdr:nvSpPr>
      <cdr:spPr>
        <a:xfrm xmlns:a="http://schemas.openxmlformats.org/drawingml/2006/main">
          <a:off x="1487844" y="1493292"/>
          <a:ext cx="359940" cy="3723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9940" h="372301">
              <a:moveTo>
                <a:pt x="105730" y="281692"/>
              </a:moveTo>
              <a:lnTo>
                <a:pt x="18130" y="372300"/>
              </a:lnTo>
              <a:lnTo>
                <a:pt x="0" y="353548"/>
              </a:lnTo>
              <a:lnTo>
                <a:pt x="87601" y="262940"/>
              </a:lnTo>
              <a:lnTo>
                <a:pt x="341810" y="0"/>
              </a:lnTo>
              <a:lnTo>
                <a:pt x="35993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0.54227</cdr:x>
      <cdr:y>0.7191</cdr:y>
    </cdr:from>
    <cdr:to>
      <cdr:x>0.59116</cdr:x>
      <cdr:y>0.76764</cdr:y>
    </cdr:to>
    <cdr:sp macro="" textlink="">
      <cdr:nvSpPr>
        <cdr:cNvPr id="453" name="FracNo 266 StartRow 4842">
          <a:extLst xmlns:a="http://schemas.openxmlformats.org/drawingml/2006/main">
            <a:ext uri="{FF2B5EF4-FFF2-40B4-BE49-F238E27FC236}">
              <a16:creationId xmlns:a16="http://schemas.microsoft.com/office/drawing/2014/main" id="{6943D36A-7E59-63D1-DC12-1CF1C22EBE70}"/>
            </a:ext>
          </a:extLst>
        </cdr:cNvPr>
        <cdr:cNvSpPr/>
      </cdr:nvSpPr>
      <cdr:spPr>
        <a:xfrm xmlns:a="http://schemas.openxmlformats.org/drawingml/2006/main">
          <a:off x="3966826" y="5479509"/>
          <a:ext cx="357600" cy="3698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7600" h="369881">
              <a:moveTo>
                <a:pt x="187143" y="195061"/>
              </a:moveTo>
              <a:lnTo>
                <a:pt x="18129" y="369880"/>
              </a:lnTo>
              <a:lnTo>
                <a:pt x="0" y="351128"/>
              </a:lnTo>
              <a:lnTo>
                <a:pt x="169014" y="176309"/>
              </a:lnTo>
              <a:lnTo>
                <a:pt x="339470" y="0"/>
              </a:lnTo>
              <a:lnTo>
                <a:pt x="357599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0.68459</cdr:x>
      <cdr:y>0.08544</cdr:y>
    </cdr:from>
    <cdr:to>
      <cdr:x>0.73407</cdr:x>
      <cdr:y>0.13211</cdr:y>
    </cdr:to>
    <cdr:sp macro="" textlink="">
      <cdr:nvSpPr>
        <cdr:cNvPr id="454" name="FracNo 1019 StartRow 4851">
          <a:extLst xmlns:a="http://schemas.openxmlformats.org/drawingml/2006/main">
            <a:ext uri="{FF2B5EF4-FFF2-40B4-BE49-F238E27FC236}">
              <a16:creationId xmlns:a16="http://schemas.microsoft.com/office/drawing/2014/main" id="{E9928918-ECC9-F647-96A5-D05D39A9DB64}"/>
            </a:ext>
          </a:extLst>
        </cdr:cNvPr>
        <cdr:cNvSpPr/>
      </cdr:nvSpPr>
      <cdr:spPr>
        <a:xfrm xmlns:a="http://schemas.openxmlformats.org/drawingml/2006/main">
          <a:off x="5007897" y="651036"/>
          <a:ext cx="361983" cy="3556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1983" h="355662">
              <a:moveTo>
                <a:pt x="194237" y="136002"/>
              </a:moveTo>
              <a:lnTo>
                <a:pt x="0" y="336909"/>
              </a:lnTo>
              <a:lnTo>
                <a:pt x="18130" y="355661"/>
              </a:lnTo>
              <a:lnTo>
                <a:pt x="223177" y="143572"/>
              </a:lnTo>
              <a:lnTo>
                <a:pt x="361982" y="0"/>
              </a:lnTo>
              <a:lnTo>
                <a:pt x="32572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0.8331</cdr:x>
      <cdr:y>0.5865</cdr:y>
    </cdr:from>
    <cdr:to>
      <cdr:x>0.88067</cdr:x>
      <cdr:y>0.63375</cdr:y>
    </cdr:to>
    <cdr:sp macro="" textlink="">
      <cdr:nvSpPr>
        <cdr:cNvPr id="455" name="FracNo 820 StartRow 4860">
          <a:extLst xmlns:a="http://schemas.openxmlformats.org/drawingml/2006/main">
            <a:ext uri="{FF2B5EF4-FFF2-40B4-BE49-F238E27FC236}">
              <a16:creationId xmlns:a16="http://schemas.microsoft.com/office/drawing/2014/main" id="{91BEDDB1-F04F-521C-0C4F-DAA6E005D8EA}"/>
            </a:ext>
          </a:extLst>
        </cdr:cNvPr>
        <cdr:cNvSpPr/>
      </cdr:nvSpPr>
      <cdr:spPr>
        <a:xfrm xmlns:a="http://schemas.openxmlformats.org/drawingml/2006/main">
          <a:off x="6094257" y="4469143"/>
          <a:ext cx="348051" cy="3600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8051" h="360004">
              <a:moveTo>
                <a:pt x="250316" y="119842"/>
              </a:moveTo>
              <a:lnTo>
                <a:pt x="18130" y="360003"/>
              </a:lnTo>
              <a:lnTo>
                <a:pt x="0" y="341251"/>
              </a:lnTo>
              <a:lnTo>
                <a:pt x="232187" y="101090"/>
              </a:lnTo>
              <a:lnTo>
                <a:pt x="329921" y="0"/>
              </a:lnTo>
              <a:lnTo>
                <a:pt x="34805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0.19029</cdr:y>
    </cdr:from>
    <cdr:to>
      <cdr:x>0.1376</cdr:x>
      <cdr:y>0.23821</cdr:y>
    </cdr:to>
    <cdr:sp macro="" textlink="">
      <cdr:nvSpPr>
        <cdr:cNvPr id="456" name="FracNo 730 StartRow 4869">
          <a:extLst xmlns:a="http://schemas.openxmlformats.org/drawingml/2006/main">
            <a:ext uri="{FF2B5EF4-FFF2-40B4-BE49-F238E27FC236}">
              <a16:creationId xmlns:a16="http://schemas.microsoft.com/office/drawing/2014/main" id="{2C48AE96-0815-698C-C65A-004328387BAC}"/>
            </a:ext>
          </a:extLst>
        </cdr:cNvPr>
        <cdr:cNvSpPr/>
      </cdr:nvSpPr>
      <cdr:spPr>
        <a:xfrm xmlns:a="http://schemas.openxmlformats.org/drawingml/2006/main">
          <a:off x="671676" y="1450028"/>
          <a:ext cx="334901" cy="3651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4901" h="365155">
              <a:moveTo>
                <a:pt x="76314" y="286219"/>
              </a:moveTo>
              <a:lnTo>
                <a:pt x="0" y="365154"/>
              </a:lnTo>
              <a:lnTo>
                <a:pt x="0" y="327650"/>
              </a:lnTo>
              <a:lnTo>
                <a:pt x="72183" y="252988"/>
              </a:lnTo>
              <a:lnTo>
                <a:pt x="316771" y="0"/>
              </a:lnTo>
              <a:lnTo>
                <a:pt x="33490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0.46275</cdr:x>
      <cdr:y>0.08421</cdr:y>
    </cdr:from>
    <cdr:to>
      <cdr:x>0.50948</cdr:x>
      <cdr:y>0.13061</cdr:y>
    </cdr:to>
    <cdr:sp macro="" textlink="">
      <cdr:nvSpPr>
        <cdr:cNvPr id="457" name="FracNo 807 StartRow 4878">
          <a:extLst xmlns:a="http://schemas.openxmlformats.org/drawingml/2006/main">
            <a:ext uri="{FF2B5EF4-FFF2-40B4-BE49-F238E27FC236}">
              <a16:creationId xmlns:a16="http://schemas.microsoft.com/office/drawing/2014/main" id="{D4D8D37E-0063-8DCE-8EAB-5394C0E80B6B}"/>
            </a:ext>
          </a:extLst>
        </cdr:cNvPr>
        <cdr:cNvSpPr/>
      </cdr:nvSpPr>
      <cdr:spPr>
        <a:xfrm xmlns:a="http://schemas.openxmlformats.org/drawingml/2006/main">
          <a:off x="3385087" y="641660"/>
          <a:ext cx="341827" cy="3535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1827" h="353566">
              <a:moveTo>
                <a:pt x="324183" y="37000"/>
              </a:moveTo>
              <a:lnTo>
                <a:pt x="18130" y="353565"/>
              </a:lnTo>
              <a:lnTo>
                <a:pt x="0" y="334812"/>
              </a:lnTo>
              <a:lnTo>
                <a:pt x="306055" y="18248"/>
              </a:lnTo>
              <a:lnTo>
                <a:pt x="323697" y="0"/>
              </a:lnTo>
              <a:lnTo>
                <a:pt x="34182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0.89759</cdr:x>
      <cdr:y>0.10374</cdr:y>
    </cdr:from>
    <cdr:to>
      <cdr:x>0.94246</cdr:x>
      <cdr:y>0.15076</cdr:y>
    </cdr:to>
    <cdr:sp macro="" textlink="">
      <cdr:nvSpPr>
        <cdr:cNvPr id="458" name="FracNo 677 StartRow 4887">
          <a:extLst xmlns:a="http://schemas.openxmlformats.org/drawingml/2006/main">
            <a:ext uri="{FF2B5EF4-FFF2-40B4-BE49-F238E27FC236}">
              <a16:creationId xmlns:a16="http://schemas.microsoft.com/office/drawing/2014/main" id="{9027D4ED-580D-EDDC-5C18-81347D7C6533}"/>
            </a:ext>
          </a:extLst>
        </cdr:cNvPr>
        <cdr:cNvSpPr/>
      </cdr:nvSpPr>
      <cdr:spPr>
        <a:xfrm xmlns:a="http://schemas.openxmlformats.org/drawingml/2006/main">
          <a:off x="6566036" y="790523"/>
          <a:ext cx="328272" cy="3582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8272" h="358297">
              <a:moveTo>
                <a:pt x="236663" y="94754"/>
              </a:moveTo>
              <a:lnTo>
                <a:pt x="0" y="339544"/>
              </a:lnTo>
              <a:lnTo>
                <a:pt x="18130" y="358296"/>
              </a:lnTo>
              <a:lnTo>
                <a:pt x="241723" y="127024"/>
              </a:lnTo>
              <a:lnTo>
                <a:pt x="328271" y="37504"/>
              </a:lnTo>
              <a:lnTo>
                <a:pt x="32827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0.41576</cdr:x>
      <cdr:y>0.54222</cdr:y>
    </cdr:from>
    <cdr:to>
      <cdr:x>0.46173</cdr:x>
      <cdr:y>0.58787</cdr:y>
    </cdr:to>
    <cdr:sp macro="" textlink="">
      <cdr:nvSpPr>
        <cdr:cNvPr id="459" name="FracNo 101 StartRow 4896">
          <a:extLst xmlns:a="http://schemas.openxmlformats.org/drawingml/2006/main">
            <a:ext uri="{FF2B5EF4-FFF2-40B4-BE49-F238E27FC236}">
              <a16:creationId xmlns:a16="http://schemas.microsoft.com/office/drawing/2014/main" id="{C830477D-A2AC-100C-22B3-7D6E0762F326}"/>
            </a:ext>
          </a:extLst>
        </cdr:cNvPr>
        <cdr:cNvSpPr/>
      </cdr:nvSpPr>
      <cdr:spPr>
        <a:xfrm xmlns:a="http://schemas.openxmlformats.org/drawingml/2006/main">
          <a:off x="3041349" y="4131699"/>
          <a:ext cx="336321" cy="3478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6321" h="347871">
              <a:moveTo>
                <a:pt x="98095" y="227654"/>
              </a:moveTo>
              <a:lnTo>
                <a:pt x="0" y="329118"/>
              </a:lnTo>
              <a:lnTo>
                <a:pt x="18129" y="347870"/>
              </a:lnTo>
              <a:lnTo>
                <a:pt x="116224" y="246406"/>
              </a:lnTo>
              <a:lnTo>
                <a:pt x="336320" y="18752"/>
              </a:lnTo>
              <a:lnTo>
                <a:pt x="31819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0.64274</cdr:x>
      <cdr:y>0.13128</cdr:y>
    </cdr:from>
    <cdr:to>
      <cdr:x>0.6887</cdr:x>
      <cdr:y>0.17692</cdr:y>
    </cdr:to>
    <cdr:sp macro="" textlink="">
      <cdr:nvSpPr>
        <cdr:cNvPr id="460" name="FracNo 1025 StartRow 4905">
          <a:extLst xmlns:a="http://schemas.openxmlformats.org/drawingml/2006/main">
            <a:ext uri="{FF2B5EF4-FFF2-40B4-BE49-F238E27FC236}">
              <a16:creationId xmlns:a16="http://schemas.microsoft.com/office/drawing/2014/main" id="{5B43571D-F10C-D79C-5519-F4C231E7E784}"/>
            </a:ext>
          </a:extLst>
        </cdr:cNvPr>
        <cdr:cNvSpPr/>
      </cdr:nvSpPr>
      <cdr:spPr>
        <a:xfrm xmlns:a="http://schemas.openxmlformats.org/drawingml/2006/main">
          <a:off x="4701748" y="1000321"/>
          <a:ext cx="336244" cy="3477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6244" h="347792">
              <a:moveTo>
                <a:pt x="310046" y="8345"/>
              </a:moveTo>
              <a:lnTo>
                <a:pt x="109284" y="216002"/>
              </a:lnTo>
              <a:lnTo>
                <a:pt x="0" y="329040"/>
              </a:lnTo>
              <a:lnTo>
                <a:pt x="18129" y="347791"/>
              </a:lnTo>
              <a:lnTo>
                <a:pt x="127413" y="234754"/>
              </a:lnTo>
              <a:lnTo>
                <a:pt x="328176" y="27097"/>
              </a:lnTo>
              <a:lnTo>
                <a:pt x="336243" y="18752"/>
              </a:lnTo>
              <a:lnTo>
                <a:pt x="31811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0.38448</cdr:x>
      <cdr:y>0.8238</cdr:y>
    </cdr:from>
    <cdr:to>
      <cdr:x>0.42997</cdr:x>
      <cdr:y>0.86896</cdr:y>
    </cdr:to>
    <cdr:sp macro="" textlink="">
      <cdr:nvSpPr>
        <cdr:cNvPr id="461" name="FracNo 263 StartRow 4916">
          <a:extLst xmlns:a="http://schemas.openxmlformats.org/drawingml/2006/main">
            <a:ext uri="{FF2B5EF4-FFF2-40B4-BE49-F238E27FC236}">
              <a16:creationId xmlns:a16="http://schemas.microsoft.com/office/drawing/2014/main" id="{45F82BFB-C000-82AD-FE0F-8167B22DD973}"/>
            </a:ext>
          </a:extLst>
        </cdr:cNvPr>
        <cdr:cNvSpPr/>
      </cdr:nvSpPr>
      <cdr:spPr>
        <a:xfrm xmlns:a="http://schemas.openxmlformats.org/drawingml/2006/main">
          <a:off x="2812567" y="6277339"/>
          <a:ext cx="332747" cy="3441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2747" h="344174">
              <a:moveTo>
                <a:pt x="272747" y="80811"/>
              </a:moveTo>
              <a:lnTo>
                <a:pt x="18129" y="344173"/>
              </a:lnTo>
              <a:lnTo>
                <a:pt x="0" y="325422"/>
              </a:lnTo>
              <a:lnTo>
                <a:pt x="254618" y="62059"/>
              </a:lnTo>
              <a:lnTo>
                <a:pt x="314617" y="0"/>
              </a:lnTo>
              <a:lnTo>
                <a:pt x="332746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0.19311</cdr:x>
      <cdr:y>0.75651</cdr:y>
    </cdr:from>
    <cdr:to>
      <cdr:x>0.23746</cdr:x>
      <cdr:y>0.80056</cdr:y>
    </cdr:to>
    <cdr:sp macro="" textlink="">
      <cdr:nvSpPr>
        <cdr:cNvPr id="462" name="FracNo 30 StartRow 4925">
          <a:extLst xmlns:a="http://schemas.openxmlformats.org/drawingml/2006/main">
            <a:ext uri="{FF2B5EF4-FFF2-40B4-BE49-F238E27FC236}">
              <a16:creationId xmlns:a16="http://schemas.microsoft.com/office/drawing/2014/main" id="{4E9921DD-D8AD-54F2-7D7B-D38F1896006D}"/>
            </a:ext>
          </a:extLst>
        </cdr:cNvPr>
        <cdr:cNvSpPr/>
      </cdr:nvSpPr>
      <cdr:spPr>
        <a:xfrm xmlns:a="http://schemas.openxmlformats.org/drawingml/2006/main">
          <a:off x="1412614" y="5764617"/>
          <a:ext cx="324481" cy="3356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4481" h="335625">
              <a:moveTo>
                <a:pt x="253757" y="91903"/>
              </a:moveTo>
              <a:lnTo>
                <a:pt x="18129" y="335624"/>
              </a:lnTo>
              <a:lnTo>
                <a:pt x="0" y="316872"/>
              </a:lnTo>
              <a:lnTo>
                <a:pt x="235628" y="73151"/>
              </a:lnTo>
              <a:lnTo>
                <a:pt x="306351" y="0"/>
              </a:lnTo>
              <a:lnTo>
                <a:pt x="32448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0.77361</cdr:x>
      <cdr:y>0.17896</cdr:y>
    </cdr:from>
    <cdr:to>
      <cdr:x>0.81709</cdr:x>
      <cdr:y>0.22214</cdr:y>
    </cdr:to>
    <cdr:sp macro="" textlink="">
      <cdr:nvSpPr>
        <cdr:cNvPr id="463" name="FracNo 802 StartRow 4934">
          <a:extLst xmlns:a="http://schemas.openxmlformats.org/drawingml/2006/main">
            <a:ext uri="{FF2B5EF4-FFF2-40B4-BE49-F238E27FC236}">
              <a16:creationId xmlns:a16="http://schemas.microsoft.com/office/drawing/2014/main" id="{F44F8731-C762-3625-7F77-514448CFC259}"/>
            </a:ext>
          </a:extLst>
        </cdr:cNvPr>
        <cdr:cNvSpPr/>
      </cdr:nvSpPr>
      <cdr:spPr>
        <a:xfrm xmlns:a="http://schemas.openxmlformats.org/drawingml/2006/main">
          <a:off x="5659110" y="1363697"/>
          <a:ext cx="318099" cy="3290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8099" h="329024">
              <a:moveTo>
                <a:pt x="302397" y="34992"/>
              </a:moveTo>
              <a:lnTo>
                <a:pt x="18129" y="329023"/>
              </a:lnTo>
              <a:lnTo>
                <a:pt x="0" y="310271"/>
              </a:lnTo>
              <a:lnTo>
                <a:pt x="284268" y="16240"/>
              </a:lnTo>
              <a:lnTo>
                <a:pt x="299969" y="0"/>
              </a:lnTo>
              <a:lnTo>
                <a:pt x="31809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0.66374</cdr:x>
      <cdr:y>0.10313</cdr:y>
    </cdr:from>
    <cdr:to>
      <cdr:x>0.70681</cdr:x>
      <cdr:y>0.14589</cdr:y>
    </cdr:to>
    <cdr:sp macro="" textlink="">
      <cdr:nvSpPr>
        <cdr:cNvPr id="464" name="FracNo 662 StartRow 4943">
          <a:extLst xmlns:a="http://schemas.openxmlformats.org/drawingml/2006/main">
            <a:ext uri="{FF2B5EF4-FFF2-40B4-BE49-F238E27FC236}">
              <a16:creationId xmlns:a16="http://schemas.microsoft.com/office/drawing/2014/main" id="{1C9AACD0-E805-5019-6E24-E076D706DD87}"/>
            </a:ext>
          </a:extLst>
        </cdr:cNvPr>
        <cdr:cNvSpPr/>
      </cdr:nvSpPr>
      <cdr:spPr>
        <a:xfrm xmlns:a="http://schemas.openxmlformats.org/drawingml/2006/main">
          <a:off x="4855423" y="785824"/>
          <a:ext cx="315036" cy="3258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5036" h="325855">
              <a:moveTo>
                <a:pt x="205198" y="94856"/>
              </a:moveTo>
              <a:lnTo>
                <a:pt x="0" y="307102"/>
              </a:lnTo>
              <a:lnTo>
                <a:pt x="18129" y="325854"/>
              </a:lnTo>
              <a:lnTo>
                <a:pt x="223328" y="113608"/>
              </a:lnTo>
              <a:lnTo>
                <a:pt x="315035" y="18752"/>
              </a:lnTo>
              <a:lnTo>
                <a:pt x="29690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0.73132</cdr:x>
      <cdr:y>0.21763</cdr:y>
    </cdr:from>
    <cdr:to>
      <cdr:x>0.77402</cdr:x>
      <cdr:y>0.26003</cdr:y>
    </cdr:to>
    <cdr:sp macro="" textlink="">
      <cdr:nvSpPr>
        <cdr:cNvPr id="465" name="FracNo 855 StartRow 4952">
          <a:extLst xmlns:a="http://schemas.openxmlformats.org/drawingml/2006/main">
            <a:ext uri="{FF2B5EF4-FFF2-40B4-BE49-F238E27FC236}">
              <a16:creationId xmlns:a16="http://schemas.microsoft.com/office/drawing/2014/main" id="{F754FD8B-CA18-CC58-4C98-2218F5504F1D}"/>
            </a:ext>
          </a:extLst>
        </cdr:cNvPr>
        <cdr:cNvSpPr/>
      </cdr:nvSpPr>
      <cdr:spPr>
        <a:xfrm xmlns:a="http://schemas.openxmlformats.org/drawingml/2006/main">
          <a:off x="5349739" y="1658324"/>
          <a:ext cx="312376" cy="3231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2376" h="323104">
              <a:moveTo>
                <a:pt x="63747" y="238415"/>
              </a:moveTo>
              <a:lnTo>
                <a:pt x="0" y="304351"/>
              </a:lnTo>
              <a:lnTo>
                <a:pt x="18129" y="323103"/>
              </a:lnTo>
              <a:lnTo>
                <a:pt x="81876" y="257167"/>
              </a:lnTo>
              <a:lnTo>
                <a:pt x="312375" y="18752"/>
              </a:lnTo>
              <a:lnTo>
                <a:pt x="29424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0.46919</cdr:x>
      <cdr:y>0.88898</cdr:y>
    </cdr:from>
    <cdr:to>
      <cdr:x>0.51307</cdr:x>
      <cdr:y>0.9301</cdr:y>
    </cdr:to>
    <cdr:sp macro="" textlink="">
      <cdr:nvSpPr>
        <cdr:cNvPr id="466" name="FracNo 755 StartRow 4961">
          <a:extLst xmlns:a="http://schemas.openxmlformats.org/drawingml/2006/main">
            <a:ext uri="{FF2B5EF4-FFF2-40B4-BE49-F238E27FC236}">
              <a16:creationId xmlns:a16="http://schemas.microsoft.com/office/drawing/2014/main" id="{0EBC449C-1D04-6D67-EB46-D1BDEAF4C3A7}"/>
            </a:ext>
          </a:extLst>
        </cdr:cNvPr>
        <cdr:cNvSpPr/>
      </cdr:nvSpPr>
      <cdr:spPr>
        <a:xfrm xmlns:a="http://schemas.openxmlformats.org/drawingml/2006/main">
          <a:off x="3432198" y="6774056"/>
          <a:ext cx="321037" cy="3133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1037" h="313310">
              <a:moveTo>
                <a:pt x="134827" y="173852"/>
              </a:moveTo>
              <a:lnTo>
                <a:pt x="0" y="313309"/>
              </a:lnTo>
              <a:lnTo>
                <a:pt x="36259" y="313309"/>
              </a:lnTo>
              <a:lnTo>
                <a:pt x="163015" y="182199"/>
              </a:lnTo>
              <a:lnTo>
                <a:pt x="321036" y="18752"/>
              </a:lnTo>
              <a:lnTo>
                <a:pt x="30290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0.77932</cdr:x>
      <cdr:y>0.55681</cdr:y>
    </cdr:from>
    <cdr:to>
      <cdr:x>0.82196</cdr:x>
      <cdr:y>0.59914</cdr:y>
    </cdr:to>
    <cdr:sp macro="" textlink="">
      <cdr:nvSpPr>
        <cdr:cNvPr id="467" name="FracNo 794 StartRow 4970">
          <a:extLst xmlns:a="http://schemas.openxmlformats.org/drawingml/2006/main">
            <a:ext uri="{FF2B5EF4-FFF2-40B4-BE49-F238E27FC236}">
              <a16:creationId xmlns:a16="http://schemas.microsoft.com/office/drawing/2014/main" id="{93B65A7B-2F33-66B9-495E-AFC01C4EA883}"/>
            </a:ext>
          </a:extLst>
        </cdr:cNvPr>
        <cdr:cNvSpPr/>
      </cdr:nvSpPr>
      <cdr:spPr>
        <a:xfrm xmlns:a="http://schemas.openxmlformats.org/drawingml/2006/main">
          <a:off x="5700916" y="4242879"/>
          <a:ext cx="311887" cy="3225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1887" h="322598">
              <a:moveTo>
                <a:pt x="69213" y="232255"/>
              </a:moveTo>
              <a:lnTo>
                <a:pt x="0" y="303845"/>
              </a:lnTo>
              <a:lnTo>
                <a:pt x="18129" y="322597"/>
              </a:lnTo>
              <a:lnTo>
                <a:pt x="87343" y="251007"/>
              </a:lnTo>
              <a:lnTo>
                <a:pt x="311886" y="18752"/>
              </a:lnTo>
              <a:lnTo>
                <a:pt x="29375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0.90086</cdr:x>
      <cdr:y>0.88879</cdr:y>
    </cdr:from>
    <cdr:to>
      <cdr:x>0.94246</cdr:x>
      <cdr:y>0.9301</cdr:y>
    </cdr:to>
    <cdr:sp macro="" textlink="">
      <cdr:nvSpPr>
        <cdr:cNvPr id="468" name="FracNo 945 StartRow 4979">
          <a:extLst xmlns:a="http://schemas.openxmlformats.org/drawingml/2006/main">
            <a:ext uri="{FF2B5EF4-FFF2-40B4-BE49-F238E27FC236}">
              <a16:creationId xmlns:a16="http://schemas.microsoft.com/office/drawing/2014/main" id="{056AAAAA-FE28-73F7-023E-A463AB072A87}"/>
            </a:ext>
          </a:extLst>
        </cdr:cNvPr>
        <cdr:cNvSpPr/>
      </cdr:nvSpPr>
      <cdr:spPr>
        <a:xfrm xmlns:a="http://schemas.openxmlformats.org/drawingml/2006/main">
          <a:off x="6589947" y="6772553"/>
          <a:ext cx="304361" cy="3148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4361" h="314813">
              <a:moveTo>
                <a:pt x="229800" y="77120"/>
              </a:moveTo>
              <a:lnTo>
                <a:pt x="0" y="314812"/>
              </a:lnTo>
              <a:lnTo>
                <a:pt x="36258" y="314812"/>
              </a:lnTo>
              <a:lnTo>
                <a:pt x="238682" y="105436"/>
              </a:lnTo>
              <a:lnTo>
                <a:pt x="304360" y="37503"/>
              </a:lnTo>
              <a:lnTo>
                <a:pt x="30436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0.19202</cdr:x>
      <cdr:y>0.08544</cdr:y>
    </cdr:from>
    <cdr:to>
      <cdr:x>0.2343</cdr:x>
      <cdr:y>0.12496</cdr:y>
    </cdr:to>
    <cdr:sp macro="" textlink="">
      <cdr:nvSpPr>
        <cdr:cNvPr id="469" name="FracNo 894 StartRow 4988">
          <a:extLst xmlns:a="http://schemas.openxmlformats.org/drawingml/2006/main">
            <a:ext uri="{FF2B5EF4-FFF2-40B4-BE49-F238E27FC236}">
              <a16:creationId xmlns:a16="http://schemas.microsoft.com/office/drawing/2014/main" id="{95322CFB-7CE4-02B7-D872-142B311F6498}"/>
            </a:ext>
          </a:extLst>
        </cdr:cNvPr>
        <cdr:cNvSpPr/>
      </cdr:nvSpPr>
      <cdr:spPr>
        <a:xfrm xmlns:a="http://schemas.openxmlformats.org/drawingml/2006/main">
          <a:off x="1404673" y="651036"/>
          <a:ext cx="309305" cy="3011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9305" h="301176">
              <a:moveTo>
                <a:pt x="181196" y="132508"/>
              </a:moveTo>
              <a:lnTo>
                <a:pt x="18129" y="301175"/>
              </a:lnTo>
              <a:lnTo>
                <a:pt x="0" y="282423"/>
              </a:lnTo>
              <a:lnTo>
                <a:pt x="152914" y="124257"/>
              </a:lnTo>
              <a:lnTo>
                <a:pt x="273046" y="0"/>
              </a:lnTo>
              <a:lnTo>
                <a:pt x="30930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0.10732</cdr:x>
      <cdr:y>0.28304</cdr:y>
    </cdr:from>
    <cdr:to>
      <cdr:x>0.14742</cdr:x>
      <cdr:y>0.32287</cdr:y>
    </cdr:to>
    <cdr:sp macro="" textlink="">
      <cdr:nvSpPr>
        <cdr:cNvPr id="470" name="FracNo 587 StartRow 4997">
          <a:extLst xmlns:a="http://schemas.openxmlformats.org/drawingml/2006/main">
            <a:ext uri="{FF2B5EF4-FFF2-40B4-BE49-F238E27FC236}">
              <a16:creationId xmlns:a16="http://schemas.microsoft.com/office/drawing/2014/main" id="{2D374875-C99B-C6BE-FE68-64A039F21B6B}"/>
            </a:ext>
          </a:extLst>
        </cdr:cNvPr>
        <cdr:cNvSpPr/>
      </cdr:nvSpPr>
      <cdr:spPr>
        <a:xfrm xmlns:a="http://schemas.openxmlformats.org/drawingml/2006/main">
          <a:off x="785033" y="2156796"/>
          <a:ext cx="293399" cy="3034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3399" h="303476">
              <a:moveTo>
                <a:pt x="88588" y="230596"/>
              </a:moveTo>
              <a:lnTo>
                <a:pt x="18129" y="303475"/>
              </a:lnTo>
              <a:lnTo>
                <a:pt x="0" y="284723"/>
              </a:lnTo>
              <a:lnTo>
                <a:pt x="70459" y="211844"/>
              </a:lnTo>
              <a:lnTo>
                <a:pt x="275269" y="0"/>
              </a:lnTo>
              <a:lnTo>
                <a:pt x="29339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0.33296</cdr:x>
      <cdr:y>0.44659</cdr:y>
    </cdr:from>
    <cdr:to>
      <cdr:x>0.37292</cdr:x>
      <cdr:y>0.48627</cdr:y>
    </cdr:to>
    <cdr:sp macro="" textlink="">
      <cdr:nvSpPr>
        <cdr:cNvPr id="471" name="FracNo 826 StartRow 5006">
          <a:extLst xmlns:a="http://schemas.openxmlformats.org/drawingml/2006/main">
            <a:ext uri="{FF2B5EF4-FFF2-40B4-BE49-F238E27FC236}">
              <a16:creationId xmlns:a16="http://schemas.microsoft.com/office/drawing/2014/main" id="{4640F0A9-5CDB-5245-1307-AECED064167B}"/>
            </a:ext>
          </a:extLst>
        </cdr:cNvPr>
        <cdr:cNvSpPr/>
      </cdr:nvSpPr>
      <cdr:spPr>
        <a:xfrm xmlns:a="http://schemas.openxmlformats.org/drawingml/2006/main">
          <a:off x="2435675" y="3403031"/>
          <a:ext cx="292322" cy="3023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2322" h="302360">
              <a:moveTo>
                <a:pt x="206446" y="107576"/>
              </a:moveTo>
              <a:lnTo>
                <a:pt x="18129" y="302359"/>
              </a:lnTo>
              <a:lnTo>
                <a:pt x="0" y="283608"/>
              </a:lnTo>
              <a:lnTo>
                <a:pt x="188317" y="88823"/>
              </a:lnTo>
              <a:lnTo>
                <a:pt x="274192" y="0"/>
              </a:lnTo>
              <a:lnTo>
                <a:pt x="292321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0.77609</cdr:y>
    </cdr:from>
    <cdr:to>
      <cdr:x>0.12913</cdr:x>
      <cdr:y>0.8156</cdr:y>
    </cdr:to>
    <cdr:sp macro="" textlink="">
      <cdr:nvSpPr>
        <cdr:cNvPr id="472" name="FracNo 1023 StartRow 5015">
          <a:extLst xmlns:a="http://schemas.openxmlformats.org/drawingml/2006/main">
            <a:ext uri="{FF2B5EF4-FFF2-40B4-BE49-F238E27FC236}">
              <a16:creationId xmlns:a16="http://schemas.microsoft.com/office/drawing/2014/main" id="{F8938C29-7738-8E63-F43D-2666D87FD79F}"/>
            </a:ext>
          </a:extLst>
        </cdr:cNvPr>
        <cdr:cNvSpPr/>
      </cdr:nvSpPr>
      <cdr:spPr>
        <a:xfrm xmlns:a="http://schemas.openxmlformats.org/drawingml/2006/main">
          <a:off x="671676" y="5913774"/>
          <a:ext cx="272963" cy="3010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2963" h="301089">
              <a:moveTo>
                <a:pt x="147370" y="111153"/>
              </a:moveTo>
              <a:lnTo>
                <a:pt x="0" y="263584"/>
              </a:lnTo>
              <a:lnTo>
                <a:pt x="0" y="301088"/>
              </a:lnTo>
              <a:lnTo>
                <a:pt x="157854" y="137812"/>
              </a:lnTo>
              <a:lnTo>
                <a:pt x="272962" y="18752"/>
              </a:lnTo>
              <a:lnTo>
                <a:pt x="25483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0.74333</cdr:x>
      <cdr:y>0.59519</cdr:y>
    </cdr:from>
    <cdr:to>
      <cdr:x>0.7803</cdr:x>
      <cdr:y>0.6319</cdr:y>
    </cdr:to>
    <cdr:sp macro="" textlink="">
      <cdr:nvSpPr>
        <cdr:cNvPr id="473" name="FracNo 186 StartRow 5024">
          <a:extLst xmlns:a="http://schemas.openxmlformats.org/drawingml/2006/main">
            <a:ext uri="{FF2B5EF4-FFF2-40B4-BE49-F238E27FC236}">
              <a16:creationId xmlns:a16="http://schemas.microsoft.com/office/drawing/2014/main" id="{F4606A5D-2A0A-99C7-84EE-B82DC40190E4}"/>
            </a:ext>
          </a:extLst>
        </cdr:cNvPr>
        <cdr:cNvSpPr/>
      </cdr:nvSpPr>
      <cdr:spPr>
        <a:xfrm xmlns:a="http://schemas.openxmlformats.org/drawingml/2006/main">
          <a:off x="5437582" y="4535339"/>
          <a:ext cx="270458" cy="2797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0458" h="279747">
              <a:moveTo>
                <a:pt x="187630" y="104424"/>
              </a:moveTo>
              <a:lnTo>
                <a:pt x="18130" y="279746"/>
              </a:lnTo>
              <a:lnTo>
                <a:pt x="0" y="260994"/>
              </a:lnTo>
              <a:lnTo>
                <a:pt x="169501" y="85672"/>
              </a:lnTo>
              <a:lnTo>
                <a:pt x="252328" y="0"/>
              </a:lnTo>
              <a:lnTo>
                <a:pt x="27045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0.51415</cdr:y>
    </cdr:from>
    <cdr:to>
      <cdr:x>0.1275</cdr:x>
      <cdr:y>0.55204</cdr:y>
    </cdr:to>
    <cdr:sp macro="" textlink="">
      <cdr:nvSpPr>
        <cdr:cNvPr id="474" name="FracNo 733 StartRow 5033">
          <a:extLst xmlns:a="http://schemas.openxmlformats.org/drawingml/2006/main">
            <a:ext uri="{FF2B5EF4-FFF2-40B4-BE49-F238E27FC236}">
              <a16:creationId xmlns:a16="http://schemas.microsoft.com/office/drawing/2014/main" id="{0D7BD601-1AE7-24CE-E052-C1B667ECD78E}"/>
            </a:ext>
          </a:extLst>
        </cdr:cNvPr>
        <cdr:cNvSpPr/>
      </cdr:nvSpPr>
      <cdr:spPr>
        <a:xfrm xmlns:a="http://schemas.openxmlformats.org/drawingml/2006/main">
          <a:off x="671676" y="3917820"/>
          <a:ext cx="261024" cy="2887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1024" h="288739">
              <a:moveTo>
                <a:pt x="58811" y="190404"/>
              </a:moveTo>
              <a:lnTo>
                <a:pt x="0" y="251235"/>
              </a:lnTo>
              <a:lnTo>
                <a:pt x="0" y="288738"/>
              </a:lnTo>
              <a:lnTo>
                <a:pt x="63201" y="223368"/>
              </a:lnTo>
              <a:lnTo>
                <a:pt x="261023" y="18752"/>
              </a:lnTo>
              <a:lnTo>
                <a:pt x="24289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0.3757</cdr:x>
      <cdr:y>0.89523</cdr:y>
    </cdr:from>
    <cdr:to>
      <cdr:x>0.41206</cdr:x>
      <cdr:y>0.9301</cdr:y>
    </cdr:to>
    <cdr:sp macro="" textlink="">
      <cdr:nvSpPr>
        <cdr:cNvPr id="475" name="FracNo 268 StartRow 5042">
          <a:extLst xmlns:a="http://schemas.openxmlformats.org/drawingml/2006/main">
            <a:ext uri="{FF2B5EF4-FFF2-40B4-BE49-F238E27FC236}">
              <a16:creationId xmlns:a16="http://schemas.microsoft.com/office/drawing/2014/main" id="{CBA131C8-24F4-F2FD-7F57-0B92967C4994}"/>
            </a:ext>
          </a:extLst>
        </cdr:cNvPr>
        <cdr:cNvSpPr/>
      </cdr:nvSpPr>
      <cdr:spPr>
        <a:xfrm xmlns:a="http://schemas.openxmlformats.org/drawingml/2006/main">
          <a:off x="2748351" y="6821641"/>
          <a:ext cx="265967" cy="2657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5967" h="265725">
              <a:moveTo>
                <a:pt x="212757" y="36285"/>
              </a:moveTo>
              <a:lnTo>
                <a:pt x="0" y="256348"/>
              </a:lnTo>
              <a:lnTo>
                <a:pt x="27194" y="265724"/>
              </a:lnTo>
              <a:lnTo>
                <a:pt x="232169" y="53709"/>
              </a:lnTo>
              <a:lnTo>
                <a:pt x="265966" y="18752"/>
              </a:lnTo>
              <a:lnTo>
                <a:pt x="24783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0.56096</cdr:x>
      <cdr:y>0.56845</cdr:y>
    </cdr:from>
    <cdr:to>
      <cdr:x>0.59667</cdr:x>
      <cdr:y>0.60391</cdr:y>
    </cdr:to>
    <cdr:sp macro="" textlink="">
      <cdr:nvSpPr>
        <cdr:cNvPr id="476" name="FracNo 111 StartRow 5051">
          <a:extLst xmlns:a="http://schemas.openxmlformats.org/drawingml/2006/main">
            <a:ext uri="{FF2B5EF4-FFF2-40B4-BE49-F238E27FC236}">
              <a16:creationId xmlns:a16="http://schemas.microsoft.com/office/drawing/2014/main" id="{8FC577BC-CB3A-A926-66D2-BF1DFA7A31F6}"/>
            </a:ext>
          </a:extLst>
        </cdr:cNvPr>
        <cdr:cNvSpPr/>
      </cdr:nvSpPr>
      <cdr:spPr>
        <a:xfrm xmlns:a="http://schemas.openxmlformats.org/drawingml/2006/main">
          <a:off x="4103538" y="4331591"/>
          <a:ext cx="261200" cy="2701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1200" h="270171">
              <a:moveTo>
                <a:pt x="253758" y="26449"/>
              </a:moveTo>
              <a:lnTo>
                <a:pt x="18129" y="270170"/>
              </a:lnTo>
              <a:lnTo>
                <a:pt x="0" y="251418"/>
              </a:lnTo>
              <a:lnTo>
                <a:pt x="235629" y="7698"/>
              </a:lnTo>
              <a:lnTo>
                <a:pt x="243070" y="0"/>
              </a:lnTo>
              <a:lnTo>
                <a:pt x="26119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0.77283</cdr:y>
    </cdr:from>
    <cdr:to>
      <cdr:x>0.12586</cdr:x>
      <cdr:y>0.80909</cdr:y>
    </cdr:to>
    <cdr:sp macro="" textlink="">
      <cdr:nvSpPr>
        <cdr:cNvPr id="477" name="FracNo 27 StartRow 5060">
          <a:extLst xmlns:a="http://schemas.openxmlformats.org/drawingml/2006/main">
            <a:ext uri="{FF2B5EF4-FFF2-40B4-BE49-F238E27FC236}">
              <a16:creationId xmlns:a16="http://schemas.microsoft.com/office/drawing/2014/main" id="{A118DA8B-94EB-6B6B-31E3-602F7D0009EA}"/>
            </a:ext>
          </a:extLst>
        </cdr:cNvPr>
        <cdr:cNvSpPr/>
      </cdr:nvSpPr>
      <cdr:spPr>
        <a:xfrm xmlns:a="http://schemas.openxmlformats.org/drawingml/2006/main">
          <a:off x="671676" y="5888967"/>
          <a:ext cx="248979" cy="2762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8979" h="276281">
              <a:moveTo>
                <a:pt x="225715" y="42813"/>
              </a:moveTo>
              <a:lnTo>
                <a:pt x="0" y="276280"/>
              </a:lnTo>
              <a:lnTo>
                <a:pt x="0" y="238776"/>
              </a:lnTo>
              <a:lnTo>
                <a:pt x="209280" y="22309"/>
              </a:lnTo>
              <a:lnTo>
                <a:pt x="230849" y="0"/>
              </a:lnTo>
              <a:lnTo>
                <a:pt x="24897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0.78917</cdr:x>
      <cdr:y>0.84335</cdr:y>
    </cdr:from>
    <cdr:to>
      <cdr:x>0.82433</cdr:x>
      <cdr:y>0.87827</cdr:y>
    </cdr:to>
    <cdr:sp macro="" textlink="">
      <cdr:nvSpPr>
        <cdr:cNvPr id="478" name="FracNo 429 StartRow 5069">
          <a:extLst xmlns:a="http://schemas.openxmlformats.org/drawingml/2006/main">
            <a:ext uri="{FF2B5EF4-FFF2-40B4-BE49-F238E27FC236}">
              <a16:creationId xmlns:a16="http://schemas.microsoft.com/office/drawing/2014/main" id="{633CD068-9B7F-BA7C-A164-47E76186E8F5}"/>
            </a:ext>
          </a:extLst>
        </cdr:cNvPr>
        <cdr:cNvSpPr/>
      </cdr:nvSpPr>
      <cdr:spPr>
        <a:xfrm xmlns:a="http://schemas.openxmlformats.org/drawingml/2006/main">
          <a:off x="5772935" y="6426343"/>
          <a:ext cx="257225" cy="2660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7225" h="266060">
              <a:moveTo>
                <a:pt x="73013" y="171786"/>
              </a:moveTo>
              <a:lnTo>
                <a:pt x="0" y="247307"/>
              </a:lnTo>
              <a:lnTo>
                <a:pt x="18129" y="266059"/>
              </a:lnTo>
              <a:lnTo>
                <a:pt x="91143" y="190538"/>
              </a:lnTo>
              <a:lnTo>
                <a:pt x="257224" y="18752"/>
              </a:lnTo>
              <a:lnTo>
                <a:pt x="23909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0.39399</cdr:x>
      <cdr:y>0.08544</cdr:y>
    </cdr:from>
    <cdr:to>
      <cdr:x>0.43022</cdr:x>
      <cdr:y>0.11895</cdr:y>
    </cdr:to>
    <cdr:sp macro="" textlink="">
      <cdr:nvSpPr>
        <cdr:cNvPr id="479" name="FracNo 903 StartRow 5078">
          <a:extLst xmlns:a="http://schemas.openxmlformats.org/drawingml/2006/main">
            <a:ext uri="{FF2B5EF4-FFF2-40B4-BE49-F238E27FC236}">
              <a16:creationId xmlns:a16="http://schemas.microsoft.com/office/drawing/2014/main" id="{C5E88BBC-171E-2006-5ECE-D5DCAE2E6A1A}"/>
            </a:ext>
          </a:extLst>
        </cdr:cNvPr>
        <cdr:cNvSpPr/>
      </cdr:nvSpPr>
      <cdr:spPr>
        <a:xfrm xmlns:a="http://schemas.openxmlformats.org/drawingml/2006/main">
          <a:off x="2882122" y="651036"/>
          <a:ext cx="265002" cy="2553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5002" h="255350">
              <a:moveTo>
                <a:pt x="148302" y="83203"/>
              </a:moveTo>
              <a:lnTo>
                <a:pt x="0" y="236598"/>
              </a:lnTo>
              <a:lnTo>
                <a:pt x="18129" y="255349"/>
              </a:lnTo>
              <a:lnTo>
                <a:pt x="178185" y="89798"/>
              </a:lnTo>
              <a:lnTo>
                <a:pt x="265001" y="0"/>
              </a:lnTo>
              <a:lnTo>
                <a:pt x="22874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0.21492</cdr:x>
      <cdr:y>0.14057</cdr:y>
    </cdr:from>
    <cdr:to>
      <cdr:x>0.24918</cdr:x>
      <cdr:y>0.17459</cdr:y>
    </cdr:to>
    <cdr:sp macro="" textlink="">
      <cdr:nvSpPr>
        <cdr:cNvPr id="480" name="FracNo 861 StartRow 5087">
          <a:extLst xmlns:a="http://schemas.openxmlformats.org/drawingml/2006/main">
            <a:ext uri="{FF2B5EF4-FFF2-40B4-BE49-F238E27FC236}">
              <a16:creationId xmlns:a16="http://schemas.microsoft.com/office/drawing/2014/main" id="{93B36EF8-83F8-A48F-6B91-2B13B0AD97D5}"/>
            </a:ext>
          </a:extLst>
        </cdr:cNvPr>
        <cdr:cNvSpPr/>
      </cdr:nvSpPr>
      <cdr:spPr>
        <a:xfrm xmlns:a="http://schemas.openxmlformats.org/drawingml/2006/main">
          <a:off x="1572211" y="1071180"/>
          <a:ext cx="250595" cy="2591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0595" h="259199">
              <a:moveTo>
                <a:pt x="218903" y="51531"/>
              </a:moveTo>
              <a:lnTo>
                <a:pt x="18130" y="259198"/>
              </a:lnTo>
              <a:lnTo>
                <a:pt x="0" y="240447"/>
              </a:lnTo>
              <a:lnTo>
                <a:pt x="200773" y="32778"/>
              </a:lnTo>
              <a:lnTo>
                <a:pt x="232464" y="0"/>
              </a:lnTo>
              <a:lnTo>
                <a:pt x="25059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0.44097</cdr:x>
      <cdr:y>0.60743</cdr:y>
    </cdr:from>
    <cdr:to>
      <cdr:x>0.47256</cdr:x>
      <cdr:y>0.63879</cdr:y>
    </cdr:to>
    <cdr:sp macro="" textlink="">
      <cdr:nvSpPr>
        <cdr:cNvPr id="481" name="FracNo 103 StartRow 5096">
          <a:extLst xmlns:a="http://schemas.openxmlformats.org/drawingml/2006/main">
            <a:ext uri="{FF2B5EF4-FFF2-40B4-BE49-F238E27FC236}">
              <a16:creationId xmlns:a16="http://schemas.microsoft.com/office/drawing/2014/main" id="{BCBA38FE-B3CB-F3C3-187D-AE6223C897FE}"/>
            </a:ext>
          </a:extLst>
        </cdr:cNvPr>
        <cdr:cNvSpPr/>
      </cdr:nvSpPr>
      <cdr:spPr>
        <a:xfrm xmlns:a="http://schemas.openxmlformats.org/drawingml/2006/main">
          <a:off x="3225809" y="4628608"/>
          <a:ext cx="231041" cy="2389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1041" h="238976">
              <a:moveTo>
                <a:pt x="207848" y="5237"/>
              </a:moveTo>
              <a:lnTo>
                <a:pt x="0" y="220223"/>
              </a:lnTo>
              <a:lnTo>
                <a:pt x="18129" y="238975"/>
              </a:lnTo>
              <a:lnTo>
                <a:pt x="225977" y="23989"/>
              </a:lnTo>
              <a:lnTo>
                <a:pt x="231040" y="18752"/>
              </a:lnTo>
              <a:lnTo>
                <a:pt x="21291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0.64961</cdr:x>
      <cdr:y>0.25438</cdr:y>
    </cdr:from>
    <cdr:to>
      <cdr:x>0.67971</cdr:x>
      <cdr:y>0.28426</cdr:y>
    </cdr:to>
    <cdr:sp macro="" textlink="">
      <cdr:nvSpPr>
        <cdr:cNvPr id="482" name="FracNo 887 StartRow 5105">
          <a:extLst xmlns:a="http://schemas.openxmlformats.org/drawingml/2006/main">
            <a:ext uri="{FF2B5EF4-FFF2-40B4-BE49-F238E27FC236}">
              <a16:creationId xmlns:a16="http://schemas.microsoft.com/office/drawing/2014/main" id="{F5C75821-958D-6A4A-3301-F36006CD5DEC}"/>
            </a:ext>
          </a:extLst>
        </cdr:cNvPr>
        <cdr:cNvSpPr/>
      </cdr:nvSpPr>
      <cdr:spPr>
        <a:xfrm xmlns:a="http://schemas.openxmlformats.org/drawingml/2006/main">
          <a:off x="4752051" y="1938345"/>
          <a:ext cx="220178" cy="2277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0178" h="227739">
              <a:moveTo>
                <a:pt x="152830" y="88412"/>
              </a:moveTo>
              <a:lnTo>
                <a:pt x="77110" y="166732"/>
              </a:lnTo>
              <a:lnTo>
                <a:pt x="18130" y="227738"/>
              </a:lnTo>
              <a:lnTo>
                <a:pt x="0" y="208986"/>
              </a:lnTo>
              <a:lnTo>
                <a:pt x="58981" y="147979"/>
              </a:lnTo>
              <a:lnTo>
                <a:pt x="134701" y="69660"/>
              </a:lnTo>
              <a:lnTo>
                <a:pt x="202047" y="0"/>
              </a:lnTo>
              <a:lnTo>
                <a:pt x="22017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0.82026</cdr:x>
      <cdr:y>0.53234</cdr:y>
    </cdr:from>
    <cdr:to>
      <cdr:x>0.84816</cdr:x>
      <cdr:y>0.56004</cdr:y>
    </cdr:to>
    <cdr:sp macro="" textlink="">
      <cdr:nvSpPr>
        <cdr:cNvPr id="483" name="FracNo 862 StartRow 5116">
          <a:extLst xmlns:a="http://schemas.openxmlformats.org/drawingml/2006/main">
            <a:ext uri="{FF2B5EF4-FFF2-40B4-BE49-F238E27FC236}">
              <a16:creationId xmlns:a16="http://schemas.microsoft.com/office/drawing/2014/main" id="{E92A4925-91D5-D3DB-8D07-6F06F2EC5228}"/>
            </a:ext>
          </a:extLst>
        </cdr:cNvPr>
        <cdr:cNvSpPr/>
      </cdr:nvSpPr>
      <cdr:spPr>
        <a:xfrm xmlns:a="http://schemas.openxmlformats.org/drawingml/2006/main">
          <a:off x="6000383" y="4056438"/>
          <a:ext cx="204091" cy="2111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4091" h="211100">
              <a:moveTo>
                <a:pt x="168894" y="17653"/>
              </a:moveTo>
              <a:lnTo>
                <a:pt x="0" y="192347"/>
              </a:lnTo>
              <a:lnTo>
                <a:pt x="18129" y="211099"/>
              </a:lnTo>
              <a:lnTo>
                <a:pt x="187023" y="36405"/>
              </a:lnTo>
              <a:lnTo>
                <a:pt x="204090" y="18752"/>
              </a:lnTo>
              <a:lnTo>
                <a:pt x="18596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0.36145</cdr:x>
      <cdr:y>0.81562</cdr:y>
    </cdr:from>
    <cdr:to>
      <cdr:x>0.38903</cdr:x>
      <cdr:y>0.843</cdr:y>
    </cdr:to>
    <cdr:sp macro="" textlink="">
      <cdr:nvSpPr>
        <cdr:cNvPr id="484" name="FracNo 904 StartRow 5125">
          <a:extLst xmlns:a="http://schemas.openxmlformats.org/drawingml/2006/main">
            <a:ext uri="{FF2B5EF4-FFF2-40B4-BE49-F238E27FC236}">
              <a16:creationId xmlns:a16="http://schemas.microsoft.com/office/drawing/2014/main" id="{52F1A18B-6B00-9B67-FA8A-F018C44CD902}"/>
            </a:ext>
          </a:extLst>
        </cdr:cNvPr>
        <cdr:cNvSpPr/>
      </cdr:nvSpPr>
      <cdr:spPr>
        <a:xfrm xmlns:a="http://schemas.openxmlformats.org/drawingml/2006/main">
          <a:off x="2644091" y="6215022"/>
          <a:ext cx="201715" cy="2086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1715" h="208642">
              <a:moveTo>
                <a:pt x="86745" y="100165"/>
              </a:moveTo>
              <a:lnTo>
                <a:pt x="0" y="189889"/>
              </a:lnTo>
              <a:lnTo>
                <a:pt x="18129" y="208641"/>
              </a:lnTo>
              <a:lnTo>
                <a:pt x="104875" y="118917"/>
              </a:lnTo>
              <a:lnTo>
                <a:pt x="110860" y="112726"/>
              </a:lnTo>
              <a:lnTo>
                <a:pt x="201714" y="18752"/>
              </a:lnTo>
              <a:lnTo>
                <a:pt x="183585" y="0"/>
              </a:lnTo>
              <a:lnTo>
                <a:pt x="92731" y="9397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0.52968</cdr:x>
      <cdr:y>0.08544</cdr:y>
    </cdr:from>
    <cdr:to>
      <cdr:x>0.55683</cdr:x>
      <cdr:y>0.10993</cdr:y>
    </cdr:to>
    <cdr:sp macro="" textlink="">
      <cdr:nvSpPr>
        <cdr:cNvPr id="485" name="FracNo 850 StartRow 5136">
          <a:extLst xmlns:a="http://schemas.openxmlformats.org/drawingml/2006/main">
            <a:ext uri="{FF2B5EF4-FFF2-40B4-BE49-F238E27FC236}">
              <a16:creationId xmlns:a16="http://schemas.microsoft.com/office/drawing/2014/main" id="{564E60D5-F3DF-708E-E1E4-F585C2753172}"/>
            </a:ext>
          </a:extLst>
        </cdr:cNvPr>
        <cdr:cNvSpPr/>
      </cdr:nvSpPr>
      <cdr:spPr>
        <a:xfrm xmlns:a="http://schemas.openxmlformats.org/drawingml/2006/main">
          <a:off x="3874741" y="651036"/>
          <a:ext cx="198599" cy="1866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8599" h="186667">
              <a:moveTo>
                <a:pt x="59132" y="106752"/>
              </a:moveTo>
              <a:lnTo>
                <a:pt x="0" y="167915"/>
              </a:lnTo>
              <a:lnTo>
                <a:pt x="18129" y="186666"/>
              </a:lnTo>
              <a:lnTo>
                <a:pt x="83865" y="118673"/>
              </a:lnTo>
              <a:lnTo>
                <a:pt x="198598" y="0"/>
              </a:lnTo>
              <a:lnTo>
                <a:pt x="16233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0.30771</cdr:x>
      <cdr:y>0.60702</cdr:y>
    </cdr:from>
    <cdr:to>
      <cdr:x>0.3307</cdr:x>
      <cdr:y>0.62985</cdr:y>
    </cdr:to>
    <cdr:sp macro="" textlink="">
      <cdr:nvSpPr>
        <cdr:cNvPr id="486" name="FracNo 509 StartRow 5145">
          <a:extLst xmlns:a="http://schemas.openxmlformats.org/drawingml/2006/main">
            <a:ext uri="{FF2B5EF4-FFF2-40B4-BE49-F238E27FC236}">
              <a16:creationId xmlns:a16="http://schemas.microsoft.com/office/drawing/2014/main" id="{120D853C-E308-C694-6CD8-E948BDF1005F}"/>
            </a:ext>
          </a:extLst>
        </cdr:cNvPr>
        <cdr:cNvSpPr/>
      </cdr:nvSpPr>
      <cdr:spPr>
        <a:xfrm xmlns:a="http://schemas.openxmlformats.org/drawingml/2006/main">
          <a:off x="2250975" y="4625489"/>
          <a:ext cx="168180" cy="1739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8180" h="173956">
              <a:moveTo>
                <a:pt x="103423" y="48227"/>
              </a:moveTo>
              <a:lnTo>
                <a:pt x="0" y="155203"/>
              </a:lnTo>
              <a:lnTo>
                <a:pt x="18129" y="173955"/>
              </a:lnTo>
              <a:lnTo>
                <a:pt x="121553" y="66979"/>
              </a:lnTo>
              <a:lnTo>
                <a:pt x="168179" y="18752"/>
              </a:lnTo>
              <a:lnTo>
                <a:pt x="15004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0.68946</cdr:x>
      <cdr:y>0.08544</cdr:y>
    </cdr:from>
    <cdr:to>
      <cdr:x>0.71343</cdr:x>
      <cdr:y>0.10678</cdr:y>
    </cdr:to>
    <cdr:sp macro="" textlink="">
      <cdr:nvSpPr>
        <cdr:cNvPr id="487" name="FracNo 661 StartRow 5154">
          <a:extLst xmlns:a="http://schemas.openxmlformats.org/drawingml/2006/main">
            <a:ext uri="{FF2B5EF4-FFF2-40B4-BE49-F238E27FC236}">
              <a16:creationId xmlns:a16="http://schemas.microsoft.com/office/drawing/2014/main" id="{D194B5AE-D361-6D2C-F996-9824A51BB579}"/>
            </a:ext>
          </a:extLst>
        </cdr:cNvPr>
        <cdr:cNvSpPr/>
      </cdr:nvSpPr>
      <cdr:spPr>
        <a:xfrm xmlns:a="http://schemas.openxmlformats.org/drawingml/2006/main">
          <a:off x="5043526" y="651036"/>
          <a:ext cx="175384" cy="1626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5384" h="162655">
              <a:moveTo>
                <a:pt x="52860" y="126731"/>
              </a:moveTo>
              <a:lnTo>
                <a:pt x="18129" y="162654"/>
              </a:lnTo>
              <a:lnTo>
                <a:pt x="0" y="143903"/>
              </a:lnTo>
              <a:lnTo>
                <a:pt x="30727" y="112120"/>
              </a:lnTo>
              <a:lnTo>
                <a:pt x="139125" y="0"/>
              </a:lnTo>
              <a:lnTo>
                <a:pt x="17538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0.31101</cdr:x>
      <cdr:y>0.31407</cdr:y>
    </cdr:from>
    <cdr:to>
      <cdr:x>0.33265</cdr:x>
      <cdr:y>0.33556</cdr:y>
    </cdr:to>
    <cdr:sp macro="" textlink="">
      <cdr:nvSpPr>
        <cdr:cNvPr id="488" name="FracNo 591 StartRow 5163">
          <a:extLst xmlns:a="http://schemas.openxmlformats.org/drawingml/2006/main">
            <a:ext uri="{FF2B5EF4-FFF2-40B4-BE49-F238E27FC236}">
              <a16:creationId xmlns:a16="http://schemas.microsoft.com/office/drawing/2014/main" id="{E94AF675-F5BC-A4D6-AE1F-9B8CB7E95665}"/>
            </a:ext>
          </a:extLst>
        </cdr:cNvPr>
        <cdr:cNvSpPr/>
      </cdr:nvSpPr>
      <cdr:spPr>
        <a:xfrm xmlns:a="http://schemas.openxmlformats.org/drawingml/2006/main">
          <a:off x="2275085" y="2393207"/>
          <a:ext cx="158314" cy="1637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8314" h="163750">
              <a:moveTo>
                <a:pt x="105147" y="36240"/>
              </a:moveTo>
              <a:lnTo>
                <a:pt x="0" y="144997"/>
              </a:lnTo>
              <a:lnTo>
                <a:pt x="18129" y="163749"/>
              </a:lnTo>
              <a:lnTo>
                <a:pt x="123276" y="54991"/>
              </a:lnTo>
              <a:lnTo>
                <a:pt x="158313" y="18751"/>
              </a:lnTo>
              <a:lnTo>
                <a:pt x="14018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0.70883</cdr:x>
      <cdr:y>0.72834</cdr:y>
    </cdr:from>
    <cdr:to>
      <cdr:x>0.72991</cdr:x>
      <cdr:y>0.74927</cdr:y>
    </cdr:to>
    <cdr:sp macro="" textlink="">
      <cdr:nvSpPr>
        <cdr:cNvPr id="489" name="FracNo 1035 StartRow 5172">
          <a:extLst xmlns:a="http://schemas.openxmlformats.org/drawingml/2006/main">
            <a:ext uri="{FF2B5EF4-FFF2-40B4-BE49-F238E27FC236}">
              <a16:creationId xmlns:a16="http://schemas.microsoft.com/office/drawing/2014/main" id="{95A43D5D-B31E-ED35-6DD9-297ABFBB3B1E}"/>
            </a:ext>
          </a:extLst>
        </cdr:cNvPr>
        <cdr:cNvSpPr/>
      </cdr:nvSpPr>
      <cdr:spPr>
        <a:xfrm xmlns:a="http://schemas.openxmlformats.org/drawingml/2006/main">
          <a:off x="5185232" y="5549929"/>
          <a:ext cx="154176" cy="1594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4176" h="159471">
              <a:moveTo>
                <a:pt x="113125" y="23708"/>
              </a:moveTo>
              <a:lnTo>
                <a:pt x="0" y="140718"/>
              </a:lnTo>
              <a:lnTo>
                <a:pt x="18129" y="159470"/>
              </a:lnTo>
              <a:lnTo>
                <a:pt x="131254" y="42460"/>
              </a:lnTo>
              <a:lnTo>
                <a:pt x="154175" y="18752"/>
              </a:lnTo>
              <a:lnTo>
                <a:pt x="13604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0.81498</cdr:x>
      <cdr:y>0.63139</cdr:y>
    </cdr:from>
    <cdr:to>
      <cdr:x>0.83568</cdr:x>
      <cdr:y>0.65195</cdr:y>
    </cdr:to>
    <cdr:sp macro="" textlink="">
      <cdr:nvSpPr>
        <cdr:cNvPr id="490" name="FracNo 886 StartRow 5181">
          <a:extLst xmlns:a="http://schemas.openxmlformats.org/drawingml/2006/main">
            <a:ext uri="{FF2B5EF4-FFF2-40B4-BE49-F238E27FC236}">
              <a16:creationId xmlns:a16="http://schemas.microsoft.com/office/drawing/2014/main" id="{A9166095-DBD6-55BB-3BBA-5855EB723802}"/>
            </a:ext>
          </a:extLst>
        </cdr:cNvPr>
        <cdr:cNvSpPr/>
      </cdr:nvSpPr>
      <cdr:spPr>
        <a:xfrm xmlns:a="http://schemas.openxmlformats.org/drawingml/2006/main">
          <a:off x="5961750" y="4811221"/>
          <a:ext cx="151437" cy="1566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1437" h="156637">
              <a:moveTo>
                <a:pt x="33916" y="102803"/>
              </a:moveTo>
              <a:lnTo>
                <a:pt x="16010" y="121325"/>
              </a:lnTo>
              <a:lnTo>
                <a:pt x="0" y="137884"/>
              </a:lnTo>
              <a:lnTo>
                <a:pt x="18130" y="156636"/>
              </a:lnTo>
              <a:lnTo>
                <a:pt x="34139" y="140077"/>
              </a:lnTo>
              <a:lnTo>
                <a:pt x="52045" y="121555"/>
              </a:lnTo>
              <a:lnTo>
                <a:pt x="151436" y="18752"/>
              </a:lnTo>
              <a:lnTo>
                <a:pt x="13330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0.2958</cdr:x>
      <cdr:y>0.33551</cdr:y>
    </cdr:from>
    <cdr:to>
      <cdr:x>0.31591</cdr:x>
      <cdr:y>0.35548</cdr:y>
    </cdr:to>
    <cdr:sp macro="" textlink="">
      <cdr:nvSpPr>
        <cdr:cNvPr id="491" name="FracNo 589 StartRow 5192">
          <a:extLst xmlns:a="http://schemas.openxmlformats.org/drawingml/2006/main">
            <a:ext uri="{FF2B5EF4-FFF2-40B4-BE49-F238E27FC236}">
              <a16:creationId xmlns:a16="http://schemas.microsoft.com/office/drawing/2014/main" id="{1438E3F0-25C8-7AA9-4ABE-7A96BCBCEFA1}"/>
            </a:ext>
          </a:extLst>
        </cdr:cNvPr>
        <cdr:cNvSpPr/>
      </cdr:nvSpPr>
      <cdr:spPr>
        <a:xfrm xmlns:a="http://schemas.openxmlformats.org/drawingml/2006/main">
          <a:off x="2163809" y="2556551"/>
          <a:ext cx="147144" cy="1521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7144" h="152197">
              <a:moveTo>
                <a:pt x="23151" y="109498"/>
              </a:moveTo>
              <a:lnTo>
                <a:pt x="0" y="133444"/>
              </a:lnTo>
              <a:lnTo>
                <a:pt x="18130" y="152196"/>
              </a:lnTo>
              <a:lnTo>
                <a:pt x="41281" y="128250"/>
              </a:lnTo>
              <a:lnTo>
                <a:pt x="147143" y="18752"/>
              </a:lnTo>
              <a:lnTo>
                <a:pt x="12901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0.51021</cdr:x>
      <cdr:y>0.10548</cdr:y>
    </cdr:from>
    <cdr:to>
      <cdr:x>0.53016</cdr:x>
      <cdr:y>0.12529</cdr:y>
    </cdr:to>
    <cdr:sp macro="" textlink="">
      <cdr:nvSpPr>
        <cdr:cNvPr id="492" name="FracNo 345 StartRow 5201">
          <a:extLst xmlns:a="http://schemas.openxmlformats.org/drawingml/2006/main">
            <a:ext uri="{FF2B5EF4-FFF2-40B4-BE49-F238E27FC236}">
              <a16:creationId xmlns:a16="http://schemas.microsoft.com/office/drawing/2014/main" id="{A9AD3CB1-CF2D-C2BA-1497-E84F6D43313F}"/>
            </a:ext>
          </a:extLst>
        </cdr:cNvPr>
        <cdr:cNvSpPr/>
      </cdr:nvSpPr>
      <cdr:spPr>
        <a:xfrm xmlns:a="http://schemas.openxmlformats.org/drawingml/2006/main">
          <a:off x="3732284" y="803783"/>
          <a:ext cx="145923" cy="1509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5923" h="150935">
              <a:moveTo>
                <a:pt x="28750" y="139949"/>
              </a:moveTo>
              <a:lnTo>
                <a:pt x="18129" y="150934"/>
              </a:lnTo>
              <a:lnTo>
                <a:pt x="0" y="132182"/>
              </a:lnTo>
              <a:lnTo>
                <a:pt x="10620" y="121197"/>
              </a:lnTo>
              <a:lnTo>
                <a:pt x="127793" y="0"/>
              </a:lnTo>
              <a:lnTo>
                <a:pt x="14592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0.81303</cdr:x>
      <cdr:y>0.16406</cdr:y>
    </cdr:from>
    <cdr:to>
      <cdr:x>0.82893</cdr:x>
      <cdr:y>0.17985</cdr:y>
    </cdr:to>
    <cdr:sp macro="" textlink="">
      <cdr:nvSpPr>
        <cdr:cNvPr id="493" name="FracNo 772 StartRow 5210">
          <a:extLst xmlns:a="http://schemas.openxmlformats.org/drawingml/2006/main">
            <a:ext uri="{FF2B5EF4-FFF2-40B4-BE49-F238E27FC236}">
              <a16:creationId xmlns:a16="http://schemas.microsoft.com/office/drawing/2014/main" id="{B7B795B2-FCD9-EEF0-881F-F9F02CCE8FF2}"/>
            </a:ext>
          </a:extLst>
        </cdr:cNvPr>
        <cdr:cNvSpPr/>
      </cdr:nvSpPr>
      <cdr:spPr>
        <a:xfrm xmlns:a="http://schemas.openxmlformats.org/drawingml/2006/main">
          <a:off x="5947474" y="1250113"/>
          <a:ext cx="116338" cy="1203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6338" h="120333">
              <a:moveTo>
                <a:pt x="27779" y="72846"/>
              </a:moveTo>
              <a:lnTo>
                <a:pt x="0" y="101580"/>
              </a:lnTo>
              <a:lnTo>
                <a:pt x="18129" y="120332"/>
              </a:lnTo>
              <a:lnTo>
                <a:pt x="45909" y="91598"/>
              </a:lnTo>
              <a:lnTo>
                <a:pt x="116337" y="18751"/>
              </a:lnTo>
              <a:lnTo>
                <a:pt x="9820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0.24711</cdr:x>
      <cdr:y>0.12992</cdr:y>
    </cdr:from>
    <cdr:to>
      <cdr:x>0.26073</cdr:x>
      <cdr:y>0.14344</cdr:y>
    </cdr:to>
    <cdr:sp macro="" textlink="">
      <cdr:nvSpPr>
        <cdr:cNvPr id="494" name="FracNo 822 StartRow 5219">
          <a:extLst xmlns:a="http://schemas.openxmlformats.org/drawingml/2006/main">
            <a:ext uri="{FF2B5EF4-FFF2-40B4-BE49-F238E27FC236}">
              <a16:creationId xmlns:a16="http://schemas.microsoft.com/office/drawing/2014/main" id="{019A2E5E-7B35-44AA-A8AC-363F5D2161D0}"/>
            </a:ext>
          </a:extLst>
        </cdr:cNvPr>
        <cdr:cNvSpPr/>
      </cdr:nvSpPr>
      <cdr:spPr>
        <a:xfrm xmlns:a="http://schemas.openxmlformats.org/drawingml/2006/main">
          <a:off x="1807681" y="989983"/>
          <a:ext cx="99636" cy="1030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9636" h="103058">
              <a:moveTo>
                <a:pt x="74588" y="7155"/>
              </a:moveTo>
              <a:lnTo>
                <a:pt x="0" y="84305"/>
              </a:lnTo>
              <a:lnTo>
                <a:pt x="18129" y="103057"/>
              </a:lnTo>
              <a:lnTo>
                <a:pt x="92718" y="25907"/>
              </a:lnTo>
              <a:lnTo>
                <a:pt x="99635" y="18752"/>
              </a:lnTo>
              <a:lnTo>
                <a:pt x="8150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0.36888</cdr:x>
      <cdr:y>0.55258</cdr:y>
    </cdr:from>
    <cdr:to>
      <cdr:x>0.37652</cdr:x>
      <cdr:y>0.56016</cdr:y>
    </cdr:to>
    <cdr:sp macro="" textlink="">
      <cdr:nvSpPr>
        <cdr:cNvPr id="495" name="FracNo 489 StartRow 5228">
          <a:extLst xmlns:a="http://schemas.openxmlformats.org/drawingml/2006/main">
            <a:ext uri="{FF2B5EF4-FFF2-40B4-BE49-F238E27FC236}">
              <a16:creationId xmlns:a16="http://schemas.microsoft.com/office/drawing/2014/main" id="{B86C4B95-6660-D1A3-39A7-29DF1000A83C}"/>
            </a:ext>
          </a:extLst>
        </cdr:cNvPr>
        <cdr:cNvSpPr/>
      </cdr:nvSpPr>
      <cdr:spPr>
        <a:xfrm xmlns:a="http://schemas.openxmlformats.org/drawingml/2006/main">
          <a:off x="2698422" y="4210641"/>
          <a:ext cx="55869" cy="57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69" h="57788">
              <a:moveTo>
                <a:pt x="27934" y="28894"/>
              </a:moveTo>
              <a:lnTo>
                <a:pt x="0" y="57787"/>
              </a:lnTo>
              <a:lnTo>
                <a:pt x="0" y="57787"/>
              </a:lnTo>
              <a:lnTo>
                <a:pt x="27934" y="28894"/>
              </a:lnTo>
              <a:lnTo>
                <a:pt x="47464" y="8692"/>
              </a:lnTo>
              <a:lnTo>
                <a:pt x="55868" y="0"/>
              </a:lnTo>
              <a:lnTo>
                <a:pt x="55868" y="0"/>
              </a:lnTo>
              <a:lnTo>
                <a:pt x="47464" y="869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0.22977</cdr:x>
      <cdr:y>0.64155</cdr:y>
    </cdr:from>
    <cdr:to>
      <cdr:x>0.23741</cdr:x>
      <cdr:y>0.64914</cdr:y>
    </cdr:to>
    <cdr:sp macro="" textlink="">
      <cdr:nvSpPr>
        <cdr:cNvPr id="496" name="FracNo 498 StartRow 5239">
          <a:extLst xmlns:a="http://schemas.openxmlformats.org/drawingml/2006/main">
            <a:ext uri="{FF2B5EF4-FFF2-40B4-BE49-F238E27FC236}">
              <a16:creationId xmlns:a16="http://schemas.microsoft.com/office/drawing/2014/main" id="{7624F507-51AD-9F73-B228-4EBC57160ABA}"/>
            </a:ext>
          </a:extLst>
        </cdr:cNvPr>
        <cdr:cNvSpPr/>
      </cdr:nvSpPr>
      <cdr:spPr>
        <a:xfrm xmlns:a="http://schemas.openxmlformats.org/drawingml/2006/main">
          <a:off x="1680835" y="4888648"/>
          <a:ext cx="55869" cy="57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69" h="57788">
              <a:moveTo>
                <a:pt x="27934" y="28894"/>
              </a:moveTo>
              <a:lnTo>
                <a:pt x="4363" y="53274"/>
              </a:lnTo>
              <a:lnTo>
                <a:pt x="0" y="57787"/>
              </a:lnTo>
              <a:lnTo>
                <a:pt x="0" y="57787"/>
              </a:lnTo>
              <a:lnTo>
                <a:pt x="4363" y="53274"/>
              </a:lnTo>
              <a:lnTo>
                <a:pt x="27934" y="28894"/>
              </a:lnTo>
              <a:lnTo>
                <a:pt x="55868" y="0"/>
              </a:lnTo>
              <a:lnTo>
                <a:pt x="558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0.75199</cdr:x>
      <cdr:y>0.86797</cdr:y>
    </cdr:from>
    <cdr:to>
      <cdr:x>0.75963</cdr:x>
      <cdr:y>0.87556</cdr:y>
    </cdr:to>
    <cdr:sp macro="" textlink="">
      <cdr:nvSpPr>
        <cdr:cNvPr id="497" name="FracNo 409 StartRow 5250">
          <a:extLst xmlns:a="http://schemas.openxmlformats.org/drawingml/2006/main">
            <a:ext uri="{FF2B5EF4-FFF2-40B4-BE49-F238E27FC236}">
              <a16:creationId xmlns:a16="http://schemas.microsoft.com/office/drawing/2014/main" id="{095B35ED-35F3-CB03-3D27-94BFA25A60B0}"/>
            </a:ext>
          </a:extLst>
        </cdr:cNvPr>
        <cdr:cNvSpPr/>
      </cdr:nvSpPr>
      <cdr:spPr>
        <a:xfrm xmlns:a="http://schemas.openxmlformats.org/drawingml/2006/main">
          <a:off x="5500956" y="6613960"/>
          <a:ext cx="55870" cy="57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70" h="57788">
              <a:moveTo>
                <a:pt x="27934" y="28893"/>
              </a:moveTo>
              <a:lnTo>
                <a:pt x="0" y="57787"/>
              </a:lnTo>
              <a:lnTo>
                <a:pt x="0" y="57787"/>
              </a:lnTo>
              <a:lnTo>
                <a:pt x="27934" y="28893"/>
              </a:lnTo>
              <a:lnTo>
                <a:pt x="55869" y="0"/>
              </a:lnTo>
              <a:lnTo>
                <a:pt x="558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0.69553</cdr:x>
      <cdr:y>0.66584</cdr:y>
    </cdr:from>
    <cdr:to>
      <cdr:x>0.70317</cdr:x>
      <cdr:y>0.67342</cdr:y>
    </cdr:to>
    <cdr:sp macro="" textlink="">
      <cdr:nvSpPr>
        <cdr:cNvPr id="498" name="FracNo 408 StartRow 5259">
          <a:extLst xmlns:a="http://schemas.openxmlformats.org/drawingml/2006/main">
            <a:ext uri="{FF2B5EF4-FFF2-40B4-BE49-F238E27FC236}">
              <a16:creationId xmlns:a16="http://schemas.microsoft.com/office/drawing/2014/main" id="{7CFF1412-4CCA-0C1A-DD9D-35841C9B9E05}"/>
            </a:ext>
          </a:extLst>
        </cdr:cNvPr>
        <cdr:cNvSpPr/>
      </cdr:nvSpPr>
      <cdr:spPr>
        <a:xfrm xmlns:a="http://schemas.openxmlformats.org/drawingml/2006/main">
          <a:off x="5087946" y="5073686"/>
          <a:ext cx="55869" cy="577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69" h="57789">
              <a:moveTo>
                <a:pt x="27934" y="28894"/>
              </a:moveTo>
              <a:lnTo>
                <a:pt x="0" y="57788"/>
              </a:lnTo>
              <a:lnTo>
                <a:pt x="0" y="57788"/>
              </a:lnTo>
              <a:lnTo>
                <a:pt x="27934" y="28894"/>
              </a:lnTo>
              <a:lnTo>
                <a:pt x="55868" y="0"/>
              </a:lnTo>
              <a:lnTo>
                <a:pt x="558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0.53798</cdr:x>
      <cdr:y>0.81409</cdr:y>
    </cdr:from>
    <cdr:to>
      <cdr:x>0.54562</cdr:x>
      <cdr:y>0.82168</cdr:y>
    </cdr:to>
    <cdr:sp macro="" textlink="">
      <cdr:nvSpPr>
        <cdr:cNvPr id="499" name="FracNo 247 StartRow 5268">
          <a:extLst xmlns:a="http://schemas.openxmlformats.org/drawingml/2006/main">
            <a:ext uri="{FF2B5EF4-FFF2-40B4-BE49-F238E27FC236}">
              <a16:creationId xmlns:a16="http://schemas.microsoft.com/office/drawing/2014/main" id="{A2C2BF06-E10C-5C20-069B-A80729232D70}"/>
            </a:ext>
          </a:extLst>
        </cdr:cNvPr>
        <cdr:cNvSpPr/>
      </cdr:nvSpPr>
      <cdr:spPr>
        <a:xfrm xmlns:a="http://schemas.openxmlformats.org/drawingml/2006/main">
          <a:off x="3935458" y="6203397"/>
          <a:ext cx="55870" cy="57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70" h="57788">
              <a:moveTo>
                <a:pt x="27935" y="28893"/>
              </a:moveTo>
              <a:lnTo>
                <a:pt x="0" y="57787"/>
              </a:lnTo>
              <a:lnTo>
                <a:pt x="0" y="57787"/>
              </a:lnTo>
              <a:lnTo>
                <a:pt x="27935" y="28893"/>
              </a:lnTo>
              <a:lnTo>
                <a:pt x="55869" y="0"/>
              </a:lnTo>
              <a:lnTo>
                <a:pt x="558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0.51428</cdr:x>
      <cdr:y>0.4542</cdr:y>
    </cdr:from>
    <cdr:to>
      <cdr:x>0.52192</cdr:x>
      <cdr:y>0.46179</cdr:y>
    </cdr:to>
    <cdr:sp macro="" textlink="">
      <cdr:nvSpPr>
        <cdr:cNvPr id="500" name="FracNo 94 StartRow 5277">
          <a:extLst xmlns:a="http://schemas.openxmlformats.org/drawingml/2006/main">
            <a:ext uri="{FF2B5EF4-FFF2-40B4-BE49-F238E27FC236}">
              <a16:creationId xmlns:a16="http://schemas.microsoft.com/office/drawing/2014/main" id="{A4BD4B39-782E-E266-7D8F-31ECC54F272A}"/>
            </a:ext>
          </a:extLst>
        </cdr:cNvPr>
        <cdr:cNvSpPr/>
      </cdr:nvSpPr>
      <cdr:spPr>
        <a:xfrm xmlns:a="http://schemas.openxmlformats.org/drawingml/2006/main">
          <a:off x="3762081" y="3461034"/>
          <a:ext cx="55870" cy="57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70" h="57788">
              <a:moveTo>
                <a:pt x="27934" y="28894"/>
              </a:moveTo>
              <a:lnTo>
                <a:pt x="0" y="57787"/>
              </a:lnTo>
              <a:lnTo>
                <a:pt x="0" y="57787"/>
              </a:lnTo>
              <a:lnTo>
                <a:pt x="27934" y="28894"/>
              </a:lnTo>
              <a:lnTo>
                <a:pt x="55869" y="0"/>
              </a:lnTo>
              <a:lnTo>
                <a:pt x="558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0.19479</cdr:x>
      <cdr:y>0.35048</cdr:y>
    </cdr:from>
    <cdr:to>
      <cdr:x>0.20243</cdr:x>
      <cdr:y>0.35807</cdr:y>
    </cdr:to>
    <cdr:sp macro="" textlink="">
      <cdr:nvSpPr>
        <cdr:cNvPr id="501" name="FracNo 570 StartRow 5286">
          <a:extLst xmlns:a="http://schemas.openxmlformats.org/drawingml/2006/main">
            <a:ext uri="{FF2B5EF4-FFF2-40B4-BE49-F238E27FC236}">
              <a16:creationId xmlns:a16="http://schemas.microsoft.com/office/drawing/2014/main" id="{5D6CD641-84C1-9FCB-3E3B-436B3752CE44}"/>
            </a:ext>
          </a:extLst>
        </cdr:cNvPr>
        <cdr:cNvSpPr/>
      </cdr:nvSpPr>
      <cdr:spPr>
        <a:xfrm xmlns:a="http://schemas.openxmlformats.org/drawingml/2006/main">
          <a:off x="1424924" y="2670688"/>
          <a:ext cx="55869" cy="57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69" h="57788">
              <a:moveTo>
                <a:pt x="27934" y="28893"/>
              </a:moveTo>
              <a:lnTo>
                <a:pt x="0" y="57787"/>
              </a:lnTo>
              <a:lnTo>
                <a:pt x="0" y="57787"/>
              </a:lnTo>
              <a:lnTo>
                <a:pt x="27934" y="28893"/>
              </a:lnTo>
              <a:lnTo>
                <a:pt x="55868" y="0"/>
              </a:lnTo>
              <a:lnTo>
                <a:pt x="558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0.28982</cdr:x>
      <cdr:y>0.30208</cdr:y>
    </cdr:from>
    <cdr:to>
      <cdr:x>0.29746</cdr:x>
      <cdr:y>0.30966</cdr:y>
    </cdr:to>
    <cdr:sp macro="" textlink="">
      <cdr:nvSpPr>
        <cdr:cNvPr id="502" name="FracNo 572 StartRow 5295">
          <a:extLst xmlns:a="http://schemas.openxmlformats.org/drawingml/2006/main">
            <a:ext uri="{FF2B5EF4-FFF2-40B4-BE49-F238E27FC236}">
              <a16:creationId xmlns:a16="http://schemas.microsoft.com/office/drawing/2014/main" id="{72C6F469-A215-2320-715E-FAB6406CCCD2}"/>
            </a:ext>
          </a:extLst>
        </cdr:cNvPr>
        <cdr:cNvSpPr/>
      </cdr:nvSpPr>
      <cdr:spPr>
        <a:xfrm xmlns:a="http://schemas.openxmlformats.org/drawingml/2006/main">
          <a:off x="2120108" y="2301857"/>
          <a:ext cx="55869" cy="577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69" h="57789">
              <a:moveTo>
                <a:pt x="27934" y="28894"/>
              </a:moveTo>
              <a:lnTo>
                <a:pt x="0" y="57788"/>
              </a:lnTo>
              <a:lnTo>
                <a:pt x="0" y="57788"/>
              </a:lnTo>
              <a:lnTo>
                <a:pt x="27934" y="28894"/>
              </a:lnTo>
              <a:lnTo>
                <a:pt x="55868" y="0"/>
              </a:lnTo>
              <a:lnTo>
                <a:pt x="558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0.15498</cdr:x>
      <cdr:y>0.09695</cdr:y>
    </cdr:from>
    <cdr:to>
      <cdr:x>0.16262</cdr:x>
      <cdr:y>0.10453</cdr:y>
    </cdr:to>
    <cdr:sp macro="" textlink="">
      <cdr:nvSpPr>
        <cdr:cNvPr id="503" name="FracNo 580 StartRow 5304">
          <a:extLst xmlns:a="http://schemas.openxmlformats.org/drawingml/2006/main">
            <a:ext uri="{FF2B5EF4-FFF2-40B4-BE49-F238E27FC236}">
              <a16:creationId xmlns:a16="http://schemas.microsoft.com/office/drawing/2014/main" id="{4F994B6F-141A-6DA9-F899-03BDA171B9C3}"/>
            </a:ext>
          </a:extLst>
        </cdr:cNvPr>
        <cdr:cNvSpPr/>
      </cdr:nvSpPr>
      <cdr:spPr>
        <a:xfrm xmlns:a="http://schemas.openxmlformats.org/drawingml/2006/main">
          <a:off x="1133721" y="738765"/>
          <a:ext cx="55870" cy="57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70" h="57788">
              <a:moveTo>
                <a:pt x="27935" y="28893"/>
              </a:moveTo>
              <a:lnTo>
                <a:pt x="0" y="57787"/>
              </a:lnTo>
              <a:lnTo>
                <a:pt x="0" y="57787"/>
              </a:lnTo>
              <a:lnTo>
                <a:pt x="27935" y="28893"/>
              </a:lnTo>
              <a:lnTo>
                <a:pt x="55869" y="0"/>
              </a:lnTo>
              <a:lnTo>
                <a:pt x="558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0.48637</cdr:x>
      <cdr:y>0.62759</cdr:y>
    </cdr:from>
    <cdr:to>
      <cdr:x>0.49401</cdr:x>
      <cdr:y>0.63518</cdr:y>
    </cdr:to>
    <cdr:sp macro="" textlink="">
      <cdr:nvSpPr>
        <cdr:cNvPr id="504" name="FracNo 93 StartRow 5313">
          <a:extLst xmlns:a="http://schemas.openxmlformats.org/drawingml/2006/main">
            <a:ext uri="{FF2B5EF4-FFF2-40B4-BE49-F238E27FC236}">
              <a16:creationId xmlns:a16="http://schemas.microsoft.com/office/drawing/2014/main" id="{731516AA-5559-BF7F-21CE-375D88236D8E}"/>
            </a:ext>
          </a:extLst>
        </cdr:cNvPr>
        <cdr:cNvSpPr/>
      </cdr:nvSpPr>
      <cdr:spPr>
        <a:xfrm xmlns:a="http://schemas.openxmlformats.org/drawingml/2006/main">
          <a:off x="3557879" y="4782265"/>
          <a:ext cx="55870" cy="57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70" h="57788">
              <a:moveTo>
                <a:pt x="27934" y="28893"/>
              </a:moveTo>
              <a:lnTo>
                <a:pt x="0" y="57787"/>
              </a:lnTo>
              <a:lnTo>
                <a:pt x="0" y="57787"/>
              </a:lnTo>
              <a:lnTo>
                <a:pt x="27934" y="28893"/>
              </a:lnTo>
              <a:lnTo>
                <a:pt x="55869" y="0"/>
              </a:lnTo>
              <a:lnTo>
                <a:pt x="558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0.14482</cdr:x>
      <cdr:y>0.31407</cdr:y>
    </cdr:from>
    <cdr:to>
      <cdr:x>0.15246</cdr:x>
      <cdr:y>0.32165</cdr:y>
    </cdr:to>
    <cdr:sp macro="" textlink="">
      <cdr:nvSpPr>
        <cdr:cNvPr id="505" name="FracNo 579 StartRow 5322">
          <a:extLst xmlns:a="http://schemas.openxmlformats.org/drawingml/2006/main">
            <a:ext uri="{FF2B5EF4-FFF2-40B4-BE49-F238E27FC236}">
              <a16:creationId xmlns:a16="http://schemas.microsoft.com/office/drawing/2014/main" id="{BB3304EE-2C4C-E260-34CA-4E5CFED8D017}"/>
            </a:ext>
          </a:extLst>
        </cdr:cNvPr>
        <cdr:cNvSpPr/>
      </cdr:nvSpPr>
      <cdr:spPr>
        <a:xfrm xmlns:a="http://schemas.openxmlformats.org/drawingml/2006/main">
          <a:off x="1059392" y="2393223"/>
          <a:ext cx="55870" cy="57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70" h="57788">
              <a:moveTo>
                <a:pt x="27934" y="28893"/>
              </a:moveTo>
              <a:lnTo>
                <a:pt x="0" y="57787"/>
              </a:lnTo>
              <a:lnTo>
                <a:pt x="0" y="57787"/>
              </a:lnTo>
              <a:lnTo>
                <a:pt x="27934" y="28893"/>
              </a:lnTo>
              <a:lnTo>
                <a:pt x="55869" y="0"/>
              </a:lnTo>
              <a:lnTo>
                <a:pt x="558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0.10791</cdr:x>
      <cdr:y>0.40292</cdr:y>
    </cdr:from>
    <cdr:to>
      <cdr:x>0.11555</cdr:x>
      <cdr:y>0.4105</cdr:y>
    </cdr:to>
    <cdr:sp macro="" textlink="">
      <cdr:nvSpPr>
        <cdr:cNvPr id="506" name="FracNo 493 StartRow 5331">
          <a:extLst xmlns:a="http://schemas.openxmlformats.org/drawingml/2006/main">
            <a:ext uri="{FF2B5EF4-FFF2-40B4-BE49-F238E27FC236}">
              <a16:creationId xmlns:a16="http://schemas.microsoft.com/office/drawing/2014/main" id="{50762FC1-CEF9-53A4-26AB-72572D70E49C}"/>
            </a:ext>
          </a:extLst>
        </cdr:cNvPr>
        <cdr:cNvSpPr/>
      </cdr:nvSpPr>
      <cdr:spPr>
        <a:xfrm xmlns:a="http://schemas.openxmlformats.org/drawingml/2006/main">
          <a:off x="789408" y="3070214"/>
          <a:ext cx="55870" cy="57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70" h="57788">
              <a:moveTo>
                <a:pt x="27934" y="28893"/>
              </a:moveTo>
              <a:lnTo>
                <a:pt x="0" y="57787"/>
              </a:lnTo>
              <a:lnTo>
                <a:pt x="0" y="57787"/>
              </a:lnTo>
              <a:lnTo>
                <a:pt x="27934" y="28893"/>
              </a:lnTo>
              <a:lnTo>
                <a:pt x="55869" y="0"/>
              </a:lnTo>
              <a:lnTo>
                <a:pt x="558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0.10291</cdr:x>
      <cdr:y>0.14158</cdr:y>
    </cdr:from>
    <cdr:to>
      <cdr:x>0.11055</cdr:x>
      <cdr:y>0.14916</cdr:y>
    </cdr:to>
    <cdr:sp macro="" textlink="">
      <cdr:nvSpPr>
        <cdr:cNvPr id="507" name="FracNo 569 StartRow 5340">
          <a:extLst xmlns:a="http://schemas.openxmlformats.org/drawingml/2006/main">
            <a:ext uri="{FF2B5EF4-FFF2-40B4-BE49-F238E27FC236}">
              <a16:creationId xmlns:a16="http://schemas.microsoft.com/office/drawing/2014/main" id="{BB06C1D0-D2C6-3771-28C8-356156F00A0E}"/>
            </a:ext>
          </a:extLst>
        </cdr:cNvPr>
        <cdr:cNvSpPr/>
      </cdr:nvSpPr>
      <cdr:spPr>
        <a:xfrm xmlns:a="http://schemas.openxmlformats.org/drawingml/2006/main">
          <a:off x="752827" y="1078805"/>
          <a:ext cx="55869" cy="57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69" h="57788">
              <a:moveTo>
                <a:pt x="27934" y="28893"/>
              </a:moveTo>
              <a:lnTo>
                <a:pt x="0" y="57787"/>
              </a:lnTo>
              <a:lnTo>
                <a:pt x="0" y="57787"/>
              </a:lnTo>
              <a:lnTo>
                <a:pt x="27934" y="28893"/>
              </a:lnTo>
              <a:lnTo>
                <a:pt x="55868" y="0"/>
              </a:lnTo>
              <a:lnTo>
                <a:pt x="558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0.7695</cdr:x>
      <cdr:y>0.63635</cdr:y>
    </cdr:from>
    <cdr:to>
      <cdr:x>0.77714</cdr:x>
      <cdr:y>0.64393</cdr:y>
    </cdr:to>
    <cdr:sp macro="" textlink="">
      <cdr:nvSpPr>
        <cdr:cNvPr id="508" name="FracNo 163 StartRow 5349">
          <a:extLst xmlns:a="http://schemas.openxmlformats.org/drawingml/2006/main">
            <a:ext uri="{FF2B5EF4-FFF2-40B4-BE49-F238E27FC236}">
              <a16:creationId xmlns:a16="http://schemas.microsoft.com/office/drawing/2014/main" id="{0854AA38-3919-9E82-28D5-A04E2890005D}"/>
            </a:ext>
          </a:extLst>
        </cdr:cNvPr>
        <cdr:cNvSpPr/>
      </cdr:nvSpPr>
      <cdr:spPr>
        <a:xfrm xmlns:a="http://schemas.openxmlformats.org/drawingml/2006/main">
          <a:off x="5629041" y="4848955"/>
          <a:ext cx="55870" cy="57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70" h="57788">
              <a:moveTo>
                <a:pt x="27934" y="28894"/>
              </a:moveTo>
              <a:lnTo>
                <a:pt x="0" y="57787"/>
              </a:lnTo>
              <a:lnTo>
                <a:pt x="0" y="57787"/>
              </a:lnTo>
              <a:lnTo>
                <a:pt x="27934" y="28894"/>
              </a:lnTo>
              <a:lnTo>
                <a:pt x="55869" y="0"/>
              </a:lnTo>
              <a:lnTo>
                <a:pt x="558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0.38462</cdr:x>
      <cdr:y>0.23507</cdr:y>
    </cdr:from>
    <cdr:to>
      <cdr:x>0.39226</cdr:x>
      <cdr:y>0.24265</cdr:y>
    </cdr:to>
    <cdr:sp macro="" textlink="">
      <cdr:nvSpPr>
        <cdr:cNvPr id="509" name="FracNo 340 StartRow 5358">
          <a:extLst xmlns:a="http://schemas.openxmlformats.org/drawingml/2006/main">
            <a:ext uri="{FF2B5EF4-FFF2-40B4-BE49-F238E27FC236}">
              <a16:creationId xmlns:a16="http://schemas.microsoft.com/office/drawing/2014/main" id="{BA60BF68-CC79-FA54-4065-39E596B8BA80}"/>
            </a:ext>
          </a:extLst>
        </cdr:cNvPr>
        <cdr:cNvSpPr/>
      </cdr:nvSpPr>
      <cdr:spPr>
        <a:xfrm xmlns:a="http://schemas.openxmlformats.org/drawingml/2006/main">
          <a:off x="2813598" y="1791217"/>
          <a:ext cx="55870" cy="57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70" h="57788">
              <a:moveTo>
                <a:pt x="27935" y="28894"/>
              </a:moveTo>
              <a:lnTo>
                <a:pt x="0" y="57787"/>
              </a:lnTo>
              <a:lnTo>
                <a:pt x="0" y="57787"/>
              </a:lnTo>
              <a:lnTo>
                <a:pt x="27935" y="28894"/>
              </a:lnTo>
              <a:lnTo>
                <a:pt x="55869" y="0"/>
              </a:lnTo>
              <a:lnTo>
                <a:pt x="558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0.51341</cdr:x>
      <cdr:y>0.69817</cdr:y>
    </cdr:from>
    <cdr:to>
      <cdr:x>0.52105</cdr:x>
      <cdr:y>0.70575</cdr:y>
    </cdr:to>
    <cdr:sp macro="" textlink="">
      <cdr:nvSpPr>
        <cdr:cNvPr id="510" name="FracNo 258 StartRow 5367">
          <a:extLst xmlns:a="http://schemas.openxmlformats.org/drawingml/2006/main">
            <a:ext uri="{FF2B5EF4-FFF2-40B4-BE49-F238E27FC236}">
              <a16:creationId xmlns:a16="http://schemas.microsoft.com/office/drawing/2014/main" id="{E47565FE-A6F1-601D-000E-96A6CAA3945B}"/>
            </a:ext>
          </a:extLst>
        </cdr:cNvPr>
        <cdr:cNvSpPr/>
      </cdr:nvSpPr>
      <cdr:spPr>
        <a:xfrm xmlns:a="http://schemas.openxmlformats.org/drawingml/2006/main">
          <a:off x="3755721" y="5320061"/>
          <a:ext cx="55869" cy="57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69" h="57788">
              <a:moveTo>
                <a:pt x="27934" y="28893"/>
              </a:moveTo>
              <a:lnTo>
                <a:pt x="0" y="57787"/>
              </a:lnTo>
              <a:lnTo>
                <a:pt x="0" y="57787"/>
              </a:lnTo>
              <a:lnTo>
                <a:pt x="27934" y="28893"/>
              </a:lnTo>
              <a:lnTo>
                <a:pt x="55868" y="0"/>
              </a:lnTo>
              <a:lnTo>
                <a:pt x="558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0.69987</cdr:x>
      <cdr:y>0.6076</cdr:y>
    </cdr:from>
    <cdr:to>
      <cdr:x>0.7075</cdr:x>
      <cdr:y>0.61519</cdr:y>
    </cdr:to>
    <cdr:sp macro="" textlink="">
      <cdr:nvSpPr>
        <cdr:cNvPr id="511" name="FracNo 165 StartRow 5376">
          <a:extLst xmlns:a="http://schemas.openxmlformats.org/drawingml/2006/main">
            <a:ext uri="{FF2B5EF4-FFF2-40B4-BE49-F238E27FC236}">
              <a16:creationId xmlns:a16="http://schemas.microsoft.com/office/drawing/2014/main" id="{E24EAFB9-EDCC-B93D-D3AB-4A42A5137600}"/>
            </a:ext>
          </a:extLst>
        </cdr:cNvPr>
        <cdr:cNvSpPr/>
      </cdr:nvSpPr>
      <cdr:spPr>
        <a:xfrm xmlns:a="http://schemas.openxmlformats.org/drawingml/2006/main">
          <a:off x="5119667" y="4629927"/>
          <a:ext cx="55869" cy="57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69" h="57788">
              <a:moveTo>
                <a:pt x="27934" y="28894"/>
              </a:moveTo>
              <a:lnTo>
                <a:pt x="0" y="57787"/>
              </a:lnTo>
              <a:lnTo>
                <a:pt x="0" y="57787"/>
              </a:lnTo>
              <a:lnTo>
                <a:pt x="27934" y="28894"/>
              </a:lnTo>
              <a:lnTo>
                <a:pt x="55868" y="0"/>
              </a:lnTo>
              <a:lnTo>
                <a:pt x="558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0.43613</cdr:x>
      <cdr:y>0.68661</cdr:y>
    </cdr:from>
    <cdr:to>
      <cdr:x>0.44377</cdr:x>
      <cdr:y>0.69419</cdr:y>
    </cdr:to>
    <cdr:sp macro="" textlink="">
      <cdr:nvSpPr>
        <cdr:cNvPr id="512" name="FracNo 260 StartRow 5385">
          <a:extLst xmlns:a="http://schemas.openxmlformats.org/drawingml/2006/main">
            <a:ext uri="{FF2B5EF4-FFF2-40B4-BE49-F238E27FC236}">
              <a16:creationId xmlns:a16="http://schemas.microsoft.com/office/drawing/2014/main" id="{1E66E580-190F-18B0-0699-8D4F31C53765}"/>
            </a:ext>
          </a:extLst>
        </cdr:cNvPr>
        <cdr:cNvSpPr/>
      </cdr:nvSpPr>
      <cdr:spPr>
        <a:xfrm xmlns:a="http://schemas.openxmlformats.org/drawingml/2006/main">
          <a:off x="3190406" y="5231937"/>
          <a:ext cx="55869" cy="57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69" h="57788">
              <a:moveTo>
                <a:pt x="27934" y="28894"/>
              </a:moveTo>
              <a:lnTo>
                <a:pt x="0" y="57787"/>
              </a:lnTo>
              <a:lnTo>
                <a:pt x="0" y="57787"/>
              </a:lnTo>
              <a:lnTo>
                <a:pt x="27934" y="28894"/>
              </a:lnTo>
              <a:lnTo>
                <a:pt x="55868" y="0"/>
              </a:lnTo>
              <a:lnTo>
                <a:pt x="558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0.88932</cdr:x>
      <cdr:y>0.89422</cdr:y>
    </cdr:from>
    <cdr:to>
      <cdr:x>0.89696</cdr:x>
      <cdr:y>0.90181</cdr:y>
    </cdr:to>
    <cdr:sp macro="" textlink="">
      <cdr:nvSpPr>
        <cdr:cNvPr id="513" name="FracNo 411 StartRow 5394">
          <a:extLst xmlns:a="http://schemas.openxmlformats.org/drawingml/2006/main">
            <a:ext uri="{FF2B5EF4-FFF2-40B4-BE49-F238E27FC236}">
              <a16:creationId xmlns:a16="http://schemas.microsoft.com/office/drawing/2014/main" id="{16E81532-0F0D-E074-9891-2E590E68DF26}"/>
            </a:ext>
          </a:extLst>
        </cdr:cNvPr>
        <cdr:cNvSpPr/>
      </cdr:nvSpPr>
      <cdr:spPr>
        <a:xfrm xmlns:a="http://schemas.openxmlformats.org/drawingml/2006/main">
          <a:off x="6505537" y="6813970"/>
          <a:ext cx="55870" cy="57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70" h="57788">
              <a:moveTo>
                <a:pt x="27934" y="28894"/>
              </a:moveTo>
              <a:lnTo>
                <a:pt x="0" y="57787"/>
              </a:lnTo>
              <a:lnTo>
                <a:pt x="0" y="57787"/>
              </a:lnTo>
              <a:lnTo>
                <a:pt x="27934" y="28894"/>
              </a:lnTo>
              <a:lnTo>
                <a:pt x="55869" y="0"/>
              </a:lnTo>
              <a:lnTo>
                <a:pt x="558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0.12829</cdr:x>
      <cdr:y>0.23139</cdr:y>
    </cdr:from>
    <cdr:to>
      <cdr:x>0.13593</cdr:x>
      <cdr:y>0.23897</cdr:y>
    </cdr:to>
    <cdr:sp macro="" textlink="">
      <cdr:nvSpPr>
        <cdr:cNvPr id="514" name="FracNo 562 StartRow 5403">
          <a:extLst xmlns:a="http://schemas.openxmlformats.org/drawingml/2006/main">
            <a:ext uri="{FF2B5EF4-FFF2-40B4-BE49-F238E27FC236}">
              <a16:creationId xmlns:a16="http://schemas.microsoft.com/office/drawing/2014/main" id="{0CDB7C4C-CEE4-FE71-3260-E53BFBDCC262}"/>
            </a:ext>
          </a:extLst>
        </cdr:cNvPr>
        <cdr:cNvSpPr/>
      </cdr:nvSpPr>
      <cdr:spPr>
        <a:xfrm xmlns:a="http://schemas.openxmlformats.org/drawingml/2006/main">
          <a:off x="938480" y="1763166"/>
          <a:ext cx="55870" cy="577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70" h="57789">
              <a:moveTo>
                <a:pt x="27934" y="28894"/>
              </a:moveTo>
              <a:lnTo>
                <a:pt x="0" y="57788"/>
              </a:lnTo>
              <a:lnTo>
                <a:pt x="0" y="57788"/>
              </a:lnTo>
              <a:lnTo>
                <a:pt x="27934" y="28894"/>
              </a:lnTo>
              <a:lnTo>
                <a:pt x="55869" y="0"/>
              </a:lnTo>
              <a:lnTo>
                <a:pt x="558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0.09391</cdr:x>
      <cdr:y>0.16505</cdr:y>
    </cdr:from>
    <cdr:to>
      <cdr:x>0.10155</cdr:x>
      <cdr:y>0.17263</cdr:y>
    </cdr:to>
    <cdr:sp macro="" textlink="">
      <cdr:nvSpPr>
        <cdr:cNvPr id="515" name="FracNo 561 StartRow 5412">
          <a:extLst xmlns:a="http://schemas.openxmlformats.org/drawingml/2006/main">
            <a:ext uri="{FF2B5EF4-FFF2-40B4-BE49-F238E27FC236}">
              <a16:creationId xmlns:a16="http://schemas.microsoft.com/office/drawing/2014/main" id="{4E6D4F9F-AFB2-7709-8F78-27C8D20C3470}"/>
            </a:ext>
          </a:extLst>
        </cdr:cNvPr>
        <cdr:cNvSpPr/>
      </cdr:nvSpPr>
      <cdr:spPr>
        <a:xfrm xmlns:a="http://schemas.openxmlformats.org/drawingml/2006/main">
          <a:off x="686964" y="1257670"/>
          <a:ext cx="55869" cy="57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69" h="57788">
              <a:moveTo>
                <a:pt x="27934" y="28894"/>
              </a:moveTo>
              <a:lnTo>
                <a:pt x="0" y="57787"/>
              </a:lnTo>
              <a:lnTo>
                <a:pt x="0" y="57787"/>
              </a:lnTo>
              <a:lnTo>
                <a:pt x="27934" y="28894"/>
              </a:lnTo>
              <a:lnTo>
                <a:pt x="55868" y="0"/>
              </a:lnTo>
              <a:lnTo>
                <a:pt x="558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0.26976</cdr:x>
      <cdr:y>0.45913</cdr:y>
    </cdr:from>
    <cdr:to>
      <cdr:x>0.2774</cdr:x>
      <cdr:y>0.46672</cdr:y>
    </cdr:to>
    <cdr:sp macro="" textlink="">
      <cdr:nvSpPr>
        <cdr:cNvPr id="516" name="FracNo 484 StartRow 5421">
          <a:extLst xmlns:a="http://schemas.openxmlformats.org/drawingml/2006/main">
            <a:ext uri="{FF2B5EF4-FFF2-40B4-BE49-F238E27FC236}">
              <a16:creationId xmlns:a16="http://schemas.microsoft.com/office/drawing/2014/main" id="{67F6E275-B901-7C4F-68DF-61807B18ACE0}"/>
            </a:ext>
          </a:extLst>
        </cdr:cNvPr>
        <cdr:cNvSpPr/>
      </cdr:nvSpPr>
      <cdr:spPr>
        <a:xfrm xmlns:a="http://schemas.openxmlformats.org/drawingml/2006/main">
          <a:off x="1973374" y="3498607"/>
          <a:ext cx="55869" cy="577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69" h="57789">
              <a:moveTo>
                <a:pt x="27934" y="28894"/>
              </a:moveTo>
              <a:lnTo>
                <a:pt x="0" y="57788"/>
              </a:lnTo>
              <a:lnTo>
                <a:pt x="0" y="57788"/>
              </a:lnTo>
              <a:lnTo>
                <a:pt x="27934" y="28894"/>
              </a:lnTo>
              <a:lnTo>
                <a:pt x="55868" y="0"/>
              </a:lnTo>
              <a:lnTo>
                <a:pt x="558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0.64658</cdr:x>
      <cdr:y>0.81438</cdr:y>
    </cdr:from>
    <cdr:to>
      <cdr:x>0.65421</cdr:x>
      <cdr:y>0.82197</cdr:y>
    </cdr:to>
    <cdr:sp macro="" textlink="">
      <cdr:nvSpPr>
        <cdr:cNvPr id="517" name="FracNo 244 StartRow 5430">
          <a:extLst xmlns:a="http://schemas.openxmlformats.org/drawingml/2006/main">
            <a:ext uri="{FF2B5EF4-FFF2-40B4-BE49-F238E27FC236}">
              <a16:creationId xmlns:a16="http://schemas.microsoft.com/office/drawing/2014/main" id="{9D6F410D-6D4D-937B-C298-E767B383FE46}"/>
            </a:ext>
          </a:extLst>
        </cdr:cNvPr>
        <cdr:cNvSpPr/>
      </cdr:nvSpPr>
      <cdr:spPr>
        <a:xfrm xmlns:a="http://schemas.openxmlformats.org/drawingml/2006/main">
          <a:off x="4729838" y="6205590"/>
          <a:ext cx="55869" cy="57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69" h="57788">
              <a:moveTo>
                <a:pt x="27934" y="28893"/>
              </a:moveTo>
              <a:lnTo>
                <a:pt x="0" y="57787"/>
              </a:lnTo>
              <a:lnTo>
                <a:pt x="0" y="57787"/>
              </a:lnTo>
              <a:lnTo>
                <a:pt x="27934" y="28893"/>
              </a:lnTo>
              <a:lnTo>
                <a:pt x="55868" y="0"/>
              </a:lnTo>
              <a:lnTo>
                <a:pt x="558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0.24844</cdr:x>
      <cdr:y>0.10793</cdr:y>
    </cdr:from>
    <cdr:to>
      <cdr:x>0.25608</cdr:x>
      <cdr:y>0.11551</cdr:y>
    </cdr:to>
    <cdr:sp macro="" textlink="">
      <cdr:nvSpPr>
        <cdr:cNvPr id="518" name="FracNo 564 StartRow 5439">
          <a:extLst xmlns:a="http://schemas.openxmlformats.org/drawingml/2006/main">
            <a:ext uri="{FF2B5EF4-FFF2-40B4-BE49-F238E27FC236}">
              <a16:creationId xmlns:a16="http://schemas.microsoft.com/office/drawing/2014/main" id="{CF6C8BA2-E0F3-A025-B286-E2884877FEA0}"/>
            </a:ext>
          </a:extLst>
        </cdr:cNvPr>
        <cdr:cNvSpPr/>
      </cdr:nvSpPr>
      <cdr:spPr>
        <a:xfrm xmlns:a="http://schemas.openxmlformats.org/drawingml/2006/main">
          <a:off x="1817412" y="822404"/>
          <a:ext cx="55869" cy="57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69" h="57788">
              <a:moveTo>
                <a:pt x="27934" y="28894"/>
              </a:moveTo>
              <a:lnTo>
                <a:pt x="0" y="57787"/>
              </a:lnTo>
              <a:lnTo>
                <a:pt x="0" y="57787"/>
              </a:lnTo>
              <a:lnTo>
                <a:pt x="27934" y="28894"/>
              </a:lnTo>
              <a:lnTo>
                <a:pt x="55868" y="0"/>
              </a:lnTo>
              <a:lnTo>
                <a:pt x="558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0.32794</cdr:x>
      <cdr:y>0.35413</cdr:y>
    </cdr:from>
    <cdr:to>
      <cdr:x>0.33557</cdr:x>
      <cdr:y>0.36171</cdr:y>
    </cdr:to>
    <cdr:sp macro="" textlink="">
      <cdr:nvSpPr>
        <cdr:cNvPr id="519" name="FracNo 566 StartRow 5448">
          <a:extLst xmlns:a="http://schemas.openxmlformats.org/drawingml/2006/main">
            <a:ext uri="{FF2B5EF4-FFF2-40B4-BE49-F238E27FC236}">
              <a16:creationId xmlns:a16="http://schemas.microsoft.com/office/drawing/2014/main" id="{8528312E-2A6F-CE2C-87DD-C6A34A630F62}"/>
            </a:ext>
          </a:extLst>
        </cdr:cNvPr>
        <cdr:cNvSpPr/>
      </cdr:nvSpPr>
      <cdr:spPr>
        <a:xfrm xmlns:a="http://schemas.openxmlformats.org/drawingml/2006/main">
          <a:off x="2398911" y="2698433"/>
          <a:ext cx="55869" cy="57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69" h="57788">
              <a:moveTo>
                <a:pt x="27934" y="28893"/>
              </a:moveTo>
              <a:lnTo>
                <a:pt x="0" y="57787"/>
              </a:lnTo>
              <a:lnTo>
                <a:pt x="0" y="57787"/>
              </a:lnTo>
              <a:lnTo>
                <a:pt x="27934" y="28893"/>
              </a:lnTo>
              <a:lnTo>
                <a:pt x="55868" y="0"/>
              </a:lnTo>
              <a:lnTo>
                <a:pt x="558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0.19879</cdr:x>
      <cdr:y>0.49894</cdr:y>
    </cdr:from>
    <cdr:to>
      <cdr:x>0.20643</cdr:x>
      <cdr:y>0.50652</cdr:y>
    </cdr:to>
    <cdr:sp macro="" textlink="">
      <cdr:nvSpPr>
        <cdr:cNvPr id="520" name="FracNo 499 StartRow 5457">
          <a:extLst xmlns:a="http://schemas.openxmlformats.org/drawingml/2006/main">
            <a:ext uri="{FF2B5EF4-FFF2-40B4-BE49-F238E27FC236}">
              <a16:creationId xmlns:a16="http://schemas.microsoft.com/office/drawing/2014/main" id="{D8505D25-0C8E-F509-455B-C3B611442711}"/>
            </a:ext>
          </a:extLst>
        </cdr:cNvPr>
        <cdr:cNvSpPr/>
      </cdr:nvSpPr>
      <cdr:spPr>
        <a:xfrm xmlns:a="http://schemas.openxmlformats.org/drawingml/2006/main">
          <a:off x="1454181" y="3801918"/>
          <a:ext cx="55869" cy="57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69" h="57788">
              <a:moveTo>
                <a:pt x="27934" y="28894"/>
              </a:moveTo>
              <a:lnTo>
                <a:pt x="0" y="57787"/>
              </a:lnTo>
              <a:lnTo>
                <a:pt x="0" y="57787"/>
              </a:lnTo>
              <a:lnTo>
                <a:pt x="27934" y="28894"/>
              </a:lnTo>
              <a:lnTo>
                <a:pt x="55868" y="0"/>
              </a:lnTo>
              <a:lnTo>
                <a:pt x="558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0.43154</cdr:x>
      <cdr:y>0.67843</cdr:y>
    </cdr:from>
    <cdr:to>
      <cdr:x>0.43917</cdr:x>
      <cdr:y>0.68601</cdr:y>
    </cdr:to>
    <cdr:sp macro="" textlink="">
      <cdr:nvSpPr>
        <cdr:cNvPr id="521" name="FracNo 242 StartRow 5466">
          <a:extLst xmlns:a="http://schemas.openxmlformats.org/drawingml/2006/main">
            <a:ext uri="{FF2B5EF4-FFF2-40B4-BE49-F238E27FC236}">
              <a16:creationId xmlns:a16="http://schemas.microsoft.com/office/drawing/2014/main" id="{B48F5AC7-3F8B-50CB-800F-BD2B9650F52A}"/>
            </a:ext>
          </a:extLst>
        </cdr:cNvPr>
        <cdr:cNvSpPr/>
      </cdr:nvSpPr>
      <cdr:spPr>
        <a:xfrm xmlns:a="http://schemas.openxmlformats.org/drawingml/2006/main">
          <a:off x="3156767" y="5169610"/>
          <a:ext cx="55869" cy="57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69" h="57788">
              <a:moveTo>
                <a:pt x="27934" y="28893"/>
              </a:moveTo>
              <a:lnTo>
                <a:pt x="0" y="57787"/>
              </a:lnTo>
              <a:lnTo>
                <a:pt x="0" y="57787"/>
              </a:lnTo>
              <a:lnTo>
                <a:pt x="27934" y="28893"/>
              </a:lnTo>
              <a:lnTo>
                <a:pt x="55868" y="0"/>
              </a:lnTo>
              <a:lnTo>
                <a:pt x="558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0.16048</cdr:x>
      <cdr:y>0.42643</cdr:y>
    </cdr:from>
    <cdr:to>
      <cdr:x>0.16812</cdr:x>
      <cdr:y>0.43402</cdr:y>
    </cdr:to>
    <cdr:sp macro="" textlink="">
      <cdr:nvSpPr>
        <cdr:cNvPr id="522" name="FracNo 497 StartRow 5475">
          <a:extLst xmlns:a="http://schemas.openxmlformats.org/drawingml/2006/main">
            <a:ext uri="{FF2B5EF4-FFF2-40B4-BE49-F238E27FC236}">
              <a16:creationId xmlns:a16="http://schemas.microsoft.com/office/drawing/2014/main" id="{A560E370-D0C2-E8BA-0851-2E17B09DFBD4}"/>
            </a:ext>
          </a:extLst>
        </cdr:cNvPr>
        <cdr:cNvSpPr/>
      </cdr:nvSpPr>
      <cdr:spPr>
        <a:xfrm xmlns:a="http://schemas.openxmlformats.org/drawingml/2006/main">
          <a:off x="1173969" y="3249419"/>
          <a:ext cx="55869" cy="57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69" h="57788">
              <a:moveTo>
                <a:pt x="27934" y="28894"/>
              </a:moveTo>
              <a:lnTo>
                <a:pt x="0" y="57787"/>
              </a:lnTo>
              <a:lnTo>
                <a:pt x="0" y="57787"/>
              </a:lnTo>
              <a:lnTo>
                <a:pt x="27934" y="28894"/>
              </a:lnTo>
              <a:lnTo>
                <a:pt x="55868" y="0"/>
              </a:lnTo>
              <a:lnTo>
                <a:pt x="558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0.15167</cdr:x>
      <cdr:y>0.41229</cdr:y>
    </cdr:from>
    <cdr:to>
      <cdr:x>0.15931</cdr:x>
      <cdr:y>0.41987</cdr:y>
    </cdr:to>
    <cdr:sp macro="" textlink="">
      <cdr:nvSpPr>
        <cdr:cNvPr id="523" name="FracNo 495 StartRow 5484">
          <a:extLst xmlns:a="http://schemas.openxmlformats.org/drawingml/2006/main">
            <a:ext uri="{FF2B5EF4-FFF2-40B4-BE49-F238E27FC236}">
              <a16:creationId xmlns:a16="http://schemas.microsoft.com/office/drawing/2014/main" id="{31F67F64-0BBB-15EE-5426-A0C2038AB066}"/>
            </a:ext>
          </a:extLst>
        </cdr:cNvPr>
        <cdr:cNvSpPr/>
      </cdr:nvSpPr>
      <cdr:spPr>
        <a:xfrm xmlns:a="http://schemas.openxmlformats.org/drawingml/2006/main">
          <a:off x="1109530" y="3141658"/>
          <a:ext cx="55870" cy="57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70" h="57788">
              <a:moveTo>
                <a:pt x="27934" y="28893"/>
              </a:moveTo>
              <a:lnTo>
                <a:pt x="0" y="57787"/>
              </a:lnTo>
              <a:lnTo>
                <a:pt x="0" y="57787"/>
              </a:lnTo>
              <a:lnTo>
                <a:pt x="27934" y="28893"/>
              </a:lnTo>
              <a:lnTo>
                <a:pt x="55869" y="0"/>
              </a:lnTo>
              <a:lnTo>
                <a:pt x="558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0.80276</cdr:x>
      <cdr:y>0.74524</cdr:y>
    </cdr:from>
    <cdr:to>
      <cdr:x>0.8104</cdr:x>
      <cdr:y>0.75282</cdr:y>
    </cdr:to>
    <cdr:sp macro="" textlink="">
      <cdr:nvSpPr>
        <cdr:cNvPr id="524" name="FracNo 420 StartRow 5493">
          <a:extLst xmlns:a="http://schemas.openxmlformats.org/drawingml/2006/main">
            <a:ext uri="{FF2B5EF4-FFF2-40B4-BE49-F238E27FC236}">
              <a16:creationId xmlns:a16="http://schemas.microsoft.com/office/drawing/2014/main" id="{EB8D4579-F624-88DD-E708-44A8716FECA9}"/>
            </a:ext>
          </a:extLst>
        </cdr:cNvPr>
        <cdr:cNvSpPr/>
      </cdr:nvSpPr>
      <cdr:spPr>
        <a:xfrm xmlns:a="http://schemas.openxmlformats.org/drawingml/2006/main">
          <a:off x="5872343" y="5678700"/>
          <a:ext cx="55870" cy="57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70" h="57788">
              <a:moveTo>
                <a:pt x="27935" y="28894"/>
              </a:moveTo>
              <a:lnTo>
                <a:pt x="0" y="57787"/>
              </a:lnTo>
              <a:lnTo>
                <a:pt x="0" y="57787"/>
              </a:lnTo>
              <a:lnTo>
                <a:pt x="27935" y="28894"/>
              </a:lnTo>
              <a:lnTo>
                <a:pt x="55869" y="0"/>
              </a:lnTo>
              <a:lnTo>
                <a:pt x="558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0.29767</cdr:x>
      <cdr:y>0.89782</cdr:y>
    </cdr:from>
    <cdr:to>
      <cdr:x>0.30531</cdr:x>
      <cdr:y>0.9054</cdr:y>
    </cdr:to>
    <cdr:sp macro="" textlink="">
      <cdr:nvSpPr>
        <cdr:cNvPr id="525" name="FracNo 18 StartRow 5502">
          <a:extLst xmlns:a="http://schemas.openxmlformats.org/drawingml/2006/main">
            <a:ext uri="{FF2B5EF4-FFF2-40B4-BE49-F238E27FC236}">
              <a16:creationId xmlns:a16="http://schemas.microsoft.com/office/drawing/2014/main" id="{BC2F0F38-6106-0137-5B14-A1A12897EA57}"/>
            </a:ext>
          </a:extLst>
        </cdr:cNvPr>
        <cdr:cNvSpPr/>
      </cdr:nvSpPr>
      <cdr:spPr>
        <a:xfrm xmlns:a="http://schemas.openxmlformats.org/drawingml/2006/main">
          <a:off x="2177532" y="6841387"/>
          <a:ext cx="55869" cy="57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69" h="57788">
              <a:moveTo>
                <a:pt x="27934" y="28894"/>
              </a:moveTo>
              <a:lnTo>
                <a:pt x="0" y="57787"/>
              </a:lnTo>
              <a:lnTo>
                <a:pt x="0" y="57787"/>
              </a:lnTo>
              <a:lnTo>
                <a:pt x="27934" y="28894"/>
              </a:lnTo>
              <a:lnTo>
                <a:pt x="55868" y="0"/>
              </a:lnTo>
              <a:lnTo>
                <a:pt x="558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0.12092</cdr:x>
      <cdr:y>0.7287</cdr:y>
    </cdr:from>
    <cdr:to>
      <cdr:x>0.12856</cdr:x>
      <cdr:y>0.73629</cdr:y>
    </cdr:to>
    <cdr:sp macro="" textlink="">
      <cdr:nvSpPr>
        <cdr:cNvPr id="526" name="FracNo 20 StartRow 5511">
          <a:extLst xmlns:a="http://schemas.openxmlformats.org/drawingml/2006/main">
            <a:ext uri="{FF2B5EF4-FFF2-40B4-BE49-F238E27FC236}">
              <a16:creationId xmlns:a16="http://schemas.microsoft.com/office/drawing/2014/main" id="{F8B7ADB5-FFBB-9D75-0C5F-391EFB46A77F}"/>
            </a:ext>
          </a:extLst>
        </cdr:cNvPr>
        <cdr:cNvSpPr/>
      </cdr:nvSpPr>
      <cdr:spPr>
        <a:xfrm xmlns:a="http://schemas.openxmlformats.org/drawingml/2006/main">
          <a:off x="884578" y="5552732"/>
          <a:ext cx="55869" cy="577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69" h="57789">
              <a:moveTo>
                <a:pt x="27934" y="28894"/>
              </a:moveTo>
              <a:lnTo>
                <a:pt x="0" y="57788"/>
              </a:lnTo>
              <a:lnTo>
                <a:pt x="0" y="57788"/>
              </a:lnTo>
              <a:lnTo>
                <a:pt x="27934" y="28894"/>
              </a:lnTo>
              <a:lnTo>
                <a:pt x="55868" y="0"/>
              </a:lnTo>
              <a:lnTo>
                <a:pt x="558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0.12099</cdr:x>
      <cdr:y>0.79138</cdr:y>
    </cdr:from>
    <cdr:to>
      <cdr:x>0.12862</cdr:x>
      <cdr:y>0.79896</cdr:y>
    </cdr:to>
    <cdr:sp macro="" textlink="">
      <cdr:nvSpPr>
        <cdr:cNvPr id="527" name="FracNo 10 StartRow 5520">
          <a:extLst xmlns:a="http://schemas.openxmlformats.org/drawingml/2006/main">
            <a:ext uri="{FF2B5EF4-FFF2-40B4-BE49-F238E27FC236}">
              <a16:creationId xmlns:a16="http://schemas.microsoft.com/office/drawing/2014/main" id="{B302FF15-D9D6-58E1-B7BB-FDF9D7BD4204}"/>
            </a:ext>
          </a:extLst>
        </cdr:cNvPr>
        <cdr:cNvSpPr/>
      </cdr:nvSpPr>
      <cdr:spPr>
        <a:xfrm xmlns:a="http://schemas.openxmlformats.org/drawingml/2006/main">
          <a:off x="885047" y="6030311"/>
          <a:ext cx="55870" cy="57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70" h="57788">
              <a:moveTo>
                <a:pt x="27934" y="28894"/>
              </a:moveTo>
              <a:lnTo>
                <a:pt x="0" y="57787"/>
              </a:lnTo>
              <a:lnTo>
                <a:pt x="0" y="57787"/>
              </a:lnTo>
              <a:lnTo>
                <a:pt x="27934" y="28894"/>
              </a:lnTo>
              <a:lnTo>
                <a:pt x="55869" y="0"/>
              </a:lnTo>
              <a:lnTo>
                <a:pt x="558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0.24711</cdr:x>
      <cdr:y>0.6529</cdr:y>
    </cdr:from>
    <cdr:to>
      <cdr:x>0.25475</cdr:x>
      <cdr:y>0.66049</cdr:y>
    </cdr:to>
    <cdr:sp macro="" textlink="">
      <cdr:nvSpPr>
        <cdr:cNvPr id="528" name="FracNo 6 StartRow 5529">
          <a:extLst xmlns:a="http://schemas.openxmlformats.org/drawingml/2006/main">
            <a:ext uri="{FF2B5EF4-FFF2-40B4-BE49-F238E27FC236}">
              <a16:creationId xmlns:a16="http://schemas.microsoft.com/office/drawing/2014/main" id="{7D4BE358-549F-38C0-C44B-D7884B79266D}"/>
            </a:ext>
          </a:extLst>
        </cdr:cNvPr>
        <cdr:cNvSpPr/>
      </cdr:nvSpPr>
      <cdr:spPr>
        <a:xfrm xmlns:a="http://schemas.openxmlformats.org/drawingml/2006/main">
          <a:off x="1807692" y="4975109"/>
          <a:ext cx="55869" cy="57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69" h="57788">
              <a:moveTo>
                <a:pt x="27934" y="28894"/>
              </a:moveTo>
              <a:lnTo>
                <a:pt x="0" y="57787"/>
              </a:lnTo>
              <a:lnTo>
                <a:pt x="0" y="57787"/>
              </a:lnTo>
              <a:lnTo>
                <a:pt x="27934" y="28894"/>
              </a:lnTo>
              <a:lnTo>
                <a:pt x="55868" y="0"/>
              </a:lnTo>
              <a:lnTo>
                <a:pt x="558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0.39045</cdr:x>
      <cdr:y>0.7516</cdr:y>
    </cdr:from>
    <cdr:to>
      <cdr:x>0.39809</cdr:x>
      <cdr:y>0.75919</cdr:y>
    </cdr:to>
    <cdr:sp macro="" textlink="">
      <cdr:nvSpPr>
        <cdr:cNvPr id="529" name="FracNo 256 StartRow 5538">
          <a:extLst xmlns:a="http://schemas.openxmlformats.org/drawingml/2006/main">
            <a:ext uri="{FF2B5EF4-FFF2-40B4-BE49-F238E27FC236}">
              <a16:creationId xmlns:a16="http://schemas.microsoft.com/office/drawing/2014/main" id="{D4C0450A-7B30-3F6C-DCB4-37413D8270D9}"/>
            </a:ext>
          </a:extLst>
        </cdr:cNvPr>
        <cdr:cNvSpPr/>
      </cdr:nvSpPr>
      <cdr:spPr>
        <a:xfrm xmlns:a="http://schemas.openxmlformats.org/drawingml/2006/main">
          <a:off x="2856202" y="5727214"/>
          <a:ext cx="55870" cy="577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70" h="57789">
              <a:moveTo>
                <a:pt x="27934" y="28894"/>
              </a:moveTo>
              <a:lnTo>
                <a:pt x="0" y="57788"/>
              </a:lnTo>
              <a:lnTo>
                <a:pt x="0" y="57788"/>
              </a:lnTo>
              <a:lnTo>
                <a:pt x="27934" y="28894"/>
              </a:lnTo>
              <a:lnTo>
                <a:pt x="55869" y="0"/>
              </a:lnTo>
              <a:lnTo>
                <a:pt x="558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0.2645</cdr:x>
      <cdr:y>0.90836</cdr:y>
    </cdr:from>
    <cdr:to>
      <cdr:x>0.27214</cdr:x>
      <cdr:y>0.91594</cdr:y>
    </cdr:to>
    <cdr:sp macro="" textlink="">
      <cdr:nvSpPr>
        <cdr:cNvPr id="530" name="FracNo 2 StartRow 5547">
          <a:extLst xmlns:a="http://schemas.openxmlformats.org/drawingml/2006/main">
            <a:ext uri="{FF2B5EF4-FFF2-40B4-BE49-F238E27FC236}">
              <a16:creationId xmlns:a16="http://schemas.microsoft.com/office/drawing/2014/main" id="{BB04FF9A-7712-6120-FB03-6C48B75C642D}"/>
            </a:ext>
          </a:extLst>
        </cdr:cNvPr>
        <cdr:cNvSpPr/>
      </cdr:nvSpPr>
      <cdr:spPr>
        <a:xfrm xmlns:a="http://schemas.openxmlformats.org/drawingml/2006/main">
          <a:off x="1934880" y="6921699"/>
          <a:ext cx="55869" cy="57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69" h="57788">
              <a:moveTo>
                <a:pt x="27934" y="28894"/>
              </a:moveTo>
              <a:lnTo>
                <a:pt x="0" y="57787"/>
              </a:lnTo>
              <a:lnTo>
                <a:pt x="0" y="57787"/>
              </a:lnTo>
              <a:lnTo>
                <a:pt x="27934" y="28894"/>
              </a:lnTo>
              <a:lnTo>
                <a:pt x="55868" y="0"/>
              </a:lnTo>
              <a:lnTo>
                <a:pt x="558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0.41132</cdr:x>
      <cdr:y>0.8452</cdr:y>
    </cdr:from>
    <cdr:to>
      <cdr:x>0.41896</cdr:x>
      <cdr:y>0.85278</cdr:y>
    </cdr:to>
    <cdr:sp macro="" textlink="">
      <cdr:nvSpPr>
        <cdr:cNvPr id="531" name="FracNo 250 StartRow 5556">
          <a:extLst xmlns:a="http://schemas.openxmlformats.org/drawingml/2006/main">
            <a:ext uri="{FF2B5EF4-FFF2-40B4-BE49-F238E27FC236}">
              <a16:creationId xmlns:a16="http://schemas.microsoft.com/office/drawing/2014/main" id="{752586D1-FE49-7DF9-E592-AC32EA306E55}"/>
            </a:ext>
          </a:extLst>
        </cdr:cNvPr>
        <cdr:cNvSpPr/>
      </cdr:nvSpPr>
      <cdr:spPr>
        <a:xfrm xmlns:a="http://schemas.openxmlformats.org/drawingml/2006/main">
          <a:off x="3008872" y="6440396"/>
          <a:ext cx="55869" cy="577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69" h="57789">
              <a:moveTo>
                <a:pt x="27934" y="28894"/>
              </a:moveTo>
              <a:lnTo>
                <a:pt x="0" y="57788"/>
              </a:lnTo>
              <a:lnTo>
                <a:pt x="0" y="57788"/>
              </a:lnTo>
              <a:lnTo>
                <a:pt x="27934" y="28894"/>
              </a:lnTo>
              <a:lnTo>
                <a:pt x="55868" y="0"/>
              </a:lnTo>
              <a:lnTo>
                <a:pt x="558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0.09512</cdr:x>
      <cdr:y>0.42782</cdr:y>
    </cdr:from>
    <cdr:to>
      <cdr:x>0.10275</cdr:x>
      <cdr:y>0.4354</cdr:y>
    </cdr:to>
    <cdr:sp macro="" textlink="">
      <cdr:nvSpPr>
        <cdr:cNvPr id="532" name="FracNo 490 StartRow 5565">
          <a:extLst xmlns:a="http://schemas.openxmlformats.org/drawingml/2006/main">
            <a:ext uri="{FF2B5EF4-FFF2-40B4-BE49-F238E27FC236}">
              <a16:creationId xmlns:a16="http://schemas.microsoft.com/office/drawing/2014/main" id="{F04E242A-91C3-DEA0-0948-F895E5EC31E2}"/>
            </a:ext>
          </a:extLst>
        </cdr:cNvPr>
        <cdr:cNvSpPr/>
      </cdr:nvSpPr>
      <cdr:spPr>
        <a:xfrm xmlns:a="http://schemas.openxmlformats.org/drawingml/2006/main">
          <a:off x="695798" y="3259993"/>
          <a:ext cx="55870" cy="57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70" h="57788">
              <a:moveTo>
                <a:pt x="27935" y="28894"/>
              </a:moveTo>
              <a:lnTo>
                <a:pt x="0" y="57787"/>
              </a:lnTo>
              <a:lnTo>
                <a:pt x="0" y="57787"/>
              </a:lnTo>
              <a:lnTo>
                <a:pt x="27935" y="28894"/>
              </a:lnTo>
              <a:lnTo>
                <a:pt x="55869" y="0"/>
              </a:lnTo>
              <a:lnTo>
                <a:pt x="558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0.5439</cdr:x>
      <cdr:y>0.91046</cdr:y>
    </cdr:from>
    <cdr:to>
      <cdr:x>0.55154</cdr:x>
      <cdr:y>0.91805</cdr:y>
    </cdr:to>
    <cdr:sp macro="" textlink="">
      <cdr:nvSpPr>
        <cdr:cNvPr id="533" name="FracNo 255 StartRow 5574">
          <a:extLst xmlns:a="http://schemas.openxmlformats.org/drawingml/2006/main">
            <a:ext uri="{FF2B5EF4-FFF2-40B4-BE49-F238E27FC236}">
              <a16:creationId xmlns:a16="http://schemas.microsoft.com/office/drawing/2014/main" id="{9BF299AB-866E-BA39-D256-3F185144B707}"/>
            </a:ext>
          </a:extLst>
        </cdr:cNvPr>
        <cdr:cNvSpPr/>
      </cdr:nvSpPr>
      <cdr:spPr>
        <a:xfrm xmlns:a="http://schemas.openxmlformats.org/drawingml/2006/main">
          <a:off x="3978723" y="6937728"/>
          <a:ext cx="55869" cy="57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69" h="57788">
              <a:moveTo>
                <a:pt x="27934" y="28893"/>
              </a:moveTo>
              <a:lnTo>
                <a:pt x="0" y="57787"/>
              </a:lnTo>
              <a:lnTo>
                <a:pt x="0" y="57787"/>
              </a:lnTo>
              <a:lnTo>
                <a:pt x="27934" y="28893"/>
              </a:lnTo>
              <a:lnTo>
                <a:pt x="55868" y="0"/>
              </a:lnTo>
              <a:lnTo>
                <a:pt x="558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0.70387</cdr:x>
      <cdr:y>0.22094</cdr:y>
    </cdr:from>
    <cdr:to>
      <cdr:x>0.71151</cdr:x>
      <cdr:y>0.22852</cdr:y>
    </cdr:to>
    <cdr:sp macro="" textlink="">
      <cdr:nvSpPr>
        <cdr:cNvPr id="534" name="FracNo 650 StartRow 5583">
          <a:extLst xmlns:a="http://schemas.openxmlformats.org/drawingml/2006/main">
            <a:ext uri="{FF2B5EF4-FFF2-40B4-BE49-F238E27FC236}">
              <a16:creationId xmlns:a16="http://schemas.microsoft.com/office/drawing/2014/main" id="{E374602E-13C6-A186-AF76-D13163B6A986}"/>
            </a:ext>
          </a:extLst>
        </cdr:cNvPr>
        <cdr:cNvSpPr/>
      </cdr:nvSpPr>
      <cdr:spPr>
        <a:xfrm xmlns:a="http://schemas.openxmlformats.org/drawingml/2006/main">
          <a:off x="5148941" y="1683525"/>
          <a:ext cx="55869" cy="57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69" h="57788">
              <a:moveTo>
                <a:pt x="27934" y="28894"/>
              </a:moveTo>
              <a:lnTo>
                <a:pt x="0" y="57787"/>
              </a:lnTo>
              <a:lnTo>
                <a:pt x="0" y="57787"/>
              </a:lnTo>
              <a:lnTo>
                <a:pt x="27934" y="28894"/>
              </a:lnTo>
              <a:lnTo>
                <a:pt x="55868" y="0"/>
              </a:lnTo>
              <a:lnTo>
                <a:pt x="558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0.80908</cdr:x>
      <cdr:y>0.28499</cdr:y>
    </cdr:from>
    <cdr:to>
      <cdr:x>0.81672</cdr:x>
      <cdr:y>0.29257</cdr:y>
    </cdr:to>
    <cdr:sp macro="" textlink="">
      <cdr:nvSpPr>
        <cdr:cNvPr id="535" name="FracNo 649 StartRow 5592">
          <a:extLst xmlns:a="http://schemas.openxmlformats.org/drawingml/2006/main">
            <a:ext uri="{FF2B5EF4-FFF2-40B4-BE49-F238E27FC236}">
              <a16:creationId xmlns:a16="http://schemas.microsoft.com/office/drawing/2014/main" id="{462A3D0C-6E23-41A3-E044-E8F79C64C19A}"/>
            </a:ext>
          </a:extLst>
        </cdr:cNvPr>
        <cdr:cNvSpPr/>
      </cdr:nvSpPr>
      <cdr:spPr>
        <a:xfrm xmlns:a="http://schemas.openxmlformats.org/drawingml/2006/main">
          <a:off x="5918584" y="2171616"/>
          <a:ext cx="55870" cy="57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70" h="57788">
              <a:moveTo>
                <a:pt x="27935" y="28894"/>
              </a:moveTo>
              <a:lnTo>
                <a:pt x="0" y="57787"/>
              </a:lnTo>
              <a:lnTo>
                <a:pt x="0" y="57787"/>
              </a:lnTo>
              <a:lnTo>
                <a:pt x="27935" y="28894"/>
              </a:lnTo>
              <a:lnTo>
                <a:pt x="55869" y="0"/>
              </a:lnTo>
              <a:lnTo>
                <a:pt x="558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0.706</cdr:x>
      <cdr:y>0.33341</cdr:y>
    </cdr:from>
    <cdr:to>
      <cdr:x>0.71364</cdr:x>
      <cdr:y>0.341</cdr:y>
    </cdr:to>
    <cdr:sp macro="" textlink="">
      <cdr:nvSpPr>
        <cdr:cNvPr id="536" name="FracNo 648 StartRow 5601">
          <a:extLst xmlns:a="http://schemas.openxmlformats.org/drawingml/2006/main">
            <a:ext uri="{FF2B5EF4-FFF2-40B4-BE49-F238E27FC236}">
              <a16:creationId xmlns:a16="http://schemas.microsoft.com/office/drawing/2014/main" id="{D5CC9D5A-10E2-B6A2-12B5-C320303FCA8A}"/>
            </a:ext>
          </a:extLst>
        </cdr:cNvPr>
        <cdr:cNvSpPr/>
      </cdr:nvSpPr>
      <cdr:spPr>
        <a:xfrm xmlns:a="http://schemas.openxmlformats.org/drawingml/2006/main">
          <a:off x="5164534" y="2540607"/>
          <a:ext cx="55870" cy="57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70" h="57788">
              <a:moveTo>
                <a:pt x="27935" y="28894"/>
              </a:moveTo>
              <a:lnTo>
                <a:pt x="0" y="57787"/>
              </a:lnTo>
              <a:lnTo>
                <a:pt x="0" y="57787"/>
              </a:lnTo>
              <a:lnTo>
                <a:pt x="27935" y="28894"/>
              </a:lnTo>
              <a:lnTo>
                <a:pt x="55869" y="0"/>
              </a:lnTo>
              <a:lnTo>
                <a:pt x="558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0.53892</cdr:x>
      <cdr:y>0.24104</cdr:y>
    </cdr:from>
    <cdr:to>
      <cdr:x>0.54655</cdr:x>
      <cdr:y>0.24862</cdr:y>
    </cdr:to>
    <cdr:sp macro="" textlink="">
      <cdr:nvSpPr>
        <cdr:cNvPr id="537" name="FracNo 338 StartRow 5610">
          <a:extLst xmlns:a="http://schemas.openxmlformats.org/drawingml/2006/main">
            <a:ext uri="{FF2B5EF4-FFF2-40B4-BE49-F238E27FC236}">
              <a16:creationId xmlns:a16="http://schemas.microsoft.com/office/drawing/2014/main" id="{36D59333-61C3-70F0-DBA9-1F9435BA9C95}"/>
            </a:ext>
          </a:extLst>
        </cdr:cNvPr>
        <cdr:cNvSpPr/>
      </cdr:nvSpPr>
      <cdr:spPr>
        <a:xfrm xmlns:a="http://schemas.openxmlformats.org/drawingml/2006/main">
          <a:off x="3942281" y="1836717"/>
          <a:ext cx="55871" cy="57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71" h="57788">
              <a:moveTo>
                <a:pt x="27935" y="28894"/>
              </a:moveTo>
              <a:lnTo>
                <a:pt x="0" y="57787"/>
              </a:lnTo>
              <a:lnTo>
                <a:pt x="0" y="57787"/>
              </a:lnTo>
              <a:lnTo>
                <a:pt x="27935" y="28894"/>
              </a:lnTo>
              <a:lnTo>
                <a:pt x="55870" y="0"/>
              </a:lnTo>
              <a:lnTo>
                <a:pt x="5587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0.87608</cdr:x>
      <cdr:y>0.56283</cdr:y>
    </cdr:from>
    <cdr:to>
      <cdr:x>0.88371</cdr:x>
      <cdr:y>0.57041</cdr:y>
    </cdr:to>
    <cdr:sp macro="" textlink="">
      <cdr:nvSpPr>
        <cdr:cNvPr id="538" name="FracNo 176 StartRow 5619">
          <a:extLst xmlns:a="http://schemas.openxmlformats.org/drawingml/2006/main">
            <a:ext uri="{FF2B5EF4-FFF2-40B4-BE49-F238E27FC236}">
              <a16:creationId xmlns:a16="http://schemas.microsoft.com/office/drawing/2014/main" id="{9E6FD747-1868-3092-1502-596B27192AAC}"/>
            </a:ext>
          </a:extLst>
        </cdr:cNvPr>
        <cdr:cNvSpPr/>
      </cdr:nvSpPr>
      <cdr:spPr>
        <a:xfrm xmlns:a="http://schemas.openxmlformats.org/drawingml/2006/main">
          <a:off x="6408665" y="4288754"/>
          <a:ext cx="55870" cy="57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70" h="57788">
              <a:moveTo>
                <a:pt x="27935" y="28894"/>
              </a:moveTo>
              <a:lnTo>
                <a:pt x="0" y="57787"/>
              </a:lnTo>
              <a:lnTo>
                <a:pt x="0" y="57787"/>
              </a:lnTo>
              <a:lnTo>
                <a:pt x="27935" y="28894"/>
              </a:lnTo>
              <a:lnTo>
                <a:pt x="55869" y="0"/>
              </a:lnTo>
              <a:lnTo>
                <a:pt x="558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0.63664</cdr:x>
      <cdr:y>0.15776</cdr:y>
    </cdr:from>
    <cdr:to>
      <cdr:x>0.64428</cdr:x>
      <cdr:y>0.16534</cdr:y>
    </cdr:to>
    <cdr:sp macro="" textlink="">
      <cdr:nvSpPr>
        <cdr:cNvPr id="539" name="FracNo 334 StartRow 5628">
          <a:extLst xmlns:a="http://schemas.openxmlformats.org/drawingml/2006/main">
            <a:ext uri="{FF2B5EF4-FFF2-40B4-BE49-F238E27FC236}">
              <a16:creationId xmlns:a16="http://schemas.microsoft.com/office/drawing/2014/main" id="{A5F71375-CB34-1CC2-A7EC-1EA027C9713D}"/>
            </a:ext>
          </a:extLst>
        </cdr:cNvPr>
        <cdr:cNvSpPr/>
      </cdr:nvSpPr>
      <cdr:spPr>
        <a:xfrm xmlns:a="http://schemas.openxmlformats.org/drawingml/2006/main">
          <a:off x="4657147" y="1202115"/>
          <a:ext cx="55869" cy="57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69" h="57788">
              <a:moveTo>
                <a:pt x="27934" y="28893"/>
              </a:moveTo>
              <a:lnTo>
                <a:pt x="0" y="57787"/>
              </a:lnTo>
              <a:lnTo>
                <a:pt x="0" y="57787"/>
              </a:lnTo>
              <a:lnTo>
                <a:pt x="27934" y="28893"/>
              </a:lnTo>
              <a:lnTo>
                <a:pt x="55868" y="0"/>
              </a:lnTo>
              <a:lnTo>
                <a:pt x="558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0.7122</cdr:x>
      <cdr:y>0.42525</cdr:y>
    </cdr:from>
    <cdr:to>
      <cdr:x>0.71984</cdr:x>
      <cdr:y>0.43284</cdr:y>
    </cdr:to>
    <cdr:sp macro="" textlink="">
      <cdr:nvSpPr>
        <cdr:cNvPr id="540" name="FracNo 173 StartRow 5637">
          <a:extLst xmlns:a="http://schemas.openxmlformats.org/drawingml/2006/main">
            <a:ext uri="{FF2B5EF4-FFF2-40B4-BE49-F238E27FC236}">
              <a16:creationId xmlns:a16="http://schemas.microsoft.com/office/drawing/2014/main" id="{2D7E4DF4-8E6A-E816-8909-F7C169D14463}"/>
            </a:ext>
          </a:extLst>
        </cdr:cNvPr>
        <cdr:cNvSpPr/>
      </cdr:nvSpPr>
      <cdr:spPr>
        <a:xfrm xmlns:a="http://schemas.openxmlformats.org/drawingml/2006/main">
          <a:off x="5209907" y="3240443"/>
          <a:ext cx="55870" cy="57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70" h="57788">
              <a:moveTo>
                <a:pt x="27935" y="28894"/>
              </a:moveTo>
              <a:lnTo>
                <a:pt x="0" y="57787"/>
              </a:lnTo>
              <a:lnTo>
                <a:pt x="0" y="57787"/>
              </a:lnTo>
              <a:lnTo>
                <a:pt x="27935" y="28894"/>
              </a:lnTo>
              <a:lnTo>
                <a:pt x="55869" y="0"/>
              </a:lnTo>
              <a:lnTo>
                <a:pt x="558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0.77317</cdr:x>
      <cdr:y>0.47752</cdr:y>
    </cdr:from>
    <cdr:to>
      <cdr:x>0.7808</cdr:x>
      <cdr:y>0.48511</cdr:y>
    </cdr:to>
    <cdr:sp macro="" textlink="">
      <cdr:nvSpPr>
        <cdr:cNvPr id="541" name="FracNo 175 StartRow 5646">
          <a:extLst xmlns:a="http://schemas.openxmlformats.org/drawingml/2006/main">
            <a:ext uri="{FF2B5EF4-FFF2-40B4-BE49-F238E27FC236}">
              <a16:creationId xmlns:a16="http://schemas.microsoft.com/office/drawing/2014/main" id="{0B2C2C76-B5FA-6029-7873-4FCB927C3518}"/>
            </a:ext>
          </a:extLst>
        </cdr:cNvPr>
        <cdr:cNvSpPr/>
      </cdr:nvSpPr>
      <cdr:spPr>
        <a:xfrm xmlns:a="http://schemas.openxmlformats.org/drawingml/2006/main">
          <a:off x="5655857" y="3638719"/>
          <a:ext cx="55870" cy="577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70" h="57789">
              <a:moveTo>
                <a:pt x="27934" y="28894"/>
              </a:moveTo>
              <a:lnTo>
                <a:pt x="0" y="57788"/>
              </a:lnTo>
              <a:lnTo>
                <a:pt x="0" y="57788"/>
              </a:lnTo>
              <a:lnTo>
                <a:pt x="27934" y="28894"/>
              </a:lnTo>
              <a:lnTo>
                <a:pt x="55869" y="0"/>
              </a:lnTo>
              <a:lnTo>
                <a:pt x="558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0.4817</cdr:x>
      <cdr:y>0.16565</cdr:y>
    </cdr:from>
    <cdr:to>
      <cdr:x>0.48934</cdr:x>
      <cdr:y>0.17324</cdr:y>
    </cdr:to>
    <cdr:sp macro="" textlink="">
      <cdr:nvSpPr>
        <cdr:cNvPr id="542" name="FracNo 330 StartRow 5655">
          <a:extLst xmlns:a="http://schemas.openxmlformats.org/drawingml/2006/main">
            <a:ext uri="{FF2B5EF4-FFF2-40B4-BE49-F238E27FC236}">
              <a16:creationId xmlns:a16="http://schemas.microsoft.com/office/drawing/2014/main" id="{734E6915-DCB3-EF18-2852-329479D21E5C}"/>
            </a:ext>
          </a:extLst>
        </cdr:cNvPr>
        <cdr:cNvSpPr/>
      </cdr:nvSpPr>
      <cdr:spPr>
        <a:xfrm xmlns:a="http://schemas.openxmlformats.org/drawingml/2006/main">
          <a:off x="3523753" y="1262271"/>
          <a:ext cx="55869" cy="57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69" h="57788">
              <a:moveTo>
                <a:pt x="27934" y="28893"/>
              </a:moveTo>
              <a:lnTo>
                <a:pt x="0" y="57787"/>
              </a:lnTo>
              <a:lnTo>
                <a:pt x="0" y="57787"/>
              </a:lnTo>
              <a:lnTo>
                <a:pt x="27934" y="28893"/>
              </a:lnTo>
              <a:lnTo>
                <a:pt x="55868" y="0"/>
              </a:lnTo>
              <a:lnTo>
                <a:pt x="558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0.64986</cdr:x>
      <cdr:y>0.43758</cdr:y>
    </cdr:from>
    <cdr:to>
      <cdr:x>0.6575</cdr:x>
      <cdr:y>0.44516</cdr:y>
    </cdr:to>
    <cdr:sp macro="" textlink="">
      <cdr:nvSpPr>
        <cdr:cNvPr id="543" name="FracNo 90 StartRow 5664">
          <a:extLst xmlns:a="http://schemas.openxmlformats.org/drawingml/2006/main">
            <a:ext uri="{FF2B5EF4-FFF2-40B4-BE49-F238E27FC236}">
              <a16:creationId xmlns:a16="http://schemas.microsoft.com/office/drawing/2014/main" id="{04F9B24D-41D6-060F-FE4D-63D597D688EE}"/>
            </a:ext>
          </a:extLst>
        </cdr:cNvPr>
        <cdr:cNvSpPr/>
      </cdr:nvSpPr>
      <cdr:spPr>
        <a:xfrm xmlns:a="http://schemas.openxmlformats.org/drawingml/2006/main">
          <a:off x="4753879" y="3334345"/>
          <a:ext cx="55870" cy="577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70" h="57787">
              <a:moveTo>
                <a:pt x="27934" y="28893"/>
              </a:moveTo>
              <a:lnTo>
                <a:pt x="0" y="57786"/>
              </a:lnTo>
              <a:lnTo>
                <a:pt x="0" y="57786"/>
              </a:lnTo>
              <a:lnTo>
                <a:pt x="27934" y="28893"/>
              </a:lnTo>
              <a:lnTo>
                <a:pt x="55869" y="0"/>
              </a:lnTo>
              <a:lnTo>
                <a:pt x="558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0.722</cdr:x>
      <cdr:y>0.43661</cdr:y>
    </cdr:from>
    <cdr:to>
      <cdr:x>0.72964</cdr:x>
      <cdr:y>0.44419</cdr:y>
    </cdr:to>
    <cdr:sp macro="" textlink="">
      <cdr:nvSpPr>
        <cdr:cNvPr id="544" name="FracNo 167 StartRow 5673">
          <a:extLst xmlns:a="http://schemas.openxmlformats.org/drawingml/2006/main">
            <a:ext uri="{FF2B5EF4-FFF2-40B4-BE49-F238E27FC236}">
              <a16:creationId xmlns:a16="http://schemas.microsoft.com/office/drawing/2014/main" id="{4E9B7DE2-84C4-C8F1-D592-FD38415D83E3}"/>
            </a:ext>
          </a:extLst>
        </cdr:cNvPr>
        <cdr:cNvSpPr/>
      </cdr:nvSpPr>
      <cdr:spPr>
        <a:xfrm xmlns:a="http://schemas.openxmlformats.org/drawingml/2006/main">
          <a:off x="5281601" y="3326934"/>
          <a:ext cx="55869" cy="57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69" h="57788">
              <a:moveTo>
                <a:pt x="27934" y="28894"/>
              </a:moveTo>
              <a:lnTo>
                <a:pt x="0" y="57787"/>
              </a:lnTo>
              <a:lnTo>
                <a:pt x="0" y="57787"/>
              </a:lnTo>
              <a:lnTo>
                <a:pt x="27934" y="28894"/>
              </a:lnTo>
              <a:lnTo>
                <a:pt x="55868" y="0"/>
              </a:lnTo>
              <a:lnTo>
                <a:pt x="558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0.81128</cdr:x>
      <cdr:y>0.44504</cdr:y>
    </cdr:from>
    <cdr:to>
      <cdr:x>0.81891</cdr:x>
      <cdr:y>0.45263</cdr:y>
    </cdr:to>
    <cdr:sp macro="" textlink="">
      <cdr:nvSpPr>
        <cdr:cNvPr id="545" name="FracNo 178 StartRow 5682">
          <a:extLst xmlns:a="http://schemas.openxmlformats.org/drawingml/2006/main">
            <a:ext uri="{FF2B5EF4-FFF2-40B4-BE49-F238E27FC236}">
              <a16:creationId xmlns:a16="http://schemas.microsoft.com/office/drawing/2014/main" id="{85570717-561B-48B2-42FD-896BB7E31076}"/>
            </a:ext>
          </a:extLst>
        </cdr:cNvPr>
        <cdr:cNvSpPr/>
      </cdr:nvSpPr>
      <cdr:spPr>
        <a:xfrm xmlns:a="http://schemas.openxmlformats.org/drawingml/2006/main">
          <a:off x="5934652" y="3391220"/>
          <a:ext cx="55869" cy="57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69" h="57788">
              <a:moveTo>
                <a:pt x="27934" y="28894"/>
              </a:moveTo>
              <a:lnTo>
                <a:pt x="0" y="57787"/>
              </a:lnTo>
              <a:lnTo>
                <a:pt x="0" y="57787"/>
              </a:lnTo>
              <a:lnTo>
                <a:pt x="27934" y="28894"/>
              </a:lnTo>
              <a:lnTo>
                <a:pt x="55868" y="0"/>
              </a:lnTo>
              <a:lnTo>
                <a:pt x="558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0.47033</cdr:x>
      <cdr:y>0.27676</cdr:y>
    </cdr:from>
    <cdr:to>
      <cdr:x>0.47797</cdr:x>
      <cdr:y>0.28434</cdr:y>
    </cdr:to>
    <cdr:sp macro="" textlink="">
      <cdr:nvSpPr>
        <cdr:cNvPr id="546" name="FracNo 324 StartRow 5691">
          <a:extLst xmlns:a="http://schemas.openxmlformats.org/drawingml/2006/main">
            <a:ext uri="{FF2B5EF4-FFF2-40B4-BE49-F238E27FC236}">
              <a16:creationId xmlns:a16="http://schemas.microsoft.com/office/drawing/2014/main" id="{D44C9525-6233-EA85-CBF9-6F17FB9CA64B}"/>
            </a:ext>
          </a:extLst>
        </cdr:cNvPr>
        <cdr:cNvSpPr/>
      </cdr:nvSpPr>
      <cdr:spPr>
        <a:xfrm xmlns:a="http://schemas.openxmlformats.org/drawingml/2006/main">
          <a:off x="3440566" y="2108912"/>
          <a:ext cx="55869" cy="57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69" h="57788">
              <a:moveTo>
                <a:pt x="27934" y="28894"/>
              </a:moveTo>
              <a:lnTo>
                <a:pt x="0" y="57787"/>
              </a:lnTo>
              <a:lnTo>
                <a:pt x="0" y="57787"/>
              </a:lnTo>
              <a:lnTo>
                <a:pt x="27934" y="28894"/>
              </a:lnTo>
              <a:lnTo>
                <a:pt x="55868" y="0"/>
              </a:lnTo>
              <a:lnTo>
                <a:pt x="558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0.47773</cdr:x>
      <cdr:y>0.09305</cdr:y>
    </cdr:from>
    <cdr:to>
      <cdr:x>0.48537</cdr:x>
      <cdr:y>0.10063</cdr:y>
    </cdr:to>
    <cdr:sp macro="" textlink="">
      <cdr:nvSpPr>
        <cdr:cNvPr id="547" name="FracNo 323 StartRow 5700">
          <a:extLst xmlns:a="http://schemas.openxmlformats.org/drawingml/2006/main">
            <a:ext uri="{FF2B5EF4-FFF2-40B4-BE49-F238E27FC236}">
              <a16:creationId xmlns:a16="http://schemas.microsoft.com/office/drawing/2014/main" id="{93A47510-35D5-BD29-B5CF-387A46AB721E}"/>
            </a:ext>
          </a:extLst>
        </cdr:cNvPr>
        <cdr:cNvSpPr/>
      </cdr:nvSpPr>
      <cdr:spPr>
        <a:xfrm xmlns:a="http://schemas.openxmlformats.org/drawingml/2006/main">
          <a:off x="3494703" y="709050"/>
          <a:ext cx="55869" cy="57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69" h="57788">
              <a:moveTo>
                <a:pt x="27934" y="28894"/>
              </a:moveTo>
              <a:lnTo>
                <a:pt x="0" y="57787"/>
              </a:lnTo>
              <a:lnTo>
                <a:pt x="0" y="57787"/>
              </a:lnTo>
              <a:lnTo>
                <a:pt x="27934" y="28894"/>
              </a:lnTo>
              <a:lnTo>
                <a:pt x="55868" y="0"/>
              </a:lnTo>
              <a:lnTo>
                <a:pt x="558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0.45302</cdr:x>
      <cdr:y>0.10275</cdr:y>
    </cdr:from>
    <cdr:to>
      <cdr:x>0.46065</cdr:x>
      <cdr:y>0.11034</cdr:y>
    </cdr:to>
    <cdr:sp macro="" textlink="">
      <cdr:nvSpPr>
        <cdr:cNvPr id="548" name="FracNo 336 StartRow 5709">
          <a:extLst xmlns:a="http://schemas.openxmlformats.org/drawingml/2006/main">
            <a:ext uri="{FF2B5EF4-FFF2-40B4-BE49-F238E27FC236}">
              <a16:creationId xmlns:a16="http://schemas.microsoft.com/office/drawing/2014/main" id="{438B4FEF-C764-BDEB-CB5B-DEE2E4F051DE}"/>
            </a:ext>
          </a:extLst>
        </cdr:cNvPr>
        <cdr:cNvSpPr/>
      </cdr:nvSpPr>
      <cdr:spPr>
        <a:xfrm xmlns:a="http://schemas.openxmlformats.org/drawingml/2006/main">
          <a:off x="3313911" y="782966"/>
          <a:ext cx="55869" cy="57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69" h="57788">
              <a:moveTo>
                <a:pt x="27934" y="28893"/>
              </a:moveTo>
              <a:lnTo>
                <a:pt x="0" y="57787"/>
              </a:lnTo>
              <a:lnTo>
                <a:pt x="0" y="57787"/>
              </a:lnTo>
              <a:lnTo>
                <a:pt x="27934" y="28893"/>
              </a:lnTo>
              <a:lnTo>
                <a:pt x="55868" y="0"/>
              </a:lnTo>
              <a:lnTo>
                <a:pt x="558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0.30335</cdr:x>
      <cdr:y>0.11102</cdr:y>
    </cdr:from>
    <cdr:to>
      <cdr:x>0.31099</cdr:x>
      <cdr:y>0.1186</cdr:y>
    </cdr:to>
    <cdr:sp macro="" textlink="">
      <cdr:nvSpPr>
        <cdr:cNvPr id="549" name="FracNo 573 StartRow 5718">
          <a:extLst xmlns:a="http://schemas.openxmlformats.org/drawingml/2006/main">
            <a:ext uri="{FF2B5EF4-FFF2-40B4-BE49-F238E27FC236}">
              <a16:creationId xmlns:a16="http://schemas.microsoft.com/office/drawing/2014/main" id="{517CA519-DF2E-B6F3-662F-E30937F477C3}"/>
            </a:ext>
          </a:extLst>
        </cdr:cNvPr>
        <cdr:cNvSpPr/>
      </cdr:nvSpPr>
      <cdr:spPr>
        <a:xfrm xmlns:a="http://schemas.openxmlformats.org/drawingml/2006/main">
          <a:off x="2219061" y="845947"/>
          <a:ext cx="55869" cy="57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69" h="57788">
              <a:moveTo>
                <a:pt x="27934" y="28893"/>
              </a:moveTo>
              <a:lnTo>
                <a:pt x="0" y="57787"/>
              </a:lnTo>
              <a:lnTo>
                <a:pt x="0" y="57787"/>
              </a:lnTo>
              <a:lnTo>
                <a:pt x="27934" y="28893"/>
              </a:lnTo>
              <a:lnTo>
                <a:pt x="55868" y="0"/>
              </a:lnTo>
              <a:lnTo>
                <a:pt x="558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0.92083</cdr:x>
      <cdr:y>0.22462</cdr:y>
    </cdr:from>
    <cdr:to>
      <cdr:x>0.92847</cdr:x>
      <cdr:y>0.23221</cdr:y>
    </cdr:to>
    <cdr:sp macro="" textlink="">
      <cdr:nvSpPr>
        <cdr:cNvPr id="550" name="FracNo 646 StartRow 5727">
          <a:extLst xmlns:a="http://schemas.openxmlformats.org/drawingml/2006/main">
            <a:ext uri="{FF2B5EF4-FFF2-40B4-BE49-F238E27FC236}">
              <a16:creationId xmlns:a16="http://schemas.microsoft.com/office/drawing/2014/main" id="{415A9445-E6C7-C75D-4ED7-7A372199ECA6}"/>
            </a:ext>
          </a:extLst>
        </cdr:cNvPr>
        <cdr:cNvSpPr/>
      </cdr:nvSpPr>
      <cdr:spPr>
        <a:xfrm xmlns:a="http://schemas.openxmlformats.org/drawingml/2006/main">
          <a:off x="6736064" y="1711640"/>
          <a:ext cx="55870" cy="57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70" h="57788">
              <a:moveTo>
                <a:pt x="27935" y="28894"/>
              </a:moveTo>
              <a:lnTo>
                <a:pt x="0" y="57787"/>
              </a:lnTo>
              <a:lnTo>
                <a:pt x="0" y="57787"/>
              </a:lnTo>
              <a:lnTo>
                <a:pt x="27935" y="28894"/>
              </a:lnTo>
              <a:lnTo>
                <a:pt x="55869" y="0"/>
              </a:lnTo>
              <a:lnTo>
                <a:pt x="558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0.92259</cdr:x>
      <cdr:y>0.53899</cdr:y>
    </cdr:from>
    <cdr:to>
      <cdr:x>0.93023</cdr:x>
      <cdr:y>0.54657</cdr:y>
    </cdr:to>
    <cdr:sp macro="" textlink="">
      <cdr:nvSpPr>
        <cdr:cNvPr id="551" name="FracNo 179 StartRow 5736">
          <a:extLst xmlns:a="http://schemas.openxmlformats.org/drawingml/2006/main">
            <a:ext uri="{FF2B5EF4-FFF2-40B4-BE49-F238E27FC236}">
              <a16:creationId xmlns:a16="http://schemas.microsoft.com/office/drawing/2014/main" id="{93470580-FA21-6B1B-C598-0F5A9217D1EC}"/>
            </a:ext>
          </a:extLst>
        </cdr:cNvPr>
        <cdr:cNvSpPr/>
      </cdr:nvSpPr>
      <cdr:spPr>
        <a:xfrm xmlns:a="http://schemas.openxmlformats.org/drawingml/2006/main">
          <a:off x="6748963" y="4107081"/>
          <a:ext cx="55869" cy="57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69" h="57788">
              <a:moveTo>
                <a:pt x="27934" y="28894"/>
              </a:moveTo>
              <a:lnTo>
                <a:pt x="0" y="57787"/>
              </a:lnTo>
              <a:lnTo>
                <a:pt x="0" y="57787"/>
              </a:lnTo>
              <a:lnTo>
                <a:pt x="27934" y="28894"/>
              </a:lnTo>
              <a:lnTo>
                <a:pt x="55868" y="0"/>
              </a:lnTo>
              <a:lnTo>
                <a:pt x="558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0.57488</cdr:x>
      <cdr:y>0.22675</cdr:y>
    </cdr:from>
    <cdr:to>
      <cdr:x>0.58252</cdr:x>
      <cdr:y>0.23433</cdr:y>
    </cdr:to>
    <cdr:sp macro="" textlink="">
      <cdr:nvSpPr>
        <cdr:cNvPr id="552" name="FracNo 339 StartRow 5745">
          <a:extLst xmlns:a="http://schemas.openxmlformats.org/drawingml/2006/main">
            <a:ext uri="{FF2B5EF4-FFF2-40B4-BE49-F238E27FC236}">
              <a16:creationId xmlns:a16="http://schemas.microsoft.com/office/drawing/2014/main" id="{1A0F8F42-91C7-2DA8-6D8C-A1A64E379ED9}"/>
            </a:ext>
          </a:extLst>
        </cdr:cNvPr>
        <cdr:cNvSpPr/>
      </cdr:nvSpPr>
      <cdr:spPr>
        <a:xfrm xmlns:a="http://schemas.openxmlformats.org/drawingml/2006/main">
          <a:off x="4205348" y="1727806"/>
          <a:ext cx="55870" cy="577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70" h="57789">
              <a:moveTo>
                <a:pt x="27934" y="28894"/>
              </a:moveTo>
              <a:lnTo>
                <a:pt x="0" y="57788"/>
              </a:lnTo>
              <a:lnTo>
                <a:pt x="0" y="57788"/>
              </a:lnTo>
              <a:lnTo>
                <a:pt x="27934" y="28894"/>
              </a:lnTo>
              <a:lnTo>
                <a:pt x="55869" y="0"/>
              </a:lnTo>
              <a:lnTo>
                <a:pt x="558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0.36791</cdr:x>
      <cdr:y>0.66587</cdr:y>
    </cdr:from>
    <cdr:to>
      <cdr:x>0.37547</cdr:x>
      <cdr:y>0.67338</cdr:y>
    </cdr:to>
    <cdr:sp macro="" textlink="">
      <cdr:nvSpPr>
        <cdr:cNvPr id="553" name="FracNo 1048 StartRow 5754">
          <a:extLst xmlns:a="http://schemas.openxmlformats.org/drawingml/2006/main">
            <a:ext uri="{FF2B5EF4-FFF2-40B4-BE49-F238E27FC236}">
              <a16:creationId xmlns:a16="http://schemas.microsoft.com/office/drawing/2014/main" id="{60C276C1-74B9-44B9-E711-8F0E3B1D8A05}"/>
            </a:ext>
          </a:extLst>
        </cdr:cNvPr>
        <cdr:cNvSpPr/>
      </cdr:nvSpPr>
      <cdr:spPr>
        <a:xfrm xmlns:a="http://schemas.openxmlformats.org/drawingml/2006/main">
          <a:off x="2691343" y="5073960"/>
          <a:ext cx="55286" cy="571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286" h="57185">
              <a:moveTo>
                <a:pt x="27643" y="28592"/>
              </a:moveTo>
              <a:lnTo>
                <a:pt x="0" y="57184"/>
              </a:lnTo>
              <a:lnTo>
                <a:pt x="0" y="57184"/>
              </a:lnTo>
              <a:lnTo>
                <a:pt x="27643" y="28592"/>
              </a:lnTo>
              <a:lnTo>
                <a:pt x="54543" y="768"/>
              </a:lnTo>
              <a:lnTo>
                <a:pt x="55285" y="0"/>
              </a:lnTo>
              <a:lnTo>
                <a:pt x="55285" y="0"/>
              </a:lnTo>
              <a:lnTo>
                <a:pt x="54543" y="76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0.22989</cdr:x>
      <cdr:y>0.64161</cdr:y>
    </cdr:from>
    <cdr:to>
      <cdr:x>0.23744</cdr:x>
      <cdr:y>0.64911</cdr:y>
    </cdr:to>
    <cdr:sp macro="" textlink="">
      <cdr:nvSpPr>
        <cdr:cNvPr id="554" name="FracNo 1036 StartRow 5765">
          <a:extLst xmlns:a="http://schemas.openxmlformats.org/drawingml/2006/main">
            <a:ext uri="{FF2B5EF4-FFF2-40B4-BE49-F238E27FC236}">
              <a16:creationId xmlns:a16="http://schemas.microsoft.com/office/drawing/2014/main" id="{3BE64BD0-8067-1858-93DE-EAD7BBA83FF1}"/>
            </a:ext>
          </a:extLst>
        </cdr:cNvPr>
        <cdr:cNvSpPr/>
      </cdr:nvSpPr>
      <cdr:spPr>
        <a:xfrm xmlns:a="http://schemas.openxmlformats.org/drawingml/2006/main">
          <a:off x="1681663" y="4889064"/>
          <a:ext cx="55285" cy="571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285" h="57185">
              <a:moveTo>
                <a:pt x="27642" y="28592"/>
              </a:moveTo>
              <a:lnTo>
                <a:pt x="4182" y="52858"/>
              </a:lnTo>
              <a:lnTo>
                <a:pt x="0" y="57184"/>
              </a:lnTo>
              <a:lnTo>
                <a:pt x="0" y="57184"/>
              </a:lnTo>
              <a:lnTo>
                <a:pt x="4182" y="52858"/>
              </a:lnTo>
              <a:lnTo>
                <a:pt x="27642" y="28592"/>
              </a:lnTo>
              <a:lnTo>
                <a:pt x="55284" y="0"/>
              </a:lnTo>
              <a:lnTo>
                <a:pt x="5528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0.73855</cdr:x>
      <cdr:y>0.47907</cdr:y>
    </cdr:from>
    <cdr:to>
      <cdr:x>0.74611</cdr:x>
      <cdr:y>0.48658</cdr:y>
    </cdr:to>
    <cdr:sp macro="" textlink="">
      <cdr:nvSpPr>
        <cdr:cNvPr id="555" name="FracNo 1046 StartRow 5776">
          <a:extLst xmlns:a="http://schemas.openxmlformats.org/drawingml/2006/main">
            <a:ext uri="{FF2B5EF4-FFF2-40B4-BE49-F238E27FC236}">
              <a16:creationId xmlns:a16="http://schemas.microsoft.com/office/drawing/2014/main" id="{E5C480AB-CE8D-2D0E-D9F3-B7ADC0631649}"/>
            </a:ext>
          </a:extLst>
        </cdr:cNvPr>
        <cdr:cNvSpPr/>
      </cdr:nvSpPr>
      <cdr:spPr>
        <a:xfrm xmlns:a="http://schemas.openxmlformats.org/drawingml/2006/main">
          <a:off x="5402659" y="3650521"/>
          <a:ext cx="55286" cy="571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286" h="57184">
              <a:moveTo>
                <a:pt x="27643" y="28592"/>
              </a:moveTo>
              <a:lnTo>
                <a:pt x="0" y="57183"/>
              </a:lnTo>
              <a:lnTo>
                <a:pt x="0" y="57183"/>
              </a:lnTo>
              <a:lnTo>
                <a:pt x="27643" y="28592"/>
              </a:lnTo>
              <a:lnTo>
                <a:pt x="55285" y="0"/>
              </a:lnTo>
              <a:lnTo>
                <a:pt x="552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0.38676</cdr:x>
      <cdr:y>0.27356</cdr:y>
    </cdr:from>
    <cdr:to>
      <cdr:x>0.39421</cdr:x>
      <cdr:y>0.28096</cdr:y>
    </cdr:to>
    <cdr:sp macro="" textlink="">
      <cdr:nvSpPr>
        <cdr:cNvPr id="556" name="FracNo 1041 StartRow 5785">
          <a:extLst xmlns:a="http://schemas.openxmlformats.org/drawingml/2006/main">
            <a:ext uri="{FF2B5EF4-FFF2-40B4-BE49-F238E27FC236}">
              <a16:creationId xmlns:a16="http://schemas.microsoft.com/office/drawing/2014/main" id="{57AA5FE2-4005-E831-1DA2-153EB5884114}"/>
            </a:ext>
          </a:extLst>
        </cdr:cNvPr>
        <cdr:cNvSpPr/>
      </cdr:nvSpPr>
      <cdr:spPr>
        <a:xfrm xmlns:a="http://schemas.openxmlformats.org/drawingml/2006/main">
          <a:off x="2829220" y="2084537"/>
          <a:ext cx="54472" cy="563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472" h="56342">
              <a:moveTo>
                <a:pt x="27235" y="28171"/>
              </a:moveTo>
              <a:lnTo>
                <a:pt x="0" y="56341"/>
              </a:lnTo>
              <a:lnTo>
                <a:pt x="0" y="56341"/>
              </a:lnTo>
              <a:lnTo>
                <a:pt x="27235" y="28171"/>
              </a:lnTo>
              <a:lnTo>
                <a:pt x="54471" y="0"/>
              </a:lnTo>
              <a:lnTo>
                <a:pt x="5447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0.54002</cdr:x>
      <cdr:y>0.7518</cdr:y>
    </cdr:from>
    <cdr:to>
      <cdr:x>0.54747</cdr:x>
      <cdr:y>0.7592</cdr:y>
    </cdr:to>
    <cdr:sp macro="" textlink="">
      <cdr:nvSpPr>
        <cdr:cNvPr id="557" name="FracNo 1039 StartRow 5794">
          <a:extLst xmlns:a="http://schemas.openxmlformats.org/drawingml/2006/main">
            <a:ext uri="{FF2B5EF4-FFF2-40B4-BE49-F238E27FC236}">
              <a16:creationId xmlns:a16="http://schemas.microsoft.com/office/drawing/2014/main" id="{F5840040-E4CD-7C75-017F-E0C76A91A1C1}"/>
            </a:ext>
          </a:extLst>
        </cdr:cNvPr>
        <cdr:cNvSpPr/>
      </cdr:nvSpPr>
      <cdr:spPr>
        <a:xfrm xmlns:a="http://schemas.openxmlformats.org/drawingml/2006/main">
          <a:off x="3950364" y="5728733"/>
          <a:ext cx="54472" cy="563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472" h="56342">
              <a:moveTo>
                <a:pt x="27235" y="28171"/>
              </a:moveTo>
              <a:lnTo>
                <a:pt x="0" y="56341"/>
              </a:lnTo>
              <a:lnTo>
                <a:pt x="0" y="56341"/>
              </a:lnTo>
              <a:lnTo>
                <a:pt x="27235" y="28171"/>
              </a:lnTo>
              <a:lnTo>
                <a:pt x="54471" y="0"/>
              </a:lnTo>
              <a:lnTo>
                <a:pt x="5447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0.32714</cdr:x>
      <cdr:y>0.77453</cdr:y>
    </cdr:from>
    <cdr:to>
      <cdr:x>0.33444</cdr:x>
      <cdr:y>0.78177</cdr:y>
    </cdr:to>
    <cdr:sp macro="" textlink="">
      <cdr:nvSpPr>
        <cdr:cNvPr id="558" name="FracNo 1049 StartRow 5803">
          <a:extLst xmlns:a="http://schemas.openxmlformats.org/drawingml/2006/main">
            <a:ext uri="{FF2B5EF4-FFF2-40B4-BE49-F238E27FC236}">
              <a16:creationId xmlns:a16="http://schemas.microsoft.com/office/drawing/2014/main" id="{5B6FF378-D0DA-8C8C-6FA7-78596A9085ED}"/>
            </a:ext>
          </a:extLst>
        </cdr:cNvPr>
        <cdr:cNvSpPr/>
      </cdr:nvSpPr>
      <cdr:spPr>
        <a:xfrm xmlns:a="http://schemas.openxmlformats.org/drawingml/2006/main">
          <a:off x="2393109" y="5901917"/>
          <a:ext cx="53353" cy="551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353" h="55185">
              <a:moveTo>
                <a:pt x="26676" y="27592"/>
              </a:moveTo>
              <a:lnTo>
                <a:pt x="0" y="55184"/>
              </a:lnTo>
              <a:lnTo>
                <a:pt x="0" y="55184"/>
              </a:lnTo>
              <a:lnTo>
                <a:pt x="26676" y="27592"/>
              </a:lnTo>
              <a:lnTo>
                <a:pt x="53352" y="0"/>
              </a:lnTo>
              <a:lnTo>
                <a:pt x="5335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0.39128</cdr:x>
      <cdr:y>0.91479</cdr:y>
    </cdr:from>
    <cdr:to>
      <cdr:x>0.39858</cdr:x>
      <cdr:y>0.92203</cdr:y>
    </cdr:to>
    <cdr:sp macro="" textlink="">
      <cdr:nvSpPr>
        <cdr:cNvPr id="559" name="FracNo 1040 StartRow 5812">
          <a:extLst xmlns:a="http://schemas.openxmlformats.org/drawingml/2006/main">
            <a:ext uri="{FF2B5EF4-FFF2-40B4-BE49-F238E27FC236}">
              <a16:creationId xmlns:a16="http://schemas.microsoft.com/office/drawing/2014/main" id="{595E5A66-295F-F2ED-43C6-25ECF1AE1393}"/>
            </a:ext>
          </a:extLst>
        </cdr:cNvPr>
        <cdr:cNvSpPr/>
      </cdr:nvSpPr>
      <cdr:spPr>
        <a:xfrm xmlns:a="http://schemas.openxmlformats.org/drawingml/2006/main">
          <a:off x="2862314" y="6970720"/>
          <a:ext cx="53353" cy="551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353" h="55185">
              <a:moveTo>
                <a:pt x="26676" y="27592"/>
              </a:moveTo>
              <a:lnTo>
                <a:pt x="0" y="55184"/>
              </a:lnTo>
              <a:lnTo>
                <a:pt x="0" y="55184"/>
              </a:lnTo>
              <a:lnTo>
                <a:pt x="26676" y="27592"/>
              </a:lnTo>
              <a:lnTo>
                <a:pt x="53352" y="0"/>
              </a:lnTo>
              <a:lnTo>
                <a:pt x="5335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0.34141</cdr:x>
      <cdr:y>0.37473</cdr:y>
    </cdr:from>
    <cdr:to>
      <cdr:x>0.34849</cdr:x>
      <cdr:y>0.38176</cdr:y>
    </cdr:to>
    <cdr:sp macro="" textlink="">
      <cdr:nvSpPr>
        <cdr:cNvPr id="560" name="FracNo 1037 StartRow 5821">
          <a:extLst xmlns:a="http://schemas.openxmlformats.org/drawingml/2006/main">
            <a:ext uri="{FF2B5EF4-FFF2-40B4-BE49-F238E27FC236}">
              <a16:creationId xmlns:a16="http://schemas.microsoft.com/office/drawing/2014/main" id="{5EECF91D-436D-9283-3D0C-97C942FD45AD}"/>
            </a:ext>
          </a:extLst>
        </cdr:cNvPr>
        <cdr:cNvSpPr/>
      </cdr:nvSpPr>
      <cdr:spPr>
        <a:xfrm xmlns:a="http://schemas.openxmlformats.org/drawingml/2006/main">
          <a:off x="2497452" y="2855420"/>
          <a:ext cx="51836" cy="536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836" h="53617">
              <a:moveTo>
                <a:pt x="25917" y="26808"/>
              </a:moveTo>
              <a:lnTo>
                <a:pt x="0" y="53616"/>
              </a:lnTo>
              <a:lnTo>
                <a:pt x="0" y="53616"/>
              </a:lnTo>
              <a:lnTo>
                <a:pt x="25917" y="26808"/>
              </a:lnTo>
              <a:lnTo>
                <a:pt x="51835" y="0"/>
              </a:lnTo>
              <a:lnTo>
                <a:pt x="5183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0.14783</cdr:x>
      <cdr:y>0.33431</cdr:y>
    </cdr:from>
    <cdr:to>
      <cdr:x>0.15492</cdr:x>
      <cdr:y>0.34135</cdr:y>
    </cdr:to>
    <cdr:sp macro="" textlink="">
      <cdr:nvSpPr>
        <cdr:cNvPr id="561" name="FracNo 1044 StartRow 5830">
          <a:extLst xmlns:a="http://schemas.openxmlformats.org/drawingml/2006/main">
            <a:ext uri="{FF2B5EF4-FFF2-40B4-BE49-F238E27FC236}">
              <a16:creationId xmlns:a16="http://schemas.microsoft.com/office/drawing/2014/main" id="{45DC061F-D65C-8DB2-A71D-34C97FA4EA68}"/>
            </a:ext>
          </a:extLst>
        </cdr:cNvPr>
        <cdr:cNvSpPr/>
      </cdr:nvSpPr>
      <cdr:spPr>
        <a:xfrm xmlns:a="http://schemas.openxmlformats.org/drawingml/2006/main">
          <a:off x="1081422" y="2547442"/>
          <a:ext cx="51836" cy="536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836" h="53616">
              <a:moveTo>
                <a:pt x="25917" y="26808"/>
              </a:moveTo>
              <a:lnTo>
                <a:pt x="0" y="53615"/>
              </a:lnTo>
              <a:lnTo>
                <a:pt x="0" y="53615"/>
              </a:lnTo>
              <a:lnTo>
                <a:pt x="25917" y="26808"/>
              </a:lnTo>
              <a:lnTo>
                <a:pt x="51835" y="0"/>
              </a:lnTo>
              <a:lnTo>
                <a:pt x="5183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0.83589</cdr:x>
      <cdr:y>0.41969</cdr:y>
    </cdr:from>
    <cdr:to>
      <cdr:x>0.84298</cdr:x>
      <cdr:y>0.42673</cdr:y>
    </cdr:to>
    <cdr:sp macro="" textlink="">
      <cdr:nvSpPr>
        <cdr:cNvPr id="562" name="FracNo 1047 StartRow 5839">
          <a:extLst xmlns:a="http://schemas.openxmlformats.org/drawingml/2006/main">
            <a:ext uri="{FF2B5EF4-FFF2-40B4-BE49-F238E27FC236}">
              <a16:creationId xmlns:a16="http://schemas.microsoft.com/office/drawing/2014/main" id="{CFA246D0-8013-BB34-541A-D9CA58F27520}"/>
            </a:ext>
          </a:extLst>
        </cdr:cNvPr>
        <cdr:cNvSpPr/>
      </cdr:nvSpPr>
      <cdr:spPr>
        <a:xfrm xmlns:a="http://schemas.openxmlformats.org/drawingml/2006/main">
          <a:off x="6114695" y="3198034"/>
          <a:ext cx="51836" cy="536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836" h="53616">
              <a:moveTo>
                <a:pt x="25918" y="26808"/>
              </a:moveTo>
              <a:lnTo>
                <a:pt x="0" y="53615"/>
              </a:lnTo>
              <a:lnTo>
                <a:pt x="0" y="53615"/>
              </a:lnTo>
              <a:lnTo>
                <a:pt x="25918" y="26808"/>
              </a:lnTo>
              <a:lnTo>
                <a:pt x="51835" y="0"/>
              </a:lnTo>
              <a:lnTo>
                <a:pt x="5183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0.16572</cdr:x>
      <cdr:y>0.32908</cdr:y>
    </cdr:from>
    <cdr:to>
      <cdr:x>0.17253</cdr:x>
      <cdr:y>0.33584</cdr:y>
    </cdr:to>
    <cdr:sp macro="" textlink="">
      <cdr:nvSpPr>
        <cdr:cNvPr id="563" name="FracNo 1045 StartRow 5848">
          <a:extLst xmlns:a="http://schemas.openxmlformats.org/drawingml/2006/main">
            <a:ext uri="{FF2B5EF4-FFF2-40B4-BE49-F238E27FC236}">
              <a16:creationId xmlns:a16="http://schemas.microsoft.com/office/drawing/2014/main" id="{2E235903-7C15-173E-0C7E-63543F52D1A0}"/>
            </a:ext>
          </a:extLst>
        </cdr:cNvPr>
        <cdr:cNvSpPr/>
      </cdr:nvSpPr>
      <cdr:spPr>
        <a:xfrm xmlns:a="http://schemas.openxmlformats.org/drawingml/2006/main">
          <a:off x="1212284" y="2507596"/>
          <a:ext cx="49807" cy="515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807" h="51517">
              <a:moveTo>
                <a:pt x="24903" y="25758"/>
              </a:moveTo>
              <a:lnTo>
                <a:pt x="0" y="51516"/>
              </a:lnTo>
              <a:lnTo>
                <a:pt x="0" y="51516"/>
              </a:lnTo>
              <a:lnTo>
                <a:pt x="24903" y="25758"/>
              </a:lnTo>
              <a:lnTo>
                <a:pt x="49806" y="0"/>
              </a:lnTo>
              <a:lnTo>
                <a:pt x="4980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0.21945</cdr:x>
      <cdr:y>0.59142</cdr:y>
    </cdr:from>
    <cdr:to>
      <cdr:x>0.22626</cdr:x>
      <cdr:y>0.59818</cdr:y>
    </cdr:to>
    <cdr:sp macro="" textlink="">
      <cdr:nvSpPr>
        <cdr:cNvPr id="564" name="FracNo 1038 StartRow 5857">
          <a:extLst xmlns:a="http://schemas.openxmlformats.org/drawingml/2006/main">
            <a:ext uri="{FF2B5EF4-FFF2-40B4-BE49-F238E27FC236}">
              <a16:creationId xmlns:a16="http://schemas.microsoft.com/office/drawing/2014/main" id="{B88FF8CC-8C12-85D8-2025-6A772A3CECA0}"/>
            </a:ext>
          </a:extLst>
        </cdr:cNvPr>
        <cdr:cNvSpPr/>
      </cdr:nvSpPr>
      <cdr:spPr>
        <a:xfrm xmlns:a="http://schemas.openxmlformats.org/drawingml/2006/main">
          <a:off x="1605315" y="4506620"/>
          <a:ext cx="49806" cy="515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806" h="51517">
              <a:moveTo>
                <a:pt x="24902" y="25758"/>
              </a:moveTo>
              <a:lnTo>
                <a:pt x="0" y="51516"/>
              </a:lnTo>
              <a:lnTo>
                <a:pt x="0" y="51516"/>
              </a:lnTo>
              <a:lnTo>
                <a:pt x="24902" y="25758"/>
              </a:lnTo>
              <a:lnTo>
                <a:pt x="49805" y="0"/>
              </a:lnTo>
              <a:lnTo>
                <a:pt x="4980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0.77051</cdr:x>
      <cdr:y>0.44029</cdr:y>
    </cdr:from>
    <cdr:to>
      <cdr:x>0.77716</cdr:x>
      <cdr:y>0.44689</cdr:y>
    </cdr:to>
    <cdr:sp macro="" textlink="">
      <cdr:nvSpPr>
        <cdr:cNvPr id="565" name="FracNo 171 StartRow 5866">
          <a:extLst xmlns:a="http://schemas.openxmlformats.org/drawingml/2006/main">
            <a:ext uri="{FF2B5EF4-FFF2-40B4-BE49-F238E27FC236}">
              <a16:creationId xmlns:a16="http://schemas.microsoft.com/office/drawing/2014/main" id="{58F5BDDE-72DF-1026-2C13-0926BA33BA9C}"/>
            </a:ext>
          </a:extLst>
        </cdr:cNvPr>
        <cdr:cNvSpPr/>
      </cdr:nvSpPr>
      <cdr:spPr>
        <a:xfrm xmlns:a="http://schemas.openxmlformats.org/drawingml/2006/main">
          <a:off x="5636447" y="3354983"/>
          <a:ext cx="48629" cy="503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629" h="50300">
              <a:moveTo>
                <a:pt x="27934" y="21405"/>
              </a:moveTo>
              <a:lnTo>
                <a:pt x="0" y="50299"/>
              </a:lnTo>
              <a:lnTo>
                <a:pt x="0" y="50299"/>
              </a:lnTo>
              <a:lnTo>
                <a:pt x="27934" y="21405"/>
              </a:lnTo>
              <a:lnTo>
                <a:pt x="48628" y="0"/>
              </a:lnTo>
              <a:lnTo>
                <a:pt x="4862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0.7071</cdr:x>
      <cdr:y>0.51298</cdr:y>
    </cdr:from>
    <cdr:to>
      <cdr:x>0.71367</cdr:x>
      <cdr:y>0.51951</cdr:y>
    </cdr:to>
    <cdr:sp macro="" textlink="">
      <cdr:nvSpPr>
        <cdr:cNvPr id="566" name="FracNo 161 StartRow 5875">
          <a:extLst xmlns:a="http://schemas.openxmlformats.org/drawingml/2006/main">
            <a:ext uri="{FF2B5EF4-FFF2-40B4-BE49-F238E27FC236}">
              <a16:creationId xmlns:a16="http://schemas.microsoft.com/office/drawing/2014/main" id="{0B532D0B-55BC-9A26-DA52-921F758B987D}"/>
            </a:ext>
          </a:extLst>
        </cdr:cNvPr>
        <cdr:cNvSpPr/>
      </cdr:nvSpPr>
      <cdr:spPr>
        <a:xfrm xmlns:a="http://schemas.openxmlformats.org/drawingml/2006/main">
          <a:off x="5172570" y="3908935"/>
          <a:ext cx="48099" cy="497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099" h="49751">
              <a:moveTo>
                <a:pt x="20164" y="28893"/>
              </a:moveTo>
              <a:lnTo>
                <a:pt x="0" y="49750"/>
              </a:lnTo>
              <a:lnTo>
                <a:pt x="0" y="49750"/>
              </a:lnTo>
              <a:lnTo>
                <a:pt x="20164" y="28893"/>
              </a:lnTo>
              <a:lnTo>
                <a:pt x="48098" y="0"/>
              </a:lnTo>
              <a:lnTo>
                <a:pt x="4809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0.60078</cdr:x>
      <cdr:y>0.60353</cdr:y>
    </cdr:from>
    <cdr:to>
      <cdr:x>0.60733</cdr:x>
      <cdr:y>0.61002</cdr:y>
    </cdr:to>
    <cdr:sp macro="" textlink="">
      <cdr:nvSpPr>
        <cdr:cNvPr id="567" name="FracNo 87 StartRow 5884">
          <a:extLst xmlns:a="http://schemas.openxmlformats.org/drawingml/2006/main">
            <a:ext uri="{FF2B5EF4-FFF2-40B4-BE49-F238E27FC236}">
              <a16:creationId xmlns:a16="http://schemas.microsoft.com/office/drawing/2014/main" id="{86FFB081-074E-FD0C-6C37-FC4068645F4E}"/>
            </a:ext>
          </a:extLst>
        </cdr:cNvPr>
        <cdr:cNvSpPr/>
      </cdr:nvSpPr>
      <cdr:spPr>
        <a:xfrm xmlns:a="http://schemas.openxmlformats.org/drawingml/2006/main">
          <a:off x="4394857" y="4598865"/>
          <a:ext cx="47860" cy="495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860" h="49505">
              <a:moveTo>
                <a:pt x="27934" y="20610"/>
              </a:moveTo>
              <a:lnTo>
                <a:pt x="0" y="49504"/>
              </a:lnTo>
              <a:lnTo>
                <a:pt x="0" y="49504"/>
              </a:lnTo>
              <a:lnTo>
                <a:pt x="27934" y="20610"/>
              </a:lnTo>
              <a:lnTo>
                <a:pt x="47859" y="0"/>
              </a:lnTo>
              <a:lnTo>
                <a:pt x="4785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0.34821</cdr:x>
      <cdr:y>0.76617</cdr:y>
    </cdr:from>
    <cdr:to>
      <cdr:x>0.35463</cdr:x>
      <cdr:y>0.77254</cdr:y>
    </cdr:to>
    <cdr:sp macro="" textlink="">
      <cdr:nvSpPr>
        <cdr:cNvPr id="568" name="FracNo 5 StartRow 5893">
          <a:extLst xmlns:a="http://schemas.openxmlformats.org/drawingml/2006/main">
            <a:ext uri="{FF2B5EF4-FFF2-40B4-BE49-F238E27FC236}">
              <a16:creationId xmlns:a16="http://schemas.microsoft.com/office/drawing/2014/main" id="{4723972D-DA01-0EEC-C59C-E3A7216497EA}"/>
            </a:ext>
          </a:extLst>
        </cdr:cNvPr>
        <cdr:cNvSpPr/>
      </cdr:nvSpPr>
      <cdr:spPr>
        <a:xfrm xmlns:a="http://schemas.openxmlformats.org/drawingml/2006/main">
          <a:off x="2547243" y="5838196"/>
          <a:ext cx="46949" cy="485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949" h="48561">
              <a:moveTo>
                <a:pt x="19014" y="28893"/>
              </a:moveTo>
              <a:lnTo>
                <a:pt x="0" y="48560"/>
              </a:lnTo>
              <a:lnTo>
                <a:pt x="0" y="48560"/>
              </a:lnTo>
              <a:lnTo>
                <a:pt x="19014" y="28893"/>
              </a:lnTo>
              <a:lnTo>
                <a:pt x="46948" y="0"/>
              </a:lnTo>
              <a:lnTo>
                <a:pt x="4694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0.55212</cdr:x>
      <cdr:y>0.36362</cdr:y>
    </cdr:from>
    <cdr:to>
      <cdr:x>0.55844</cdr:x>
      <cdr:y>0.3699</cdr:y>
    </cdr:to>
    <cdr:sp macro="" textlink="">
      <cdr:nvSpPr>
        <cdr:cNvPr id="569" name="FracNo 83 StartRow 5902">
          <a:extLst xmlns:a="http://schemas.openxmlformats.org/drawingml/2006/main">
            <a:ext uri="{FF2B5EF4-FFF2-40B4-BE49-F238E27FC236}">
              <a16:creationId xmlns:a16="http://schemas.microsoft.com/office/drawing/2014/main" id="{372F3E71-E60C-0D16-56A2-2E306BFE30C2}"/>
            </a:ext>
          </a:extLst>
        </cdr:cNvPr>
        <cdr:cNvSpPr/>
      </cdr:nvSpPr>
      <cdr:spPr>
        <a:xfrm xmlns:a="http://schemas.openxmlformats.org/drawingml/2006/main">
          <a:off x="4038871" y="2770795"/>
          <a:ext cx="46233" cy="478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233" h="47820">
              <a:moveTo>
                <a:pt x="18298" y="28894"/>
              </a:moveTo>
              <a:lnTo>
                <a:pt x="0" y="47819"/>
              </a:lnTo>
              <a:lnTo>
                <a:pt x="0" y="47819"/>
              </a:lnTo>
              <a:lnTo>
                <a:pt x="18298" y="28894"/>
              </a:lnTo>
              <a:lnTo>
                <a:pt x="21401" y="25684"/>
              </a:lnTo>
              <a:lnTo>
                <a:pt x="46232" y="0"/>
              </a:lnTo>
              <a:lnTo>
                <a:pt x="46232" y="0"/>
              </a:lnTo>
              <a:lnTo>
                <a:pt x="21401" y="2568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0.60884</cdr:x>
      <cdr:y>0.59882</cdr:y>
    </cdr:from>
    <cdr:to>
      <cdr:x>0.6151</cdr:x>
      <cdr:y>0.60503</cdr:y>
    </cdr:to>
    <cdr:sp macro="" textlink="">
      <cdr:nvSpPr>
        <cdr:cNvPr id="570" name="FracNo 86 StartRow 5913">
          <a:extLst xmlns:a="http://schemas.openxmlformats.org/drawingml/2006/main">
            <a:ext uri="{FF2B5EF4-FFF2-40B4-BE49-F238E27FC236}">
              <a16:creationId xmlns:a16="http://schemas.microsoft.com/office/drawing/2014/main" id="{64409675-2111-6F5C-79AC-35C6B9AFCB95}"/>
            </a:ext>
          </a:extLst>
        </cdr:cNvPr>
        <cdr:cNvSpPr/>
      </cdr:nvSpPr>
      <cdr:spPr>
        <a:xfrm xmlns:a="http://schemas.openxmlformats.org/drawingml/2006/main">
          <a:off x="4453809" y="4563030"/>
          <a:ext cx="45739" cy="473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739" h="47311">
              <a:moveTo>
                <a:pt x="17804" y="28894"/>
              </a:moveTo>
              <a:lnTo>
                <a:pt x="0" y="47310"/>
              </a:lnTo>
              <a:lnTo>
                <a:pt x="0" y="47310"/>
              </a:lnTo>
              <a:lnTo>
                <a:pt x="17804" y="28894"/>
              </a:lnTo>
              <a:lnTo>
                <a:pt x="45738" y="0"/>
              </a:lnTo>
              <a:lnTo>
                <a:pt x="4573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0.34101</cdr:x>
      <cdr:y>0.7716</cdr:y>
    </cdr:from>
    <cdr:to>
      <cdr:x>0.34726</cdr:x>
      <cdr:y>0.7778</cdr:y>
    </cdr:to>
    <cdr:sp macro="" textlink="">
      <cdr:nvSpPr>
        <cdr:cNvPr id="571" name="FracNo 14 StartRow 5922">
          <a:extLst xmlns:a="http://schemas.openxmlformats.org/drawingml/2006/main">
            <a:ext uri="{FF2B5EF4-FFF2-40B4-BE49-F238E27FC236}">
              <a16:creationId xmlns:a16="http://schemas.microsoft.com/office/drawing/2014/main" id="{F80F1605-B36B-0AEC-4B16-D97B5B55ED8D}"/>
            </a:ext>
          </a:extLst>
        </cdr:cNvPr>
        <cdr:cNvSpPr/>
      </cdr:nvSpPr>
      <cdr:spPr>
        <a:xfrm xmlns:a="http://schemas.openxmlformats.org/drawingml/2006/main">
          <a:off x="2494549" y="5879563"/>
          <a:ext cx="45740" cy="473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740" h="47310">
              <a:moveTo>
                <a:pt x="27935" y="18415"/>
              </a:moveTo>
              <a:lnTo>
                <a:pt x="0" y="47309"/>
              </a:lnTo>
              <a:lnTo>
                <a:pt x="0" y="47309"/>
              </a:lnTo>
              <a:lnTo>
                <a:pt x="27935" y="18415"/>
              </a:lnTo>
              <a:lnTo>
                <a:pt x="45739" y="0"/>
              </a:lnTo>
              <a:lnTo>
                <a:pt x="4573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0.21825</cdr:x>
      <cdr:y>0.79538</cdr:y>
    </cdr:from>
    <cdr:to>
      <cdr:x>0.22411</cdr:x>
      <cdr:y>0.8012</cdr:y>
    </cdr:to>
    <cdr:sp macro="" textlink="">
      <cdr:nvSpPr>
        <cdr:cNvPr id="572" name="FracNo 7 StartRow 5931">
          <a:extLst xmlns:a="http://schemas.openxmlformats.org/drawingml/2006/main">
            <a:ext uri="{FF2B5EF4-FFF2-40B4-BE49-F238E27FC236}">
              <a16:creationId xmlns:a16="http://schemas.microsoft.com/office/drawing/2014/main" id="{D1D08C16-0F3F-508B-6E8C-4DF3AC6203DC}"/>
            </a:ext>
          </a:extLst>
        </cdr:cNvPr>
        <cdr:cNvSpPr/>
      </cdr:nvSpPr>
      <cdr:spPr>
        <a:xfrm xmlns:a="http://schemas.openxmlformats.org/drawingml/2006/main">
          <a:off x="1596556" y="6060779"/>
          <a:ext cx="42856" cy="443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856" h="44327">
              <a:moveTo>
                <a:pt x="27935" y="15433"/>
              </a:moveTo>
              <a:lnTo>
                <a:pt x="0" y="44326"/>
              </a:lnTo>
              <a:lnTo>
                <a:pt x="0" y="44326"/>
              </a:lnTo>
              <a:lnTo>
                <a:pt x="27935" y="15433"/>
              </a:lnTo>
              <a:lnTo>
                <a:pt x="42855" y="0"/>
              </a:lnTo>
              <a:lnTo>
                <a:pt x="4285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0.40828</cdr:x>
      <cdr:y>0.88817</cdr:y>
    </cdr:from>
    <cdr:to>
      <cdr:x>0.41656</cdr:x>
      <cdr:y>0.89639</cdr:y>
    </cdr:to>
    <cdr:sp macro="" textlink="">
      <cdr:nvSpPr>
        <cdr:cNvPr id="573" name="FracNo 270 StartRow 5940">
          <a:extLst xmlns:a="http://schemas.openxmlformats.org/drawingml/2006/main">
            <a:ext uri="{FF2B5EF4-FFF2-40B4-BE49-F238E27FC236}">
              <a16:creationId xmlns:a16="http://schemas.microsoft.com/office/drawing/2014/main" id="{DFF8DD20-78AE-1C60-8521-7DA863623368}"/>
            </a:ext>
          </a:extLst>
        </cdr:cNvPr>
        <cdr:cNvSpPr/>
      </cdr:nvSpPr>
      <cdr:spPr>
        <a:xfrm xmlns:a="http://schemas.openxmlformats.org/drawingml/2006/main">
          <a:off x="2986631" y="6767865"/>
          <a:ext cx="60565" cy="626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565" h="62645">
              <a:moveTo>
                <a:pt x="34881" y="7813"/>
              </a:moveTo>
              <a:lnTo>
                <a:pt x="0" y="43891"/>
              </a:lnTo>
              <a:lnTo>
                <a:pt x="18130" y="62644"/>
              </a:lnTo>
              <a:lnTo>
                <a:pt x="53011" y="26564"/>
              </a:lnTo>
              <a:lnTo>
                <a:pt x="60564" y="18752"/>
              </a:lnTo>
              <a:lnTo>
                <a:pt x="424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0.22518</cdr:x>
      <cdr:y>0.78243</cdr:y>
    </cdr:from>
    <cdr:to>
      <cdr:x>0.23084</cdr:x>
      <cdr:y>0.78805</cdr:y>
    </cdr:to>
    <cdr:sp macro="" textlink="">
      <cdr:nvSpPr>
        <cdr:cNvPr id="574" name="FracNo 16 StartRow 5949">
          <a:extLst xmlns:a="http://schemas.openxmlformats.org/drawingml/2006/main">
            <a:ext uri="{FF2B5EF4-FFF2-40B4-BE49-F238E27FC236}">
              <a16:creationId xmlns:a16="http://schemas.microsoft.com/office/drawing/2014/main" id="{F17EDE78-FA20-C312-FD92-6B94B44B996C}"/>
            </a:ext>
          </a:extLst>
        </cdr:cNvPr>
        <cdr:cNvSpPr/>
      </cdr:nvSpPr>
      <cdr:spPr>
        <a:xfrm xmlns:a="http://schemas.openxmlformats.org/drawingml/2006/main">
          <a:off x="1647255" y="5962143"/>
          <a:ext cx="41405" cy="428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405" h="42827">
              <a:moveTo>
                <a:pt x="27934" y="13932"/>
              </a:moveTo>
              <a:lnTo>
                <a:pt x="0" y="42826"/>
              </a:lnTo>
              <a:lnTo>
                <a:pt x="0" y="42826"/>
              </a:lnTo>
              <a:lnTo>
                <a:pt x="27934" y="13932"/>
              </a:lnTo>
              <a:lnTo>
                <a:pt x="41404" y="0"/>
              </a:lnTo>
              <a:lnTo>
                <a:pt x="4140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0.7275</cdr:x>
      <cdr:y>0.23886</cdr:y>
    </cdr:from>
    <cdr:to>
      <cdr:x>0.73316</cdr:x>
      <cdr:y>0.24448</cdr:y>
    </cdr:to>
    <cdr:sp macro="" textlink="">
      <cdr:nvSpPr>
        <cdr:cNvPr id="575" name="FracNo 1043 StartRow 5958">
          <a:extLst xmlns:a="http://schemas.openxmlformats.org/drawingml/2006/main">
            <a:ext uri="{FF2B5EF4-FFF2-40B4-BE49-F238E27FC236}">
              <a16:creationId xmlns:a16="http://schemas.microsoft.com/office/drawing/2014/main" id="{D92250D5-BB57-B4B6-E8B0-E757DE941EFC}"/>
            </a:ext>
          </a:extLst>
        </cdr:cNvPr>
        <cdr:cNvSpPr/>
      </cdr:nvSpPr>
      <cdr:spPr>
        <a:xfrm xmlns:a="http://schemas.openxmlformats.org/drawingml/2006/main">
          <a:off x="5321843" y="1820105"/>
          <a:ext cx="41385" cy="428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385" h="42806">
              <a:moveTo>
                <a:pt x="27236" y="14634"/>
              </a:moveTo>
              <a:lnTo>
                <a:pt x="0" y="42805"/>
              </a:lnTo>
              <a:lnTo>
                <a:pt x="0" y="42805"/>
              </a:lnTo>
              <a:lnTo>
                <a:pt x="27236" y="14634"/>
              </a:lnTo>
              <a:lnTo>
                <a:pt x="41384" y="0"/>
              </a:lnTo>
              <a:lnTo>
                <a:pt x="4138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0.26938</cdr:x>
      <cdr:y>0.72328</cdr:y>
    </cdr:from>
    <cdr:to>
      <cdr:x>0.27482</cdr:x>
      <cdr:y>0.72869</cdr:y>
    </cdr:to>
    <cdr:sp macro="" textlink="">
      <cdr:nvSpPr>
        <cdr:cNvPr id="576" name="FracNo 8 StartRow 5967">
          <a:extLst xmlns:a="http://schemas.openxmlformats.org/drawingml/2006/main">
            <a:ext uri="{FF2B5EF4-FFF2-40B4-BE49-F238E27FC236}">
              <a16:creationId xmlns:a16="http://schemas.microsoft.com/office/drawing/2014/main" id="{C1FD58E0-61C5-8015-D78F-D522FEB55DD8}"/>
            </a:ext>
          </a:extLst>
        </cdr:cNvPr>
        <cdr:cNvSpPr/>
      </cdr:nvSpPr>
      <cdr:spPr>
        <a:xfrm xmlns:a="http://schemas.openxmlformats.org/drawingml/2006/main">
          <a:off x="1970550" y="5511416"/>
          <a:ext cx="39821" cy="411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821" h="41189">
              <a:moveTo>
                <a:pt x="11886" y="28894"/>
              </a:moveTo>
              <a:lnTo>
                <a:pt x="0" y="41188"/>
              </a:lnTo>
              <a:lnTo>
                <a:pt x="0" y="41188"/>
              </a:lnTo>
              <a:lnTo>
                <a:pt x="11886" y="28894"/>
              </a:lnTo>
              <a:lnTo>
                <a:pt x="39820" y="0"/>
              </a:lnTo>
              <a:lnTo>
                <a:pt x="3982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0.33743</cdr:y>
    </cdr:from>
    <cdr:to>
      <cdr:x>0.09718</cdr:x>
      <cdr:y>0.34275</cdr:y>
    </cdr:to>
    <cdr:sp macro="" textlink="">
      <cdr:nvSpPr>
        <cdr:cNvPr id="577" name="FracNo 571 StartRow 5976">
          <a:extLst xmlns:a="http://schemas.openxmlformats.org/drawingml/2006/main">
            <a:ext uri="{FF2B5EF4-FFF2-40B4-BE49-F238E27FC236}">
              <a16:creationId xmlns:a16="http://schemas.microsoft.com/office/drawing/2014/main" id="{442A1399-D521-0AE5-24C3-E1910D7C90B4}"/>
            </a:ext>
          </a:extLst>
        </cdr:cNvPr>
        <cdr:cNvSpPr/>
      </cdr:nvSpPr>
      <cdr:spPr>
        <a:xfrm xmlns:a="http://schemas.openxmlformats.org/drawingml/2006/main">
          <a:off x="671676" y="2571189"/>
          <a:ext cx="39206" cy="405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206" h="40552">
              <a:moveTo>
                <a:pt x="11270" y="28893"/>
              </a:moveTo>
              <a:lnTo>
                <a:pt x="0" y="40551"/>
              </a:lnTo>
              <a:lnTo>
                <a:pt x="0" y="40551"/>
              </a:lnTo>
              <a:lnTo>
                <a:pt x="11270" y="28893"/>
              </a:lnTo>
              <a:lnTo>
                <a:pt x="39205" y="0"/>
              </a:lnTo>
              <a:lnTo>
                <a:pt x="3920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0.69855</cdr:x>
      <cdr:y>0.10262</cdr:y>
    </cdr:from>
    <cdr:to>
      <cdr:x>0.70382</cdr:x>
      <cdr:y>0.10786</cdr:y>
    </cdr:to>
    <cdr:sp macro="" textlink="">
      <cdr:nvSpPr>
        <cdr:cNvPr id="578" name="FracNo 647 StartRow 5985">
          <a:extLst xmlns:a="http://schemas.openxmlformats.org/drawingml/2006/main">
            <a:ext uri="{FF2B5EF4-FFF2-40B4-BE49-F238E27FC236}">
              <a16:creationId xmlns:a16="http://schemas.microsoft.com/office/drawing/2014/main" id="{6B38827F-302F-2BA7-5B37-2471F65C8B28}"/>
            </a:ext>
          </a:extLst>
        </cdr:cNvPr>
        <cdr:cNvSpPr/>
      </cdr:nvSpPr>
      <cdr:spPr>
        <a:xfrm xmlns:a="http://schemas.openxmlformats.org/drawingml/2006/main">
          <a:off x="5110002" y="781970"/>
          <a:ext cx="38601" cy="399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601" h="39928">
              <a:moveTo>
                <a:pt x="27934" y="11033"/>
              </a:moveTo>
              <a:lnTo>
                <a:pt x="0" y="39927"/>
              </a:lnTo>
              <a:lnTo>
                <a:pt x="0" y="39927"/>
              </a:lnTo>
              <a:lnTo>
                <a:pt x="27934" y="11033"/>
              </a:lnTo>
              <a:lnTo>
                <a:pt x="38600" y="0"/>
              </a:lnTo>
              <a:lnTo>
                <a:pt x="3860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0.26495</cdr:x>
      <cdr:y>0.72928</cdr:y>
    </cdr:from>
    <cdr:to>
      <cdr:x>0.26997</cdr:x>
      <cdr:y>0.73427</cdr:y>
    </cdr:to>
    <cdr:sp macro="" textlink="">
      <cdr:nvSpPr>
        <cdr:cNvPr id="579" name="FracNo 12 StartRow 5994">
          <a:extLst xmlns:a="http://schemas.openxmlformats.org/drawingml/2006/main">
            <a:ext uri="{FF2B5EF4-FFF2-40B4-BE49-F238E27FC236}">
              <a16:creationId xmlns:a16="http://schemas.microsoft.com/office/drawing/2014/main" id="{412867C9-372F-6EC0-C932-06FAF2FE514E}"/>
            </a:ext>
          </a:extLst>
        </cdr:cNvPr>
        <cdr:cNvSpPr/>
      </cdr:nvSpPr>
      <cdr:spPr>
        <a:xfrm xmlns:a="http://schemas.openxmlformats.org/drawingml/2006/main">
          <a:off x="1938137" y="5557109"/>
          <a:ext cx="36770" cy="380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770" h="38033">
              <a:moveTo>
                <a:pt x="27934" y="9139"/>
              </a:moveTo>
              <a:lnTo>
                <a:pt x="0" y="38032"/>
              </a:lnTo>
              <a:lnTo>
                <a:pt x="0" y="38032"/>
              </a:lnTo>
              <a:lnTo>
                <a:pt x="27934" y="9139"/>
              </a:lnTo>
              <a:lnTo>
                <a:pt x="36769" y="0"/>
              </a:lnTo>
              <a:lnTo>
                <a:pt x="367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0.51435</cdr:x>
      <cdr:y>0.8872</cdr:y>
    </cdr:from>
    <cdr:to>
      <cdr:x>0.51926</cdr:x>
      <cdr:y>0.89207</cdr:y>
    </cdr:to>
    <cdr:sp macro="" textlink="">
      <cdr:nvSpPr>
        <cdr:cNvPr id="580" name="FracNo 249 StartRow 6003">
          <a:extLst xmlns:a="http://schemas.openxmlformats.org/drawingml/2006/main">
            <a:ext uri="{FF2B5EF4-FFF2-40B4-BE49-F238E27FC236}">
              <a16:creationId xmlns:a16="http://schemas.microsoft.com/office/drawing/2014/main" id="{761CC9FF-1831-5AE3-A209-0AE14C8F0A4B}"/>
            </a:ext>
          </a:extLst>
        </cdr:cNvPr>
        <cdr:cNvSpPr/>
      </cdr:nvSpPr>
      <cdr:spPr>
        <a:xfrm xmlns:a="http://schemas.openxmlformats.org/drawingml/2006/main">
          <a:off x="3762575" y="6760440"/>
          <a:ext cx="35891" cy="371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891" h="37123">
              <a:moveTo>
                <a:pt x="27934" y="8228"/>
              </a:moveTo>
              <a:lnTo>
                <a:pt x="0" y="37122"/>
              </a:lnTo>
              <a:lnTo>
                <a:pt x="0" y="37122"/>
              </a:lnTo>
              <a:lnTo>
                <a:pt x="27934" y="8228"/>
              </a:lnTo>
              <a:lnTo>
                <a:pt x="35890" y="0"/>
              </a:lnTo>
              <a:lnTo>
                <a:pt x="3589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0.76965</cdr:x>
      <cdr:y>0.82153</cdr:y>
    </cdr:from>
    <cdr:to>
      <cdr:x>0.77447</cdr:x>
      <cdr:y>0.82632</cdr:y>
    </cdr:to>
    <cdr:sp macro="" textlink="">
      <cdr:nvSpPr>
        <cdr:cNvPr id="581" name="FracNo 1042 StartRow 6012">
          <a:extLst xmlns:a="http://schemas.openxmlformats.org/drawingml/2006/main">
            <a:ext uri="{FF2B5EF4-FFF2-40B4-BE49-F238E27FC236}">
              <a16:creationId xmlns:a16="http://schemas.microsoft.com/office/drawing/2014/main" id="{44A88BE7-06CF-7C53-5540-74E5A2F9C4A1}"/>
            </a:ext>
          </a:extLst>
        </cdr:cNvPr>
        <cdr:cNvSpPr/>
      </cdr:nvSpPr>
      <cdr:spPr>
        <a:xfrm xmlns:a="http://schemas.openxmlformats.org/drawingml/2006/main">
          <a:off x="5630152" y="6260045"/>
          <a:ext cx="35287" cy="364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287" h="36499">
              <a:moveTo>
                <a:pt x="9368" y="26807"/>
              </a:moveTo>
              <a:lnTo>
                <a:pt x="0" y="36498"/>
              </a:lnTo>
              <a:lnTo>
                <a:pt x="0" y="36498"/>
              </a:lnTo>
              <a:lnTo>
                <a:pt x="9368" y="26807"/>
              </a:lnTo>
              <a:lnTo>
                <a:pt x="35286" y="0"/>
              </a:lnTo>
              <a:lnTo>
                <a:pt x="352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0.65567</cdr:x>
      <cdr:y>0.21966</cdr:y>
    </cdr:from>
    <cdr:to>
      <cdr:x>0.65963</cdr:x>
      <cdr:y>0.22359</cdr:y>
    </cdr:to>
    <cdr:sp macro="" textlink="">
      <cdr:nvSpPr>
        <cdr:cNvPr id="582" name="FracNo 645 StartRow 6021">
          <a:extLst xmlns:a="http://schemas.openxmlformats.org/drawingml/2006/main">
            <a:ext uri="{FF2B5EF4-FFF2-40B4-BE49-F238E27FC236}">
              <a16:creationId xmlns:a16="http://schemas.microsoft.com/office/drawing/2014/main" id="{ECEED0A7-274C-5857-BCDE-A27D7CBE13DB}"/>
            </a:ext>
          </a:extLst>
        </cdr:cNvPr>
        <cdr:cNvSpPr/>
      </cdr:nvSpPr>
      <cdr:spPr>
        <a:xfrm xmlns:a="http://schemas.openxmlformats.org/drawingml/2006/main">
          <a:off x="4796347" y="1673773"/>
          <a:ext cx="28955" cy="299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955" h="29949">
              <a:moveTo>
                <a:pt x="27934" y="1054"/>
              </a:moveTo>
              <a:lnTo>
                <a:pt x="23750" y="5382"/>
              </a:lnTo>
              <a:lnTo>
                <a:pt x="0" y="29948"/>
              </a:lnTo>
              <a:lnTo>
                <a:pt x="0" y="29948"/>
              </a:lnTo>
              <a:lnTo>
                <a:pt x="23750" y="5382"/>
              </a:lnTo>
              <a:lnTo>
                <a:pt x="27934" y="1054"/>
              </a:lnTo>
              <a:lnTo>
                <a:pt x="28954" y="0"/>
              </a:lnTo>
              <a:lnTo>
                <a:pt x="2895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0.55762</cdr:x>
      <cdr:y>0.42951</cdr:y>
    </cdr:from>
    <cdr:to>
      <cdr:x>0.56144</cdr:x>
      <cdr:y>0.4333</cdr:y>
    </cdr:to>
    <cdr:sp macro="" textlink="">
      <cdr:nvSpPr>
        <cdr:cNvPr id="583" name="FracNo 82 StartRow 6032">
          <a:extLst xmlns:a="http://schemas.openxmlformats.org/drawingml/2006/main">
            <a:ext uri="{FF2B5EF4-FFF2-40B4-BE49-F238E27FC236}">
              <a16:creationId xmlns:a16="http://schemas.microsoft.com/office/drawing/2014/main" id="{DA2DC941-35DF-EF51-64B0-3E9CAF1C5A10}"/>
            </a:ext>
          </a:extLst>
        </cdr:cNvPr>
        <cdr:cNvSpPr/>
      </cdr:nvSpPr>
      <cdr:spPr>
        <a:xfrm xmlns:a="http://schemas.openxmlformats.org/drawingml/2006/main">
          <a:off x="4079126" y="3272831"/>
          <a:ext cx="27935" cy="288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35" h="28895">
              <a:moveTo>
                <a:pt x="27934" y="0"/>
              </a:moveTo>
              <a:lnTo>
                <a:pt x="0" y="28894"/>
              </a:lnTo>
              <a:lnTo>
                <a:pt x="0" y="28894"/>
              </a:lnTo>
              <a:lnTo>
                <a:pt x="27934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0.54601</cdr:x>
      <cdr:y>0.59194</cdr:y>
    </cdr:from>
    <cdr:to>
      <cdr:x>0.54982</cdr:x>
      <cdr:y>0.59574</cdr:y>
    </cdr:to>
    <cdr:sp macro="" textlink="">
      <cdr:nvSpPr>
        <cdr:cNvPr id="584" name="FracNo 89 StartRow 6040">
          <a:extLst xmlns:a="http://schemas.openxmlformats.org/drawingml/2006/main">
            <a:ext uri="{FF2B5EF4-FFF2-40B4-BE49-F238E27FC236}">
              <a16:creationId xmlns:a16="http://schemas.microsoft.com/office/drawing/2014/main" id="{141526D4-0697-CE09-38B6-D78D3950959C}"/>
            </a:ext>
          </a:extLst>
        </cdr:cNvPr>
        <cdr:cNvSpPr/>
      </cdr:nvSpPr>
      <cdr:spPr>
        <a:xfrm xmlns:a="http://schemas.openxmlformats.org/drawingml/2006/main">
          <a:off x="3994139" y="4510618"/>
          <a:ext cx="27935" cy="288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35" h="28895">
              <a:moveTo>
                <a:pt x="27934" y="0"/>
              </a:moveTo>
              <a:lnTo>
                <a:pt x="0" y="28894"/>
              </a:lnTo>
              <a:lnTo>
                <a:pt x="0" y="28894"/>
              </a:lnTo>
              <a:lnTo>
                <a:pt x="27934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0.58405</cdr:x>
      <cdr:y>0.47485</cdr:y>
    </cdr:from>
    <cdr:to>
      <cdr:x>0.58786</cdr:x>
      <cdr:y>0.47865</cdr:y>
    </cdr:to>
    <cdr:sp macro="" textlink="">
      <cdr:nvSpPr>
        <cdr:cNvPr id="585" name="FracNo 92 StartRow 6048">
          <a:extLst xmlns:a="http://schemas.openxmlformats.org/drawingml/2006/main">
            <a:ext uri="{FF2B5EF4-FFF2-40B4-BE49-F238E27FC236}">
              <a16:creationId xmlns:a16="http://schemas.microsoft.com/office/drawing/2014/main" id="{7643DAC0-83EF-10C8-B742-DB1ADB145EE8}"/>
            </a:ext>
          </a:extLst>
        </cdr:cNvPr>
        <cdr:cNvSpPr/>
      </cdr:nvSpPr>
      <cdr:spPr>
        <a:xfrm xmlns:a="http://schemas.openxmlformats.org/drawingml/2006/main">
          <a:off x="4272407" y="3618395"/>
          <a:ext cx="27935" cy="288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35" h="28895">
              <a:moveTo>
                <a:pt x="27934" y="0"/>
              </a:moveTo>
              <a:lnTo>
                <a:pt x="0" y="28894"/>
              </a:lnTo>
              <a:lnTo>
                <a:pt x="0" y="28894"/>
              </a:lnTo>
              <a:lnTo>
                <a:pt x="27934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0.38782</cdr:x>
      <cdr:y>0.48184</cdr:y>
    </cdr:from>
    <cdr:to>
      <cdr:x>0.39164</cdr:x>
      <cdr:y>0.48564</cdr:y>
    </cdr:to>
    <cdr:sp macro="" textlink="">
      <cdr:nvSpPr>
        <cdr:cNvPr id="586" name="FracNo 81 StartRow 6056">
          <a:extLst xmlns:a="http://schemas.openxmlformats.org/drawingml/2006/main">
            <a:ext uri="{FF2B5EF4-FFF2-40B4-BE49-F238E27FC236}">
              <a16:creationId xmlns:a16="http://schemas.microsoft.com/office/drawing/2014/main" id="{E0CD397A-B679-8009-86FA-8E85283ECDF1}"/>
            </a:ext>
          </a:extLst>
        </cdr:cNvPr>
        <cdr:cNvSpPr/>
      </cdr:nvSpPr>
      <cdr:spPr>
        <a:xfrm xmlns:a="http://schemas.openxmlformats.org/drawingml/2006/main">
          <a:off x="2837017" y="3671658"/>
          <a:ext cx="27935" cy="288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35" h="28894">
              <a:moveTo>
                <a:pt x="0" y="28893"/>
              </a:moveTo>
              <a:lnTo>
                <a:pt x="0" y="28893"/>
              </a:lnTo>
              <a:lnTo>
                <a:pt x="27934" y="0"/>
              </a:lnTo>
              <a:lnTo>
                <a:pt x="279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0.6051</cdr:x>
      <cdr:y>0.55921</cdr:y>
    </cdr:from>
    <cdr:to>
      <cdr:x>0.60892</cdr:x>
      <cdr:y>0.563</cdr:y>
    </cdr:to>
    <cdr:sp macro="" textlink="">
      <cdr:nvSpPr>
        <cdr:cNvPr id="587" name="FracNo 96 StartRow 6063">
          <a:extLst xmlns:a="http://schemas.openxmlformats.org/drawingml/2006/main">
            <a:ext uri="{FF2B5EF4-FFF2-40B4-BE49-F238E27FC236}">
              <a16:creationId xmlns:a16="http://schemas.microsoft.com/office/drawing/2014/main" id="{A18B95BB-1A1A-6A62-DF21-D7DD76560F3E}"/>
            </a:ext>
          </a:extLst>
        </cdr:cNvPr>
        <cdr:cNvSpPr/>
      </cdr:nvSpPr>
      <cdr:spPr>
        <a:xfrm xmlns:a="http://schemas.openxmlformats.org/drawingml/2006/main">
          <a:off x="4426449" y="4261201"/>
          <a:ext cx="27935" cy="288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35" h="28894">
              <a:moveTo>
                <a:pt x="27934" y="0"/>
              </a:moveTo>
              <a:lnTo>
                <a:pt x="0" y="28893"/>
              </a:lnTo>
              <a:lnTo>
                <a:pt x="0" y="28893"/>
              </a:lnTo>
              <a:lnTo>
                <a:pt x="27934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0.57829</cdr:x>
      <cdr:y>0.64106</cdr:y>
    </cdr:from>
    <cdr:to>
      <cdr:x>0.58211</cdr:x>
      <cdr:y>0.64486</cdr:y>
    </cdr:to>
    <cdr:sp macro="" textlink="">
      <cdr:nvSpPr>
        <cdr:cNvPr id="588" name="FracNo 85 StartRow 6071">
          <a:extLst xmlns:a="http://schemas.openxmlformats.org/drawingml/2006/main">
            <a:ext uri="{FF2B5EF4-FFF2-40B4-BE49-F238E27FC236}">
              <a16:creationId xmlns:a16="http://schemas.microsoft.com/office/drawing/2014/main" id="{9C24701C-8D97-A8D8-14D2-EF859F7E1940}"/>
            </a:ext>
          </a:extLst>
        </cdr:cNvPr>
        <cdr:cNvSpPr/>
      </cdr:nvSpPr>
      <cdr:spPr>
        <a:xfrm xmlns:a="http://schemas.openxmlformats.org/drawingml/2006/main">
          <a:off x="4230336" y="4884913"/>
          <a:ext cx="27935" cy="288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35" h="28895">
              <a:moveTo>
                <a:pt x="0" y="28894"/>
              </a:moveTo>
              <a:lnTo>
                <a:pt x="0" y="28894"/>
              </a:lnTo>
              <a:lnTo>
                <a:pt x="27934" y="0"/>
              </a:lnTo>
              <a:lnTo>
                <a:pt x="279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0.56811</cdr:x>
      <cdr:y>0.39631</cdr:y>
    </cdr:from>
    <cdr:to>
      <cdr:x>0.57193</cdr:x>
      <cdr:y>0.4001</cdr:y>
    </cdr:to>
    <cdr:sp macro="" textlink="">
      <cdr:nvSpPr>
        <cdr:cNvPr id="589" name="FracNo 97 StartRow 6078">
          <a:extLst xmlns:a="http://schemas.openxmlformats.org/drawingml/2006/main">
            <a:ext uri="{FF2B5EF4-FFF2-40B4-BE49-F238E27FC236}">
              <a16:creationId xmlns:a16="http://schemas.microsoft.com/office/drawing/2014/main" id="{D7133B7A-1E1C-E5FD-E7BB-42AA43BBEE7A}"/>
            </a:ext>
          </a:extLst>
        </cdr:cNvPr>
        <cdr:cNvSpPr/>
      </cdr:nvSpPr>
      <cdr:spPr>
        <a:xfrm xmlns:a="http://schemas.openxmlformats.org/drawingml/2006/main">
          <a:off x="4155868" y="3019848"/>
          <a:ext cx="27936" cy="288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36" h="28895">
              <a:moveTo>
                <a:pt x="27935" y="0"/>
              </a:moveTo>
              <a:lnTo>
                <a:pt x="0" y="28894"/>
              </a:lnTo>
              <a:lnTo>
                <a:pt x="0" y="28894"/>
              </a:lnTo>
              <a:lnTo>
                <a:pt x="27935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0.47949</cdr:x>
      <cdr:y>0.58959</cdr:y>
    </cdr:from>
    <cdr:to>
      <cdr:x>0.48331</cdr:x>
      <cdr:y>0.59339</cdr:y>
    </cdr:to>
    <cdr:sp macro="" textlink="">
      <cdr:nvSpPr>
        <cdr:cNvPr id="590" name="FracNo 98 StartRow 6086">
          <a:extLst xmlns:a="http://schemas.openxmlformats.org/drawingml/2006/main">
            <a:ext uri="{FF2B5EF4-FFF2-40B4-BE49-F238E27FC236}">
              <a16:creationId xmlns:a16="http://schemas.microsoft.com/office/drawing/2014/main" id="{55777A46-C2BE-9343-786B-1A25F3E4B737}"/>
            </a:ext>
          </a:extLst>
        </cdr:cNvPr>
        <cdr:cNvSpPr/>
      </cdr:nvSpPr>
      <cdr:spPr>
        <a:xfrm xmlns:a="http://schemas.openxmlformats.org/drawingml/2006/main">
          <a:off x="3507592" y="4492701"/>
          <a:ext cx="27936" cy="288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36" h="28895">
              <a:moveTo>
                <a:pt x="0" y="28894"/>
              </a:moveTo>
              <a:lnTo>
                <a:pt x="0" y="28894"/>
              </a:lnTo>
              <a:lnTo>
                <a:pt x="27935" y="0"/>
              </a:lnTo>
              <a:lnTo>
                <a:pt x="2793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0.51412</cdr:x>
      <cdr:y>0.55979</cdr:y>
    </cdr:from>
    <cdr:to>
      <cdr:x>0.51794</cdr:x>
      <cdr:y>0.56358</cdr:y>
    </cdr:to>
    <cdr:sp macro="" textlink="">
      <cdr:nvSpPr>
        <cdr:cNvPr id="591" name="FracNo 99 StartRow 6093">
          <a:extLst xmlns:a="http://schemas.openxmlformats.org/drawingml/2006/main">
            <a:ext uri="{FF2B5EF4-FFF2-40B4-BE49-F238E27FC236}">
              <a16:creationId xmlns:a16="http://schemas.microsoft.com/office/drawing/2014/main" id="{56465E75-8F91-A7CD-D89F-7469FAA385C4}"/>
            </a:ext>
          </a:extLst>
        </cdr:cNvPr>
        <cdr:cNvSpPr/>
      </cdr:nvSpPr>
      <cdr:spPr>
        <a:xfrm xmlns:a="http://schemas.openxmlformats.org/drawingml/2006/main">
          <a:off x="3760893" y="4265568"/>
          <a:ext cx="27935" cy="288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35" h="28895">
              <a:moveTo>
                <a:pt x="27934" y="0"/>
              </a:moveTo>
              <a:lnTo>
                <a:pt x="0" y="28894"/>
              </a:lnTo>
              <a:lnTo>
                <a:pt x="0" y="28894"/>
              </a:lnTo>
              <a:lnTo>
                <a:pt x="27934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0.32129</cdr:x>
      <cdr:y>0.39063</cdr:y>
    </cdr:from>
    <cdr:to>
      <cdr:x>0.32511</cdr:x>
      <cdr:y>0.39442</cdr:y>
    </cdr:to>
    <cdr:sp macro="" textlink="">
      <cdr:nvSpPr>
        <cdr:cNvPr id="592" name="FracNo 488 StartRow 6101">
          <a:extLst xmlns:a="http://schemas.openxmlformats.org/drawingml/2006/main">
            <a:ext uri="{FF2B5EF4-FFF2-40B4-BE49-F238E27FC236}">
              <a16:creationId xmlns:a16="http://schemas.microsoft.com/office/drawing/2014/main" id="{866B9C41-25CC-2E06-DBA2-2046B41E5D89}"/>
            </a:ext>
          </a:extLst>
        </cdr:cNvPr>
        <cdr:cNvSpPr/>
      </cdr:nvSpPr>
      <cdr:spPr>
        <a:xfrm xmlns:a="http://schemas.openxmlformats.org/drawingml/2006/main">
          <a:off x="2350290" y="2976592"/>
          <a:ext cx="27936" cy="288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36" h="28894">
              <a:moveTo>
                <a:pt x="27935" y="0"/>
              </a:moveTo>
              <a:lnTo>
                <a:pt x="0" y="28893"/>
              </a:lnTo>
              <a:lnTo>
                <a:pt x="0" y="28893"/>
              </a:lnTo>
              <a:lnTo>
                <a:pt x="27935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0.33068</cdr:x>
      <cdr:y>0.61446</cdr:y>
    </cdr:from>
    <cdr:to>
      <cdr:x>0.33449</cdr:x>
      <cdr:y>0.61825</cdr:y>
    </cdr:to>
    <cdr:sp macro="" textlink="">
      <cdr:nvSpPr>
        <cdr:cNvPr id="593" name="FracNo 485 StartRow 6109">
          <a:extLst xmlns:a="http://schemas.openxmlformats.org/drawingml/2006/main">
            <a:ext uri="{FF2B5EF4-FFF2-40B4-BE49-F238E27FC236}">
              <a16:creationId xmlns:a16="http://schemas.microsoft.com/office/drawing/2014/main" id="{2548272C-4E9D-2C98-889D-05FF388A6D4F}"/>
            </a:ext>
          </a:extLst>
        </cdr:cNvPr>
        <cdr:cNvSpPr/>
      </cdr:nvSpPr>
      <cdr:spPr>
        <a:xfrm xmlns:a="http://schemas.openxmlformats.org/drawingml/2006/main">
          <a:off x="2418957" y="4682159"/>
          <a:ext cx="27935" cy="288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35" h="28894">
              <a:moveTo>
                <a:pt x="27934" y="0"/>
              </a:moveTo>
              <a:lnTo>
                <a:pt x="0" y="28893"/>
              </a:lnTo>
              <a:lnTo>
                <a:pt x="0" y="28893"/>
              </a:lnTo>
              <a:lnTo>
                <a:pt x="27934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0.18418</cdr:x>
      <cdr:y>0.46646</cdr:y>
    </cdr:from>
    <cdr:to>
      <cdr:x>0.188</cdr:x>
      <cdr:y>0.47025</cdr:y>
    </cdr:to>
    <cdr:sp macro="" textlink="">
      <cdr:nvSpPr>
        <cdr:cNvPr id="594" name="FracNo 483 StartRow 6117">
          <a:extLst xmlns:a="http://schemas.openxmlformats.org/drawingml/2006/main">
            <a:ext uri="{FF2B5EF4-FFF2-40B4-BE49-F238E27FC236}">
              <a16:creationId xmlns:a16="http://schemas.microsoft.com/office/drawing/2014/main" id="{08CF4D41-A3E1-2A7B-66FD-8D339078FD01}"/>
            </a:ext>
          </a:extLst>
        </cdr:cNvPr>
        <cdr:cNvSpPr/>
      </cdr:nvSpPr>
      <cdr:spPr>
        <a:xfrm xmlns:a="http://schemas.openxmlformats.org/drawingml/2006/main">
          <a:off x="1347288" y="3554437"/>
          <a:ext cx="27935" cy="288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35" h="28895">
              <a:moveTo>
                <a:pt x="27934" y="0"/>
              </a:moveTo>
              <a:lnTo>
                <a:pt x="0" y="28894"/>
              </a:lnTo>
              <a:lnTo>
                <a:pt x="0" y="28894"/>
              </a:lnTo>
              <a:lnTo>
                <a:pt x="27934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0.32525</cdr:x>
      <cdr:y>0.50571</cdr:y>
    </cdr:from>
    <cdr:to>
      <cdr:x>0.32907</cdr:x>
      <cdr:y>0.50951</cdr:y>
    </cdr:to>
    <cdr:sp macro="" textlink="">
      <cdr:nvSpPr>
        <cdr:cNvPr id="595" name="FracNo 482 StartRow 6125">
          <a:extLst xmlns:a="http://schemas.openxmlformats.org/drawingml/2006/main">
            <a:ext uri="{FF2B5EF4-FFF2-40B4-BE49-F238E27FC236}">
              <a16:creationId xmlns:a16="http://schemas.microsoft.com/office/drawing/2014/main" id="{71B9E91C-89FB-39BD-45CA-AC690719337B}"/>
            </a:ext>
          </a:extLst>
        </cdr:cNvPr>
        <cdr:cNvSpPr/>
      </cdr:nvSpPr>
      <cdr:spPr>
        <a:xfrm xmlns:a="http://schemas.openxmlformats.org/drawingml/2006/main">
          <a:off x="2379282" y="3853535"/>
          <a:ext cx="27935" cy="288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35" h="28895">
              <a:moveTo>
                <a:pt x="27934" y="0"/>
              </a:moveTo>
              <a:lnTo>
                <a:pt x="0" y="28894"/>
              </a:lnTo>
              <a:lnTo>
                <a:pt x="0" y="28894"/>
              </a:lnTo>
              <a:lnTo>
                <a:pt x="27934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0.23405</cdr:x>
      <cdr:y>0.10273</cdr:y>
    </cdr:from>
    <cdr:to>
      <cdr:x>0.23787</cdr:x>
      <cdr:y>0.10652</cdr:y>
    </cdr:to>
    <cdr:sp macro="" textlink="">
      <cdr:nvSpPr>
        <cdr:cNvPr id="596" name="FracNo 563 StartRow 6133">
          <a:extLst xmlns:a="http://schemas.openxmlformats.org/drawingml/2006/main">
            <a:ext uri="{FF2B5EF4-FFF2-40B4-BE49-F238E27FC236}">
              <a16:creationId xmlns:a16="http://schemas.microsoft.com/office/drawing/2014/main" id="{F4F4F60F-3F6E-3BBF-E553-5FCEC66DEE2A}"/>
            </a:ext>
          </a:extLst>
        </cdr:cNvPr>
        <cdr:cNvSpPr/>
      </cdr:nvSpPr>
      <cdr:spPr>
        <a:xfrm xmlns:a="http://schemas.openxmlformats.org/drawingml/2006/main">
          <a:off x="1712152" y="782808"/>
          <a:ext cx="27936" cy="288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36" h="28894">
              <a:moveTo>
                <a:pt x="0" y="28893"/>
              </a:moveTo>
              <a:lnTo>
                <a:pt x="0" y="28893"/>
              </a:lnTo>
              <a:lnTo>
                <a:pt x="27935" y="0"/>
              </a:lnTo>
              <a:lnTo>
                <a:pt x="2793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0.78502</cdr:x>
      <cdr:y>0.82829</cdr:y>
    </cdr:from>
    <cdr:to>
      <cdr:x>0.78884</cdr:x>
      <cdr:y>0.83208</cdr:y>
    </cdr:to>
    <cdr:sp macro="" textlink="">
      <cdr:nvSpPr>
        <cdr:cNvPr id="597" name="FracNo 419 StartRow 6140">
          <a:extLst xmlns:a="http://schemas.openxmlformats.org/drawingml/2006/main">
            <a:ext uri="{FF2B5EF4-FFF2-40B4-BE49-F238E27FC236}">
              <a16:creationId xmlns:a16="http://schemas.microsoft.com/office/drawing/2014/main" id="{8E3F2774-5D40-4CC7-9D6B-2B5D889D23F5}"/>
            </a:ext>
          </a:extLst>
        </cdr:cNvPr>
        <cdr:cNvSpPr/>
      </cdr:nvSpPr>
      <cdr:spPr>
        <a:xfrm xmlns:a="http://schemas.openxmlformats.org/drawingml/2006/main">
          <a:off x="5742564" y="6311547"/>
          <a:ext cx="27936" cy="288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36" h="28894">
              <a:moveTo>
                <a:pt x="0" y="28893"/>
              </a:moveTo>
              <a:lnTo>
                <a:pt x="0" y="28893"/>
              </a:lnTo>
              <a:lnTo>
                <a:pt x="27935" y="0"/>
              </a:lnTo>
              <a:lnTo>
                <a:pt x="2793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0.26008</cdr:x>
      <cdr:y>0.12794</cdr:y>
    </cdr:from>
    <cdr:to>
      <cdr:x>0.2639</cdr:x>
      <cdr:y>0.13173</cdr:y>
    </cdr:to>
    <cdr:sp macro="" textlink="">
      <cdr:nvSpPr>
        <cdr:cNvPr id="598" name="FracNo 565 StartRow 6147">
          <a:extLst xmlns:a="http://schemas.openxmlformats.org/drawingml/2006/main">
            <a:ext uri="{FF2B5EF4-FFF2-40B4-BE49-F238E27FC236}">
              <a16:creationId xmlns:a16="http://schemas.microsoft.com/office/drawing/2014/main" id="{C148845C-428D-D8A5-E6B9-F02A799102C0}"/>
            </a:ext>
          </a:extLst>
        </cdr:cNvPr>
        <cdr:cNvSpPr/>
      </cdr:nvSpPr>
      <cdr:spPr>
        <a:xfrm xmlns:a="http://schemas.openxmlformats.org/drawingml/2006/main">
          <a:off x="1902548" y="974909"/>
          <a:ext cx="27935" cy="288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35" h="28894">
              <a:moveTo>
                <a:pt x="0" y="28893"/>
              </a:moveTo>
              <a:lnTo>
                <a:pt x="0" y="28893"/>
              </a:lnTo>
              <a:lnTo>
                <a:pt x="27934" y="0"/>
              </a:lnTo>
              <a:lnTo>
                <a:pt x="279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0.86677</cdr:x>
      <cdr:y>0.72837</cdr:y>
    </cdr:from>
    <cdr:to>
      <cdr:x>0.87059</cdr:x>
      <cdr:y>0.73216</cdr:y>
    </cdr:to>
    <cdr:sp macro="" textlink="">
      <cdr:nvSpPr>
        <cdr:cNvPr id="599" name="FracNo 416 StartRow 6154">
          <a:extLst xmlns:a="http://schemas.openxmlformats.org/drawingml/2006/main">
            <a:ext uri="{FF2B5EF4-FFF2-40B4-BE49-F238E27FC236}">
              <a16:creationId xmlns:a16="http://schemas.microsoft.com/office/drawing/2014/main" id="{62DC7F86-0C33-53D0-3987-D19D83791A2C}"/>
            </a:ext>
          </a:extLst>
        </cdr:cNvPr>
        <cdr:cNvSpPr/>
      </cdr:nvSpPr>
      <cdr:spPr>
        <a:xfrm xmlns:a="http://schemas.openxmlformats.org/drawingml/2006/main">
          <a:off x="6340577" y="5550171"/>
          <a:ext cx="27935" cy="288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35" h="28894">
              <a:moveTo>
                <a:pt x="27934" y="0"/>
              </a:moveTo>
              <a:lnTo>
                <a:pt x="0" y="28893"/>
              </a:lnTo>
              <a:lnTo>
                <a:pt x="0" y="28893"/>
              </a:lnTo>
              <a:lnTo>
                <a:pt x="27934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0.28443</cdr:x>
      <cdr:y>0.33658</cdr:y>
    </cdr:from>
    <cdr:to>
      <cdr:x>0.28825</cdr:x>
      <cdr:y>0.34037</cdr:y>
    </cdr:to>
    <cdr:sp macro="" textlink="">
      <cdr:nvSpPr>
        <cdr:cNvPr id="600" name="FracNo 567 StartRow 6162">
          <a:extLst xmlns:a="http://schemas.openxmlformats.org/drawingml/2006/main">
            <a:ext uri="{FF2B5EF4-FFF2-40B4-BE49-F238E27FC236}">
              <a16:creationId xmlns:a16="http://schemas.microsoft.com/office/drawing/2014/main" id="{D21248D5-C35C-F25C-BC14-6577381260A6}"/>
            </a:ext>
          </a:extLst>
        </cdr:cNvPr>
        <cdr:cNvSpPr/>
      </cdr:nvSpPr>
      <cdr:spPr>
        <a:xfrm xmlns:a="http://schemas.openxmlformats.org/drawingml/2006/main">
          <a:off x="2080647" y="2564717"/>
          <a:ext cx="27936" cy="288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36" h="28894">
              <a:moveTo>
                <a:pt x="0" y="28893"/>
              </a:moveTo>
              <a:lnTo>
                <a:pt x="0" y="28893"/>
              </a:lnTo>
              <a:lnTo>
                <a:pt x="27935" y="0"/>
              </a:lnTo>
              <a:lnTo>
                <a:pt x="2793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0.28046</cdr:x>
      <cdr:y>0.4097</cdr:y>
    </cdr:from>
    <cdr:to>
      <cdr:x>0.28428</cdr:x>
      <cdr:y>0.4135</cdr:y>
    </cdr:to>
    <cdr:sp macro="" textlink="">
      <cdr:nvSpPr>
        <cdr:cNvPr id="601" name="FracNo 496 StartRow 6169">
          <a:extLst xmlns:a="http://schemas.openxmlformats.org/drawingml/2006/main">
            <a:ext uri="{FF2B5EF4-FFF2-40B4-BE49-F238E27FC236}">
              <a16:creationId xmlns:a16="http://schemas.microsoft.com/office/drawing/2014/main" id="{7D32C9E1-EDBD-BECF-4AAA-1A451B80FA2C}"/>
            </a:ext>
          </a:extLst>
        </cdr:cNvPr>
        <cdr:cNvSpPr/>
      </cdr:nvSpPr>
      <cdr:spPr>
        <a:xfrm xmlns:a="http://schemas.openxmlformats.org/drawingml/2006/main">
          <a:off x="2051604" y="3121952"/>
          <a:ext cx="27935" cy="288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35" h="28895">
              <a:moveTo>
                <a:pt x="27934" y="0"/>
              </a:moveTo>
              <a:lnTo>
                <a:pt x="0" y="28894"/>
              </a:lnTo>
              <a:lnTo>
                <a:pt x="0" y="28894"/>
              </a:lnTo>
              <a:lnTo>
                <a:pt x="27934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0.86957</cdr:x>
      <cdr:y>0.91455</cdr:y>
    </cdr:from>
    <cdr:to>
      <cdr:x>0.87339</cdr:x>
      <cdr:y>0.91835</cdr:y>
    </cdr:to>
    <cdr:sp macro="" textlink="">
      <cdr:nvSpPr>
        <cdr:cNvPr id="602" name="FracNo 413 StartRow 6177">
          <a:extLst xmlns:a="http://schemas.openxmlformats.org/drawingml/2006/main">
            <a:ext uri="{FF2B5EF4-FFF2-40B4-BE49-F238E27FC236}">
              <a16:creationId xmlns:a16="http://schemas.microsoft.com/office/drawing/2014/main" id="{8A554738-C948-FC29-8E98-4B7FCC05FCBD}"/>
            </a:ext>
          </a:extLst>
        </cdr:cNvPr>
        <cdr:cNvSpPr/>
      </cdr:nvSpPr>
      <cdr:spPr>
        <a:xfrm xmlns:a="http://schemas.openxmlformats.org/drawingml/2006/main">
          <a:off x="6361107" y="6968906"/>
          <a:ext cx="27935" cy="288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35" h="28894">
              <a:moveTo>
                <a:pt x="27934" y="0"/>
              </a:moveTo>
              <a:lnTo>
                <a:pt x="0" y="28893"/>
              </a:lnTo>
              <a:lnTo>
                <a:pt x="0" y="28893"/>
              </a:lnTo>
              <a:lnTo>
                <a:pt x="27934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0.87929</cdr:x>
      <cdr:y>0.84141</cdr:y>
    </cdr:from>
    <cdr:to>
      <cdr:x>0.8831</cdr:x>
      <cdr:y>0.8452</cdr:y>
    </cdr:to>
    <cdr:sp macro="" textlink="">
      <cdr:nvSpPr>
        <cdr:cNvPr id="603" name="FracNo 407 StartRow 6185">
          <a:extLst xmlns:a="http://schemas.openxmlformats.org/drawingml/2006/main">
            <a:ext uri="{FF2B5EF4-FFF2-40B4-BE49-F238E27FC236}">
              <a16:creationId xmlns:a16="http://schemas.microsoft.com/office/drawing/2014/main" id="{AEC7F816-ADCC-0D34-6915-36E97789A42E}"/>
            </a:ext>
          </a:extLst>
        </cdr:cNvPr>
        <cdr:cNvSpPr/>
      </cdr:nvSpPr>
      <cdr:spPr>
        <a:xfrm xmlns:a="http://schemas.openxmlformats.org/drawingml/2006/main">
          <a:off x="6432152" y="6411535"/>
          <a:ext cx="27935" cy="288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35" h="28894">
              <a:moveTo>
                <a:pt x="27934" y="0"/>
              </a:moveTo>
              <a:lnTo>
                <a:pt x="0" y="28893"/>
              </a:lnTo>
              <a:lnTo>
                <a:pt x="0" y="28893"/>
              </a:lnTo>
              <a:lnTo>
                <a:pt x="27934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0.29216</cdr:x>
      <cdr:y>0.24521</cdr:y>
    </cdr:from>
    <cdr:to>
      <cdr:x>0.29598</cdr:x>
      <cdr:y>0.249</cdr:y>
    </cdr:to>
    <cdr:sp macro="" textlink="">
      <cdr:nvSpPr>
        <cdr:cNvPr id="604" name="FracNo 568 StartRow 6193">
          <a:extLst xmlns:a="http://schemas.openxmlformats.org/drawingml/2006/main">
            <a:ext uri="{FF2B5EF4-FFF2-40B4-BE49-F238E27FC236}">
              <a16:creationId xmlns:a16="http://schemas.microsoft.com/office/drawing/2014/main" id="{16025D8A-EBBD-D468-CCFF-85B6498B7556}"/>
            </a:ext>
          </a:extLst>
        </cdr:cNvPr>
        <cdr:cNvSpPr/>
      </cdr:nvSpPr>
      <cdr:spPr>
        <a:xfrm xmlns:a="http://schemas.openxmlformats.org/drawingml/2006/main">
          <a:off x="2137209" y="1868476"/>
          <a:ext cx="27935" cy="288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35" h="28894">
              <a:moveTo>
                <a:pt x="0" y="28893"/>
              </a:moveTo>
              <a:lnTo>
                <a:pt x="0" y="28893"/>
              </a:lnTo>
              <a:lnTo>
                <a:pt x="27934" y="0"/>
              </a:lnTo>
              <a:lnTo>
                <a:pt x="279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0.88196</cdr:x>
      <cdr:y>0.76635</cdr:y>
    </cdr:from>
    <cdr:to>
      <cdr:x>0.88578</cdr:x>
      <cdr:y>0.77014</cdr:y>
    </cdr:to>
    <cdr:sp macro="" textlink="">
      <cdr:nvSpPr>
        <cdr:cNvPr id="605" name="FracNo 405 StartRow 6200">
          <a:extLst xmlns:a="http://schemas.openxmlformats.org/drawingml/2006/main">
            <a:ext uri="{FF2B5EF4-FFF2-40B4-BE49-F238E27FC236}">
              <a16:creationId xmlns:a16="http://schemas.microsoft.com/office/drawing/2014/main" id="{F5BC0171-8CA5-0D11-4C12-67A22C0FD4DF}"/>
            </a:ext>
          </a:extLst>
        </cdr:cNvPr>
        <cdr:cNvSpPr/>
      </cdr:nvSpPr>
      <cdr:spPr>
        <a:xfrm xmlns:a="http://schemas.openxmlformats.org/drawingml/2006/main">
          <a:off x="6451712" y="5839568"/>
          <a:ext cx="27936" cy="288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36" h="28895">
              <a:moveTo>
                <a:pt x="0" y="28894"/>
              </a:moveTo>
              <a:lnTo>
                <a:pt x="0" y="28894"/>
              </a:lnTo>
              <a:lnTo>
                <a:pt x="27935" y="0"/>
              </a:lnTo>
              <a:lnTo>
                <a:pt x="2793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0.6978</cdr:x>
      <cdr:y>0.56637</cdr:y>
    </cdr:from>
    <cdr:to>
      <cdr:x>0.70162</cdr:x>
      <cdr:y>0.57016</cdr:y>
    </cdr:to>
    <cdr:sp macro="" textlink="">
      <cdr:nvSpPr>
        <cdr:cNvPr id="606" name="FracNo 166 StartRow 6207">
          <a:extLst xmlns:a="http://schemas.openxmlformats.org/drawingml/2006/main">
            <a:ext uri="{FF2B5EF4-FFF2-40B4-BE49-F238E27FC236}">
              <a16:creationId xmlns:a16="http://schemas.microsoft.com/office/drawing/2014/main" id="{381C8DA5-BB3C-4E5A-E3F8-51BC0DEE3EC0}"/>
            </a:ext>
          </a:extLst>
        </cdr:cNvPr>
        <cdr:cNvSpPr/>
      </cdr:nvSpPr>
      <cdr:spPr>
        <a:xfrm xmlns:a="http://schemas.openxmlformats.org/drawingml/2006/main">
          <a:off x="5104537" y="4315738"/>
          <a:ext cx="27935" cy="288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35" h="28894">
              <a:moveTo>
                <a:pt x="0" y="28893"/>
              </a:moveTo>
              <a:lnTo>
                <a:pt x="0" y="28893"/>
              </a:lnTo>
              <a:lnTo>
                <a:pt x="27934" y="0"/>
              </a:lnTo>
              <a:lnTo>
                <a:pt x="279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0.4435</cdr:x>
      <cdr:y>0.72235</cdr:y>
    </cdr:from>
    <cdr:to>
      <cdr:x>0.44732</cdr:x>
      <cdr:y>0.72614</cdr:y>
    </cdr:to>
    <cdr:sp macro="" textlink="">
      <cdr:nvSpPr>
        <cdr:cNvPr id="607" name="FracNo 241 StartRow 6214">
          <a:extLst xmlns:a="http://schemas.openxmlformats.org/drawingml/2006/main">
            <a:ext uri="{FF2B5EF4-FFF2-40B4-BE49-F238E27FC236}">
              <a16:creationId xmlns:a16="http://schemas.microsoft.com/office/drawing/2014/main" id="{70365E5E-E988-498B-6F93-844D30966C9D}"/>
            </a:ext>
          </a:extLst>
        </cdr:cNvPr>
        <cdr:cNvSpPr/>
      </cdr:nvSpPr>
      <cdr:spPr>
        <a:xfrm xmlns:a="http://schemas.openxmlformats.org/drawingml/2006/main">
          <a:off x="3244276" y="5504285"/>
          <a:ext cx="27935" cy="288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35" h="28894">
              <a:moveTo>
                <a:pt x="0" y="28893"/>
              </a:moveTo>
              <a:lnTo>
                <a:pt x="0" y="28893"/>
              </a:lnTo>
              <a:lnTo>
                <a:pt x="27934" y="0"/>
              </a:lnTo>
              <a:lnTo>
                <a:pt x="279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0.58196</cdr:x>
      <cdr:y>0.78073</cdr:y>
    </cdr:from>
    <cdr:to>
      <cdr:x>0.58578</cdr:x>
      <cdr:y>0.78452</cdr:y>
    </cdr:to>
    <cdr:sp macro="" textlink="">
      <cdr:nvSpPr>
        <cdr:cNvPr id="608" name="FracNo 257 StartRow 6221">
          <a:extLst xmlns:a="http://schemas.openxmlformats.org/drawingml/2006/main">
            <a:ext uri="{FF2B5EF4-FFF2-40B4-BE49-F238E27FC236}">
              <a16:creationId xmlns:a16="http://schemas.microsoft.com/office/drawing/2014/main" id="{DC1B2E0B-CD69-A999-4C71-A3CD899CAD2C}"/>
            </a:ext>
          </a:extLst>
        </cdr:cNvPr>
        <cdr:cNvSpPr/>
      </cdr:nvSpPr>
      <cdr:spPr>
        <a:xfrm xmlns:a="http://schemas.openxmlformats.org/drawingml/2006/main">
          <a:off x="4257138" y="5949175"/>
          <a:ext cx="27935" cy="288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35" h="28895">
              <a:moveTo>
                <a:pt x="27934" y="0"/>
              </a:moveTo>
              <a:lnTo>
                <a:pt x="0" y="28894"/>
              </a:lnTo>
              <a:lnTo>
                <a:pt x="0" y="28894"/>
              </a:lnTo>
              <a:lnTo>
                <a:pt x="27934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0.89637</cdr:x>
      <cdr:y>0.77904</cdr:y>
    </cdr:from>
    <cdr:to>
      <cdr:x>0.90019</cdr:x>
      <cdr:y>0.78283</cdr:y>
    </cdr:to>
    <cdr:sp macro="" textlink="">
      <cdr:nvSpPr>
        <cdr:cNvPr id="609" name="FracNo 401 StartRow 6229">
          <a:extLst xmlns:a="http://schemas.openxmlformats.org/drawingml/2006/main">
            <a:ext uri="{FF2B5EF4-FFF2-40B4-BE49-F238E27FC236}">
              <a16:creationId xmlns:a16="http://schemas.microsoft.com/office/drawing/2014/main" id="{324FBACA-9A11-475B-05B5-52B9E136818C}"/>
            </a:ext>
          </a:extLst>
        </cdr:cNvPr>
        <cdr:cNvSpPr/>
      </cdr:nvSpPr>
      <cdr:spPr>
        <a:xfrm xmlns:a="http://schemas.openxmlformats.org/drawingml/2006/main">
          <a:off x="6557118" y="5936262"/>
          <a:ext cx="27935" cy="288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35" h="28894">
              <a:moveTo>
                <a:pt x="0" y="28893"/>
              </a:moveTo>
              <a:lnTo>
                <a:pt x="0" y="28893"/>
              </a:lnTo>
              <a:lnTo>
                <a:pt x="27934" y="0"/>
              </a:lnTo>
              <a:lnTo>
                <a:pt x="279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0.77423</cdr:x>
      <cdr:y>0.77199</cdr:y>
    </cdr:from>
    <cdr:to>
      <cdr:x>0.77805</cdr:x>
      <cdr:y>0.77578</cdr:y>
    </cdr:to>
    <cdr:sp macro="" textlink="">
      <cdr:nvSpPr>
        <cdr:cNvPr id="610" name="FracNo 406 StartRow 6236">
          <a:extLst xmlns:a="http://schemas.openxmlformats.org/drawingml/2006/main">
            <a:ext uri="{FF2B5EF4-FFF2-40B4-BE49-F238E27FC236}">
              <a16:creationId xmlns:a16="http://schemas.microsoft.com/office/drawing/2014/main" id="{86B1209A-8D92-D090-0E86-F7851A633E5D}"/>
            </a:ext>
          </a:extLst>
        </cdr:cNvPr>
        <cdr:cNvSpPr/>
      </cdr:nvSpPr>
      <cdr:spPr>
        <a:xfrm xmlns:a="http://schemas.openxmlformats.org/drawingml/2006/main">
          <a:off x="5663633" y="5882582"/>
          <a:ext cx="27935" cy="288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35" h="28895">
              <a:moveTo>
                <a:pt x="27934" y="0"/>
              </a:moveTo>
              <a:lnTo>
                <a:pt x="0" y="28894"/>
              </a:lnTo>
              <a:lnTo>
                <a:pt x="0" y="28894"/>
              </a:lnTo>
              <a:lnTo>
                <a:pt x="27934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0.29225</cdr:x>
      <cdr:y>0.35329</cdr:y>
    </cdr:from>
    <cdr:to>
      <cdr:x>0.29607</cdr:x>
      <cdr:y>0.35708</cdr:y>
    </cdr:to>
    <cdr:sp macro="" textlink="">
      <cdr:nvSpPr>
        <cdr:cNvPr id="611" name="FracNo 578 StartRow 6244">
          <a:extLst xmlns:a="http://schemas.openxmlformats.org/drawingml/2006/main">
            <a:ext uri="{FF2B5EF4-FFF2-40B4-BE49-F238E27FC236}">
              <a16:creationId xmlns:a16="http://schemas.microsoft.com/office/drawing/2014/main" id="{0B1AEE4E-D760-2AD2-9588-54478BA4448B}"/>
            </a:ext>
          </a:extLst>
        </cdr:cNvPr>
        <cdr:cNvSpPr/>
      </cdr:nvSpPr>
      <cdr:spPr>
        <a:xfrm xmlns:a="http://schemas.openxmlformats.org/drawingml/2006/main">
          <a:off x="2137883" y="2692073"/>
          <a:ext cx="27936" cy="288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36" h="28894">
              <a:moveTo>
                <a:pt x="27935" y="0"/>
              </a:moveTo>
              <a:lnTo>
                <a:pt x="0" y="28893"/>
              </a:lnTo>
              <a:lnTo>
                <a:pt x="0" y="28893"/>
              </a:lnTo>
              <a:lnTo>
                <a:pt x="27935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0.23581</cdr:x>
      <cdr:y>0.423</cdr:y>
    </cdr:from>
    <cdr:to>
      <cdr:x>0.23963</cdr:x>
      <cdr:y>0.42679</cdr:y>
    </cdr:to>
    <cdr:sp macro="" textlink="">
      <cdr:nvSpPr>
        <cdr:cNvPr id="612" name="FracNo 494 StartRow 6252">
          <a:extLst xmlns:a="http://schemas.openxmlformats.org/drawingml/2006/main">
            <a:ext uri="{FF2B5EF4-FFF2-40B4-BE49-F238E27FC236}">
              <a16:creationId xmlns:a16="http://schemas.microsoft.com/office/drawing/2014/main" id="{CD60E1C8-A7D2-6D14-44B1-B64BA2412087}"/>
            </a:ext>
          </a:extLst>
        </cdr:cNvPr>
        <cdr:cNvSpPr/>
      </cdr:nvSpPr>
      <cdr:spPr>
        <a:xfrm xmlns:a="http://schemas.openxmlformats.org/drawingml/2006/main">
          <a:off x="1724989" y="3223246"/>
          <a:ext cx="27936" cy="288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36" h="28894">
              <a:moveTo>
                <a:pt x="27935" y="0"/>
              </a:moveTo>
              <a:lnTo>
                <a:pt x="0" y="28893"/>
              </a:lnTo>
              <a:lnTo>
                <a:pt x="0" y="28893"/>
              </a:lnTo>
              <a:lnTo>
                <a:pt x="27935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0.73365</cdr:x>
      <cdr:y>0.76473</cdr:y>
    </cdr:from>
    <cdr:to>
      <cdr:x>0.73746</cdr:x>
      <cdr:y>0.76852</cdr:y>
    </cdr:to>
    <cdr:sp macro="" textlink="">
      <cdr:nvSpPr>
        <cdr:cNvPr id="613" name="FracNo 403 StartRow 6260">
          <a:extLst xmlns:a="http://schemas.openxmlformats.org/drawingml/2006/main">
            <a:ext uri="{FF2B5EF4-FFF2-40B4-BE49-F238E27FC236}">
              <a16:creationId xmlns:a16="http://schemas.microsoft.com/office/drawing/2014/main" id="{6D01A049-D810-45D2-8210-31EBE366EB37}"/>
            </a:ext>
          </a:extLst>
        </cdr:cNvPr>
        <cdr:cNvSpPr/>
      </cdr:nvSpPr>
      <cdr:spPr>
        <a:xfrm xmlns:a="http://schemas.openxmlformats.org/drawingml/2006/main">
          <a:off x="5366763" y="5827226"/>
          <a:ext cx="27935" cy="288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35" h="28894">
              <a:moveTo>
                <a:pt x="0" y="28893"/>
              </a:moveTo>
              <a:lnTo>
                <a:pt x="0" y="28893"/>
              </a:lnTo>
              <a:lnTo>
                <a:pt x="27934" y="0"/>
              </a:lnTo>
              <a:lnTo>
                <a:pt x="279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0.10445</cdr:x>
      <cdr:y>0.32136</cdr:y>
    </cdr:from>
    <cdr:to>
      <cdr:x>0.10827</cdr:x>
      <cdr:y>0.32515</cdr:y>
    </cdr:to>
    <cdr:sp macro="" textlink="">
      <cdr:nvSpPr>
        <cdr:cNvPr id="614" name="FracNo 576 StartRow 6267">
          <a:extLst xmlns:a="http://schemas.openxmlformats.org/drawingml/2006/main">
            <a:ext uri="{FF2B5EF4-FFF2-40B4-BE49-F238E27FC236}">
              <a16:creationId xmlns:a16="http://schemas.microsoft.com/office/drawing/2014/main" id="{9CA33695-4BB2-2CCB-90D0-44169AC5E38A}"/>
            </a:ext>
          </a:extLst>
        </cdr:cNvPr>
        <cdr:cNvSpPr/>
      </cdr:nvSpPr>
      <cdr:spPr>
        <a:xfrm xmlns:a="http://schemas.openxmlformats.org/drawingml/2006/main">
          <a:off x="764067" y="2448728"/>
          <a:ext cx="27935" cy="288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35" h="28894">
              <a:moveTo>
                <a:pt x="27934" y="0"/>
              </a:moveTo>
              <a:lnTo>
                <a:pt x="0" y="28893"/>
              </a:lnTo>
              <a:lnTo>
                <a:pt x="0" y="28893"/>
              </a:lnTo>
              <a:lnTo>
                <a:pt x="27934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0.68836</cdr:x>
      <cdr:y>0.87226</cdr:y>
    </cdr:from>
    <cdr:to>
      <cdr:x>0.69218</cdr:x>
      <cdr:y>0.87605</cdr:y>
    </cdr:to>
    <cdr:sp macro="" textlink="">
      <cdr:nvSpPr>
        <cdr:cNvPr id="615" name="FracNo 404 StartRow 6275">
          <a:extLst xmlns:a="http://schemas.openxmlformats.org/drawingml/2006/main">
            <a:ext uri="{FF2B5EF4-FFF2-40B4-BE49-F238E27FC236}">
              <a16:creationId xmlns:a16="http://schemas.microsoft.com/office/drawing/2014/main" id="{39B94110-2CF9-69DE-3597-D7C6638A26CE}"/>
            </a:ext>
          </a:extLst>
        </cdr:cNvPr>
        <cdr:cNvSpPr/>
      </cdr:nvSpPr>
      <cdr:spPr>
        <a:xfrm xmlns:a="http://schemas.openxmlformats.org/drawingml/2006/main">
          <a:off x="5035511" y="6646637"/>
          <a:ext cx="27935" cy="288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35" h="28895">
              <a:moveTo>
                <a:pt x="27934" y="0"/>
              </a:moveTo>
              <a:lnTo>
                <a:pt x="0" y="28894"/>
              </a:lnTo>
              <a:lnTo>
                <a:pt x="0" y="28894"/>
              </a:lnTo>
              <a:lnTo>
                <a:pt x="27934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0.1893</cdr:x>
      <cdr:y>0.31478</cdr:y>
    </cdr:from>
    <cdr:to>
      <cdr:x>0.19312</cdr:x>
      <cdr:y>0.31858</cdr:y>
    </cdr:to>
    <cdr:sp macro="" textlink="">
      <cdr:nvSpPr>
        <cdr:cNvPr id="616" name="FracNo 574 StartRow 6283">
          <a:extLst xmlns:a="http://schemas.openxmlformats.org/drawingml/2006/main">
            <a:ext uri="{FF2B5EF4-FFF2-40B4-BE49-F238E27FC236}">
              <a16:creationId xmlns:a16="http://schemas.microsoft.com/office/drawing/2014/main" id="{44B86223-942E-B906-F234-046F9FB59D02}"/>
            </a:ext>
          </a:extLst>
        </cdr:cNvPr>
        <cdr:cNvSpPr/>
      </cdr:nvSpPr>
      <cdr:spPr>
        <a:xfrm xmlns:a="http://schemas.openxmlformats.org/drawingml/2006/main">
          <a:off x="1384760" y="2398649"/>
          <a:ext cx="27936" cy="288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36" h="28895">
              <a:moveTo>
                <a:pt x="0" y="28894"/>
              </a:moveTo>
              <a:lnTo>
                <a:pt x="0" y="28894"/>
              </a:lnTo>
              <a:lnTo>
                <a:pt x="27935" y="0"/>
              </a:lnTo>
              <a:lnTo>
                <a:pt x="2793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0.34143</cdr:x>
      <cdr:y>0.69366</cdr:y>
    </cdr:from>
    <cdr:to>
      <cdr:x>0.34525</cdr:x>
      <cdr:y>0.69745</cdr:y>
    </cdr:to>
    <cdr:sp macro="" textlink="">
      <cdr:nvSpPr>
        <cdr:cNvPr id="617" name="FracNo 15 StartRow 6290">
          <a:extLst xmlns:a="http://schemas.openxmlformats.org/drawingml/2006/main">
            <a:ext uri="{FF2B5EF4-FFF2-40B4-BE49-F238E27FC236}">
              <a16:creationId xmlns:a16="http://schemas.microsoft.com/office/drawing/2014/main" id="{DB22A1EB-87D5-5DDF-61D5-B9FB7394C4FC}"/>
            </a:ext>
          </a:extLst>
        </cdr:cNvPr>
        <cdr:cNvSpPr/>
      </cdr:nvSpPr>
      <cdr:spPr>
        <a:xfrm xmlns:a="http://schemas.openxmlformats.org/drawingml/2006/main">
          <a:off x="2497643" y="5285662"/>
          <a:ext cx="27935" cy="288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35" h="28894">
              <a:moveTo>
                <a:pt x="0" y="28893"/>
              </a:moveTo>
              <a:lnTo>
                <a:pt x="0" y="28893"/>
              </a:lnTo>
              <a:lnTo>
                <a:pt x="27934" y="0"/>
              </a:lnTo>
              <a:lnTo>
                <a:pt x="279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0.43088</cdr:x>
      <cdr:y>0.85141</cdr:y>
    </cdr:from>
    <cdr:to>
      <cdr:x>0.4347</cdr:x>
      <cdr:y>0.8552</cdr:y>
    </cdr:to>
    <cdr:sp macro="" textlink="">
      <cdr:nvSpPr>
        <cdr:cNvPr id="618" name="FracNo 243 StartRow 6297">
          <a:extLst xmlns:a="http://schemas.openxmlformats.org/drawingml/2006/main">
            <a:ext uri="{FF2B5EF4-FFF2-40B4-BE49-F238E27FC236}">
              <a16:creationId xmlns:a16="http://schemas.microsoft.com/office/drawing/2014/main" id="{C8CEE369-EC38-DBA9-F29C-FC91D9CC8F81}"/>
            </a:ext>
          </a:extLst>
        </cdr:cNvPr>
        <cdr:cNvSpPr/>
      </cdr:nvSpPr>
      <cdr:spPr>
        <a:xfrm xmlns:a="http://schemas.openxmlformats.org/drawingml/2006/main">
          <a:off x="3151984" y="6487726"/>
          <a:ext cx="27935" cy="288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35" h="28894">
              <a:moveTo>
                <a:pt x="27934" y="0"/>
              </a:moveTo>
              <a:lnTo>
                <a:pt x="0" y="28893"/>
              </a:lnTo>
              <a:lnTo>
                <a:pt x="0" y="28893"/>
              </a:lnTo>
              <a:lnTo>
                <a:pt x="27934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0.22085</cdr:x>
      <cdr:y>0.78834</cdr:y>
    </cdr:from>
    <cdr:to>
      <cdr:x>0.22466</cdr:x>
      <cdr:y>0.79214</cdr:y>
    </cdr:to>
    <cdr:sp macro="" textlink="">
      <cdr:nvSpPr>
        <cdr:cNvPr id="619" name="FracNo 3 StartRow 6305">
          <a:extLst xmlns:a="http://schemas.openxmlformats.org/drawingml/2006/main">
            <a:ext uri="{FF2B5EF4-FFF2-40B4-BE49-F238E27FC236}">
              <a16:creationId xmlns:a16="http://schemas.microsoft.com/office/drawing/2014/main" id="{5FB5BC43-C7E8-4821-70ED-15050BFB1EAF}"/>
            </a:ext>
          </a:extLst>
        </cdr:cNvPr>
        <cdr:cNvSpPr/>
      </cdr:nvSpPr>
      <cdr:spPr>
        <a:xfrm xmlns:a="http://schemas.openxmlformats.org/drawingml/2006/main">
          <a:off x="1615534" y="6007188"/>
          <a:ext cx="27935" cy="288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35" h="28895">
              <a:moveTo>
                <a:pt x="0" y="28894"/>
              </a:moveTo>
              <a:lnTo>
                <a:pt x="0" y="28894"/>
              </a:lnTo>
              <a:lnTo>
                <a:pt x="27934" y="0"/>
              </a:lnTo>
              <a:lnTo>
                <a:pt x="279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0.10442</cdr:x>
      <cdr:y>0.71608</cdr:y>
    </cdr:from>
    <cdr:to>
      <cdr:x>0.10824</cdr:x>
      <cdr:y>0.71987</cdr:y>
    </cdr:to>
    <cdr:sp macro="" textlink="">
      <cdr:nvSpPr>
        <cdr:cNvPr id="620" name="FracNo 13 StartRow 6312">
          <a:extLst xmlns:a="http://schemas.openxmlformats.org/drawingml/2006/main">
            <a:ext uri="{FF2B5EF4-FFF2-40B4-BE49-F238E27FC236}">
              <a16:creationId xmlns:a16="http://schemas.microsoft.com/office/drawing/2014/main" id="{9969E551-4056-D590-2A79-1339A69D39F0}"/>
            </a:ext>
          </a:extLst>
        </cdr:cNvPr>
        <cdr:cNvSpPr/>
      </cdr:nvSpPr>
      <cdr:spPr>
        <a:xfrm xmlns:a="http://schemas.openxmlformats.org/drawingml/2006/main">
          <a:off x="763853" y="5456536"/>
          <a:ext cx="27935" cy="288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35" h="28895">
              <a:moveTo>
                <a:pt x="27934" y="0"/>
              </a:moveTo>
              <a:lnTo>
                <a:pt x="0" y="28894"/>
              </a:lnTo>
              <a:lnTo>
                <a:pt x="0" y="28894"/>
              </a:lnTo>
              <a:lnTo>
                <a:pt x="27934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0.14125</cdr:x>
      <cdr:y>0.76935</cdr:y>
    </cdr:from>
    <cdr:to>
      <cdr:x>0.14507</cdr:x>
      <cdr:y>0.77314</cdr:y>
    </cdr:to>
    <cdr:sp macro="" textlink="">
      <cdr:nvSpPr>
        <cdr:cNvPr id="621" name="FracNo 9 StartRow 6320">
          <a:extLst xmlns:a="http://schemas.openxmlformats.org/drawingml/2006/main">
            <a:ext uri="{FF2B5EF4-FFF2-40B4-BE49-F238E27FC236}">
              <a16:creationId xmlns:a16="http://schemas.microsoft.com/office/drawing/2014/main" id="{DD4479DE-303C-7166-5D43-7612D0197E6D}"/>
            </a:ext>
          </a:extLst>
        </cdr:cNvPr>
        <cdr:cNvSpPr/>
      </cdr:nvSpPr>
      <cdr:spPr>
        <a:xfrm xmlns:a="http://schemas.openxmlformats.org/drawingml/2006/main">
          <a:off x="1033276" y="5862448"/>
          <a:ext cx="27936" cy="288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36" h="28894">
              <a:moveTo>
                <a:pt x="27935" y="0"/>
              </a:moveTo>
              <a:lnTo>
                <a:pt x="0" y="28893"/>
              </a:lnTo>
              <a:lnTo>
                <a:pt x="0" y="28893"/>
              </a:lnTo>
              <a:lnTo>
                <a:pt x="27935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0.15349</cdr:x>
      <cdr:y>0.66989</cdr:y>
    </cdr:from>
    <cdr:to>
      <cdr:x>0.15731</cdr:x>
      <cdr:y>0.67369</cdr:y>
    </cdr:to>
    <cdr:sp macro="" textlink="">
      <cdr:nvSpPr>
        <cdr:cNvPr id="622" name="FracNo 1 StartRow 6328">
          <a:extLst xmlns:a="http://schemas.openxmlformats.org/drawingml/2006/main">
            <a:ext uri="{FF2B5EF4-FFF2-40B4-BE49-F238E27FC236}">
              <a16:creationId xmlns:a16="http://schemas.microsoft.com/office/drawing/2014/main" id="{39A8E94E-4707-3B9B-0F21-BBB18976B252}"/>
            </a:ext>
          </a:extLst>
        </cdr:cNvPr>
        <cdr:cNvSpPr/>
      </cdr:nvSpPr>
      <cdr:spPr>
        <a:xfrm xmlns:a="http://schemas.openxmlformats.org/drawingml/2006/main">
          <a:off x="1122789" y="5104590"/>
          <a:ext cx="27936" cy="288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36" h="28895">
              <a:moveTo>
                <a:pt x="27935" y="0"/>
              </a:moveTo>
              <a:lnTo>
                <a:pt x="0" y="28894"/>
              </a:lnTo>
              <a:lnTo>
                <a:pt x="0" y="28894"/>
              </a:lnTo>
              <a:lnTo>
                <a:pt x="27935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0.48175</cdr:x>
      <cdr:y>0.8458</cdr:y>
    </cdr:from>
    <cdr:to>
      <cdr:x>0.48557</cdr:x>
      <cdr:y>0.84959</cdr:y>
    </cdr:to>
    <cdr:sp macro="" textlink="">
      <cdr:nvSpPr>
        <cdr:cNvPr id="623" name="FracNo 259 StartRow 6336">
          <a:extLst xmlns:a="http://schemas.openxmlformats.org/drawingml/2006/main">
            <a:ext uri="{FF2B5EF4-FFF2-40B4-BE49-F238E27FC236}">
              <a16:creationId xmlns:a16="http://schemas.microsoft.com/office/drawing/2014/main" id="{437FDAD5-8193-88B0-0B9F-9191D0573EE5}"/>
            </a:ext>
          </a:extLst>
        </cdr:cNvPr>
        <cdr:cNvSpPr/>
      </cdr:nvSpPr>
      <cdr:spPr>
        <a:xfrm xmlns:a="http://schemas.openxmlformats.org/drawingml/2006/main">
          <a:off x="3524088" y="6444958"/>
          <a:ext cx="27935" cy="288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35" h="28895">
              <a:moveTo>
                <a:pt x="27934" y="0"/>
              </a:moveTo>
              <a:lnTo>
                <a:pt x="0" y="28894"/>
              </a:lnTo>
              <a:lnTo>
                <a:pt x="0" y="28894"/>
              </a:lnTo>
              <a:lnTo>
                <a:pt x="27934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0.13071</cdr:x>
      <cdr:y>0.69556</cdr:y>
    </cdr:from>
    <cdr:to>
      <cdr:x>0.13453</cdr:x>
      <cdr:y>0.69935</cdr:y>
    </cdr:to>
    <cdr:sp macro="" textlink="">
      <cdr:nvSpPr>
        <cdr:cNvPr id="624" name="FracNo 11 StartRow 6344">
          <a:extLst xmlns:a="http://schemas.openxmlformats.org/drawingml/2006/main">
            <a:ext uri="{FF2B5EF4-FFF2-40B4-BE49-F238E27FC236}">
              <a16:creationId xmlns:a16="http://schemas.microsoft.com/office/drawing/2014/main" id="{19855A1A-0D71-E968-AE1E-1A0F1D7E4B6B}"/>
            </a:ext>
          </a:extLst>
        </cdr:cNvPr>
        <cdr:cNvSpPr/>
      </cdr:nvSpPr>
      <cdr:spPr>
        <a:xfrm xmlns:a="http://schemas.openxmlformats.org/drawingml/2006/main">
          <a:off x="956173" y="5300159"/>
          <a:ext cx="27935" cy="288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35" h="28895">
              <a:moveTo>
                <a:pt x="27934" y="0"/>
              </a:moveTo>
              <a:lnTo>
                <a:pt x="0" y="28894"/>
              </a:lnTo>
              <a:lnTo>
                <a:pt x="0" y="28894"/>
              </a:lnTo>
              <a:lnTo>
                <a:pt x="27934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0.19384</cdr:x>
      <cdr:y>0.56457</cdr:y>
    </cdr:from>
    <cdr:to>
      <cdr:x>0.19766</cdr:x>
      <cdr:y>0.56837</cdr:y>
    </cdr:to>
    <cdr:sp macro="" textlink="">
      <cdr:nvSpPr>
        <cdr:cNvPr id="625" name="FracNo 487 StartRow 6352">
          <a:extLst xmlns:a="http://schemas.openxmlformats.org/drawingml/2006/main">
            <a:ext uri="{FF2B5EF4-FFF2-40B4-BE49-F238E27FC236}">
              <a16:creationId xmlns:a16="http://schemas.microsoft.com/office/drawing/2014/main" id="{3EBFFE05-A570-8394-6EF8-42E54C5AB5EF}"/>
            </a:ext>
          </a:extLst>
        </cdr:cNvPr>
        <cdr:cNvSpPr/>
      </cdr:nvSpPr>
      <cdr:spPr>
        <a:xfrm xmlns:a="http://schemas.openxmlformats.org/drawingml/2006/main">
          <a:off x="1418002" y="4302055"/>
          <a:ext cx="27936" cy="288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36" h="28895">
              <a:moveTo>
                <a:pt x="0" y="28894"/>
              </a:moveTo>
              <a:lnTo>
                <a:pt x="0" y="28894"/>
              </a:lnTo>
              <a:lnTo>
                <a:pt x="27935" y="0"/>
              </a:lnTo>
              <a:lnTo>
                <a:pt x="2793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0.83831</cdr:x>
      <cdr:y>0.23722</cdr:y>
    </cdr:from>
    <cdr:to>
      <cdr:x>0.84213</cdr:x>
      <cdr:y>0.24101</cdr:y>
    </cdr:to>
    <cdr:sp macro="" textlink="">
      <cdr:nvSpPr>
        <cdr:cNvPr id="626" name="FracNo 655 StartRow 6359">
          <a:extLst xmlns:a="http://schemas.openxmlformats.org/drawingml/2006/main">
            <a:ext uri="{FF2B5EF4-FFF2-40B4-BE49-F238E27FC236}">
              <a16:creationId xmlns:a16="http://schemas.microsoft.com/office/drawing/2014/main" id="{5F64048D-81BE-AF78-F54C-B5D2F920F68A}"/>
            </a:ext>
          </a:extLst>
        </cdr:cNvPr>
        <cdr:cNvSpPr/>
      </cdr:nvSpPr>
      <cdr:spPr>
        <a:xfrm xmlns:a="http://schemas.openxmlformats.org/drawingml/2006/main">
          <a:off x="6132386" y="1807604"/>
          <a:ext cx="27935" cy="288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35" h="28895">
              <a:moveTo>
                <a:pt x="0" y="28894"/>
              </a:moveTo>
              <a:lnTo>
                <a:pt x="0" y="28894"/>
              </a:lnTo>
              <a:lnTo>
                <a:pt x="27934" y="0"/>
              </a:lnTo>
              <a:lnTo>
                <a:pt x="279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0.85161</cdr:x>
      <cdr:y>0.35353</cdr:y>
    </cdr:from>
    <cdr:to>
      <cdr:x>0.85543</cdr:x>
      <cdr:y>0.35732</cdr:y>
    </cdr:to>
    <cdr:sp macro="" textlink="">
      <cdr:nvSpPr>
        <cdr:cNvPr id="627" name="FracNo 660 StartRow 6366">
          <a:extLst xmlns:a="http://schemas.openxmlformats.org/drawingml/2006/main">
            <a:ext uri="{FF2B5EF4-FFF2-40B4-BE49-F238E27FC236}">
              <a16:creationId xmlns:a16="http://schemas.microsoft.com/office/drawing/2014/main" id="{5A30CD9F-684D-4595-0BA7-9CAFDBBCBB6B}"/>
            </a:ext>
          </a:extLst>
        </cdr:cNvPr>
        <cdr:cNvSpPr/>
      </cdr:nvSpPr>
      <cdr:spPr>
        <a:xfrm xmlns:a="http://schemas.openxmlformats.org/drawingml/2006/main">
          <a:off x="6229681" y="2693866"/>
          <a:ext cx="27935" cy="288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35" h="28894">
              <a:moveTo>
                <a:pt x="27934" y="0"/>
              </a:moveTo>
              <a:lnTo>
                <a:pt x="0" y="28893"/>
              </a:lnTo>
              <a:lnTo>
                <a:pt x="0" y="28893"/>
              </a:lnTo>
              <a:lnTo>
                <a:pt x="27934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0.70656</cdr:x>
      <cdr:y>0.10155</cdr:y>
    </cdr:from>
    <cdr:to>
      <cdr:x>0.71038</cdr:x>
      <cdr:y>0.10534</cdr:y>
    </cdr:to>
    <cdr:sp macro="" textlink="">
      <cdr:nvSpPr>
        <cdr:cNvPr id="628" name="FracNo 658 StartRow 6374">
          <a:extLst xmlns:a="http://schemas.openxmlformats.org/drawingml/2006/main">
            <a:ext uri="{FF2B5EF4-FFF2-40B4-BE49-F238E27FC236}">
              <a16:creationId xmlns:a16="http://schemas.microsoft.com/office/drawing/2014/main" id="{3C25184A-FD8B-22EA-47F9-0223672C354E}"/>
            </a:ext>
          </a:extLst>
        </cdr:cNvPr>
        <cdr:cNvSpPr/>
      </cdr:nvSpPr>
      <cdr:spPr>
        <a:xfrm xmlns:a="http://schemas.openxmlformats.org/drawingml/2006/main">
          <a:off x="5168633" y="773795"/>
          <a:ext cx="27935" cy="288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35" h="28894">
              <a:moveTo>
                <a:pt x="0" y="28893"/>
              </a:moveTo>
              <a:lnTo>
                <a:pt x="0" y="28893"/>
              </a:lnTo>
              <a:lnTo>
                <a:pt x="27934" y="0"/>
              </a:lnTo>
              <a:lnTo>
                <a:pt x="279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0.83443</cdr:x>
      <cdr:y>0.12095</cdr:y>
    </cdr:from>
    <cdr:to>
      <cdr:x>0.83825</cdr:x>
      <cdr:y>0.12474</cdr:y>
    </cdr:to>
    <cdr:sp macro="" textlink="">
      <cdr:nvSpPr>
        <cdr:cNvPr id="629" name="FracNo 657 StartRow 6381">
          <a:extLst xmlns:a="http://schemas.openxmlformats.org/drawingml/2006/main">
            <a:ext uri="{FF2B5EF4-FFF2-40B4-BE49-F238E27FC236}">
              <a16:creationId xmlns:a16="http://schemas.microsoft.com/office/drawing/2014/main" id="{B9545BF4-EDF1-2219-FF4B-0AD2A2AFC5BE}"/>
            </a:ext>
          </a:extLst>
        </cdr:cNvPr>
        <cdr:cNvSpPr/>
      </cdr:nvSpPr>
      <cdr:spPr>
        <a:xfrm xmlns:a="http://schemas.openxmlformats.org/drawingml/2006/main">
          <a:off x="6104022" y="921629"/>
          <a:ext cx="27935" cy="288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35" h="28895">
              <a:moveTo>
                <a:pt x="0" y="28894"/>
              </a:moveTo>
              <a:lnTo>
                <a:pt x="0" y="28894"/>
              </a:lnTo>
              <a:lnTo>
                <a:pt x="27934" y="0"/>
              </a:lnTo>
              <a:lnTo>
                <a:pt x="279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0.83234</cdr:x>
      <cdr:y>0.10467</cdr:y>
    </cdr:from>
    <cdr:to>
      <cdr:x>0.83616</cdr:x>
      <cdr:y>0.10846</cdr:y>
    </cdr:to>
    <cdr:sp macro="" textlink="">
      <cdr:nvSpPr>
        <cdr:cNvPr id="630" name="FracNo 651 StartRow 6388">
          <a:extLst xmlns:a="http://schemas.openxmlformats.org/drawingml/2006/main">
            <a:ext uri="{FF2B5EF4-FFF2-40B4-BE49-F238E27FC236}">
              <a16:creationId xmlns:a16="http://schemas.microsoft.com/office/drawing/2014/main" id="{0543A491-2686-66F8-7A9D-2A0D51761926}"/>
            </a:ext>
          </a:extLst>
        </cdr:cNvPr>
        <cdr:cNvSpPr/>
      </cdr:nvSpPr>
      <cdr:spPr>
        <a:xfrm xmlns:a="http://schemas.openxmlformats.org/drawingml/2006/main">
          <a:off x="6088719" y="797600"/>
          <a:ext cx="27936" cy="288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36" h="28894">
              <a:moveTo>
                <a:pt x="0" y="28893"/>
              </a:moveTo>
              <a:lnTo>
                <a:pt x="0" y="28893"/>
              </a:lnTo>
              <a:lnTo>
                <a:pt x="27935" y="0"/>
              </a:lnTo>
              <a:lnTo>
                <a:pt x="2793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0.81176</cdr:x>
      <cdr:y>0.47046</cdr:y>
    </cdr:from>
    <cdr:to>
      <cdr:x>0.81558</cdr:x>
      <cdr:y>0.47425</cdr:y>
    </cdr:to>
    <cdr:sp macro="" textlink="">
      <cdr:nvSpPr>
        <cdr:cNvPr id="631" name="FracNo 168 StartRow 6395">
          <a:extLst xmlns:a="http://schemas.openxmlformats.org/drawingml/2006/main">
            <a:ext uri="{FF2B5EF4-FFF2-40B4-BE49-F238E27FC236}">
              <a16:creationId xmlns:a16="http://schemas.microsoft.com/office/drawing/2014/main" id="{B2267053-0AFA-6F70-B034-D5A51945C6B7}"/>
            </a:ext>
          </a:extLst>
        </cdr:cNvPr>
        <cdr:cNvSpPr/>
      </cdr:nvSpPr>
      <cdr:spPr>
        <a:xfrm xmlns:a="http://schemas.openxmlformats.org/drawingml/2006/main">
          <a:off x="5938161" y="3584870"/>
          <a:ext cx="27935" cy="288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35" h="28894">
              <a:moveTo>
                <a:pt x="27934" y="0"/>
              </a:moveTo>
              <a:lnTo>
                <a:pt x="0" y="28893"/>
              </a:lnTo>
              <a:lnTo>
                <a:pt x="0" y="28893"/>
              </a:lnTo>
              <a:lnTo>
                <a:pt x="27934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0.7775</cdr:x>
      <cdr:y>0.4558</cdr:y>
    </cdr:from>
    <cdr:to>
      <cdr:x>0.78132</cdr:x>
      <cdr:y>0.45959</cdr:y>
    </cdr:to>
    <cdr:sp macro="" textlink="">
      <cdr:nvSpPr>
        <cdr:cNvPr id="632" name="FracNo 169 StartRow 6403">
          <a:extLst xmlns:a="http://schemas.openxmlformats.org/drawingml/2006/main">
            <a:ext uri="{FF2B5EF4-FFF2-40B4-BE49-F238E27FC236}">
              <a16:creationId xmlns:a16="http://schemas.microsoft.com/office/drawing/2014/main" id="{32FEC316-0181-0CDA-6DC2-3822ED2B635F}"/>
            </a:ext>
          </a:extLst>
        </cdr:cNvPr>
        <cdr:cNvSpPr/>
      </cdr:nvSpPr>
      <cdr:spPr>
        <a:xfrm xmlns:a="http://schemas.openxmlformats.org/drawingml/2006/main">
          <a:off x="5687569" y="3473213"/>
          <a:ext cx="27935" cy="288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35" h="28894">
              <a:moveTo>
                <a:pt x="0" y="28893"/>
              </a:moveTo>
              <a:lnTo>
                <a:pt x="0" y="28893"/>
              </a:lnTo>
              <a:lnTo>
                <a:pt x="27934" y="0"/>
              </a:lnTo>
              <a:lnTo>
                <a:pt x="279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0.86714</cdr:x>
      <cdr:y>0.4539</cdr:y>
    </cdr:from>
    <cdr:to>
      <cdr:x>0.87096</cdr:x>
      <cdr:y>0.45769</cdr:y>
    </cdr:to>
    <cdr:sp macro="" textlink="">
      <cdr:nvSpPr>
        <cdr:cNvPr id="633" name="FracNo 170 StartRow 6410">
          <a:extLst xmlns:a="http://schemas.openxmlformats.org/drawingml/2006/main">
            <a:ext uri="{FF2B5EF4-FFF2-40B4-BE49-F238E27FC236}">
              <a16:creationId xmlns:a16="http://schemas.microsoft.com/office/drawing/2014/main" id="{8F27EDAD-F080-A73B-418C-EFFD2FDF781D}"/>
            </a:ext>
          </a:extLst>
        </cdr:cNvPr>
        <cdr:cNvSpPr/>
      </cdr:nvSpPr>
      <cdr:spPr>
        <a:xfrm xmlns:a="http://schemas.openxmlformats.org/drawingml/2006/main">
          <a:off x="6343327" y="3458692"/>
          <a:ext cx="27935" cy="288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35" h="28895">
              <a:moveTo>
                <a:pt x="0" y="28894"/>
              </a:moveTo>
              <a:lnTo>
                <a:pt x="0" y="28894"/>
              </a:lnTo>
              <a:lnTo>
                <a:pt x="27934" y="0"/>
              </a:lnTo>
              <a:lnTo>
                <a:pt x="279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0.43043</cdr:x>
      <cdr:y>0.18413</cdr:y>
    </cdr:from>
    <cdr:to>
      <cdr:x>0.43424</cdr:x>
      <cdr:y>0.18793</cdr:y>
    </cdr:to>
    <cdr:sp macro="" textlink="">
      <cdr:nvSpPr>
        <cdr:cNvPr id="634" name="FracNo 321 StartRow 6417">
          <a:extLst xmlns:a="http://schemas.openxmlformats.org/drawingml/2006/main">
            <a:ext uri="{FF2B5EF4-FFF2-40B4-BE49-F238E27FC236}">
              <a16:creationId xmlns:a16="http://schemas.microsoft.com/office/drawing/2014/main" id="{36A0B358-8D70-59D5-84C1-89FEF9FB8AC3}"/>
            </a:ext>
          </a:extLst>
        </cdr:cNvPr>
        <cdr:cNvSpPr/>
      </cdr:nvSpPr>
      <cdr:spPr>
        <a:xfrm xmlns:a="http://schemas.openxmlformats.org/drawingml/2006/main">
          <a:off x="3148647" y="1403095"/>
          <a:ext cx="27935" cy="288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35" h="28895">
              <a:moveTo>
                <a:pt x="0" y="28894"/>
              </a:moveTo>
              <a:lnTo>
                <a:pt x="0" y="28894"/>
              </a:lnTo>
              <a:lnTo>
                <a:pt x="27934" y="0"/>
              </a:lnTo>
              <a:lnTo>
                <a:pt x="279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0.43743</cdr:x>
      <cdr:y>0.13579</cdr:y>
    </cdr:from>
    <cdr:to>
      <cdr:x>0.44125</cdr:x>
      <cdr:y>0.13958</cdr:y>
    </cdr:to>
    <cdr:sp macro="" textlink="">
      <cdr:nvSpPr>
        <cdr:cNvPr id="635" name="FracNo 322 StartRow 6424">
          <a:extLst xmlns:a="http://schemas.openxmlformats.org/drawingml/2006/main">
            <a:ext uri="{FF2B5EF4-FFF2-40B4-BE49-F238E27FC236}">
              <a16:creationId xmlns:a16="http://schemas.microsoft.com/office/drawing/2014/main" id="{477485C0-0369-8D66-DC1C-9533625188FC}"/>
            </a:ext>
          </a:extLst>
        </cdr:cNvPr>
        <cdr:cNvSpPr/>
      </cdr:nvSpPr>
      <cdr:spPr>
        <a:xfrm xmlns:a="http://schemas.openxmlformats.org/drawingml/2006/main">
          <a:off x="3199896" y="1034733"/>
          <a:ext cx="27935" cy="288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35" h="28895">
              <a:moveTo>
                <a:pt x="0" y="28894"/>
              </a:moveTo>
              <a:lnTo>
                <a:pt x="0" y="28894"/>
              </a:lnTo>
              <a:lnTo>
                <a:pt x="27934" y="0"/>
              </a:lnTo>
              <a:lnTo>
                <a:pt x="279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0.88278</cdr:x>
      <cdr:y>0.24604</cdr:y>
    </cdr:from>
    <cdr:to>
      <cdr:x>0.8866</cdr:x>
      <cdr:y>0.24984</cdr:y>
    </cdr:to>
    <cdr:sp macro="" textlink="">
      <cdr:nvSpPr>
        <cdr:cNvPr id="636" name="FracNo 644 StartRow 6431">
          <a:extLst xmlns:a="http://schemas.openxmlformats.org/drawingml/2006/main">
            <a:ext uri="{FF2B5EF4-FFF2-40B4-BE49-F238E27FC236}">
              <a16:creationId xmlns:a16="http://schemas.microsoft.com/office/drawing/2014/main" id="{F8F8333D-F191-599D-E0BA-F5CB00155FC6}"/>
            </a:ext>
          </a:extLst>
        </cdr:cNvPr>
        <cdr:cNvSpPr/>
      </cdr:nvSpPr>
      <cdr:spPr>
        <a:xfrm xmlns:a="http://schemas.openxmlformats.org/drawingml/2006/main">
          <a:off x="6457707" y="1874853"/>
          <a:ext cx="27935" cy="288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35" h="28894">
              <a:moveTo>
                <a:pt x="27934" y="0"/>
              </a:moveTo>
              <a:lnTo>
                <a:pt x="0" y="28893"/>
              </a:lnTo>
              <a:lnTo>
                <a:pt x="0" y="28893"/>
              </a:lnTo>
              <a:lnTo>
                <a:pt x="27934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0.88019</cdr:x>
      <cdr:y>0.58469</cdr:y>
    </cdr:from>
    <cdr:to>
      <cdr:x>0.88401</cdr:x>
      <cdr:y>0.58849</cdr:y>
    </cdr:to>
    <cdr:sp macro="" textlink="">
      <cdr:nvSpPr>
        <cdr:cNvPr id="637" name="FracNo 177 StartRow 6439">
          <a:extLst xmlns:a="http://schemas.openxmlformats.org/drawingml/2006/main">
            <a:ext uri="{FF2B5EF4-FFF2-40B4-BE49-F238E27FC236}">
              <a16:creationId xmlns:a16="http://schemas.microsoft.com/office/drawing/2014/main" id="{FC84F46B-F633-294E-CF14-717C49E3F562}"/>
            </a:ext>
          </a:extLst>
        </cdr:cNvPr>
        <cdr:cNvSpPr/>
      </cdr:nvSpPr>
      <cdr:spPr>
        <a:xfrm xmlns:a="http://schemas.openxmlformats.org/drawingml/2006/main">
          <a:off x="6438791" y="4455365"/>
          <a:ext cx="27936" cy="288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36" h="28895">
              <a:moveTo>
                <a:pt x="0" y="28894"/>
              </a:moveTo>
              <a:lnTo>
                <a:pt x="0" y="28894"/>
              </a:lnTo>
              <a:lnTo>
                <a:pt x="27935" y="0"/>
              </a:lnTo>
              <a:lnTo>
                <a:pt x="2793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0.72511</cdr:x>
      <cdr:y>0.42352</cdr:y>
    </cdr:from>
    <cdr:to>
      <cdr:x>0.72893</cdr:x>
      <cdr:y>0.42732</cdr:y>
    </cdr:to>
    <cdr:sp macro="" textlink="">
      <cdr:nvSpPr>
        <cdr:cNvPr id="638" name="FracNo 180 StartRow 6446">
          <a:extLst xmlns:a="http://schemas.openxmlformats.org/drawingml/2006/main">
            <a:ext uri="{FF2B5EF4-FFF2-40B4-BE49-F238E27FC236}">
              <a16:creationId xmlns:a16="http://schemas.microsoft.com/office/drawing/2014/main" id="{61827B43-D46D-0B87-6D09-BF9602740B99}"/>
            </a:ext>
          </a:extLst>
        </cdr:cNvPr>
        <cdr:cNvSpPr/>
      </cdr:nvSpPr>
      <cdr:spPr>
        <a:xfrm xmlns:a="http://schemas.openxmlformats.org/drawingml/2006/main">
          <a:off x="5304319" y="3227252"/>
          <a:ext cx="27935" cy="288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35" h="28894">
              <a:moveTo>
                <a:pt x="0" y="28893"/>
              </a:moveTo>
              <a:lnTo>
                <a:pt x="0" y="28893"/>
              </a:lnTo>
              <a:lnTo>
                <a:pt x="27934" y="0"/>
              </a:lnTo>
              <a:lnTo>
                <a:pt x="279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0.37593</cdr:x>
      <cdr:y>0.14042</cdr:y>
    </cdr:from>
    <cdr:to>
      <cdr:x>0.37975</cdr:x>
      <cdr:y>0.14421</cdr:y>
    </cdr:to>
    <cdr:sp macro="" textlink="">
      <cdr:nvSpPr>
        <cdr:cNvPr id="639" name="FracNo 331 StartRow 6453">
          <a:extLst xmlns:a="http://schemas.openxmlformats.org/drawingml/2006/main">
            <a:ext uri="{FF2B5EF4-FFF2-40B4-BE49-F238E27FC236}">
              <a16:creationId xmlns:a16="http://schemas.microsoft.com/office/drawing/2014/main" id="{0AC59669-AAFB-D678-2BB1-B3F9D65013EC}"/>
            </a:ext>
          </a:extLst>
        </cdr:cNvPr>
        <cdr:cNvSpPr/>
      </cdr:nvSpPr>
      <cdr:spPr>
        <a:xfrm xmlns:a="http://schemas.openxmlformats.org/drawingml/2006/main">
          <a:off x="2750005" y="1069972"/>
          <a:ext cx="27935" cy="288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35" h="28894">
              <a:moveTo>
                <a:pt x="0" y="28893"/>
              </a:moveTo>
              <a:lnTo>
                <a:pt x="0" y="28893"/>
              </a:lnTo>
              <a:lnTo>
                <a:pt x="27934" y="0"/>
              </a:lnTo>
              <a:lnTo>
                <a:pt x="279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0.5849</cdr:x>
      <cdr:y>0.09765</cdr:y>
    </cdr:from>
    <cdr:to>
      <cdr:x>0.58872</cdr:x>
      <cdr:y>0.10144</cdr:y>
    </cdr:to>
    <cdr:sp macro="" textlink="">
      <cdr:nvSpPr>
        <cdr:cNvPr id="640" name="FracNo 332 StartRow 6460">
          <a:extLst xmlns:a="http://schemas.openxmlformats.org/drawingml/2006/main">
            <a:ext uri="{FF2B5EF4-FFF2-40B4-BE49-F238E27FC236}">
              <a16:creationId xmlns:a16="http://schemas.microsoft.com/office/drawing/2014/main" id="{4BE05CE1-C7C4-6067-9D9B-E7EE3A34EB81}"/>
            </a:ext>
          </a:extLst>
        </cdr:cNvPr>
        <cdr:cNvSpPr/>
      </cdr:nvSpPr>
      <cdr:spPr>
        <a:xfrm xmlns:a="http://schemas.openxmlformats.org/drawingml/2006/main">
          <a:off x="4278681" y="744097"/>
          <a:ext cx="27935" cy="288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35" h="28895">
              <a:moveTo>
                <a:pt x="0" y="28894"/>
              </a:moveTo>
              <a:lnTo>
                <a:pt x="0" y="28894"/>
              </a:lnTo>
              <a:lnTo>
                <a:pt x="27934" y="0"/>
              </a:lnTo>
              <a:lnTo>
                <a:pt x="279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0.57048</cdr:x>
      <cdr:y>0.35712</cdr:y>
    </cdr:from>
    <cdr:to>
      <cdr:x>0.5743</cdr:x>
      <cdr:y>0.36091</cdr:y>
    </cdr:to>
    <cdr:sp macro="" textlink="">
      <cdr:nvSpPr>
        <cdr:cNvPr id="641" name="FracNo 327 StartRow 6467">
          <a:extLst xmlns:a="http://schemas.openxmlformats.org/drawingml/2006/main">
            <a:ext uri="{FF2B5EF4-FFF2-40B4-BE49-F238E27FC236}">
              <a16:creationId xmlns:a16="http://schemas.microsoft.com/office/drawing/2014/main" id="{3B9AC725-F9ED-55BB-71C1-098D627250ED}"/>
            </a:ext>
          </a:extLst>
        </cdr:cNvPr>
        <cdr:cNvSpPr/>
      </cdr:nvSpPr>
      <cdr:spPr>
        <a:xfrm xmlns:a="http://schemas.openxmlformats.org/drawingml/2006/main">
          <a:off x="4173152" y="2721253"/>
          <a:ext cx="27936" cy="288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36" h="28894">
              <a:moveTo>
                <a:pt x="27935" y="0"/>
              </a:moveTo>
              <a:lnTo>
                <a:pt x="0" y="28893"/>
              </a:lnTo>
              <a:lnTo>
                <a:pt x="0" y="28893"/>
              </a:lnTo>
              <a:lnTo>
                <a:pt x="27935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0.91958</cdr:x>
      <cdr:y>0.08544</cdr:y>
    </cdr:from>
    <cdr:to>
      <cdr:x>0.92243</cdr:x>
      <cdr:y>0.08827</cdr:y>
    </cdr:to>
    <cdr:sp macro="" textlink="">
      <cdr:nvSpPr>
        <cdr:cNvPr id="642" name="FracNo 652 StartRow 6475">
          <a:extLst xmlns:a="http://schemas.openxmlformats.org/drawingml/2006/main">
            <a:ext uri="{FF2B5EF4-FFF2-40B4-BE49-F238E27FC236}">
              <a16:creationId xmlns:a16="http://schemas.microsoft.com/office/drawing/2014/main" id="{BE350F41-F13C-71AE-42D8-17C9C2F207CB}"/>
            </a:ext>
          </a:extLst>
        </cdr:cNvPr>
        <cdr:cNvSpPr/>
      </cdr:nvSpPr>
      <cdr:spPr>
        <a:xfrm xmlns:a="http://schemas.openxmlformats.org/drawingml/2006/main">
          <a:off x="6726882" y="651036"/>
          <a:ext cx="20882" cy="215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882" h="21598">
              <a:moveTo>
                <a:pt x="0" y="21597"/>
              </a:moveTo>
              <a:lnTo>
                <a:pt x="0" y="21597"/>
              </a:lnTo>
              <a:lnTo>
                <a:pt x="20881" y="0"/>
              </a:lnTo>
              <a:lnTo>
                <a:pt x="2088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0.91594</cdr:x>
      <cdr:y>0.64773</cdr:y>
    </cdr:from>
    <cdr:to>
      <cdr:x>0.91877</cdr:x>
      <cdr:y>0.65054</cdr:y>
    </cdr:to>
    <cdr:sp macro="" textlink="">
      <cdr:nvSpPr>
        <cdr:cNvPr id="643" name="FracNo 172 StartRow 6482">
          <a:extLst xmlns:a="http://schemas.openxmlformats.org/drawingml/2006/main">
            <a:ext uri="{FF2B5EF4-FFF2-40B4-BE49-F238E27FC236}">
              <a16:creationId xmlns:a16="http://schemas.microsoft.com/office/drawing/2014/main" id="{8DFDF5AC-FF2C-29FB-EBC2-F49452A09A1B}"/>
            </a:ext>
          </a:extLst>
        </cdr:cNvPr>
        <cdr:cNvSpPr/>
      </cdr:nvSpPr>
      <cdr:spPr>
        <a:xfrm xmlns:a="http://schemas.openxmlformats.org/drawingml/2006/main">
          <a:off x="6700276" y="4935710"/>
          <a:ext cx="20689" cy="213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689" h="21399">
              <a:moveTo>
                <a:pt x="20132" y="576"/>
              </a:moveTo>
              <a:lnTo>
                <a:pt x="14682" y="6212"/>
              </a:lnTo>
              <a:lnTo>
                <a:pt x="0" y="21398"/>
              </a:lnTo>
              <a:lnTo>
                <a:pt x="0" y="21398"/>
              </a:lnTo>
              <a:lnTo>
                <a:pt x="14682" y="6212"/>
              </a:lnTo>
              <a:lnTo>
                <a:pt x="20132" y="576"/>
              </a:lnTo>
              <a:lnTo>
                <a:pt x="20688" y="0"/>
              </a:lnTo>
              <a:lnTo>
                <a:pt x="2068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0.50966</cdr:x>
      <cdr:y>0.08544</cdr:y>
    </cdr:from>
    <cdr:to>
      <cdr:x>0.51605</cdr:x>
      <cdr:y>0.08932</cdr:y>
    </cdr:to>
    <cdr:sp macro="" textlink="">
      <cdr:nvSpPr>
        <cdr:cNvPr id="644" name="FracNo 952 StartRow 6493">
          <a:extLst xmlns:a="http://schemas.openxmlformats.org/drawingml/2006/main">
            <a:ext uri="{FF2B5EF4-FFF2-40B4-BE49-F238E27FC236}">
              <a16:creationId xmlns:a16="http://schemas.microsoft.com/office/drawing/2014/main" id="{B33D162C-B09B-97C4-EDF0-8B01BCB012FE}"/>
            </a:ext>
          </a:extLst>
        </cdr:cNvPr>
        <cdr:cNvSpPr/>
      </cdr:nvSpPr>
      <cdr:spPr>
        <a:xfrm xmlns:a="http://schemas.openxmlformats.org/drawingml/2006/main">
          <a:off x="3728291" y="651036"/>
          <a:ext cx="46701" cy="295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701" h="29554">
              <a:moveTo>
                <a:pt x="44248" y="2536"/>
              </a:moveTo>
              <a:lnTo>
                <a:pt x="18129" y="29553"/>
              </a:lnTo>
              <a:lnTo>
                <a:pt x="0" y="10801"/>
              </a:lnTo>
              <a:lnTo>
                <a:pt x="9546" y="927"/>
              </a:lnTo>
              <a:lnTo>
                <a:pt x="10442" y="0"/>
              </a:lnTo>
              <a:lnTo>
                <a:pt x="4670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0.9399</cdr:x>
      <cdr:y>0.19346</cdr:y>
    </cdr:from>
    <cdr:to>
      <cdr:x>0.94246</cdr:x>
      <cdr:y>0.19601</cdr:y>
    </cdr:to>
    <cdr:sp macro="" textlink="">
      <cdr:nvSpPr>
        <cdr:cNvPr id="645" name="FracNo 641 StartRow 6502">
          <a:extLst xmlns:a="http://schemas.openxmlformats.org/drawingml/2006/main">
            <a:ext uri="{FF2B5EF4-FFF2-40B4-BE49-F238E27FC236}">
              <a16:creationId xmlns:a16="http://schemas.microsoft.com/office/drawing/2014/main" id="{1447626D-3614-0E94-3A9D-3BFDE8577CFC}"/>
            </a:ext>
          </a:extLst>
        </cdr:cNvPr>
        <cdr:cNvSpPr/>
      </cdr:nvSpPr>
      <cdr:spPr>
        <a:xfrm xmlns:a="http://schemas.openxmlformats.org/drawingml/2006/main">
          <a:off x="6875527" y="1474162"/>
          <a:ext cx="18781" cy="194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781" h="19426">
              <a:moveTo>
                <a:pt x="0" y="19425"/>
              </a:moveTo>
              <a:lnTo>
                <a:pt x="0" y="19425"/>
              </a:lnTo>
              <a:lnTo>
                <a:pt x="18780" y="0"/>
              </a:lnTo>
              <a:lnTo>
                <a:pt x="1878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0.21441</cdr:x>
      <cdr:y>0.53908</cdr:y>
    </cdr:from>
    <cdr:to>
      <cdr:x>0.21672</cdr:x>
      <cdr:y>0.54137</cdr:y>
    </cdr:to>
    <cdr:sp macro="" textlink="">
      <cdr:nvSpPr>
        <cdr:cNvPr id="646" name="FracNo 491 StartRow 6509">
          <a:extLst xmlns:a="http://schemas.openxmlformats.org/drawingml/2006/main">
            <a:ext uri="{FF2B5EF4-FFF2-40B4-BE49-F238E27FC236}">
              <a16:creationId xmlns:a16="http://schemas.microsoft.com/office/drawing/2014/main" id="{27B6B4AF-3CC0-05D9-2961-4672E0EAD6A6}"/>
            </a:ext>
          </a:extLst>
        </cdr:cNvPr>
        <cdr:cNvSpPr/>
      </cdr:nvSpPr>
      <cdr:spPr>
        <a:xfrm xmlns:a="http://schemas.openxmlformats.org/drawingml/2006/main">
          <a:off x="1568477" y="4107824"/>
          <a:ext cx="16846" cy="174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846" h="17424">
              <a:moveTo>
                <a:pt x="16845" y="0"/>
              </a:moveTo>
              <a:lnTo>
                <a:pt x="0" y="17423"/>
              </a:lnTo>
              <a:lnTo>
                <a:pt x="0" y="17423"/>
              </a:lnTo>
              <a:lnTo>
                <a:pt x="16845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0.7637</cdr:x>
      <cdr:y>0.81162</cdr:y>
    </cdr:from>
    <cdr:to>
      <cdr:x>0.76555</cdr:x>
      <cdr:y>0.81346</cdr:y>
    </cdr:to>
    <cdr:sp macro="" textlink="">
      <cdr:nvSpPr>
        <cdr:cNvPr id="647" name="FracNo 415 StartRow 6517">
          <a:extLst xmlns:a="http://schemas.openxmlformats.org/drawingml/2006/main">
            <a:ext uri="{FF2B5EF4-FFF2-40B4-BE49-F238E27FC236}">
              <a16:creationId xmlns:a16="http://schemas.microsoft.com/office/drawing/2014/main" id="{C76637CC-9B11-1133-8A13-E7E651A9201E}"/>
            </a:ext>
          </a:extLst>
        </cdr:cNvPr>
        <cdr:cNvSpPr/>
      </cdr:nvSpPr>
      <cdr:spPr>
        <a:xfrm xmlns:a="http://schemas.openxmlformats.org/drawingml/2006/main">
          <a:off x="5586606" y="6184551"/>
          <a:ext cx="13522" cy="139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522" h="13986">
              <a:moveTo>
                <a:pt x="13521" y="0"/>
              </a:moveTo>
              <a:lnTo>
                <a:pt x="0" y="13985"/>
              </a:lnTo>
              <a:lnTo>
                <a:pt x="0" y="13985"/>
              </a:lnTo>
              <a:lnTo>
                <a:pt x="13521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0.29023</cdr:x>
      <cdr:y>0.41387</cdr:y>
    </cdr:from>
    <cdr:to>
      <cdr:x>0.29198</cdr:x>
      <cdr:y>0.41561</cdr:y>
    </cdr:to>
    <cdr:sp macro="" textlink="">
      <cdr:nvSpPr>
        <cdr:cNvPr id="648" name="FracNo 481 StartRow 6525">
          <a:extLst xmlns:a="http://schemas.openxmlformats.org/drawingml/2006/main">
            <a:ext uri="{FF2B5EF4-FFF2-40B4-BE49-F238E27FC236}">
              <a16:creationId xmlns:a16="http://schemas.microsoft.com/office/drawing/2014/main" id="{4FFE35B7-2C77-EF02-7C60-156DC3238C14}"/>
            </a:ext>
          </a:extLst>
        </cdr:cNvPr>
        <cdr:cNvSpPr/>
      </cdr:nvSpPr>
      <cdr:spPr>
        <a:xfrm xmlns:a="http://schemas.openxmlformats.org/drawingml/2006/main">
          <a:off x="2123054" y="3153685"/>
          <a:ext cx="12838" cy="132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838" h="13278">
              <a:moveTo>
                <a:pt x="12837" y="0"/>
              </a:moveTo>
              <a:lnTo>
                <a:pt x="0" y="13277"/>
              </a:lnTo>
              <a:lnTo>
                <a:pt x="0" y="13277"/>
              </a:lnTo>
              <a:lnTo>
                <a:pt x="12837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0.76936</cdr:x>
      <cdr:y>0.82764</cdr:y>
    </cdr:from>
    <cdr:to>
      <cdr:x>0.77098</cdr:x>
      <cdr:y>0.82925</cdr:y>
    </cdr:to>
    <cdr:sp macro="" textlink="">
      <cdr:nvSpPr>
        <cdr:cNvPr id="649" name="FracNo 402 StartRow 6533">
          <a:extLst xmlns:a="http://schemas.openxmlformats.org/drawingml/2006/main">
            <a:ext uri="{FF2B5EF4-FFF2-40B4-BE49-F238E27FC236}">
              <a16:creationId xmlns:a16="http://schemas.microsoft.com/office/drawing/2014/main" id="{7E121D97-D49D-BF27-8B94-34E9B6BEB78B}"/>
            </a:ext>
          </a:extLst>
        </cdr:cNvPr>
        <cdr:cNvSpPr/>
      </cdr:nvSpPr>
      <cdr:spPr>
        <a:xfrm xmlns:a="http://schemas.openxmlformats.org/drawingml/2006/main">
          <a:off x="5627986" y="6306596"/>
          <a:ext cx="11887" cy="122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887" h="12295">
              <a:moveTo>
                <a:pt x="0" y="12294"/>
              </a:moveTo>
              <a:lnTo>
                <a:pt x="0" y="12294"/>
              </a:lnTo>
              <a:lnTo>
                <a:pt x="11886" y="0"/>
              </a:lnTo>
              <a:lnTo>
                <a:pt x="118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0.51482</cdr:x>
      <cdr:y>0.88209</cdr:y>
    </cdr:from>
    <cdr:to>
      <cdr:x>0.51552</cdr:x>
      <cdr:y>0.88279</cdr:y>
    </cdr:to>
    <cdr:sp macro="" textlink="">
      <cdr:nvSpPr>
        <cdr:cNvPr id="650" name="FracNo 245 StartRow 6540">
          <a:extLst xmlns:a="http://schemas.openxmlformats.org/drawingml/2006/main">
            <a:ext uri="{FF2B5EF4-FFF2-40B4-BE49-F238E27FC236}">
              <a16:creationId xmlns:a16="http://schemas.microsoft.com/office/drawing/2014/main" id="{38B30A58-AF18-E08F-69AC-A5CB5ED25784}"/>
            </a:ext>
          </a:extLst>
        </cdr:cNvPr>
        <cdr:cNvSpPr/>
      </cdr:nvSpPr>
      <cdr:spPr>
        <a:xfrm xmlns:a="http://schemas.openxmlformats.org/drawingml/2006/main">
          <a:off x="3765990" y="6721534"/>
          <a:ext cx="5140" cy="53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40" h="5316">
              <a:moveTo>
                <a:pt x="5139" y="0"/>
              </a:moveTo>
              <a:lnTo>
                <a:pt x="0" y="5315"/>
              </a:lnTo>
              <a:lnTo>
                <a:pt x="0" y="5315"/>
              </a:lnTo>
              <a:lnTo>
                <a:pt x="5139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0.28536</cdr:x>
      <cdr:y>0.36289</cdr:y>
    </cdr:from>
    <cdr:to>
      <cdr:x>0.28602</cdr:x>
      <cdr:y>0.36354</cdr:y>
    </cdr:to>
    <cdr:sp macro="" textlink="">
      <cdr:nvSpPr>
        <cdr:cNvPr id="651" name="FracNo 575 StartRow 6548">
          <a:extLst xmlns:a="http://schemas.openxmlformats.org/drawingml/2006/main">
            <a:ext uri="{FF2B5EF4-FFF2-40B4-BE49-F238E27FC236}">
              <a16:creationId xmlns:a16="http://schemas.microsoft.com/office/drawing/2014/main" id="{EB0662B1-2DB8-39FD-9584-139F04442D49}"/>
            </a:ext>
          </a:extLst>
        </cdr:cNvPr>
        <cdr:cNvSpPr/>
      </cdr:nvSpPr>
      <cdr:spPr>
        <a:xfrm xmlns:a="http://schemas.openxmlformats.org/drawingml/2006/main">
          <a:off x="2087500" y="2765186"/>
          <a:ext cx="4794" cy="49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94" h="4958">
              <a:moveTo>
                <a:pt x="0" y="4957"/>
              </a:moveTo>
              <a:lnTo>
                <a:pt x="0" y="4957"/>
              </a:lnTo>
              <a:lnTo>
                <a:pt x="4793" y="0"/>
              </a:lnTo>
              <a:lnTo>
                <a:pt x="479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4"/>
  <dimension ref="A1:ES449"/>
  <sheetViews>
    <sheetView workbookViewId="0">
      <pane xSplit="1" ySplit="2" topLeftCell="BD3" activePane="bottomRight" state="frozen"/>
      <selection pane="topRight" activeCell="B1" sqref="B1"/>
      <selection pane="bottomLeft" activeCell="A3" sqref="A3"/>
      <selection pane="bottomRight" sqref="A1:XFD1048576"/>
    </sheetView>
  </sheetViews>
  <sheetFormatPr defaultRowHeight="15" x14ac:dyDescent="0.25"/>
  <sheetData>
    <row r="1" spans="1:149" x14ac:dyDescent="0.25">
      <c r="A1" t="s">
        <v>0</v>
      </c>
      <c r="B1" t="s">
        <v>65</v>
      </c>
      <c r="C1" t="s">
        <v>66</v>
      </c>
      <c r="D1" t="s">
        <v>44</v>
      </c>
      <c r="E1" t="s">
        <v>45</v>
      </c>
      <c r="F1" t="s">
        <v>46</v>
      </c>
      <c r="G1" t="s">
        <v>47</v>
      </c>
      <c r="H1" t="s">
        <v>68</v>
      </c>
      <c r="V1" t="s">
        <v>69</v>
      </c>
      <c r="AJ1" t="s">
        <v>70</v>
      </c>
      <c r="AX1" t="s">
        <v>71</v>
      </c>
      <c r="BL1" t="s">
        <v>48</v>
      </c>
      <c r="BM1" t="s">
        <v>49</v>
      </c>
      <c r="BN1" t="s">
        <v>50</v>
      </c>
      <c r="BO1" t="s">
        <v>51</v>
      </c>
      <c r="BP1" t="s">
        <v>52</v>
      </c>
      <c r="BQ1" t="s">
        <v>53</v>
      </c>
      <c r="BR1" t="s">
        <v>54</v>
      </c>
      <c r="BS1" t="s">
        <v>55</v>
      </c>
    </row>
    <row r="2" spans="1:149" x14ac:dyDescent="0.25">
      <c r="H2" t="s">
        <v>43</v>
      </c>
      <c r="I2" t="s">
        <v>1</v>
      </c>
      <c r="J2" t="s">
        <v>72</v>
      </c>
      <c r="K2" t="s">
        <v>67</v>
      </c>
      <c r="L2" t="s">
        <v>2</v>
      </c>
      <c r="M2" t="s">
        <v>3</v>
      </c>
      <c r="N2" t="s">
        <v>11</v>
      </c>
      <c r="O2" t="s">
        <v>12</v>
      </c>
      <c r="P2" t="s">
        <v>6</v>
      </c>
      <c r="Q2" t="s">
        <v>7</v>
      </c>
      <c r="R2" t="s">
        <v>8</v>
      </c>
      <c r="S2" t="s">
        <v>41</v>
      </c>
      <c r="T2" t="s">
        <v>42</v>
      </c>
      <c r="U2" t="s">
        <v>73</v>
      </c>
      <c r="V2" t="s">
        <v>43</v>
      </c>
      <c r="W2" t="s">
        <v>1</v>
      </c>
      <c r="X2" t="s">
        <v>72</v>
      </c>
      <c r="Y2" t="s">
        <v>67</v>
      </c>
      <c r="Z2" t="s">
        <v>2</v>
      </c>
      <c r="AA2" t="s">
        <v>3</v>
      </c>
      <c r="AB2" t="s">
        <v>11</v>
      </c>
      <c r="AC2" t="s">
        <v>12</v>
      </c>
      <c r="AD2" t="s">
        <v>6</v>
      </c>
      <c r="AE2" t="s">
        <v>7</v>
      </c>
      <c r="AF2" t="s">
        <v>8</v>
      </c>
      <c r="AG2" t="s">
        <v>41</v>
      </c>
      <c r="AH2" t="s">
        <v>42</v>
      </c>
      <c r="AI2" t="s">
        <v>73</v>
      </c>
      <c r="AJ2" t="s">
        <v>43</v>
      </c>
      <c r="AK2" t="s">
        <v>1</v>
      </c>
      <c r="AL2" t="s">
        <v>72</v>
      </c>
      <c r="AM2" t="s">
        <v>67</v>
      </c>
      <c r="AN2" t="s">
        <v>2</v>
      </c>
      <c r="AO2" t="s">
        <v>3</v>
      </c>
      <c r="AP2" t="s">
        <v>11</v>
      </c>
      <c r="AQ2" t="s">
        <v>12</v>
      </c>
      <c r="AR2" t="s">
        <v>6</v>
      </c>
      <c r="AS2" t="s">
        <v>7</v>
      </c>
      <c r="AT2" t="s">
        <v>8</v>
      </c>
      <c r="AU2" t="s">
        <v>41</v>
      </c>
      <c r="AV2" t="s">
        <v>42</v>
      </c>
      <c r="AW2" t="s">
        <v>73</v>
      </c>
      <c r="AX2" t="s">
        <v>43</v>
      </c>
      <c r="AY2" t="s">
        <v>1</v>
      </c>
      <c r="AZ2" t="s">
        <v>72</v>
      </c>
      <c r="BA2" t="s">
        <v>67</v>
      </c>
      <c r="BB2" t="s">
        <v>2</v>
      </c>
      <c r="BC2" t="s">
        <v>3</v>
      </c>
      <c r="BD2" t="s">
        <v>11</v>
      </c>
      <c r="BE2" t="s">
        <v>12</v>
      </c>
      <c r="BF2" t="s">
        <v>6</v>
      </c>
      <c r="BG2" t="s">
        <v>7</v>
      </c>
      <c r="BH2" t="s">
        <v>8</v>
      </c>
      <c r="BI2" t="s">
        <v>41</v>
      </c>
      <c r="BJ2" t="s">
        <v>42</v>
      </c>
      <c r="BK2" t="s">
        <v>73</v>
      </c>
    </row>
    <row r="3" spans="1:149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 t="s">
        <v>74</v>
      </c>
      <c r="I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1</v>
      </c>
      <c r="V3" t="s">
        <v>74</v>
      </c>
      <c r="W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1</v>
      </c>
      <c r="AJ3" t="s">
        <v>74</v>
      </c>
      <c r="AK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1</v>
      </c>
      <c r="AX3" t="s">
        <v>74</v>
      </c>
      <c r="AY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1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</row>
    <row r="4" spans="1:149" x14ac:dyDescent="0.25">
      <c r="A4">
        <v>1</v>
      </c>
      <c r="B4">
        <v>6.5458908507104702E-2</v>
      </c>
      <c r="C4">
        <v>6.5458908507104702E-2</v>
      </c>
      <c r="D4" s="1">
        <v>-4.14640850710472E-5</v>
      </c>
      <c r="E4">
        <v>6.1312499999999995E-4</v>
      </c>
      <c r="F4">
        <v>-6.5458908507104701E-4</v>
      </c>
      <c r="G4" s="1">
        <v>5.4210108624275198E-20</v>
      </c>
      <c r="H4" t="s">
        <v>74</v>
      </c>
      <c r="I4">
        <v>0</v>
      </c>
      <c r="J4" t="s">
        <v>75</v>
      </c>
      <c r="K4">
        <v>3.14159265358979</v>
      </c>
      <c r="L4">
        <v>0.99199999999999999</v>
      </c>
      <c r="M4">
        <v>0</v>
      </c>
      <c r="N4">
        <v>5.8245346242475203E-2</v>
      </c>
      <c r="O4">
        <v>0</v>
      </c>
      <c r="P4">
        <v>1.6E-2</v>
      </c>
      <c r="Q4">
        <v>0</v>
      </c>
      <c r="R4">
        <v>0</v>
      </c>
      <c r="S4">
        <v>0</v>
      </c>
      <c r="T4">
        <v>0</v>
      </c>
      <c r="U4">
        <v>1</v>
      </c>
      <c r="V4" t="s">
        <v>74</v>
      </c>
      <c r="W4">
        <v>0</v>
      </c>
      <c r="X4" t="s">
        <v>76</v>
      </c>
      <c r="Y4">
        <v>-1.5707963267949001</v>
      </c>
      <c r="Z4">
        <v>0.99199999999999999</v>
      </c>
      <c r="AA4">
        <v>0</v>
      </c>
      <c r="AB4">
        <v>5.8245346242475203E-2</v>
      </c>
      <c r="AC4">
        <v>0</v>
      </c>
      <c r="AD4">
        <v>1.6E-2</v>
      </c>
      <c r="AE4">
        <v>0</v>
      </c>
      <c r="AF4">
        <v>0</v>
      </c>
      <c r="AG4">
        <v>0</v>
      </c>
      <c r="AH4">
        <v>0</v>
      </c>
      <c r="AI4">
        <v>1</v>
      </c>
      <c r="AJ4" t="s">
        <v>74</v>
      </c>
      <c r="AK4">
        <v>0</v>
      </c>
      <c r="AL4" t="s">
        <v>77</v>
      </c>
      <c r="AM4">
        <v>0</v>
      </c>
      <c r="AN4">
        <v>0.99199999999999999</v>
      </c>
      <c r="AO4">
        <v>0</v>
      </c>
      <c r="AP4">
        <v>5.8245346242475203E-2</v>
      </c>
      <c r="AQ4">
        <v>0</v>
      </c>
      <c r="AR4">
        <v>1.6E-2</v>
      </c>
      <c r="AS4">
        <v>0</v>
      </c>
      <c r="AT4">
        <v>0</v>
      </c>
      <c r="AU4">
        <v>0</v>
      </c>
      <c r="AV4">
        <v>0</v>
      </c>
      <c r="AW4">
        <v>1</v>
      </c>
      <c r="AX4" t="s">
        <v>74</v>
      </c>
      <c r="AY4">
        <v>0</v>
      </c>
      <c r="AZ4" t="s">
        <v>76</v>
      </c>
      <c r="BA4">
        <v>-1.5707963267949001</v>
      </c>
      <c r="BB4">
        <v>0.99199999999999999</v>
      </c>
      <c r="BC4">
        <v>0</v>
      </c>
      <c r="BD4">
        <v>5.8245346242475203E-2</v>
      </c>
      <c r="BE4">
        <v>0</v>
      </c>
      <c r="BF4">
        <v>1.6E-2</v>
      </c>
      <c r="BG4">
        <v>0</v>
      </c>
      <c r="BH4">
        <v>0</v>
      </c>
      <c r="BI4">
        <v>0</v>
      </c>
      <c r="BJ4">
        <v>0</v>
      </c>
      <c r="BK4">
        <v>1</v>
      </c>
      <c r="BL4">
        <v>1.1649069248495E-4</v>
      </c>
      <c r="BM4">
        <v>0</v>
      </c>
      <c r="BN4" s="1">
        <v>4.3481320615740699E-7</v>
      </c>
      <c r="BO4">
        <v>0</v>
      </c>
      <c r="BP4">
        <v>0</v>
      </c>
      <c r="BQ4">
        <v>0</v>
      </c>
      <c r="BR4" s="1">
        <v>6.1429546266408705E-5</v>
      </c>
      <c r="BS4">
        <v>0</v>
      </c>
    </row>
    <row r="5" spans="1:149" x14ac:dyDescent="0.25">
      <c r="A5">
        <v>2</v>
      </c>
      <c r="B5">
        <v>3.6127554147089902E-2</v>
      </c>
      <c r="C5">
        <v>0.10158646265419501</v>
      </c>
      <c r="D5">
        <v>-2.8449611346695498E-4</v>
      </c>
      <c r="E5">
        <v>6.1312499999999995E-4</v>
      </c>
      <c r="F5">
        <v>-1.0158646265419501E-3</v>
      </c>
      <c r="G5">
        <v>0</v>
      </c>
      <c r="H5" t="s">
        <v>74</v>
      </c>
      <c r="I5">
        <v>0</v>
      </c>
      <c r="J5" t="s">
        <v>75</v>
      </c>
      <c r="K5">
        <v>3.14159265358979</v>
      </c>
      <c r="L5">
        <v>0.99031230879623</v>
      </c>
      <c r="M5">
        <v>0</v>
      </c>
      <c r="N5">
        <v>5.8146253340747397E-2</v>
      </c>
      <c r="O5">
        <v>0</v>
      </c>
      <c r="P5">
        <v>1.6E-2</v>
      </c>
      <c r="Q5">
        <v>0</v>
      </c>
      <c r="R5">
        <v>0</v>
      </c>
      <c r="S5">
        <v>0</v>
      </c>
      <c r="T5">
        <v>0</v>
      </c>
      <c r="U5">
        <v>1</v>
      </c>
      <c r="V5" t="s">
        <v>78</v>
      </c>
      <c r="W5">
        <v>2097248.4389301701</v>
      </c>
      <c r="X5" t="s">
        <v>76</v>
      </c>
      <c r="Y5">
        <v>-1.5707963267949001</v>
      </c>
      <c r="Z5">
        <v>0.98803122899520002</v>
      </c>
      <c r="AA5">
        <v>1.9007972215439001E-3</v>
      </c>
      <c r="AB5">
        <v>5.6780418942975697E-2</v>
      </c>
      <c r="AC5">
        <v>1.04366969910327E-4</v>
      </c>
      <c r="AD5">
        <v>2.0569934438908501E-2</v>
      </c>
      <c r="AE5">
        <v>0</v>
      </c>
      <c r="AF5">
        <v>0</v>
      </c>
      <c r="AG5">
        <v>2.5464790894702198E-3</v>
      </c>
      <c r="AH5">
        <v>0</v>
      </c>
      <c r="AI5">
        <v>0.99829869838329599</v>
      </c>
      <c r="AJ5" t="s">
        <v>74</v>
      </c>
      <c r="AK5">
        <v>0</v>
      </c>
      <c r="AL5" t="s">
        <v>77</v>
      </c>
      <c r="AM5">
        <v>0</v>
      </c>
      <c r="AN5">
        <v>0.99199999999999999</v>
      </c>
      <c r="AO5">
        <v>0</v>
      </c>
      <c r="AP5">
        <v>5.8245346242475203E-2</v>
      </c>
      <c r="AQ5">
        <v>0</v>
      </c>
      <c r="AR5">
        <v>1.6E-2</v>
      </c>
      <c r="AS5">
        <v>0</v>
      </c>
      <c r="AT5">
        <v>0</v>
      </c>
      <c r="AU5">
        <v>0</v>
      </c>
      <c r="AV5">
        <v>0</v>
      </c>
      <c r="AW5">
        <v>1</v>
      </c>
      <c r="AX5" t="s">
        <v>74</v>
      </c>
      <c r="AY5">
        <v>0</v>
      </c>
      <c r="AZ5" t="s">
        <v>76</v>
      </c>
      <c r="BA5">
        <v>-1.5707963267949001</v>
      </c>
      <c r="BB5">
        <v>0.99199999999999999</v>
      </c>
      <c r="BC5">
        <v>0</v>
      </c>
      <c r="BD5">
        <v>5.8245346242475203E-2</v>
      </c>
      <c r="BE5">
        <v>0</v>
      </c>
      <c r="BF5">
        <v>1.6E-2</v>
      </c>
      <c r="BG5">
        <v>0</v>
      </c>
      <c r="BH5">
        <v>0</v>
      </c>
      <c r="BI5">
        <v>0</v>
      </c>
      <c r="BJ5">
        <v>0</v>
      </c>
      <c r="BK5">
        <v>1</v>
      </c>
      <c r="BL5">
        <v>1.15760865869292E-4</v>
      </c>
      <c r="BM5" s="1">
        <v>1.2732395447351101E-6</v>
      </c>
      <c r="BN5" s="1">
        <v>4.28637032309228E-7</v>
      </c>
      <c r="BO5" s="1">
        <v>1.99999999999992E-8</v>
      </c>
      <c r="BP5">
        <v>0</v>
      </c>
      <c r="BQ5">
        <v>0</v>
      </c>
      <c r="BR5" s="1">
        <v>6.3567142584765294E-5</v>
      </c>
      <c r="BS5" s="1">
        <v>6.9927885428032097E-7</v>
      </c>
    </row>
    <row r="6" spans="1:149" x14ac:dyDescent="0.25">
      <c r="A6">
        <v>3</v>
      </c>
      <c r="B6">
        <v>4.7364252440950901E-4</v>
      </c>
      <c r="C6">
        <v>0.102060105178604</v>
      </c>
      <c r="D6">
        <v>-2.8710678106032099E-4</v>
      </c>
      <c r="E6">
        <v>6.1312499999999995E-4</v>
      </c>
      <c r="F6">
        <v>-1.02060105178604E-3</v>
      </c>
      <c r="G6">
        <v>0</v>
      </c>
      <c r="H6" t="s">
        <v>74</v>
      </c>
      <c r="I6">
        <v>0</v>
      </c>
      <c r="J6" t="s">
        <v>75</v>
      </c>
      <c r="K6">
        <v>3.14159265358979</v>
      </c>
      <c r="L6">
        <v>0.98862806043432705</v>
      </c>
      <c r="M6">
        <v>0</v>
      </c>
      <c r="N6">
        <v>5.8047362585709798E-2</v>
      </c>
      <c r="O6">
        <v>0</v>
      </c>
      <c r="P6">
        <v>1.6E-2</v>
      </c>
      <c r="Q6">
        <v>0</v>
      </c>
      <c r="R6">
        <v>0</v>
      </c>
      <c r="S6">
        <v>0</v>
      </c>
      <c r="T6">
        <v>0</v>
      </c>
      <c r="U6">
        <v>0.99829884389042201</v>
      </c>
      <c r="V6" t="s">
        <v>78</v>
      </c>
      <c r="W6">
        <v>2119777.2330602799</v>
      </c>
      <c r="X6" t="s">
        <v>76</v>
      </c>
      <c r="Y6">
        <v>-1.5707963267949001</v>
      </c>
      <c r="Z6">
        <v>0.98559588630375095</v>
      </c>
      <c r="AA6">
        <v>4.0461563032199201E-3</v>
      </c>
      <c r="AB6">
        <v>5.6261249644488399E-2</v>
      </c>
      <c r="AC6">
        <v>2.15172208830882E-4</v>
      </c>
      <c r="AD6">
        <v>2.1996241380325899E-2</v>
      </c>
      <c r="AE6" s="1">
        <v>8.3504005904346801E-5</v>
      </c>
      <c r="AF6">
        <v>0</v>
      </c>
      <c r="AG6">
        <v>5.07290910008851E-3</v>
      </c>
      <c r="AH6" s="1">
        <v>1.4854334218081599E-5</v>
      </c>
      <c r="AI6">
        <v>0.99490549322605304</v>
      </c>
      <c r="AJ6" t="s">
        <v>74</v>
      </c>
      <c r="AK6">
        <v>0</v>
      </c>
      <c r="AL6" t="s">
        <v>77</v>
      </c>
      <c r="AM6">
        <v>0</v>
      </c>
      <c r="AN6">
        <v>0.99199999999999999</v>
      </c>
      <c r="AO6">
        <v>0</v>
      </c>
      <c r="AP6">
        <v>5.8245346242475203E-2</v>
      </c>
      <c r="AQ6">
        <v>0</v>
      </c>
      <c r="AR6">
        <v>1.6E-2</v>
      </c>
      <c r="AS6">
        <v>0</v>
      </c>
      <c r="AT6">
        <v>0</v>
      </c>
      <c r="AU6">
        <v>0</v>
      </c>
      <c r="AV6">
        <v>0</v>
      </c>
      <c r="AW6">
        <v>1</v>
      </c>
      <c r="AX6" t="s">
        <v>74</v>
      </c>
      <c r="AY6">
        <v>0</v>
      </c>
      <c r="AZ6" t="s">
        <v>76</v>
      </c>
      <c r="BA6">
        <v>-1.5707963267949001</v>
      </c>
      <c r="BB6">
        <v>0.99199999999999999</v>
      </c>
      <c r="BC6">
        <v>0</v>
      </c>
      <c r="BD6">
        <v>5.8245346242475203E-2</v>
      </c>
      <c r="BE6">
        <v>0</v>
      </c>
      <c r="BF6">
        <v>1.6E-2</v>
      </c>
      <c r="BG6">
        <v>0</v>
      </c>
      <c r="BH6">
        <v>0</v>
      </c>
      <c r="BI6">
        <v>0</v>
      </c>
      <c r="BJ6">
        <v>0</v>
      </c>
      <c r="BK6">
        <v>1</v>
      </c>
      <c r="BL6">
        <v>1.1550723846199E-4</v>
      </c>
      <c r="BM6" s="1">
        <v>2.5438817171532901E-6</v>
      </c>
      <c r="BN6" s="1">
        <v>4.2666734484370299E-7</v>
      </c>
      <c r="BO6" s="1">
        <v>3.9959200571050897E-8</v>
      </c>
      <c r="BP6">
        <v>0</v>
      </c>
      <c r="BQ6">
        <v>0</v>
      </c>
      <c r="BR6" s="1">
        <v>6.3454180122886895E-5</v>
      </c>
      <c r="BS6" s="1">
        <v>1.3978339245768199E-6</v>
      </c>
    </row>
    <row r="7" spans="1:149" x14ac:dyDescent="0.25">
      <c r="A7">
        <v>4</v>
      </c>
      <c r="B7">
        <v>2.9465323083709399E-4</v>
      </c>
      <c r="C7">
        <v>0.102354758409441</v>
      </c>
      <c r="D7">
        <v>-2.88727032354733E-4</v>
      </c>
      <c r="E7">
        <v>6.1312499999999995E-4</v>
      </c>
      <c r="F7">
        <v>-1.0235475840944101E-3</v>
      </c>
      <c r="G7" s="1">
        <v>1.0842021724855E-19</v>
      </c>
      <c r="H7" t="s">
        <v>74</v>
      </c>
      <c r="I7">
        <v>0</v>
      </c>
      <c r="J7" t="s">
        <v>75</v>
      </c>
      <c r="K7">
        <v>3.14159265358979</v>
      </c>
      <c r="L7">
        <v>0.98694375680194801</v>
      </c>
      <c r="M7">
        <v>0</v>
      </c>
      <c r="N7">
        <v>5.7948468585462397E-2</v>
      </c>
      <c r="O7">
        <v>0</v>
      </c>
      <c r="P7">
        <v>1.6E-2</v>
      </c>
      <c r="Q7">
        <v>0</v>
      </c>
      <c r="R7">
        <v>0</v>
      </c>
      <c r="S7">
        <v>0</v>
      </c>
      <c r="T7">
        <v>0</v>
      </c>
      <c r="U7">
        <v>0.99631695187957503</v>
      </c>
      <c r="V7" t="s">
        <v>78</v>
      </c>
      <c r="W7">
        <v>2133759.2152718799</v>
      </c>
      <c r="X7" t="s">
        <v>76</v>
      </c>
      <c r="Y7">
        <v>-1.5707963267949001</v>
      </c>
      <c r="Z7">
        <v>0.98343242675842302</v>
      </c>
      <c r="AA7">
        <v>4.0461563032199201E-3</v>
      </c>
      <c r="AB7">
        <v>5.5903034100879101E-2</v>
      </c>
      <c r="AC7">
        <v>2.5809450214881802E-4</v>
      </c>
      <c r="AD7">
        <v>2.2874461139119201E-2</v>
      </c>
      <c r="AE7">
        <v>1.7211894161682799E-4</v>
      </c>
      <c r="AF7">
        <v>0</v>
      </c>
      <c r="AG7">
        <v>7.5893243063542698E-3</v>
      </c>
      <c r="AH7" s="1">
        <v>3.9806867850231198E-5</v>
      </c>
      <c r="AI7">
        <v>0.991237276814802</v>
      </c>
      <c r="AJ7" t="s">
        <v>74</v>
      </c>
      <c r="AK7">
        <v>0</v>
      </c>
      <c r="AL7" t="s">
        <v>77</v>
      </c>
      <c r="AM7">
        <v>0</v>
      </c>
      <c r="AN7">
        <v>0.99199999999999999</v>
      </c>
      <c r="AO7">
        <v>0</v>
      </c>
      <c r="AP7">
        <v>5.8245346242475203E-2</v>
      </c>
      <c r="AQ7">
        <v>0</v>
      </c>
      <c r="AR7">
        <v>1.6E-2</v>
      </c>
      <c r="AS7">
        <v>0</v>
      </c>
      <c r="AT7">
        <v>0</v>
      </c>
      <c r="AU7">
        <v>0</v>
      </c>
      <c r="AV7">
        <v>0</v>
      </c>
      <c r="AW7">
        <v>1</v>
      </c>
      <c r="AX7" t="s">
        <v>74</v>
      </c>
      <c r="AY7">
        <v>0</v>
      </c>
      <c r="AZ7" t="s">
        <v>76</v>
      </c>
      <c r="BA7">
        <v>-1.5707963267949001</v>
      </c>
      <c r="BB7">
        <v>0.99199999999999999</v>
      </c>
      <c r="BC7">
        <v>0</v>
      </c>
      <c r="BD7">
        <v>5.8245346242475203E-2</v>
      </c>
      <c r="BE7">
        <v>0</v>
      </c>
      <c r="BF7">
        <v>1.6E-2</v>
      </c>
      <c r="BG7">
        <v>0</v>
      </c>
      <c r="BH7">
        <v>0</v>
      </c>
      <c r="BI7">
        <v>0</v>
      </c>
      <c r="BJ7">
        <v>0</v>
      </c>
      <c r="BK7">
        <v>1</v>
      </c>
      <c r="BL7">
        <v>1.1530014483671999E-4</v>
      </c>
      <c r="BM7" s="1">
        <v>3.8145655871022501E-6</v>
      </c>
      <c r="BN7" s="1">
        <v>4.2533253298515801E-7</v>
      </c>
      <c r="BO7" s="1">
        <v>5.9919056125384302E-8</v>
      </c>
      <c r="BP7">
        <v>0</v>
      </c>
      <c r="BQ7">
        <v>0</v>
      </c>
      <c r="BR7" s="1">
        <v>6.3355073517572095E-5</v>
      </c>
      <c r="BS7" s="1">
        <v>2.0967150818714302E-6</v>
      </c>
    </row>
    <row r="8" spans="1:149" x14ac:dyDescent="0.25">
      <c r="A8">
        <v>5</v>
      </c>
      <c r="B8">
        <v>2.1527769207707099E-4</v>
      </c>
      <c r="C8">
        <v>0.10257003610151801</v>
      </c>
      <c r="D8">
        <v>-2.8990906615490299E-4</v>
      </c>
      <c r="E8">
        <v>6.1312499999999995E-4</v>
      </c>
      <c r="F8">
        <v>-1.02570036101518E-3</v>
      </c>
      <c r="G8">
        <v>0</v>
      </c>
      <c r="H8" t="s">
        <v>74</v>
      </c>
      <c r="I8">
        <v>0</v>
      </c>
      <c r="J8" t="s">
        <v>75</v>
      </c>
      <c r="K8">
        <v>3.14159265358979</v>
      </c>
      <c r="L8">
        <v>0.98525943991402198</v>
      </c>
      <c r="M8">
        <v>0</v>
      </c>
      <c r="N8">
        <v>5.7849573806914703E-2</v>
      </c>
      <c r="O8">
        <v>0</v>
      </c>
      <c r="P8">
        <v>1.6E-2</v>
      </c>
      <c r="Q8">
        <v>0</v>
      </c>
      <c r="R8">
        <v>0</v>
      </c>
      <c r="S8">
        <v>0</v>
      </c>
      <c r="T8">
        <v>0</v>
      </c>
      <c r="U8">
        <v>0.99433519899243705</v>
      </c>
      <c r="V8" t="s">
        <v>78</v>
      </c>
      <c r="W8">
        <v>2143959.5932160099</v>
      </c>
      <c r="X8" t="s">
        <v>76</v>
      </c>
      <c r="Y8">
        <v>-1.5707963267949001</v>
      </c>
      <c r="Z8">
        <v>0.98139232632088502</v>
      </c>
      <c r="AA8">
        <v>6.3792344006480201E-3</v>
      </c>
      <c r="AB8">
        <v>5.5615987429053403E-2</v>
      </c>
      <c r="AC8">
        <v>3.7491339146339799E-4</v>
      </c>
      <c r="AD8">
        <v>2.3503298065937501E-2</v>
      </c>
      <c r="AE8">
        <v>2.6402483764162698E-4</v>
      </c>
      <c r="AF8">
        <v>0</v>
      </c>
      <c r="AG8">
        <v>1.0095702827646999E-2</v>
      </c>
      <c r="AH8" s="1">
        <v>7.48160871365929E-5</v>
      </c>
      <c r="AI8">
        <v>0.98757498137683297</v>
      </c>
      <c r="AJ8" t="s">
        <v>74</v>
      </c>
      <c r="AK8">
        <v>0</v>
      </c>
      <c r="AL8" t="s">
        <v>77</v>
      </c>
      <c r="AM8">
        <v>0</v>
      </c>
      <c r="AN8">
        <v>0.99199999999999999</v>
      </c>
      <c r="AO8">
        <v>0</v>
      </c>
      <c r="AP8">
        <v>5.8245346242475203E-2</v>
      </c>
      <c r="AQ8">
        <v>0</v>
      </c>
      <c r="AR8">
        <v>1.6E-2</v>
      </c>
      <c r="AS8">
        <v>0</v>
      </c>
      <c r="AT8">
        <v>0</v>
      </c>
      <c r="AU8">
        <v>0</v>
      </c>
      <c r="AV8">
        <v>0</v>
      </c>
      <c r="AW8">
        <v>1</v>
      </c>
      <c r="AX8" t="s">
        <v>74</v>
      </c>
      <c r="AY8">
        <v>0</v>
      </c>
      <c r="AZ8" t="s">
        <v>76</v>
      </c>
      <c r="BA8">
        <v>-1.5707963267949001</v>
      </c>
      <c r="BB8">
        <v>0.99199999999999999</v>
      </c>
      <c r="BC8">
        <v>0</v>
      </c>
      <c r="BD8">
        <v>5.8245346242475203E-2</v>
      </c>
      <c r="BE8">
        <v>0</v>
      </c>
      <c r="BF8">
        <v>1.6E-2</v>
      </c>
      <c r="BG8">
        <v>0</v>
      </c>
      <c r="BH8">
        <v>0</v>
      </c>
      <c r="BI8">
        <v>0</v>
      </c>
      <c r="BJ8">
        <v>0</v>
      </c>
      <c r="BK8">
        <v>1</v>
      </c>
      <c r="BL8">
        <v>1.15165583556191E-4</v>
      </c>
      <c r="BM8" s="1">
        <v>5.0852594573917697E-6</v>
      </c>
      <c r="BN8" s="1">
        <v>4.2437874270048998E-7</v>
      </c>
      <c r="BO8" s="1">
        <v>7.9879068764700106E-8</v>
      </c>
      <c r="BP8">
        <v>0</v>
      </c>
      <c r="BQ8">
        <v>0</v>
      </c>
      <c r="BR8" s="1">
        <v>6.3290641640393296E-5</v>
      </c>
      <c r="BS8" s="1">
        <v>2.7958025106485202E-6</v>
      </c>
    </row>
    <row r="9" spans="1:149" x14ac:dyDescent="0.25">
      <c r="A9">
        <v>6</v>
      </c>
      <c r="B9">
        <v>1.70110495964912E-4</v>
      </c>
      <c r="C9">
        <v>0.102740146597483</v>
      </c>
      <c r="D9">
        <v>-2.9084209325021802E-4</v>
      </c>
      <c r="E9">
        <v>6.1312499999999995E-4</v>
      </c>
      <c r="F9">
        <v>-1.02740146597483E-3</v>
      </c>
      <c r="G9" s="1">
        <v>1.0842021724855E-19</v>
      </c>
      <c r="H9" t="s">
        <v>74</v>
      </c>
      <c r="I9">
        <v>0</v>
      </c>
      <c r="J9" t="s">
        <v>75</v>
      </c>
      <c r="K9">
        <v>3.14159265358979</v>
      </c>
      <c r="L9">
        <v>0.98357511827581801</v>
      </c>
      <c r="M9">
        <v>0</v>
      </c>
      <c r="N9">
        <v>5.7750678749454103E-2</v>
      </c>
      <c r="O9">
        <v>0</v>
      </c>
      <c r="P9">
        <v>1.6E-2</v>
      </c>
      <c r="Q9">
        <v>0</v>
      </c>
      <c r="R9">
        <v>0</v>
      </c>
      <c r="S9">
        <v>0</v>
      </c>
      <c r="T9">
        <v>0</v>
      </c>
      <c r="U9">
        <v>0.99240955557044996</v>
      </c>
      <c r="V9" t="s">
        <v>78</v>
      </c>
      <c r="W9">
        <v>2152011.1641634498</v>
      </c>
      <c r="X9" t="s">
        <v>76</v>
      </c>
      <c r="Y9">
        <v>-1.5707963267949001</v>
      </c>
      <c r="Z9">
        <v>0.97942380278566998</v>
      </c>
      <c r="AA9">
        <v>8.7679599971185393E-3</v>
      </c>
      <c r="AB9">
        <v>5.5369458110581402E-2</v>
      </c>
      <c r="AC9">
        <v>4.9344875512359599E-4</v>
      </c>
      <c r="AD9">
        <v>2.39871394670476E-2</v>
      </c>
      <c r="AE9">
        <v>3.5838663753470399E-4</v>
      </c>
      <c r="AF9">
        <v>0</v>
      </c>
      <c r="AG9">
        <v>1.2592045094790101E-2</v>
      </c>
      <c r="AH9">
        <v>1.198687280476E-4</v>
      </c>
      <c r="AI9">
        <v>0.98397459893429595</v>
      </c>
      <c r="AJ9" t="s">
        <v>74</v>
      </c>
      <c r="AK9">
        <v>0</v>
      </c>
      <c r="AL9" t="s">
        <v>77</v>
      </c>
      <c r="AM9">
        <v>0</v>
      </c>
      <c r="AN9">
        <v>0.99199999999999999</v>
      </c>
      <c r="AO9">
        <v>0</v>
      </c>
      <c r="AP9">
        <v>5.8245346242475203E-2</v>
      </c>
      <c r="AQ9">
        <v>0</v>
      </c>
      <c r="AR9">
        <v>1.6E-2</v>
      </c>
      <c r="AS9">
        <v>0</v>
      </c>
      <c r="AT9">
        <v>0</v>
      </c>
      <c r="AU9">
        <v>0</v>
      </c>
      <c r="AV9">
        <v>0</v>
      </c>
      <c r="AW9">
        <v>1</v>
      </c>
      <c r="AX9" t="s">
        <v>74</v>
      </c>
      <c r="AY9">
        <v>0</v>
      </c>
      <c r="AZ9" t="s">
        <v>76</v>
      </c>
      <c r="BA9">
        <v>-1.5707963267949001</v>
      </c>
      <c r="BB9">
        <v>0.99199999999999999</v>
      </c>
      <c r="BC9">
        <v>0</v>
      </c>
      <c r="BD9">
        <v>5.8245346242475203E-2</v>
      </c>
      <c r="BE9">
        <v>0</v>
      </c>
      <c r="BF9">
        <v>1.6E-2</v>
      </c>
      <c r="BG9">
        <v>0</v>
      </c>
      <c r="BH9">
        <v>0</v>
      </c>
      <c r="BI9">
        <v>0</v>
      </c>
      <c r="BJ9">
        <v>0</v>
      </c>
      <c r="BK9">
        <v>1</v>
      </c>
      <c r="BL9">
        <v>1.1505213905005499E-4</v>
      </c>
      <c r="BM9" s="1">
        <v>6.3559569114188602E-6</v>
      </c>
      <c r="BN9" s="1">
        <v>4.2359982320300198E-7</v>
      </c>
      <c r="BO9" s="1">
        <v>9.9839137697233694E-8</v>
      </c>
      <c r="BP9">
        <v>0</v>
      </c>
      <c r="BQ9">
        <v>0</v>
      </c>
      <c r="BR9" s="1">
        <v>6.3234867458574398E-5</v>
      </c>
      <c r="BS9" s="1">
        <v>3.4950430963843298E-6</v>
      </c>
    </row>
    <row r="10" spans="1:149" x14ac:dyDescent="0.25">
      <c r="A10">
        <v>7</v>
      </c>
      <c r="B10">
        <v>1.40874337003564E-4</v>
      </c>
      <c r="C10">
        <v>0.10288102093448701</v>
      </c>
      <c r="D10">
        <v>-2.9161410779558002E-4</v>
      </c>
      <c r="E10">
        <v>6.1312499999999995E-4</v>
      </c>
      <c r="F10">
        <v>-1.02881020934487E-3</v>
      </c>
      <c r="G10" s="1">
        <v>1.0842021724855E-19</v>
      </c>
      <c r="H10" t="s">
        <v>74</v>
      </c>
      <c r="I10">
        <v>0</v>
      </c>
      <c r="J10" t="s">
        <v>75</v>
      </c>
      <c r="K10">
        <v>3.14159265358979</v>
      </c>
      <c r="L10">
        <v>0.98189079514989197</v>
      </c>
      <c r="M10">
        <v>0</v>
      </c>
      <c r="N10">
        <v>5.7651783604641897E-2</v>
      </c>
      <c r="O10">
        <v>0</v>
      </c>
      <c r="P10">
        <v>1.6E-2</v>
      </c>
      <c r="Q10">
        <v>0</v>
      </c>
      <c r="R10">
        <v>0</v>
      </c>
      <c r="S10">
        <v>0</v>
      </c>
      <c r="T10">
        <v>0</v>
      </c>
      <c r="U10">
        <v>0.99053997553884898</v>
      </c>
      <c r="V10" t="s">
        <v>78</v>
      </c>
      <c r="W10">
        <v>2158673.2749592098</v>
      </c>
      <c r="X10" t="s">
        <v>76</v>
      </c>
      <c r="Y10">
        <v>-1.5707963267949001</v>
      </c>
      <c r="Z10">
        <v>0.97750239145353901</v>
      </c>
      <c r="AA10">
        <v>8.7679599971185393E-3</v>
      </c>
      <c r="AB10">
        <v>5.5149201491426797E-2</v>
      </c>
      <c r="AC10">
        <v>5.36273835821258E-4</v>
      </c>
      <c r="AD10">
        <v>2.4375383850366798E-2</v>
      </c>
      <c r="AE10">
        <v>4.5471521603068798E-4</v>
      </c>
      <c r="AF10">
        <v>0</v>
      </c>
      <c r="AG10">
        <v>1.50783491062582E-2</v>
      </c>
      <c r="AH10">
        <v>1.7496186938714201E-4</v>
      </c>
      <c r="AI10">
        <v>0.98043609814436705</v>
      </c>
      <c r="AJ10" t="s">
        <v>74</v>
      </c>
      <c r="AK10">
        <v>0</v>
      </c>
      <c r="AL10" t="s">
        <v>77</v>
      </c>
      <c r="AM10">
        <v>0</v>
      </c>
      <c r="AN10">
        <v>0.99199999999999999</v>
      </c>
      <c r="AO10">
        <v>0</v>
      </c>
      <c r="AP10">
        <v>5.8245346242475203E-2</v>
      </c>
      <c r="AQ10">
        <v>0</v>
      </c>
      <c r="AR10">
        <v>1.6E-2</v>
      </c>
      <c r="AS10">
        <v>0</v>
      </c>
      <c r="AT10">
        <v>0</v>
      </c>
      <c r="AU10">
        <v>0</v>
      </c>
      <c r="AV10">
        <v>0</v>
      </c>
      <c r="AW10">
        <v>1</v>
      </c>
      <c r="AX10" t="s">
        <v>74</v>
      </c>
      <c r="AY10">
        <v>0</v>
      </c>
      <c r="AZ10" t="s">
        <v>76</v>
      </c>
      <c r="BA10">
        <v>-1.5707963267949001</v>
      </c>
      <c r="BB10">
        <v>0.99199999999999999</v>
      </c>
      <c r="BC10">
        <v>0</v>
      </c>
      <c r="BD10">
        <v>5.8245346242475203E-2</v>
      </c>
      <c r="BE10">
        <v>0</v>
      </c>
      <c r="BF10">
        <v>1.6E-2</v>
      </c>
      <c r="BG10">
        <v>0</v>
      </c>
      <c r="BH10">
        <v>0</v>
      </c>
      <c r="BI10">
        <v>0</v>
      </c>
      <c r="BJ10">
        <v>0</v>
      </c>
      <c r="BK10">
        <v>1</v>
      </c>
      <c r="BL10">
        <v>1.1491397570842E-4</v>
      </c>
      <c r="BM10" s="1">
        <v>7.6266554878226902E-6</v>
      </c>
      <c r="BN10" s="1">
        <v>4.2285653187077499E-7</v>
      </c>
      <c r="BO10" s="1">
        <v>1.1979922426002E-7</v>
      </c>
      <c r="BP10">
        <v>0</v>
      </c>
      <c r="BQ10">
        <v>0</v>
      </c>
      <c r="BR10" s="1">
        <v>6.3163586111216803E-5</v>
      </c>
      <c r="BS10" s="1">
        <v>4.1944059851337702E-6</v>
      </c>
      <c r="ES10" s="1"/>
    </row>
    <row r="11" spans="1:149" x14ac:dyDescent="0.25">
      <c r="A11">
        <v>8</v>
      </c>
      <c r="B11">
        <v>1.20374719523843E-4</v>
      </c>
      <c r="C11">
        <v>0.10300139565401099</v>
      </c>
      <c r="D11">
        <v>-2.9227331640910298E-4</v>
      </c>
      <c r="E11">
        <v>6.1312499999999995E-4</v>
      </c>
      <c r="F11">
        <v>-1.0300139565401099E-3</v>
      </c>
      <c r="G11" s="1">
        <v>1.0842021724855E-19</v>
      </c>
      <c r="H11" t="s">
        <v>74</v>
      </c>
      <c r="I11">
        <v>0</v>
      </c>
      <c r="J11" t="s">
        <v>75</v>
      </c>
      <c r="K11">
        <v>3.14159265358979</v>
      </c>
      <c r="L11">
        <v>0.98020647251224202</v>
      </c>
      <c r="M11">
        <v>0</v>
      </c>
      <c r="N11">
        <v>5.75528884884988E-2</v>
      </c>
      <c r="O11">
        <v>0</v>
      </c>
      <c r="P11">
        <v>1.6E-2</v>
      </c>
      <c r="Q11">
        <v>0</v>
      </c>
      <c r="R11">
        <v>0</v>
      </c>
      <c r="S11">
        <v>0</v>
      </c>
      <c r="T11">
        <v>0</v>
      </c>
      <c r="U11">
        <v>0.98871445540425595</v>
      </c>
      <c r="V11" t="s">
        <v>78</v>
      </c>
      <c r="W11">
        <v>2164361.9253184502</v>
      </c>
      <c r="X11" t="s">
        <v>76</v>
      </c>
      <c r="Y11">
        <v>-1.5707963267949001</v>
      </c>
      <c r="Z11">
        <v>0.97561450241539105</v>
      </c>
      <c r="AA11">
        <v>1.12358608074232E-2</v>
      </c>
      <c r="AB11">
        <v>5.4947410732452802E-2</v>
      </c>
      <c r="AC11">
        <v>6.5714952325284599E-4</v>
      </c>
      <c r="AD11">
        <v>2.4695503102407802E-2</v>
      </c>
      <c r="AE11">
        <v>5.5268702629681396E-4</v>
      </c>
      <c r="AF11">
        <v>0</v>
      </c>
      <c r="AG11">
        <v>1.7554609040178401E-2</v>
      </c>
      <c r="AH11">
        <v>2.4009835153759101E-4</v>
      </c>
      <c r="AI11">
        <v>0.97694748793446295</v>
      </c>
      <c r="AJ11" t="s">
        <v>74</v>
      </c>
      <c r="AK11">
        <v>0</v>
      </c>
      <c r="AL11" t="s">
        <v>77</v>
      </c>
      <c r="AM11">
        <v>0</v>
      </c>
      <c r="AN11">
        <v>0.99199999999999999</v>
      </c>
      <c r="AO11">
        <v>0</v>
      </c>
      <c r="AP11">
        <v>5.8245346242475203E-2</v>
      </c>
      <c r="AQ11">
        <v>0</v>
      </c>
      <c r="AR11">
        <v>1.6E-2</v>
      </c>
      <c r="AS11">
        <v>0</v>
      </c>
      <c r="AT11">
        <v>0</v>
      </c>
      <c r="AU11">
        <v>0</v>
      </c>
      <c r="AV11">
        <v>0</v>
      </c>
      <c r="AW11">
        <v>1</v>
      </c>
      <c r="AX11" t="s">
        <v>74</v>
      </c>
      <c r="AY11">
        <v>0</v>
      </c>
      <c r="AZ11" t="s">
        <v>76</v>
      </c>
      <c r="BA11">
        <v>-1.5707963267949001</v>
      </c>
      <c r="BB11">
        <v>0.99199999999999999</v>
      </c>
      <c r="BC11">
        <v>0</v>
      </c>
      <c r="BD11">
        <v>5.8245346242475203E-2</v>
      </c>
      <c r="BE11">
        <v>0</v>
      </c>
      <c r="BF11">
        <v>1.6E-2</v>
      </c>
      <c r="BG11">
        <v>0</v>
      </c>
      <c r="BH11">
        <v>0</v>
      </c>
      <c r="BI11">
        <v>0</v>
      </c>
      <c r="BJ11">
        <v>0</v>
      </c>
      <c r="BK11">
        <v>1</v>
      </c>
      <c r="BL11">
        <v>1.1482407061457699E-4</v>
      </c>
      <c r="BM11" s="1">
        <v>8.8973536958579698E-6</v>
      </c>
      <c r="BN11" s="1">
        <v>4.2226898022335299E-7</v>
      </c>
      <c r="BO11" s="1">
        <v>1.39759305036487E-7</v>
      </c>
      <c r="BP11">
        <v>0</v>
      </c>
      <c r="BQ11">
        <v>0</v>
      </c>
      <c r="BR11" s="1">
        <v>6.3117501504922997E-5</v>
      </c>
      <c r="BS11" s="1">
        <v>4.8938707347706397E-6</v>
      </c>
    </row>
    <row r="12" spans="1:149" x14ac:dyDescent="0.25">
      <c r="A12">
        <v>9</v>
      </c>
      <c r="B12">
        <v>1.05191722375398E-4</v>
      </c>
      <c r="C12">
        <v>0.10310658737638601</v>
      </c>
      <c r="D12">
        <v>-2.9284903159116201E-4</v>
      </c>
      <c r="E12">
        <v>6.1312499999999995E-4</v>
      </c>
      <c r="F12">
        <v>-1.0310658737638599E-3</v>
      </c>
      <c r="G12">
        <v>0</v>
      </c>
      <c r="H12" t="s">
        <v>74</v>
      </c>
      <c r="I12">
        <v>0</v>
      </c>
      <c r="J12" t="s">
        <v>75</v>
      </c>
      <c r="K12">
        <v>3.14159265358979</v>
      </c>
      <c r="L12">
        <v>0.97852215184740099</v>
      </c>
      <c r="M12">
        <v>0</v>
      </c>
      <c r="N12">
        <v>5.7453993488189303E-2</v>
      </c>
      <c r="O12">
        <v>0</v>
      </c>
      <c r="P12">
        <v>1.6E-2</v>
      </c>
      <c r="Q12">
        <v>0</v>
      </c>
      <c r="R12">
        <v>0</v>
      </c>
      <c r="S12">
        <v>0</v>
      </c>
      <c r="T12">
        <v>0</v>
      </c>
      <c r="U12">
        <v>0.98692100436494001</v>
      </c>
      <c r="V12" t="s">
        <v>78</v>
      </c>
      <c r="W12">
        <v>2169330.06789131</v>
      </c>
      <c r="X12" t="s">
        <v>76</v>
      </c>
      <c r="Y12">
        <v>-1.5707963267949001</v>
      </c>
      <c r="Z12">
        <v>0.973751769862786</v>
      </c>
      <c r="AA12">
        <v>1.12358608074232E-2</v>
      </c>
      <c r="AB12">
        <v>5.4759334100492101E-2</v>
      </c>
      <c r="AC12">
        <v>6.9980127087051396E-4</v>
      </c>
      <c r="AD12">
        <v>2.49644235466614E-2</v>
      </c>
      <c r="AE12">
        <v>6.5207155626643705E-4</v>
      </c>
      <c r="AF12">
        <v>0</v>
      </c>
      <c r="AG12">
        <v>2.0020815837793301E-2</v>
      </c>
      <c r="AH12">
        <v>3.1528499331454199E-4</v>
      </c>
      <c r="AI12">
        <v>0.97349678890111802</v>
      </c>
      <c r="AJ12" t="s">
        <v>74</v>
      </c>
      <c r="AK12">
        <v>0</v>
      </c>
      <c r="AL12" t="s">
        <v>77</v>
      </c>
      <c r="AM12">
        <v>0</v>
      </c>
      <c r="AN12">
        <v>0.99199999999999999</v>
      </c>
      <c r="AO12">
        <v>0</v>
      </c>
      <c r="AP12">
        <v>5.8245346242475203E-2</v>
      </c>
      <c r="AQ12">
        <v>0</v>
      </c>
      <c r="AR12">
        <v>1.6E-2</v>
      </c>
      <c r="AS12">
        <v>0</v>
      </c>
      <c r="AT12">
        <v>0</v>
      </c>
      <c r="AU12">
        <v>0</v>
      </c>
      <c r="AV12">
        <v>0</v>
      </c>
      <c r="AW12">
        <v>1</v>
      </c>
      <c r="AX12" t="s">
        <v>74</v>
      </c>
      <c r="AY12">
        <v>0</v>
      </c>
      <c r="AZ12" t="s">
        <v>76</v>
      </c>
      <c r="BA12">
        <v>-1.5707963267949001</v>
      </c>
      <c r="BB12">
        <v>0.99199999999999999</v>
      </c>
      <c r="BC12">
        <v>0</v>
      </c>
      <c r="BD12">
        <v>5.8245346242475203E-2</v>
      </c>
      <c r="BE12">
        <v>0</v>
      </c>
      <c r="BF12">
        <v>1.6E-2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1.14701910672251E-4</v>
      </c>
      <c r="BM12" s="1">
        <v>1.01680504155539E-5</v>
      </c>
      <c r="BN12" s="1">
        <v>4.2166053948663899E-7</v>
      </c>
      <c r="BO12" s="1">
        <v>1.5971936243417399E-7</v>
      </c>
      <c r="BP12">
        <v>0</v>
      </c>
      <c r="BQ12">
        <v>0</v>
      </c>
      <c r="BR12" s="1">
        <v>6.3052679663770894E-5</v>
      </c>
      <c r="BS12" s="1">
        <v>5.5934227149763297E-6</v>
      </c>
    </row>
    <row r="13" spans="1:149" x14ac:dyDescent="0.25">
      <c r="A13">
        <v>10</v>
      </c>
      <c r="B13" s="1">
        <v>9.3487961116500495E-5</v>
      </c>
      <c r="C13">
        <v>0.103200075337502</v>
      </c>
      <c r="D13">
        <v>-2.93360422877137E-4</v>
      </c>
      <c r="E13">
        <v>6.1312499999999995E-4</v>
      </c>
      <c r="F13">
        <v>-1.0320007533750201E-3</v>
      </c>
      <c r="G13">
        <v>0</v>
      </c>
      <c r="H13" t="s">
        <v>74</v>
      </c>
      <c r="I13">
        <v>0</v>
      </c>
      <c r="J13" t="s">
        <v>75</v>
      </c>
      <c r="K13">
        <v>3.14159265358979</v>
      </c>
      <c r="L13">
        <v>0.97683783435613403</v>
      </c>
      <c r="M13">
        <v>0</v>
      </c>
      <c r="N13">
        <v>5.7355098674216398E-2</v>
      </c>
      <c r="O13">
        <v>0</v>
      </c>
      <c r="P13">
        <v>1.6E-2</v>
      </c>
      <c r="Q13">
        <v>0</v>
      </c>
      <c r="R13">
        <v>0</v>
      </c>
      <c r="S13">
        <v>0</v>
      </c>
      <c r="T13">
        <v>0</v>
      </c>
      <c r="U13">
        <v>0.98515029411002497</v>
      </c>
      <c r="V13" t="s">
        <v>78</v>
      </c>
      <c r="W13">
        <v>2173743.1264633499</v>
      </c>
      <c r="X13" t="s">
        <v>76</v>
      </c>
      <c r="Y13">
        <v>-1.5707963267949001</v>
      </c>
      <c r="Z13">
        <v>0.97190866195568604</v>
      </c>
      <c r="AA13">
        <v>1.37582135881405E-2</v>
      </c>
      <c r="AB13">
        <v>5.4581859857190898E-2</v>
      </c>
      <c r="AC13">
        <v>8.2222587620742703E-4</v>
      </c>
      <c r="AD13">
        <v>2.5193346162292799E-2</v>
      </c>
      <c r="AE13">
        <v>7.5269599146766399E-4</v>
      </c>
      <c r="AF13">
        <v>0</v>
      </c>
      <c r="AG13">
        <v>2.2476957851803901E-2</v>
      </c>
      <c r="AH13">
        <v>4.0053163023566301E-4</v>
      </c>
      <c r="AI13">
        <v>0.97007468359966698</v>
      </c>
      <c r="AJ13" t="s">
        <v>74</v>
      </c>
      <c r="AK13">
        <v>0</v>
      </c>
      <c r="AL13" t="s">
        <v>77</v>
      </c>
      <c r="AM13">
        <v>0</v>
      </c>
      <c r="AN13">
        <v>0.99199999999999999</v>
      </c>
      <c r="AO13">
        <v>0</v>
      </c>
      <c r="AP13">
        <v>5.8245346242475203E-2</v>
      </c>
      <c r="AQ13">
        <v>0</v>
      </c>
      <c r="AR13">
        <v>1.6E-2</v>
      </c>
      <c r="AS13">
        <v>0</v>
      </c>
      <c r="AT13">
        <v>0</v>
      </c>
      <c r="AU13">
        <v>0</v>
      </c>
      <c r="AV13">
        <v>0</v>
      </c>
      <c r="AW13">
        <v>1</v>
      </c>
      <c r="AX13" t="s">
        <v>74</v>
      </c>
      <c r="AY13">
        <v>0</v>
      </c>
      <c r="AZ13" t="s">
        <v>76</v>
      </c>
      <c r="BA13">
        <v>-1.5707963267949001</v>
      </c>
      <c r="BB13">
        <v>0.99199999999999999</v>
      </c>
      <c r="BC13">
        <v>0</v>
      </c>
      <c r="BD13">
        <v>5.8245346242475203E-2</v>
      </c>
      <c r="BE13">
        <v>0</v>
      </c>
      <c r="BF13">
        <v>1.6E-2</v>
      </c>
      <c r="BG13">
        <v>0</v>
      </c>
      <c r="BH13">
        <v>0</v>
      </c>
      <c r="BI13">
        <v>0</v>
      </c>
      <c r="BJ13">
        <v>0</v>
      </c>
      <c r="BK13">
        <v>1</v>
      </c>
      <c r="BL13">
        <v>1.14624938446283E-4</v>
      </c>
      <c r="BM13" s="1">
        <v>1.1438744741019799E-5</v>
      </c>
      <c r="BN13" s="1">
        <v>4.2117594435001902E-7</v>
      </c>
      <c r="BO13" s="1">
        <v>1.7967938222338301E-7</v>
      </c>
      <c r="BP13">
        <v>0</v>
      </c>
      <c r="BQ13">
        <v>0</v>
      </c>
      <c r="BR13" s="1">
        <v>6.3011947009978706E-5</v>
      </c>
      <c r="BS13" s="1">
        <v>6.2930509091531898E-6</v>
      </c>
    </row>
    <row r="14" spans="1:149" x14ac:dyDescent="0.25">
      <c r="A14">
        <v>11</v>
      </c>
      <c r="B14" s="1">
        <v>8.4186866497643301E-5</v>
      </c>
      <c r="C14">
        <v>0.103284262204</v>
      </c>
      <c r="D14">
        <v>-2.93820720705725E-4</v>
      </c>
      <c r="E14">
        <v>6.1312499999999995E-4</v>
      </c>
      <c r="F14">
        <v>-1.03284262204E-3</v>
      </c>
      <c r="G14">
        <v>0</v>
      </c>
      <c r="H14" t="s">
        <v>74</v>
      </c>
      <c r="I14">
        <v>0</v>
      </c>
      <c r="J14" t="s">
        <v>75</v>
      </c>
      <c r="K14">
        <v>3.14159265358979</v>
      </c>
      <c r="L14">
        <v>0.97515352103313102</v>
      </c>
      <c r="M14">
        <v>0</v>
      </c>
      <c r="N14">
        <v>5.7256204104983402E-2</v>
      </c>
      <c r="O14">
        <v>0</v>
      </c>
      <c r="P14">
        <v>1.6E-2</v>
      </c>
      <c r="Q14">
        <v>0</v>
      </c>
      <c r="R14">
        <v>0</v>
      </c>
      <c r="S14">
        <v>0</v>
      </c>
      <c r="T14">
        <v>0</v>
      </c>
      <c r="U14">
        <v>0.98339565560863695</v>
      </c>
      <c r="V14" t="s">
        <v>78</v>
      </c>
      <c r="W14">
        <v>2177715.2732985602</v>
      </c>
      <c r="X14" t="s">
        <v>76</v>
      </c>
      <c r="Y14">
        <v>-1.5707963267949001</v>
      </c>
      <c r="Z14">
        <v>0.970081322159563</v>
      </c>
      <c r="AA14">
        <v>1.63018794325894E-2</v>
      </c>
      <c r="AB14">
        <v>5.4412836888113797E-2</v>
      </c>
      <c r="AC14">
        <v>9.4524366871245001E-4</v>
      </c>
      <c r="AD14">
        <v>2.5390085470079302E-2</v>
      </c>
      <c r="AE14">
        <v>8.5442580197500899E-4</v>
      </c>
      <c r="AF14">
        <v>0</v>
      </c>
      <c r="AG14">
        <v>2.49230213684343E-2</v>
      </c>
      <c r="AH14">
        <v>4.9585047523719198E-4</v>
      </c>
      <c r="AI14">
        <v>0.96667451355437495</v>
      </c>
      <c r="AJ14" t="s">
        <v>74</v>
      </c>
      <c r="AK14">
        <v>0</v>
      </c>
      <c r="AL14" t="s">
        <v>77</v>
      </c>
      <c r="AM14">
        <v>0</v>
      </c>
      <c r="AN14">
        <v>0.99199999999999999</v>
      </c>
      <c r="AO14">
        <v>0</v>
      </c>
      <c r="AP14">
        <v>5.8245346242475203E-2</v>
      </c>
      <c r="AQ14">
        <v>0</v>
      </c>
      <c r="AR14">
        <v>1.6E-2</v>
      </c>
      <c r="AS14">
        <v>0</v>
      </c>
      <c r="AT14">
        <v>0</v>
      </c>
      <c r="AU14">
        <v>0</v>
      </c>
      <c r="AV14">
        <v>0</v>
      </c>
      <c r="AW14">
        <v>1</v>
      </c>
      <c r="AX14" t="s">
        <v>74</v>
      </c>
      <c r="AY14">
        <v>0</v>
      </c>
      <c r="AZ14" t="s">
        <v>76</v>
      </c>
      <c r="BA14">
        <v>-1.5707963267949001</v>
      </c>
      <c r="BB14">
        <v>0.99199999999999999</v>
      </c>
      <c r="BC14">
        <v>0</v>
      </c>
      <c r="BD14">
        <v>5.8245346242475203E-2</v>
      </c>
      <c r="BE14">
        <v>0</v>
      </c>
      <c r="BF14">
        <v>1.6E-2</v>
      </c>
      <c r="BG14">
        <v>0</v>
      </c>
      <c r="BH14">
        <v>0</v>
      </c>
      <c r="BI14">
        <v>0</v>
      </c>
      <c r="BJ14">
        <v>0</v>
      </c>
      <c r="BK14">
        <v>1</v>
      </c>
      <c r="BL14">
        <v>1.1455248857338001E-4</v>
      </c>
      <c r="BM14" s="1">
        <v>1.27094359218358E-5</v>
      </c>
      <c r="BN14" s="1">
        <v>4.2072689869026103E-7</v>
      </c>
      <c r="BO14" s="1">
        <v>1.9963935261654701E-7</v>
      </c>
      <c r="BP14">
        <v>0</v>
      </c>
      <c r="BQ14">
        <v>0</v>
      </c>
      <c r="BR14" s="1">
        <v>6.29730931017015E-5</v>
      </c>
      <c r="BS14" s="1">
        <v>6.9927467151425304E-6</v>
      </c>
    </row>
    <row r="15" spans="1:149" x14ac:dyDescent="0.25">
      <c r="A15">
        <v>12</v>
      </c>
      <c r="B15" s="1">
        <v>7.6615322633109706E-5</v>
      </c>
      <c r="C15">
        <v>0.103360877526633</v>
      </c>
      <c r="D15">
        <v>-2.94239444237043E-4</v>
      </c>
      <c r="E15">
        <v>6.1312499999999995E-4</v>
      </c>
      <c r="F15">
        <v>-1.03360877526633E-3</v>
      </c>
      <c r="G15">
        <v>0</v>
      </c>
      <c r="H15" t="s">
        <v>74</v>
      </c>
      <c r="I15">
        <v>0</v>
      </c>
      <c r="J15" t="s">
        <v>75</v>
      </c>
      <c r="K15">
        <v>3.14159265358979</v>
      </c>
      <c r="L15">
        <v>0.97346921271086695</v>
      </c>
      <c r="M15">
        <v>0</v>
      </c>
      <c r="N15">
        <v>5.7157309829369098E-2</v>
      </c>
      <c r="O15">
        <v>0</v>
      </c>
      <c r="P15">
        <v>1.6E-2</v>
      </c>
      <c r="Q15">
        <v>0</v>
      </c>
      <c r="R15">
        <v>0</v>
      </c>
      <c r="S15">
        <v>0</v>
      </c>
      <c r="T15">
        <v>0</v>
      </c>
      <c r="U15">
        <v>0.98165247519482701</v>
      </c>
      <c r="V15" t="s">
        <v>78</v>
      </c>
      <c r="W15">
        <v>2181328.6541282302</v>
      </c>
      <c r="X15" t="s">
        <v>76</v>
      </c>
      <c r="Y15">
        <v>-1.5707963267949001</v>
      </c>
      <c r="Z15">
        <v>0.96826695003233398</v>
      </c>
      <c r="AA15">
        <v>1.63018794325894E-2</v>
      </c>
      <c r="AB15">
        <v>5.4250714752428902E-2</v>
      </c>
      <c r="AC15">
        <v>9.8764181251503294E-4</v>
      </c>
      <c r="AD15">
        <v>2.55603202845173E-2</v>
      </c>
      <c r="AE15">
        <v>9.57153161056967E-4</v>
      </c>
      <c r="AF15">
        <v>0</v>
      </c>
      <c r="AG15">
        <v>2.7358991009423999E-2</v>
      </c>
      <c r="AH15">
        <v>6.01255650496431E-4</v>
      </c>
      <c r="AI15">
        <v>0.96329167545249605</v>
      </c>
      <c r="AJ15" t="s">
        <v>74</v>
      </c>
      <c r="AK15">
        <v>0</v>
      </c>
      <c r="AL15" t="s">
        <v>77</v>
      </c>
      <c r="AM15">
        <v>0</v>
      </c>
      <c r="AN15">
        <v>0.99199999999999999</v>
      </c>
      <c r="AO15">
        <v>0</v>
      </c>
      <c r="AP15">
        <v>5.8245346242475203E-2</v>
      </c>
      <c r="AQ15">
        <v>0</v>
      </c>
      <c r="AR15">
        <v>1.6E-2</v>
      </c>
      <c r="AS15">
        <v>0</v>
      </c>
      <c r="AT15">
        <v>0</v>
      </c>
      <c r="AU15">
        <v>0</v>
      </c>
      <c r="AV15">
        <v>0</v>
      </c>
      <c r="AW15">
        <v>1</v>
      </c>
      <c r="AX15" t="s">
        <v>74</v>
      </c>
      <c r="AY15">
        <v>0</v>
      </c>
      <c r="AZ15" t="s">
        <v>76</v>
      </c>
      <c r="BA15">
        <v>-1.5707963267949001</v>
      </c>
      <c r="BB15">
        <v>0.99199999999999999</v>
      </c>
      <c r="BC15">
        <v>0</v>
      </c>
      <c r="BD15">
        <v>5.8245346242475203E-2</v>
      </c>
      <c r="BE15">
        <v>0</v>
      </c>
      <c r="BF15">
        <v>1.6E-2</v>
      </c>
      <c r="BG15">
        <v>0</v>
      </c>
      <c r="BH15">
        <v>0</v>
      </c>
      <c r="BI15">
        <v>0</v>
      </c>
      <c r="BJ15">
        <v>0</v>
      </c>
      <c r="BK15">
        <v>1</v>
      </c>
      <c r="BL15">
        <v>1.1444317943963201E-4</v>
      </c>
      <c r="BM15" s="1">
        <v>1.39801233299602E-5</v>
      </c>
      <c r="BN15" s="1">
        <v>4.2022564426992402E-7</v>
      </c>
      <c r="BO15" s="1">
        <v>2.19599263748411E-7</v>
      </c>
      <c r="BP15">
        <v>0</v>
      </c>
      <c r="BQ15">
        <v>0</v>
      </c>
      <c r="BR15" s="1">
        <v>6.2913461049208494E-5</v>
      </c>
      <c r="BS15" s="1">
        <v>7.6925032286179697E-6</v>
      </c>
    </row>
    <row r="16" spans="1:149" x14ac:dyDescent="0.25">
      <c r="A16">
        <v>13</v>
      </c>
      <c r="B16" s="1">
        <v>7.0330627019411096E-5</v>
      </c>
      <c r="C16">
        <v>0.103431208153653</v>
      </c>
      <c r="D16">
        <v>-2.9462367295574602E-4</v>
      </c>
      <c r="E16">
        <v>6.1312499999999995E-4</v>
      </c>
      <c r="F16">
        <v>-1.03431208153653E-3</v>
      </c>
      <c r="G16">
        <v>0</v>
      </c>
      <c r="H16" t="s">
        <v>74</v>
      </c>
      <c r="I16">
        <v>0</v>
      </c>
      <c r="J16" t="s">
        <v>75</v>
      </c>
      <c r="K16">
        <v>3.14159265358979</v>
      </c>
      <c r="L16">
        <v>0.97178491009149603</v>
      </c>
      <c r="M16">
        <v>0</v>
      </c>
      <c r="N16">
        <v>5.7058415888600597E-2</v>
      </c>
      <c r="O16">
        <v>0</v>
      </c>
      <c r="P16">
        <v>1.6E-2</v>
      </c>
      <c r="Q16">
        <v>0</v>
      </c>
      <c r="R16">
        <v>0</v>
      </c>
      <c r="S16">
        <v>0</v>
      </c>
      <c r="T16">
        <v>0</v>
      </c>
      <c r="U16">
        <v>0.979917591419465</v>
      </c>
      <c r="V16" t="s">
        <v>78</v>
      </c>
      <c r="W16">
        <v>2184644.3614685698</v>
      </c>
      <c r="X16" t="s">
        <v>76</v>
      </c>
      <c r="Y16">
        <v>-1.5707963267949001</v>
      </c>
      <c r="Z16">
        <v>0.96646344502034598</v>
      </c>
      <c r="AA16">
        <v>2.1478107107190701E-2</v>
      </c>
      <c r="AB16">
        <v>5.4094338214408101E-2</v>
      </c>
      <c r="AC16">
        <v>1.19321912397965E-3</v>
      </c>
      <c r="AD16">
        <v>2.57083135234728E-2</v>
      </c>
      <c r="AE16">
        <v>1.0607896054842299E-3</v>
      </c>
      <c r="AF16">
        <v>0</v>
      </c>
      <c r="AG16">
        <v>2.9784850039373399E-2</v>
      </c>
      <c r="AH16">
        <v>7.1676283196400704E-4</v>
      </c>
      <c r="AI16">
        <v>0.95992301805376601</v>
      </c>
      <c r="AJ16" t="s">
        <v>74</v>
      </c>
      <c r="AK16">
        <v>0</v>
      </c>
      <c r="AL16" t="s">
        <v>77</v>
      </c>
      <c r="AM16">
        <v>0</v>
      </c>
      <c r="AN16">
        <v>0.99199999999999999</v>
      </c>
      <c r="AO16">
        <v>0</v>
      </c>
      <c r="AP16">
        <v>5.8245346242475203E-2</v>
      </c>
      <c r="AQ16">
        <v>0</v>
      </c>
      <c r="AR16">
        <v>1.6E-2</v>
      </c>
      <c r="AS16">
        <v>0</v>
      </c>
      <c r="AT16">
        <v>0</v>
      </c>
      <c r="AU16">
        <v>0</v>
      </c>
      <c r="AV16">
        <v>0</v>
      </c>
      <c r="AW16">
        <v>1</v>
      </c>
      <c r="AX16" t="s">
        <v>74</v>
      </c>
      <c r="AY16">
        <v>0</v>
      </c>
      <c r="AZ16" t="s">
        <v>76</v>
      </c>
      <c r="BA16">
        <v>-1.5707963267949001</v>
      </c>
      <c r="BB16">
        <v>0.99199999999999999</v>
      </c>
      <c r="BC16">
        <v>0</v>
      </c>
      <c r="BD16">
        <v>5.8245346242475203E-2</v>
      </c>
      <c r="BE16">
        <v>0</v>
      </c>
      <c r="BF16">
        <v>1.6E-2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1.14418332855969E-4</v>
      </c>
      <c r="BM16" s="1">
        <v>1.5250806435668701E-5</v>
      </c>
      <c r="BN16" s="1">
        <v>4.1991112522680002E-7</v>
      </c>
      <c r="BO16" s="1">
        <v>2.3955910729808402E-7</v>
      </c>
      <c r="BP16">
        <v>0</v>
      </c>
      <c r="BQ16">
        <v>0</v>
      </c>
      <c r="BR16" s="1">
        <v>6.2899891863253004E-5</v>
      </c>
      <c r="BS16" s="1">
        <v>8.3923147859236393E-6</v>
      </c>
    </row>
    <row r="17" spans="1:71" x14ac:dyDescent="0.25">
      <c r="A17">
        <v>14</v>
      </c>
      <c r="B17" s="1">
        <v>6.5029554754469606E-5</v>
      </c>
      <c r="C17">
        <v>0.103496237708407</v>
      </c>
      <c r="D17">
        <v>-2.9497881604313399E-4</v>
      </c>
      <c r="E17">
        <v>6.1312499999999995E-4</v>
      </c>
      <c r="F17">
        <v>-1.0349623770840701E-3</v>
      </c>
      <c r="G17" s="1">
        <v>1.0842021724855E-19</v>
      </c>
      <c r="H17" t="s">
        <v>74</v>
      </c>
      <c r="I17">
        <v>0</v>
      </c>
      <c r="J17" t="s">
        <v>75</v>
      </c>
      <c r="K17">
        <v>3.14159265358979</v>
      </c>
      <c r="L17">
        <v>0.97010061377210299</v>
      </c>
      <c r="M17">
        <v>0</v>
      </c>
      <c r="N17">
        <v>5.6959522317735697E-2</v>
      </c>
      <c r="O17">
        <v>0</v>
      </c>
      <c r="P17">
        <v>1.6E-2</v>
      </c>
      <c r="Q17">
        <v>0</v>
      </c>
      <c r="R17">
        <v>0</v>
      </c>
      <c r="S17">
        <v>0</v>
      </c>
      <c r="T17">
        <v>0</v>
      </c>
      <c r="U17">
        <v>0.97818883097712805</v>
      </c>
      <c r="V17" t="s">
        <v>78</v>
      </c>
      <c r="W17">
        <v>2187709.07392865</v>
      </c>
      <c r="X17" t="s">
        <v>76</v>
      </c>
      <c r="Y17">
        <v>-1.5707963267949001</v>
      </c>
      <c r="Z17">
        <v>0.96466918936886104</v>
      </c>
      <c r="AA17">
        <v>2.1478107107190701E-2</v>
      </c>
      <c r="AB17">
        <v>5.39428228900206E-2</v>
      </c>
      <c r="AC17">
        <v>1.2354699071997E-3</v>
      </c>
      <c r="AD17">
        <v>2.5837351029950099E-2</v>
      </c>
      <c r="AE17">
        <v>1.1652611611229599E-3</v>
      </c>
      <c r="AF17">
        <v>0</v>
      </c>
      <c r="AG17">
        <v>3.2200580601043603E-2</v>
      </c>
      <c r="AH17">
        <v>8.4238897596617204E-4</v>
      </c>
      <c r="AI17">
        <v>0.95656637814986001</v>
      </c>
      <c r="AJ17" t="s">
        <v>74</v>
      </c>
      <c r="AK17">
        <v>0</v>
      </c>
      <c r="AL17" t="s">
        <v>77</v>
      </c>
      <c r="AM17">
        <v>0</v>
      </c>
      <c r="AN17">
        <v>0.99199999999999999</v>
      </c>
      <c r="AO17">
        <v>0</v>
      </c>
      <c r="AP17">
        <v>5.8245346242475203E-2</v>
      </c>
      <c r="AQ17">
        <v>0</v>
      </c>
      <c r="AR17">
        <v>1.6E-2</v>
      </c>
      <c r="AS17">
        <v>0</v>
      </c>
      <c r="AT17">
        <v>0</v>
      </c>
      <c r="AU17">
        <v>0</v>
      </c>
      <c r="AV17">
        <v>0</v>
      </c>
      <c r="AW17">
        <v>1</v>
      </c>
      <c r="AX17" t="s">
        <v>74</v>
      </c>
      <c r="AY17">
        <v>0</v>
      </c>
      <c r="AZ17" t="s">
        <v>76</v>
      </c>
      <c r="BA17">
        <v>-1.5707963267949001</v>
      </c>
      <c r="BB17">
        <v>0.99199999999999999</v>
      </c>
      <c r="BC17">
        <v>0</v>
      </c>
      <c r="BD17">
        <v>5.8245346242475203E-2</v>
      </c>
      <c r="BE17">
        <v>0</v>
      </c>
      <c r="BF17">
        <v>1.6E-2</v>
      </c>
      <c r="BG17">
        <v>0</v>
      </c>
      <c r="BH17">
        <v>0</v>
      </c>
      <c r="BI17">
        <v>0</v>
      </c>
      <c r="BJ17">
        <v>0</v>
      </c>
      <c r="BK17">
        <v>1</v>
      </c>
      <c r="BL17">
        <v>1.1431425379995299E-4</v>
      </c>
      <c r="BM17" s="1">
        <v>1.6521484788504899E-5</v>
      </c>
      <c r="BN17" s="1">
        <v>4.1945313247884598E-7</v>
      </c>
      <c r="BO17" s="1">
        <v>2.5951887618981303E-7</v>
      </c>
      <c r="BP17">
        <v>0</v>
      </c>
      <c r="BQ17">
        <v>0</v>
      </c>
      <c r="BR17" s="1">
        <v>6.2842374165371096E-5</v>
      </c>
      <c r="BS17" s="1">
        <v>9.0921766577414108E-6</v>
      </c>
    </row>
    <row r="18" spans="1:71" x14ac:dyDescent="0.25">
      <c r="A18">
        <v>15</v>
      </c>
      <c r="B18" s="1">
        <v>6.0497376201861797E-5</v>
      </c>
      <c r="C18">
        <v>0.103556735084609</v>
      </c>
      <c r="D18">
        <v>-2.9530910031420502E-4</v>
      </c>
      <c r="E18">
        <v>6.1312499999999995E-4</v>
      </c>
      <c r="F18">
        <v>-1.0355673508460901E-3</v>
      </c>
      <c r="G18">
        <v>0</v>
      </c>
      <c r="H18" t="s">
        <v>74</v>
      </c>
      <c r="I18">
        <v>0</v>
      </c>
      <c r="J18" t="s">
        <v>75</v>
      </c>
      <c r="K18">
        <v>3.14159265358979</v>
      </c>
      <c r="L18">
        <v>0.96841632426499002</v>
      </c>
      <c r="M18">
        <v>0</v>
      </c>
      <c r="N18">
        <v>5.6860629146854302E-2</v>
      </c>
      <c r="O18">
        <v>0</v>
      </c>
      <c r="P18">
        <v>1.6E-2</v>
      </c>
      <c r="Q18">
        <v>0</v>
      </c>
      <c r="R18">
        <v>0</v>
      </c>
      <c r="S18">
        <v>0</v>
      </c>
      <c r="T18">
        <v>0</v>
      </c>
      <c r="U18">
        <v>0.97646468353322602</v>
      </c>
      <c r="V18" t="s">
        <v>78</v>
      </c>
      <c r="W18">
        <v>2190559.2668702099</v>
      </c>
      <c r="X18" t="s">
        <v>76</v>
      </c>
      <c r="Y18">
        <v>-1.5707963267949001</v>
      </c>
      <c r="Z18">
        <v>0.96288290950408195</v>
      </c>
      <c r="AA18">
        <v>2.40819643476427E-2</v>
      </c>
      <c r="AB18">
        <v>5.3795476344746698E-2</v>
      </c>
      <c r="AC18">
        <v>1.3601061557890299E-3</v>
      </c>
      <c r="AD18">
        <v>2.59500218374225E-2</v>
      </c>
      <c r="AE18">
        <v>1.2705049811128899E-3</v>
      </c>
      <c r="AF18">
        <v>0</v>
      </c>
      <c r="AG18">
        <v>3.4606163896438703E-2</v>
      </c>
      <c r="AH18">
        <v>9.7815210750964998E-4</v>
      </c>
      <c r="AI18">
        <v>0.95322025541142796</v>
      </c>
      <c r="AJ18" t="s">
        <v>74</v>
      </c>
      <c r="AK18">
        <v>0</v>
      </c>
      <c r="AL18" t="s">
        <v>77</v>
      </c>
      <c r="AM18">
        <v>0</v>
      </c>
      <c r="AN18">
        <v>0.99199999999999999</v>
      </c>
      <c r="AO18">
        <v>0</v>
      </c>
      <c r="AP18">
        <v>5.8245346242475203E-2</v>
      </c>
      <c r="AQ18">
        <v>0</v>
      </c>
      <c r="AR18">
        <v>1.6E-2</v>
      </c>
      <c r="AS18">
        <v>0</v>
      </c>
      <c r="AT18">
        <v>0</v>
      </c>
      <c r="AU18">
        <v>0</v>
      </c>
      <c r="AV18">
        <v>0</v>
      </c>
      <c r="AW18">
        <v>1</v>
      </c>
      <c r="AX18" t="s">
        <v>74</v>
      </c>
      <c r="AY18">
        <v>0</v>
      </c>
      <c r="AZ18" t="s">
        <v>76</v>
      </c>
      <c r="BA18">
        <v>-1.5707963267949001</v>
      </c>
      <c r="BB18">
        <v>0.99199999999999999</v>
      </c>
      <c r="BC18">
        <v>0</v>
      </c>
      <c r="BD18">
        <v>5.8245346242475203E-2</v>
      </c>
      <c r="BE18">
        <v>0</v>
      </c>
      <c r="BF18">
        <v>1.6E-2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1.1425345206617E-4</v>
      </c>
      <c r="BM18" s="1">
        <v>1.7792158001974201E-5</v>
      </c>
      <c r="BN18" s="1">
        <v>4.1909448939385799E-7</v>
      </c>
      <c r="BO18" s="1">
        <v>2.79478564352554E-7</v>
      </c>
      <c r="BP18">
        <v>0</v>
      </c>
      <c r="BQ18">
        <v>0</v>
      </c>
      <c r="BR18" s="1">
        <v>6.2808373763677193E-5</v>
      </c>
      <c r="BS18" s="1">
        <v>9.7920848358169895E-6</v>
      </c>
    </row>
    <row r="19" spans="1:71" x14ac:dyDescent="0.25">
      <c r="A19">
        <v>16</v>
      </c>
      <c r="B19" s="1">
        <v>5.6577732192080699E-5</v>
      </c>
      <c r="C19">
        <v>0.103613312816801</v>
      </c>
      <c r="D19">
        <v>-2.9561789192991699E-4</v>
      </c>
      <c r="E19">
        <v>6.1312499999999995E-4</v>
      </c>
      <c r="F19">
        <v>-1.0361331281680099E-3</v>
      </c>
      <c r="G19" s="1">
        <v>1.0842021724855E-19</v>
      </c>
      <c r="H19" t="s">
        <v>74</v>
      </c>
      <c r="I19">
        <v>0</v>
      </c>
      <c r="J19" t="s">
        <v>75</v>
      </c>
      <c r="K19">
        <v>3.14159265358979</v>
      </c>
      <c r="L19">
        <v>0.96673204201391705</v>
      </c>
      <c r="M19">
        <v>0</v>
      </c>
      <c r="N19">
        <v>5.6761736402011799E-2</v>
      </c>
      <c r="O19">
        <v>0</v>
      </c>
      <c r="P19">
        <v>1.6E-2</v>
      </c>
      <c r="Q19">
        <v>0</v>
      </c>
      <c r="R19">
        <v>0</v>
      </c>
      <c r="S19">
        <v>0</v>
      </c>
      <c r="T19">
        <v>0</v>
      </c>
      <c r="U19">
        <v>0.97474408307097105</v>
      </c>
      <c r="V19" t="s">
        <v>78</v>
      </c>
      <c r="W19">
        <v>2193223.9886284098</v>
      </c>
      <c r="X19" t="s">
        <v>76</v>
      </c>
      <c r="Y19">
        <v>-1.5707963267949001</v>
      </c>
      <c r="Z19">
        <v>0.96110358405171203</v>
      </c>
      <c r="AA19">
        <v>2.66963480911745E-2</v>
      </c>
      <c r="AB19">
        <v>5.3651746039105802E-2</v>
      </c>
      <c r="AC19">
        <v>1.48501038592483E-3</v>
      </c>
      <c r="AD19">
        <v>2.6048404181350598E-2</v>
      </c>
      <c r="AE19">
        <v>1.37646695320243E-3</v>
      </c>
      <c r="AF19">
        <v>0</v>
      </c>
      <c r="AG19">
        <v>3.7001580327320302E-2</v>
      </c>
      <c r="AH19">
        <v>1.12407115526399E-3</v>
      </c>
      <c r="AI19">
        <v>0.949883593748306</v>
      </c>
      <c r="AJ19" t="s">
        <v>74</v>
      </c>
      <c r="AK19">
        <v>0</v>
      </c>
      <c r="AL19" t="s">
        <v>77</v>
      </c>
      <c r="AM19">
        <v>0</v>
      </c>
      <c r="AN19">
        <v>0.99199999999999999</v>
      </c>
      <c r="AO19">
        <v>0</v>
      </c>
      <c r="AP19">
        <v>5.8245346242475203E-2</v>
      </c>
      <c r="AQ19">
        <v>0</v>
      </c>
      <c r="AR19">
        <v>1.6E-2</v>
      </c>
      <c r="AS19">
        <v>0</v>
      </c>
      <c r="AT19">
        <v>0</v>
      </c>
      <c r="AU19">
        <v>0</v>
      </c>
      <c r="AV19">
        <v>0</v>
      </c>
      <c r="AW19">
        <v>1</v>
      </c>
      <c r="AX19" t="s">
        <v>74</v>
      </c>
      <c r="AY19">
        <v>0</v>
      </c>
      <c r="AZ19" t="s">
        <v>76</v>
      </c>
      <c r="BA19">
        <v>-1.5707963267949001</v>
      </c>
      <c r="BB19">
        <v>0.99199999999999999</v>
      </c>
      <c r="BC19">
        <v>0</v>
      </c>
      <c r="BD19">
        <v>5.8245346242475203E-2</v>
      </c>
      <c r="BE19">
        <v>0</v>
      </c>
      <c r="BF19">
        <v>1.6E-2</v>
      </c>
      <c r="BG19">
        <v>0</v>
      </c>
      <c r="BH19">
        <v>0</v>
      </c>
      <c r="BI19">
        <v>0</v>
      </c>
      <c r="BJ19">
        <v>0</v>
      </c>
      <c r="BK19">
        <v>1</v>
      </c>
      <c r="BL19">
        <v>1.14194592655996E-4</v>
      </c>
      <c r="BM19" s="1">
        <v>1.9062825741292198E-5</v>
      </c>
      <c r="BN19" s="1">
        <v>4.1875077577846703E-7</v>
      </c>
      <c r="BO19" s="1">
        <v>2.99438166527529E-7</v>
      </c>
      <c r="BP19">
        <v>0</v>
      </c>
      <c r="BQ19">
        <v>0</v>
      </c>
      <c r="BR19" s="1">
        <v>6.2775184631147306E-5</v>
      </c>
      <c r="BS19" s="1">
        <v>1.04920358798305E-5</v>
      </c>
    </row>
    <row r="20" spans="1:71" x14ac:dyDescent="0.25">
      <c r="A20">
        <v>17</v>
      </c>
      <c r="B20" s="1">
        <v>5.3154040573743001E-5</v>
      </c>
      <c r="C20">
        <v>0.103666466857375</v>
      </c>
      <c r="D20">
        <v>-2.9590791555291098E-4</v>
      </c>
      <c r="E20">
        <v>6.1312499999999995E-4</v>
      </c>
      <c r="F20">
        <v>-1.03666466857375E-3</v>
      </c>
      <c r="G20">
        <v>0</v>
      </c>
      <c r="H20" t="s">
        <v>74</v>
      </c>
      <c r="I20">
        <v>0</v>
      </c>
      <c r="J20" t="s">
        <v>75</v>
      </c>
      <c r="K20">
        <v>3.14159265358979</v>
      </c>
      <c r="L20">
        <v>0.96504776740703402</v>
      </c>
      <c r="M20">
        <v>0</v>
      </c>
      <c r="N20">
        <v>5.6662844105998401E-2</v>
      </c>
      <c r="O20">
        <v>0</v>
      </c>
      <c r="P20">
        <v>1.6E-2</v>
      </c>
      <c r="Q20">
        <v>0</v>
      </c>
      <c r="R20">
        <v>0</v>
      </c>
      <c r="S20">
        <v>0</v>
      </c>
      <c r="T20">
        <v>0</v>
      </c>
      <c r="U20">
        <v>0.97302626341586096</v>
      </c>
      <c r="V20" t="s">
        <v>78</v>
      </c>
      <c r="W20">
        <v>2195726.7517193202</v>
      </c>
      <c r="X20" t="s">
        <v>76</v>
      </c>
      <c r="Y20">
        <v>-1.5707963267949001</v>
      </c>
      <c r="Z20">
        <v>0.95933038079833599</v>
      </c>
      <c r="AA20">
        <v>2.66963480911745E-2</v>
      </c>
      <c r="AB20">
        <v>5.35111838425932E-2</v>
      </c>
      <c r="AC20">
        <v>1.52706773910923E-3</v>
      </c>
      <c r="AD20">
        <v>2.61341930072806E-2</v>
      </c>
      <c r="AE20">
        <v>1.4830999507450501E-3</v>
      </c>
      <c r="AF20">
        <v>0</v>
      </c>
      <c r="AG20">
        <v>3.9386809605399503E-2</v>
      </c>
      <c r="AH20">
        <v>1.2801658218561101E-3</v>
      </c>
      <c r="AI20">
        <v>0.946555636843463</v>
      </c>
      <c r="AJ20" t="s">
        <v>74</v>
      </c>
      <c r="AK20">
        <v>0</v>
      </c>
      <c r="AL20" t="s">
        <v>77</v>
      </c>
      <c r="AM20">
        <v>0</v>
      </c>
      <c r="AN20">
        <v>0.99199999999999999</v>
      </c>
      <c r="AO20">
        <v>0</v>
      </c>
      <c r="AP20">
        <v>5.8245346242475203E-2</v>
      </c>
      <c r="AQ20">
        <v>0</v>
      </c>
      <c r="AR20">
        <v>1.6E-2</v>
      </c>
      <c r="AS20">
        <v>0</v>
      </c>
      <c r="AT20">
        <v>0</v>
      </c>
      <c r="AU20">
        <v>0</v>
      </c>
      <c r="AV20">
        <v>0</v>
      </c>
      <c r="AW20">
        <v>1</v>
      </c>
      <c r="AX20" t="s">
        <v>74</v>
      </c>
      <c r="AY20">
        <v>0</v>
      </c>
      <c r="AZ20" t="s">
        <v>76</v>
      </c>
      <c r="BA20">
        <v>-1.5707963267949001</v>
      </c>
      <c r="BB20">
        <v>0.99199999999999999</v>
      </c>
      <c r="BC20">
        <v>0</v>
      </c>
      <c r="BD20">
        <v>5.8245346242475203E-2</v>
      </c>
      <c r="BE20">
        <v>0</v>
      </c>
      <c r="BF20">
        <v>1.6E-2</v>
      </c>
      <c r="BG20">
        <v>0</v>
      </c>
      <c r="BH20">
        <v>0</v>
      </c>
      <c r="BI20">
        <v>0</v>
      </c>
      <c r="BJ20">
        <v>0</v>
      </c>
      <c r="BK20">
        <v>1</v>
      </c>
      <c r="BL20">
        <v>1.14095894086326E-4</v>
      </c>
      <c r="BM20" s="1">
        <v>2.0333487713627801E-5</v>
      </c>
      <c r="BN20" s="1">
        <v>4.1833702250469598E-7</v>
      </c>
      <c r="BO20" s="1">
        <v>3.1939767811495699E-7</v>
      </c>
      <c r="BP20">
        <v>0</v>
      </c>
      <c r="BQ20">
        <v>0</v>
      </c>
      <c r="BR20" s="1">
        <v>6.2719841741096401E-5</v>
      </c>
      <c r="BS20" s="1">
        <v>1.11920268046097E-5</v>
      </c>
    </row>
    <row r="21" spans="1:71" x14ac:dyDescent="0.25">
      <c r="A21">
        <v>18</v>
      </c>
      <c r="B21" s="1">
        <v>5.0137590044947998E-5</v>
      </c>
      <c r="C21">
        <v>0.10371660444741999</v>
      </c>
      <c r="D21">
        <v>-2.96181407855074E-4</v>
      </c>
      <c r="E21">
        <v>6.1312499999999995E-4</v>
      </c>
      <c r="F21">
        <v>-1.0371660444742001E-3</v>
      </c>
      <c r="G21" s="1">
        <v>1.0842021724855E-19</v>
      </c>
      <c r="H21" t="s">
        <v>74</v>
      </c>
      <c r="I21">
        <v>0</v>
      </c>
      <c r="J21" t="s">
        <v>75</v>
      </c>
      <c r="K21">
        <v>3.14159265358979</v>
      </c>
      <c r="L21">
        <v>0.96336350078714705</v>
      </c>
      <c r="M21">
        <v>0</v>
      </c>
      <c r="N21">
        <v>5.6563952278942002E-2</v>
      </c>
      <c r="O21">
        <v>0</v>
      </c>
      <c r="P21">
        <v>1.6E-2</v>
      </c>
      <c r="Q21">
        <v>0</v>
      </c>
      <c r="R21">
        <v>0</v>
      </c>
      <c r="S21">
        <v>0</v>
      </c>
      <c r="T21">
        <v>0</v>
      </c>
      <c r="U21">
        <v>0.971310663197132</v>
      </c>
      <c r="V21" t="s">
        <v>78</v>
      </c>
      <c r="W21">
        <v>2198086.8575356398</v>
      </c>
      <c r="X21" t="s">
        <v>76</v>
      </c>
      <c r="Y21">
        <v>-1.5707963267949001</v>
      </c>
      <c r="Z21">
        <v>0.95756261228281303</v>
      </c>
      <c r="AA21">
        <v>2.9327884553346902E-2</v>
      </c>
      <c r="AB21">
        <v>5.3373421157178101E-2</v>
      </c>
      <c r="AC21">
        <v>1.6524028313874999E-3</v>
      </c>
      <c r="AD21">
        <v>2.6208789816692099E-2</v>
      </c>
      <c r="AE21">
        <v>1.59036252442809E-3</v>
      </c>
      <c r="AF21">
        <v>0</v>
      </c>
      <c r="AG21">
        <v>4.1761830839813198E-2</v>
      </c>
      <c r="AH21">
        <v>1.44645648090548E-3</v>
      </c>
      <c r="AI21">
        <v>0.94323583312160897</v>
      </c>
      <c r="AJ21" t="s">
        <v>74</v>
      </c>
      <c r="AK21">
        <v>0</v>
      </c>
      <c r="AL21" t="s">
        <v>77</v>
      </c>
      <c r="AM21">
        <v>0</v>
      </c>
      <c r="AN21">
        <v>0.99199999999999999</v>
      </c>
      <c r="AO21">
        <v>0</v>
      </c>
      <c r="AP21">
        <v>5.8245346242475203E-2</v>
      </c>
      <c r="AQ21">
        <v>0</v>
      </c>
      <c r="AR21">
        <v>1.6E-2</v>
      </c>
      <c r="AS21">
        <v>0</v>
      </c>
      <c r="AT21">
        <v>0</v>
      </c>
      <c r="AU21">
        <v>0</v>
      </c>
      <c r="AV21">
        <v>0</v>
      </c>
      <c r="AW21">
        <v>1</v>
      </c>
      <c r="AX21" t="s">
        <v>74</v>
      </c>
      <c r="AY21">
        <v>0</v>
      </c>
      <c r="AZ21" t="s">
        <v>76</v>
      </c>
      <c r="BA21">
        <v>-1.5707963267949001</v>
      </c>
      <c r="BB21">
        <v>0.99199999999999999</v>
      </c>
      <c r="BC21">
        <v>0</v>
      </c>
      <c r="BD21">
        <v>5.8245346242475203E-2</v>
      </c>
      <c r="BE21">
        <v>0</v>
      </c>
      <c r="BF21">
        <v>1.6E-2</v>
      </c>
      <c r="BG21">
        <v>0</v>
      </c>
      <c r="BH21">
        <v>0</v>
      </c>
      <c r="BI21">
        <v>0</v>
      </c>
      <c r="BJ21">
        <v>0</v>
      </c>
      <c r="BK21">
        <v>1</v>
      </c>
      <c r="BL21">
        <v>1.14040234376229E-4</v>
      </c>
      <c r="BM21" s="1">
        <v>2.1604143660359401E-5</v>
      </c>
      <c r="BN21" s="1">
        <v>4.1801782813717602E-7</v>
      </c>
      <c r="BO21" s="1">
        <v>3.3935709505241698E-7</v>
      </c>
      <c r="BP21">
        <v>0</v>
      </c>
      <c r="BQ21">
        <v>0</v>
      </c>
      <c r="BR21" s="1">
        <v>6.2687988552226898E-5</v>
      </c>
      <c r="BS21" s="1">
        <v>1.18920549952467E-5</v>
      </c>
    </row>
    <row r="22" spans="1:71" x14ac:dyDescent="0.25">
      <c r="A22">
        <v>19</v>
      </c>
      <c r="B22" s="1">
        <v>4.7459672273414299E-5</v>
      </c>
      <c r="C22">
        <v>0.10376406411969299</v>
      </c>
      <c r="D22">
        <v>-2.9644022765724302E-4</v>
      </c>
      <c r="E22">
        <v>6.1312499999999995E-4</v>
      </c>
      <c r="F22">
        <v>-1.03764064119693E-3</v>
      </c>
      <c r="G22">
        <v>0</v>
      </c>
      <c r="H22" t="s">
        <v>74</v>
      </c>
      <c r="I22">
        <v>0</v>
      </c>
      <c r="J22" t="s">
        <v>75</v>
      </c>
      <c r="K22">
        <v>3.14159265358979</v>
      </c>
      <c r="L22">
        <v>0.96167924245987502</v>
      </c>
      <c r="M22">
        <v>0</v>
      </c>
      <c r="N22">
        <v>5.6465060938786997E-2</v>
      </c>
      <c r="O22">
        <v>0</v>
      </c>
      <c r="P22">
        <v>1.6E-2</v>
      </c>
      <c r="Q22">
        <v>0</v>
      </c>
      <c r="R22">
        <v>0</v>
      </c>
      <c r="S22">
        <v>0</v>
      </c>
      <c r="T22">
        <v>0</v>
      </c>
      <c r="U22">
        <v>0.96959686309957205</v>
      </c>
      <c r="V22" t="s">
        <v>78</v>
      </c>
      <c r="W22">
        <v>2200320.3467989601</v>
      </c>
      <c r="X22" t="s">
        <v>76</v>
      </c>
      <c r="Y22">
        <v>-1.5707963267949001</v>
      </c>
      <c r="Z22">
        <v>0.95579970376004297</v>
      </c>
      <c r="AA22">
        <v>2.9327884553346902E-2</v>
      </c>
      <c r="AB22">
        <v>5.3238151052827802E-2</v>
      </c>
      <c r="AC22">
        <v>1.69434707509765E-3</v>
      </c>
      <c r="AD22">
        <v>2.6273367498160501E-2</v>
      </c>
      <c r="AE22">
        <v>1.69821790386532E-3</v>
      </c>
      <c r="AF22">
        <v>0</v>
      </c>
      <c r="AG22">
        <v>4.4126622607454903E-2</v>
      </c>
      <c r="AH22">
        <v>1.6229640943845401E-3</v>
      </c>
      <c r="AI22">
        <v>0.93992377300660501</v>
      </c>
      <c r="AJ22" t="s">
        <v>74</v>
      </c>
      <c r="AK22">
        <v>0</v>
      </c>
      <c r="AL22" t="s">
        <v>77</v>
      </c>
      <c r="AM22">
        <v>0</v>
      </c>
      <c r="AN22">
        <v>0.99199999999999999</v>
      </c>
      <c r="AO22">
        <v>0</v>
      </c>
      <c r="AP22">
        <v>5.8245346242475203E-2</v>
      </c>
      <c r="AQ22">
        <v>0</v>
      </c>
      <c r="AR22">
        <v>1.6E-2</v>
      </c>
      <c r="AS22">
        <v>0</v>
      </c>
      <c r="AT22">
        <v>0</v>
      </c>
      <c r="AU22">
        <v>0</v>
      </c>
      <c r="AV22">
        <v>0</v>
      </c>
      <c r="AW22">
        <v>1</v>
      </c>
      <c r="AX22" t="s">
        <v>74</v>
      </c>
      <c r="AY22">
        <v>0</v>
      </c>
      <c r="AZ22" t="s">
        <v>76</v>
      </c>
      <c r="BA22">
        <v>-1.5707963267949001</v>
      </c>
      <c r="BB22">
        <v>0.99199999999999999</v>
      </c>
      <c r="BC22">
        <v>0</v>
      </c>
      <c r="BD22">
        <v>5.8245346242475203E-2</v>
      </c>
      <c r="BE22">
        <v>0</v>
      </c>
      <c r="BF22">
        <v>1.6E-2</v>
      </c>
      <c r="BG22">
        <v>0</v>
      </c>
      <c r="BH22">
        <v>0</v>
      </c>
      <c r="BI22">
        <v>0</v>
      </c>
      <c r="BJ22">
        <v>0</v>
      </c>
      <c r="BK22">
        <v>1</v>
      </c>
      <c r="BL22">
        <v>1.13944125775831E-4</v>
      </c>
      <c r="BM22" s="1">
        <v>2.28747933509197E-5</v>
      </c>
      <c r="BN22" s="1">
        <v>4.1762525739949601E-7</v>
      </c>
      <c r="BO22" s="1">
        <v>3.5931641371816999E-7</v>
      </c>
      <c r="BP22">
        <v>0</v>
      </c>
      <c r="BQ22">
        <v>0</v>
      </c>
      <c r="BR22" s="1">
        <v>6.2633692534220706E-5</v>
      </c>
      <c r="BS22" s="1">
        <v>1.25921181420108E-5</v>
      </c>
    </row>
    <row r="23" spans="1:71" x14ac:dyDescent="0.25">
      <c r="A23">
        <v>20</v>
      </c>
      <c r="B23" s="1">
        <v>4.5066238894278402E-5</v>
      </c>
      <c r="C23">
        <v>0.10380913035858701</v>
      </c>
      <c r="D23">
        <v>-2.9668593662698797E-4</v>
      </c>
      <c r="E23">
        <v>6.1312499999999995E-4</v>
      </c>
      <c r="F23">
        <v>-1.0380913035858701E-3</v>
      </c>
      <c r="G23" s="1">
        <v>1.0842021724855E-19</v>
      </c>
      <c r="H23" t="s">
        <v>74</v>
      </c>
      <c r="I23">
        <v>0</v>
      </c>
      <c r="J23" t="s">
        <v>75</v>
      </c>
      <c r="K23">
        <v>3.14159265358979</v>
      </c>
      <c r="L23">
        <v>0.95999499270014099</v>
      </c>
      <c r="M23">
        <v>0</v>
      </c>
      <c r="N23">
        <v>5.6366170101675599E-2</v>
      </c>
      <c r="O23">
        <v>0</v>
      </c>
      <c r="P23">
        <v>1.6E-2</v>
      </c>
      <c r="Q23">
        <v>0</v>
      </c>
      <c r="R23">
        <v>0</v>
      </c>
      <c r="S23">
        <v>0</v>
      </c>
      <c r="T23">
        <v>0</v>
      </c>
      <c r="U23">
        <v>0.96788454405671498</v>
      </c>
      <c r="V23" t="s">
        <v>78</v>
      </c>
      <c r="W23">
        <v>2202440.69594236</v>
      </c>
      <c r="X23" t="s">
        <v>76</v>
      </c>
      <c r="Y23">
        <v>-1.5707963267949001</v>
      </c>
      <c r="Z23">
        <v>0.95404116960656404</v>
      </c>
      <c r="AA23">
        <v>3.1972285209175201E-2</v>
      </c>
      <c r="AB23">
        <v>5.3105115166011498E-2</v>
      </c>
      <c r="AC23">
        <v>1.8199852638499899E-3</v>
      </c>
      <c r="AD23">
        <v>2.6328918088509502E-2</v>
      </c>
      <c r="AE23">
        <v>1.8066332221552E-3</v>
      </c>
      <c r="AF23">
        <v>0</v>
      </c>
      <c r="AG23">
        <v>4.64811630102651E-2</v>
      </c>
      <c r="AH23">
        <v>1.8097101455329301E-3</v>
      </c>
      <c r="AI23">
        <v>0.93661914711912797</v>
      </c>
      <c r="AJ23" t="s">
        <v>74</v>
      </c>
      <c r="AK23">
        <v>0</v>
      </c>
      <c r="AL23" t="s">
        <v>77</v>
      </c>
      <c r="AM23">
        <v>0</v>
      </c>
      <c r="AN23">
        <v>0.99199999999999999</v>
      </c>
      <c r="AO23">
        <v>0</v>
      </c>
      <c r="AP23">
        <v>5.8245346242475203E-2</v>
      </c>
      <c r="AQ23">
        <v>0</v>
      </c>
      <c r="AR23">
        <v>1.6E-2</v>
      </c>
      <c r="AS23">
        <v>0</v>
      </c>
      <c r="AT23">
        <v>0</v>
      </c>
      <c r="AU23">
        <v>0</v>
      </c>
      <c r="AV23">
        <v>0</v>
      </c>
      <c r="AW23">
        <v>1</v>
      </c>
      <c r="AX23" t="s">
        <v>74</v>
      </c>
      <c r="AY23">
        <v>0</v>
      </c>
      <c r="AZ23" t="s">
        <v>76</v>
      </c>
      <c r="BA23">
        <v>-1.5707963267949001</v>
      </c>
      <c r="BB23">
        <v>0.99199999999999999</v>
      </c>
      <c r="BC23">
        <v>0</v>
      </c>
      <c r="BD23">
        <v>5.8245346242475203E-2</v>
      </c>
      <c r="BE23">
        <v>0</v>
      </c>
      <c r="BF23">
        <v>1.6E-2</v>
      </c>
      <c r="BG23">
        <v>0</v>
      </c>
      <c r="BH23">
        <v>0</v>
      </c>
      <c r="BI23">
        <v>0</v>
      </c>
      <c r="BJ23">
        <v>0</v>
      </c>
      <c r="BK23">
        <v>1</v>
      </c>
      <c r="BL23">
        <v>1.1389098150824401E-4</v>
      </c>
      <c r="BM23" s="1">
        <v>2.4145436577898999E-5</v>
      </c>
      <c r="BN23" s="1">
        <v>4.1732533078098697E-7</v>
      </c>
      <c r="BO23" s="1">
        <v>3.7927563085422899E-7</v>
      </c>
      <c r="BP23">
        <v>0</v>
      </c>
      <c r="BQ23">
        <v>0</v>
      </c>
      <c r="BR23" s="1">
        <v>6.2602888546704497E-5</v>
      </c>
      <c r="BS23" s="1">
        <v>1.32922141896246E-5</v>
      </c>
    </row>
    <row r="24" spans="1:71" x14ac:dyDescent="0.25">
      <c r="A24">
        <v>21</v>
      </c>
      <c r="B24" s="1">
        <v>4.2914185535564E-5</v>
      </c>
      <c r="C24">
        <v>0.103852044544123</v>
      </c>
      <c r="D24">
        <v>-2.9691985950565998E-4</v>
      </c>
      <c r="E24">
        <v>6.1312499999999995E-4</v>
      </c>
      <c r="F24">
        <v>-1.0385204454412299E-3</v>
      </c>
      <c r="G24" s="1">
        <v>1.0842021724855E-19</v>
      </c>
      <c r="H24" t="s">
        <v>74</v>
      </c>
      <c r="I24">
        <v>0</v>
      </c>
      <c r="J24" t="s">
        <v>75</v>
      </c>
      <c r="K24">
        <v>3.14159265358979</v>
      </c>
      <c r="L24">
        <v>0.95831075175737301</v>
      </c>
      <c r="M24">
        <v>0</v>
      </c>
      <c r="N24">
        <v>5.6267279782252898E-2</v>
      </c>
      <c r="O24">
        <v>0</v>
      </c>
      <c r="P24">
        <v>1.6E-2</v>
      </c>
      <c r="Q24">
        <v>0</v>
      </c>
      <c r="R24">
        <v>0</v>
      </c>
      <c r="S24">
        <v>0</v>
      </c>
      <c r="T24">
        <v>0</v>
      </c>
      <c r="U24">
        <v>0.96617345903938401</v>
      </c>
      <c r="V24" t="s">
        <v>78</v>
      </c>
      <c r="W24">
        <v>2204459.3368406999</v>
      </c>
      <c r="X24" t="s">
        <v>76</v>
      </c>
      <c r="Y24">
        <v>-1.5707963267949001</v>
      </c>
      <c r="Z24">
        <v>0.95228659562401496</v>
      </c>
      <c r="AA24">
        <v>3.1972285209175201E-2</v>
      </c>
      <c r="AB24">
        <v>5.2974093911909603E-2</v>
      </c>
      <c r="AC24">
        <v>1.8618270127953799E-3</v>
      </c>
      <c r="AD24">
        <v>2.63762886063592E-2</v>
      </c>
      <c r="AE24">
        <v>1.9155789041997099E-3</v>
      </c>
      <c r="AF24">
        <v>0</v>
      </c>
      <c r="AG24">
        <v>4.8825429722467402E-2</v>
      </c>
      <c r="AH24">
        <v>2.0067165837790099E-3</v>
      </c>
      <c r="AI24">
        <v>0.93332171806881303</v>
      </c>
      <c r="AJ24" t="s">
        <v>74</v>
      </c>
      <c r="AK24">
        <v>0</v>
      </c>
      <c r="AL24" t="s">
        <v>77</v>
      </c>
      <c r="AM24">
        <v>0</v>
      </c>
      <c r="AN24">
        <v>0.99199999999999999</v>
      </c>
      <c r="AO24">
        <v>0</v>
      </c>
      <c r="AP24">
        <v>5.8245346242475203E-2</v>
      </c>
      <c r="AQ24">
        <v>0</v>
      </c>
      <c r="AR24">
        <v>1.6E-2</v>
      </c>
      <c r="AS24">
        <v>0</v>
      </c>
      <c r="AT24">
        <v>0</v>
      </c>
      <c r="AU24">
        <v>0</v>
      </c>
      <c r="AV24">
        <v>0</v>
      </c>
      <c r="AW24">
        <v>1</v>
      </c>
      <c r="AX24" t="s">
        <v>74</v>
      </c>
      <c r="AY24">
        <v>0</v>
      </c>
      <c r="AZ24" t="s">
        <v>76</v>
      </c>
      <c r="BA24">
        <v>-1.5707963267949001</v>
      </c>
      <c r="BB24">
        <v>0.99199999999999999</v>
      </c>
      <c r="BC24">
        <v>0</v>
      </c>
      <c r="BD24">
        <v>5.8245346242475203E-2</v>
      </c>
      <c r="BE24">
        <v>0</v>
      </c>
      <c r="BF24">
        <v>1.6E-2</v>
      </c>
      <c r="BG24">
        <v>0</v>
      </c>
      <c r="BH24">
        <v>0</v>
      </c>
      <c r="BI24">
        <v>0</v>
      </c>
      <c r="BJ24">
        <v>0</v>
      </c>
      <c r="BK24">
        <v>1</v>
      </c>
      <c r="BL24">
        <v>1.13796946595954E-4</v>
      </c>
      <c r="BM24" s="1">
        <v>2.5416073153123199E-5</v>
      </c>
      <c r="BN24" s="1">
        <v>4.1694965886604202E-7</v>
      </c>
      <c r="BO24" s="1">
        <v>3.9923474350476298E-7</v>
      </c>
      <c r="BP24">
        <v>0</v>
      </c>
      <c r="BQ24">
        <v>0</v>
      </c>
      <c r="BR24" s="1">
        <v>6.2549430910071799E-5</v>
      </c>
      <c r="BS24" s="1">
        <v>1.39923412971577E-5</v>
      </c>
    </row>
    <row r="25" spans="1:71" x14ac:dyDescent="0.25">
      <c r="A25">
        <v>22</v>
      </c>
      <c r="B25" s="1">
        <v>4.0968712435316502E-5</v>
      </c>
      <c r="C25">
        <v>0.103893013256558</v>
      </c>
      <c r="D25">
        <v>-2.9714312979925201E-4</v>
      </c>
      <c r="E25">
        <v>6.1312499999999995E-4</v>
      </c>
      <c r="F25">
        <v>-1.03893013256558E-3</v>
      </c>
      <c r="G25">
        <v>0</v>
      </c>
      <c r="H25" t="s">
        <v>74</v>
      </c>
      <c r="I25">
        <v>0</v>
      </c>
      <c r="J25" t="s">
        <v>75</v>
      </c>
      <c r="K25">
        <v>3.14159265358979</v>
      </c>
      <c r="L25">
        <v>0.95662651985967495</v>
      </c>
      <c r="M25">
        <v>0</v>
      </c>
      <c r="N25">
        <v>5.6168389993912098E-2</v>
      </c>
      <c r="O25">
        <v>0</v>
      </c>
      <c r="P25">
        <v>1.6E-2</v>
      </c>
      <c r="Q25">
        <v>0</v>
      </c>
      <c r="R25">
        <v>0</v>
      </c>
      <c r="S25">
        <v>0</v>
      </c>
      <c r="T25">
        <v>0</v>
      </c>
      <c r="U25">
        <v>0.96446341372839595</v>
      </c>
      <c r="V25" t="s">
        <v>78</v>
      </c>
      <c r="W25">
        <v>2206386.0511004799</v>
      </c>
      <c r="X25" t="s">
        <v>76</v>
      </c>
      <c r="Y25">
        <v>-1.5707963267949001</v>
      </c>
      <c r="Z25">
        <v>0.95053562554997095</v>
      </c>
      <c r="AA25">
        <v>3.4626073973240197E-2</v>
      </c>
      <c r="AB25">
        <v>5.2844899051263501E-2</v>
      </c>
      <c r="AC25">
        <v>1.9876681691721799E-3</v>
      </c>
      <c r="AD25">
        <v>2.6416208375365E-2</v>
      </c>
      <c r="AE25">
        <v>2.02502817751704E-3</v>
      </c>
      <c r="AF25">
        <v>0</v>
      </c>
      <c r="AG25">
        <v>5.1159400029977598E-2</v>
      </c>
      <c r="AH25">
        <v>2.2140057790292602E-3</v>
      </c>
      <c r="AI25">
        <v>0.93003130112985699</v>
      </c>
      <c r="AJ25" t="s">
        <v>74</v>
      </c>
      <c r="AK25">
        <v>0</v>
      </c>
      <c r="AL25" t="s">
        <v>77</v>
      </c>
      <c r="AM25">
        <v>0</v>
      </c>
      <c r="AN25">
        <v>0.99199999999999999</v>
      </c>
      <c r="AO25">
        <v>0</v>
      </c>
      <c r="AP25">
        <v>5.8245346242475203E-2</v>
      </c>
      <c r="AQ25">
        <v>0</v>
      </c>
      <c r="AR25">
        <v>1.6E-2</v>
      </c>
      <c r="AS25">
        <v>0</v>
      </c>
      <c r="AT25">
        <v>0</v>
      </c>
      <c r="AU25">
        <v>0</v>
      </c>
      <c r="AV25">
        <v>0</v>
      </c>
      <c r="AW25">
        <v>1</v>
      </c>
      <c r="AX25" t="s">
        <v>74</v>
      </c>
      <c r="AY25">
        <v>0</v>
      </c>
      <c r="AZ25" t="s">
        <v>76</v>
      </c>
      <c r="BA25">
        <v>-1.5707963267949001</v>
      </c>
      <c r="BB25">
        <v>0.99199999999999999</v>
      </c>
      <c r="BC25">
        <v>0</v>
      </c>
      <c r="BD25">
        <v>5.8245346242475203E-2</v>
      </c>
      <c r="BE25">
        <v>0</v>
      </c>
      <c r="BF25">
        <v>1.6E-2</v>
      </c>
      <c r="BG25">
        <v>0</v>
      </c>
      <c r="BH25">
        <v>0</v>
      </c>
      <c r="BI25">
        <v>0</v>
      </c>
      <c r="BJ25">
        <v>0</v>
      </c>
      <c r="BK25">
        <v>1</v>
      </c>
      <c r="BL25">
        <v>1.13745824849649E-4</v>
      </c>
      <c r="BM25" s="1">
        <v>2.6686702904503399E-5</v>
      </c>
      <c r="BN25" s="1">
        <v>4.1666526228653801E-7</v>
      </c>
      <c r="BO25" s="1">
        <v>4.1919374896660697E-7</v>
      </c>
      <c r="BP25">
        <v>0</v>
      </c>
      <c r="BQ25">
        <v>0</v>
      </c>
      <c r="BR25" s="1">
        <v>6.2519468774227405E-5</v>
      </c>
      <c r="BS25" s="1">
        <v>1.46924978059087E-5</v>
      </c>
    </row>
    <row r="26" spans="1:71" x14ac:dyDescent="0.25">
      <c r="A26">
        <v>23</v>
      </c>
      <c r="B26" s="1">
        <v>3.9201414316337802E-5</v>
      </c>
      <c r="C26">
        <v>0.103932214670875</v>
      </c>
      <c r="D26">
        <v>-2.9735672495193901E-4</v>
      </c>
      <c r="E26">
        <v>6.1312499999999995E-4</v>
      </c>
      <c r="F26">
        <v>-1.03932214670875E-3</v>
      </c>
      <c r="G26">
        <v>0</v>
      </c>
      <c r="H26" t="s">
        <v>74</v>
      </c>
      <c r="I26">
        <v>0</v>
      </c>
      <c r="J26" t="s">
        <v>75</v>
      </c>
      <c r="K26">
        <v>3.14159265358979</v>
      </c>
      <c r="L26">
        <v>0.95494229721721602</v>
      </c>
      <c r="M26">
        <v>0</v>
      </c>
      <c r="N26">
        <v>5.6069500748993299E-2</v>
      </c>
      <c r="O26">
        <v>0</v>
      </c>
      <c r="P26">
        <v>1.6E-2</v>
      </c>
      <c r="Q26">
        <v>0</v>
      </c>
      <c r="R26">
        <v>0</v>
      </c>
      <c r="S26">
        <v>0</v>
      </c>
      <c r="T26">
        <v>0</v>
      </c>
      <c r="U26">
        <v>0.96275425305338302</v>
      </c>
      <c r="V26" t="s">
        <v>78</v>
      </c>
      <c r="W26">
        <v>2208229.2735905098</v>
      </c>
      <c r="X26" t="s">
        <v>76</v>
      </c>
      <c r="Y26">
        <v>-1.5707963267949001</v>
      </c>
      <c r="Z26">
        <v>0.94878795062642296</v>
      </c>
      <c r="AA26">
        <v>3.7283445577653999E-2</v>
      </c>
      <c r="AB26">
        <v>5.2717367962110101E-2</v>
      </c>
      <c r="AC26">
        <v>2.1135790891450199E-3</v>
      </c>
      <c r="AD26">
        <v>2.64493101615298E-2</v>
      </c>
      <c r="AE26">
        <v>2.1349566761866001E-3</v>
      </c>
      <c r="AF26">
        <v>0</v>
      </c>
      <c r="AG26">
        <v>5.34830508636195E-2</v>
      </c>
      <c r="AH26">
        <v>2.4316004833466499E-3</v>
      </c>
      <c r="AI26">
        <v>0.92674775078217997</v>
      </c>
      <c r="AJ26" t="s">
        <v>74</v>
      </c>
      <c r="AK26">
        <v>0</v>
      </c>
      <c r="AL26" t="s">
        <v>77</v>
      </c>
      <c r="AM26">
        <v>0</v>
      </c>
      <c r="AN26">
        <v>0.99199999999999999</v>
      </c>
      <c r="AO26">
        <v>0</v>
      </c>
      <c r="AP26">
        <v>5.8245346242475203E-2</v>
      </c>
      <c r="AQ26">
        <v>0</v>
      </c>
      <c r="AR26">
        <v>1.6E-2</v>
      </c>
      <c r="AS26">
        <v>0</v>
      </c>
      <c r="AT26">
        <v>0</v>
      </c>
      <c r="AU26">
        <v>0</v>
      </c>
      <c r="AV26">
        <v>0</v>
      </c>
      <c r="AW26">
        <v>1</v>
      </c>
      <c r="AX26" t="s">
        <v>74</v>
      </c>
      <c r="AY26">
        <v>0</v>
      </c>
      <c r="AZ26" t="s">
        <v>76</v>
      </c>
      <c r="BA26">
        <v>-1.5707963267949001</v>
      </c>
      <c r="BB26">
        <v>0.99199999999999999</v>
      </c>
      <c r="BC26">
        <v>0</v>
      </c>
      <c r="BD26">
        <v>5.8245346242475203E-2</v>
      </c>
      <c r="BE26">
        <v>0</v>
      </c>
      <c r="BF26">
        <v>1.6E-2</v>
      </c>
      <c r="BG26">
        <v>0</v>
      </c>
      <c r="BH26">
        <v>0</v>
      </c>
      <c r="BI26">
        <v>0</v>
      </c>
      <c r="BJ26">
        <v>0</v>
      </c>
      <c r="BK26">
        <v>1</v>
      </c>
      <c r="BL26">
        <v>1.13695570142599E-4</v>
      </c>
      <c r="BM26" s="1">
        <v>2.7957325673483099E-5</v>
      </c>
      <c r="BN26" s="1">
        <v>4.16387548820194E-7</v>
      </c>
      <c r="BO26" s="1">
        <v>4.39152644749159E-7</v>
      </c>
      <c r="BP26">
        <v>0</v>
      </c>
      <c r="BQ26">
        <v>0</v>
      </c>
      <c r="BR26" s="1">
        <v>6.2489867152411405E-5</v>
      </c>
      <c r="BS26" s="1">
        <v>1.5392682213382998E-5</v>
      </c>
    </row>
    <row r="27" spans="1:71" x14ac:dyDescent="0.25">
      <c r="A27">
        <v>24</v>
      </c>
      <c r="B27" s="1">
        <v>3.75888746648338E-5</v>
      </c>
      <c r="C27">
        <v>0.10396980354554</v>
      </c>
      <c r="D27">
        <v>-2.9756149378136801E-4</v>
      </c>
      <c r="E27">
        <v>6.1312499999999995E-4</v>
      </c>
      <c r="F27">
        <v>-1.0396980354553901E-3</v>
      </c>
      <c r="G27">
        <v>0</v>
      </c>
      <c r="H27" t="s">
        <v>74</v>
      </c>
      <c r="I27">
        <v>0</v>
      </c>
      <c r="J27" t="s">
        <v>75</v>
      </c>
      <c r="K27">
        <v>3.14159265358979</v>
      </c>
      <c r="L27">
        <v>0.95325808402498102</v>
      </c>
      <c r="M27">
        <v>0</v>
      </c>
      <c r="N27">
        <v>5.5970612058945102E-2</v>
      </c>
      <c r="O27">
        <v>0</v>
      </c>
      <c r="P27">
        <v>1.6E-2</v>
      </c>
      <c r="Q27">
        <v>0</v>
      </c>
      <c r="R27">
        <v>0</v>
      </c>
      <c r="S27">
        <v>0</v>
      </c>
      <c r="T27">
        <v>0</v>
      </c>
      <c r="U27">
        <v>0.96104585165586898</v>
      </c>
      <c r="V27" t="s">
        <v>78</v>
      </c>
      <c r="W27">
        <v>2209996.3291950598</v>
      </c>
      <c r="X27" t="s">
        <v>76</v>
      </c>
      <c r="Y27">
        <v>-1.5707963267949001</v>
      </c>
      <c r="Z27">
        <v>0.94704330142753601</v>
      </c>
      <c r="AA27">
        <v>3.7283445577653999E-2</v>
      </c>
      <c r="AB27">
        <v>5.25913591668715E-2</v>
      </c>
      <c r="AC27">
        <v>2.1552805377027398E-3</v>
      </c>
      <c r="AD27">
        <v>2.64761467387431E-2</v>
      </c>
      <c r="AE27">
        <v>2.2453421166492901E-3</v>
      </c>
      <c r="AF27">
        <v>0</v>
      </c>
      <c r="AG27">
        <v>5.5796358827394803E-2</v>
      </c>
      <c r="AH27">
        <v>2.65952379852534E-3</v>
      </c>
      <c r="AI27">
        <v>0.92347095117637601</v>
      </c>
      <c r="AJ27" t="s">
        <v>74</v>
      </c>
      <c r="AK27">
        <v>0</v>
      </c>
      <c r="AL27" t="s">
        <v>77</v>
      </c>
      <c r="AM27">
        <v>0</v>
      </c>
      <c r="AN27">
        <v>0.99199999999999999</v>
      </c>
      <c r="AO27">
        <v>0</v>
      </c>
      <c r="AP27">
        <v>5.8245346242475203E-2</v>
      </c>
      <c r="AQ27">
        <v>0</v>
      </c>
      <c r="AR27">
        <v>1.6E-2</v>
      </c>
      <c r="AS27">
        <v>0</v>
      </c>
      <c r="AT27">
        <v>0</v>
      </c>
      <c r="AU27">
        <v>0</v>
      </c>
      <c r="AV27">
        <v>0</v>
      </c>
      <c r="AW27">
        <v>1</v>
      </c>
      <c r="AX27" t="s">
        <v>74</v>
      </c>
      <c r="AY27">
        <v>0</v>
      </c>
      <c r="AZ27" t="s">
        <v>76</v>
      </c>
      <c r="BA27">
        <v>-1.5707963267949001</v>
      </c>
      <c r="BB27">
        <v>0.99199999999999999</v>
      </c>
      <c r="BC27">
        <v>0</v>
      </c>
      <c r="BD27">
        <v>5.8245346242475203E-2</v>
      </c>
      <c r="BE27">
        <v>0</v>
      </c>
      <c r="BF27">
        <v>1.6E-2</v>
      </c>
      <c r="BG27">
        <v>0</v>
      </c>
      <c r="BH27">
        <v>0</v>
      </c>
      <c r="BI27">
        <v>0</v>
      </c>
      <c r="BJ27">
        <v>0</v>
      </c>
      <c r="BK27">
        <v>1</v>
      </c>
      <c r="BL27">
        <v>1.13603972124235E-4</v>
      </c>
      <c r="BM27" s="1">
        <v>2.9227941312959999E-5</v>
      </c>
      <c r="BN27" s="1">
        <v>4.1603166326830102E-7</v>
      </c>
      <c r="BO27" s="1">
        <v>4.5911142854174499E-7</v>
      </c>
      <c r="BP27">
        <v>0</v>
      </c>
      <c r="BQ27">
        <v>0</v>
      </c>
      <c r="BR27" s="1">
        <v>6.2437395186737106E-5</v>
      </c>
      <c r="BS27" s="1">
        <v>1.6092893151992301E-5</v>
      </c>
    </row>
    <row r="28" spans="1:71" x14ac:dyDescent="0.25">
      <c r="A28">
        <v>25</v>
      </c>
      <c r="B28" s="1">
        <v>3.6111615483809603E-5</v>
      </c>
      <c r="C28">
        <v>0.104005915161023</v>
      </c>
      <c r="D28">
        <v>-2.9775817813375798E-4</v>
      </c>
      <c r="E28">
        <v>6.1312499999999995E-4</v>
      </c>
      <c r="F28">
        <v>-1.0400591516102301E-3</v>
      </c>
      <c r="G28" s="1">
        <v>1.0842021724855E-19</v>
      </c>
      <c r="H28" t="s">
        <v>74</v>
      </c>
      <c r="I28">
        <v>0</v>
      </c>
      <c r="J28" t="s">
        <v>75</v>
      </c>
      <c r="K28">
        <v>3.14159265358979</v>
      </c>
      <c r="L28">
        <v>0.95157388046503699</v>
      </c>
      <c r="M28">
        <v>0</v>
      </c>
      <c r="N28">
        <v>5.5871723934457398E-2</v>
      </c>
      <c r="O28">
        <v>0</v>
      </c>
      <c r="P28">
        <v>1.6E-2</v>
      </c>
      <c r="Q28">
        <v>0</v>
      </c>
      <c r="R28">
        <v>0</v>
      </c>
      <c r="S28">
        <v>0</v>
      </c>
      <c r="T28">
        <v>0</v>
      </c>
      <c r="U28">
        <v>0.95933810701667899</v>
      </c>
      <c r="V28" t="s">
        <v>78</v>
      </c>
      <c r="W28">
        <v>2211693.6196869002</v>
      </c>
      <c r="X28" t="s">
        <v>76</v>
      </c>
      <c r="Y28">
        <v>-1.5707963267949001</v>
      </c>
      <c r="Z28">
        <v>0.94530144138194105</v>
      </c>
      <c r="AA28">
        <v>3.9946060012774197E-2</v>
      </c>
      <c r="AB28">
        <v>5.2466748797903598E-2</v>
      </c>
      <c r="AC28">
        <v>2.28127709813451E-3</v>
      </c>
      <c r="AD28">
        <v>2.6497204024543398E-2</v>
      </c>
      <c r="AE28">
        <v>2.3561640296826301E-3</v>
      </c>
      <c r="AF28">
        <v>0</v>
      </c>
      <c r="AG28">
        <v>5.80993002227349E-2</v>
      </c>
      <c r="AH28">
        <v>2.89779914842094E-3</v>
      </c>
      <c r="AI28">
        <v>0.92020080926261305</v>
      </c>
      <c r="AJ28" t="s">
        <v>74</v>
      </c>
      <c r="AK28">
        <v>0</v>
      </c>
      <c r="AL28" t="s">
        <v>77</v>
      </c>
      <c r="AM28">
        <v>0</v>
      </c>
      <c r="AN28">
        <v>0.99199999999999999</v>
      </c>
      <c r="AO28">
        <v>0</v>
      </c>
      <c r="AP28">
        <v>5.8245346242475203E-2</v>
      </c>
      <c r="AQ28">
        <v>0</v>
      </c>
      <c r="AR28">
        <v>1.6E-2</v>
      </c>
      <c r="AS28">
        <v>0</v>
      </c>
      <c r="AT28">
        <v>0</v>
      </c>
      <c r="AU28">
        <v>0</v>
      </c>
      <c r="AV28">
        <v>0</v>
      </c>
      <c r="AW28">
        <v>1</v>
      </c>
      <c r="AX28" t="s">
        <v>74</v>
      </c>
      <c r="AY28">
        <v>0</v>
      </c>
      <c r="AZ28" t="s">
        <v>76</v>
      </c>
      <c r="BA28">
        <v>-1.5707963267949001</v>
      </c>
      <c r="BB28">
        <v>0.99199999999999999</v>
      </c>
      <c r="BC28">
        <v>0</v>
      </c>
      <c r="BD28">
        <v>5.8245346242475203E-2</v>
      </c>
      <c r="BE28">
        <v>0</v>
      </c>
      <c r="BF28">
        <v>1.6E-2</v>
      </c>
      <c r="BG28">
        <v>0</v>
      </c>
      <c r="BH28">
        <v>0</v>
      </c>
      <c r="BI28">
        <v>0</v>
      </c>
      <c r="BJ28">
        <v>0</v>
      </c>
      <c r="BK28">
        <v>1</v>
      </c>
      <c r="BL28">
        <v>1.13555221157723E-4</v>
      </c>
      <c r="BM28" s="1">
        <v>3.04985496855779E-5</v>
      </c>
      <c r="BN28" s="1">
        <v>4.1576560458650299E-7</v>
      </c>
      <c r="BO28" s="1">
        <v>4.7907009818677505E-7</v>
      </c>
      <c r="BP28">
        <v>0</v>
      </c>
      <c r="BQ28">
        <v>0</v>
      </c>
      <c r="BR28" s="1">
        <v>6.2408416044041696E-5</v>
      </c>
      <c r="BS28" s="1">
        <v>1.6793129371449199E-5</v>
      </c>
    </row>
    <row r="29" spans="1:71" x14ac:dyDescent="0.25">
      <c r="A29">
        <v>26</v>
      </c>
      <c r="B29" s="1">
        <v>3.4753301833934898E-5</v>
      </c>
      <c r="C29">
        <v>0.10404066846285701</v>
      </c>
      <c r="D29">
        <v>-2.9794743016197203E-4</v>
      </c>
      <c r="E29">
        <v>6.1312499999999995E-4</v>
      </c>
      <c r="F29">
        <v>-1.04040668462857E-3</v>
      </c>
      <c r="G29">
        <v>0</v>
      </c>
      <c r="H29" t="s">
        <v>74</v>
      </c>
      <c r="I29">
        <v>0</v>
      </c>
      <c r="J29" t="s">
        <v>75</v>
      </c>
      <c r="K29">
        <v>3.14159265358979</v>
      </c>
      <c r="L29">
        <v>0.94988968670839902</v>
      </c>
      <c r="M29">
        <v>0</v>
      </c>
      <c r="N29">
        <v>5.5772836385571602E-2</v>
      </c>
      <c r="O29">
        <v>0</v>
      </c>
      <c r="P29">
        <v>1.6E-2</v>
      </c>
      <c r="Q29">
        <v>0</v>
      </c>
      <c r="R29">
        <v>0</v>
      </c>
      <c r="S29">
        <v>0</v>
      </c>
      <c r="T29">
        <v>0</v>
      </c>
      <c r="U29">
        <v>0.95763093442105895</v>
      </c>
      <c r="V29" t="s">
        <v>78</v>
      </c>
      <c r="W29">
        <v>2213326.7728287098</v>
      </c>
      <c r="X29" t="s">
        <v>76</v>
      </c>
      <c r="Y29">
        <v>-1.5707963267949001</v>
      </c>
      <c r="Z29">
        <v>0.943562161583266</v>
      </c>
      <c r="AA29">
        <v>3.9946060012774197E-2</v>
      </c>
      <c r="AB29">
        <v>5.2343427774282497E-2</v>
      </c>
      <c r="AC29">
        <v>2.3228936885856199E-3</v>
      </c>
      <c r="AD29">
        <v>2.65129116077331E-2</v>
      </c>
      <c r="AE29">
        <v>2.4674035368210598E-3</v>
      </c>
      <c r="AF29">
        <v>0</v>
      </c>
      <c r="AG29">
        <v>6.0391851069476199E-2</v>
      </c>
      <c r="AH29">
        <v>3.1464502551600201E-3</v>
      </c>
      <c r="AI29">
        <v>0.91693724975692903</v>
      </c>
      <c r="AJ29" t="s">
        <v>74</v>
      </c>
      <c r="AK29">
        <v>0</v>
      </c>
      <c r="AL29" t="s">
        <v>77</v>
      </c>
      <c r="AM29">
        <v>0</v>
      </c>
      <c r="AN29">
        <v>0.99199999999999999</v>
      </c>
      <c r="AO29">
        <v>0</v>
      </c>
      <c r="AP29">
        <v>5.8245346242475203E-2</v>
      </c>
      <c r="AQ29">
        <v>0</v>
      </c>
      <c r="AR29">
        <v>1.6E-2</v>
      </c>
      <c r="AS29">
        <v>0</v>
      </c>
      <c r="AT29">
        <v>0</v>
      </c>
      <c r="AU29">
        <v>0</v>
      </c>
      <c r="AV29">
        <v>0</v>
      </c>
      <c r="AW29">
        <v>1</v>
      </c>
      <c r="AX29" t="s">
        <v>74</v>
      </c>
      <c r="AY29">
        <v>0</v>
      </c>
      <c r="AZ29" t="s">
        <v>76</v>
      </c>
      <c r="BA29">
        <v>-1.5707963267949001</v>
      </c>
      <c r="BB29">
        <v>0.99199999999999999</v>
      </c>
      <c r="BC29">
        <v>0</v>
      </c>
      <c r="BD29">
        <v>5.8245346242475203E-2</v>
      </c>
      <c r="BE29">
        <v>0</v>
      </c>
      <c r="BF29">
        <v>1.6E-2</v>
      </c>
      <c r="BG29">
        <v>0</v>
      </c>
      <c r="BH29">
        <v>0</v>
      </c>
      <c r="BI29">
        <v>0</v>
      </c>
      <c r="BJ29">
        <v>0</v>
      </c>
      <c r="BK29">
        <v>1</v>
      </c>
      <c r="BL29">
        <v>1.13464925166695E-4</v>
      </c>
      <c r="BM29" s="1">
        <v>3.1769150662318098E-5</v>
      </c>
      <c r="BN29" s="1">
        <v>4.1542025342745E-7</v>
      </c>
      <c r="BO29" s="1">
        <v>4.9902865165762904E-7</v>
      </c>
      <c r="BP29">
        <v>0</v>
      </c>
      <c r="BQ29">
        <v>0</v>
      </c>
      <c r="BR29" s="1">
        <v>6.2356470459306804E-5</v>
      </c>
      <c r="BS29" s="1">
        <v>1.74933897240942E-5</v>
      </c>
    </row>
    <row r="30" spans="1:71" x14ac:dyDescent="0.25">
      <c r="A30">
        <v>27</v>
      </c>
      <c r="B30" s="1">
        <v>3.3500131813841602E-5</v>
      </c>
      <c r="C30">
        <v>0.104074168594671</v>
      </c>
      <c r="D30">
        <v>-2.9812982624759801E-4</v>
      </c>
      <c r="E30">
        <v>6.1312499999999995E-4</v>
      </c>
      <c r="F30">
        <v>-1.04074168594671E-3</v>
      </c>
      <c r="G30">
        <v>0</v>
      </c>
      <c r="H30" t="s">
        <v>74</v>
      </c>
      <c r="I30">
        <v>0</v>
      </c>
      <c r="J30" t="s">
        <v>75</v>
      </c>
      <c r="K30">
        <v>3.14159265358979</v>
      </c>
      <c r="L30">
        <v>0.94820550291658801</v>
      </c>
      <c r="M30">
        <v>0</v>
      </c>
      <c r="N30">
        <v>5.5673949421771202E-2</v>
      </c>
      <c r="O30">
        <v>0</v>
      </c>
      <c r="P30">
        <v>1.6E-2</v>
      </c>
      <c r="Q30">
        <v>0</v>
      </c>
      <c r="R30">
        <v>0</v>
      </c>
      <c r="S30">
        <v>0</v>
      </c>
      <c r="T30">
        <v>0</v>
      </c>
      <c r="U30">
        <v>0.95592426321199797</v>
      </c>
      <c r="V30" t="s">
        <v>78</v>
      </c>
      <c r="W30">
        <v>2214900.7625138299</v>
      </c>
      <c r="X30" t="s">
        <v>76</v>
      </c>
      <c r="Y30">
        <v>-1.5707963267949001</v>
      </c>
      <c r="Z30">
        <v>0.94182527659218396</v>
      </c>
      <c r="AA30">
        <v>4.2611671724292199E-2</v>
      </c>
      <c r="AB30">
        <v>5.22212995243857E-2</v>
      </c>
      <c r="AC30">
        <v>2.4489088338887702E-3</v>
      </c>
      <c r="AD30">
        <v>2.6523651268055601E-2</v>
      </c>
      <c r="AE30">
        <v>2.5790431623233701E-3</v>
      </c>
      <c r="AF30">
        <v>0</v>
      </c>
      <c r="AG30">
        <v>6.2673987124109695E-2</v>
      </c>
      <c r="AH30">
        <v>3.4055011185428002E-3</v>
      </c>
      <c r="AI30">
        <v>0.91368021139546496</v>
      </c>
      <c r="AJ30" t="s">
        <v>74</v>
      </c>
      <c r="AK30">
        <v>0</v>
      </c>
      <c r="AL30" t="s">
        <v>77</v>
      </c>
      <c r="AM30">
        <v>0</v>
      </c>
      <c r="AN30">
        <v>0.99199999999999999</v>
      </c>
      <c r="AO30">
        <v>0</v>
      </c>
      <c r="AP30">
        <v>5.8245346242475203E-2</v>
      </c>
      <c r="AQ30">
        <v>0</v>
      </c>
      <c r="AR30">
        <v>1.6E-2</v>
      </c>
      <c r="AS30">
        <v>0</v>
      </c>
      <c r="AT30">
        <v>0</v>
      </c>
      <c r="AU30">
        <v>0</v>
      </c>
      <c r="AV30">
        <v>0</v>
      </c>
      <c r="AW30">
        <v>1</v>
      </c>
      <c r="AX30" t="s">
        <v>74</v>
      </c>
      <c r="AY30">
        <v>0</v>
      </c>
      <c r="AZ30" t="s">
        <v>76</v>
      </c>
      <c r="BA30">
        <v>-1.5707963267949001</v>
      </c>
      <c r="BB30">
        <v>0.99199999999999999</v>
      </c>
      <c r="BC30">
        <v>0</v>
      </c>
      <c r="BD30">
        <v>5.8245346242475203E-2</v>
      </c>
      <c r="BE30">
        <v>0</v>
      </c>
      <c r="BF30">
        <v>1.6E-2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1.13417425132498E-4</v>
      </c>
      <c r="BM30" s="1">
        <v>3.3039744121326203E-5</v>
      </c>
      <c r="BN30" s="1">
        <v>4.1516399736073499E-7</v>
      </c>
      <c r="BO30" s="1">
        <v>5.1898708704022505E-7</v>
      </c>
      <c r="BP30">
        <v>0</v>
      </c>
      <c r="BQ30">
        <v>0</v>
      </c>
      <c r="BR30" s="1">
        <v>6.2328006089964894E-5</v>
      </c>
      <c r="BS30" s="1">
        <v>1.8193673152566502E-5</v>
      </c>
    </row>
    <row r="31" spans="1:71" x14ac:dyDescent="0.25">
      <c r="A31">
        <v>28</v>
      </c>
      <c r="B31" s="1">
        <v>3.2340363404910499E-5</v>
      </c>
      <c r="C31">
        <v>0.10410650895807599</v>
      </c>
      <c r="D31">
        <v>-2.98305878320471E-4</v>
      </c>
      <c r="E31">
        <v>6.1312499999999995E-4</v>
      </c>
      <c r="F31">
        <v>-1.04106508958076E-3</v>
      </c>
      <c r="G31" s="1">
        <v>1.0842021724855E-19</v>
      </c>
      <c r="H31" t="s">
        <v>74</v>
      </c>
      <c r="I31">
        <v>0</v>
      </c>
      <c r="J31" t="s">
        <v>75</v>
      </c>
      <c r="K31">
        <v>3.14159265358979</v>
      </c>
      <c r="L31">
        <v>0.94652132924292598</v>
      </c>
      <c r="M31">
        <v>0</v>
      </c>
      <c r="N31">
        <v>5.5575063052058601E-2</v>
      </c>
      <c r="O31">
        <v>0</v>
      </c>
      <c r="P31">
        <v>1.6E-2</v>
      </c>
      <c r="Q31">
        <v>0</v>
      </c>
      <c r="R31">
        <v>0</v>
      </c>
      <c r="S31">
        <v>0</v>
      </c>
      <c r="T31">
        <v>0</v>
      </c>
      <c r="U31">
        <v>0.95421803396115201</v>
      </c>
      <c r="V31" t="s">
        <v>78</v>
      </c>
      <c r="W31">
        <v>2216420.0064482102</v>
      </c>
      <c r="X31" t="s">
        <v>76</v>
      </c>
      <c r="Y31">
        <v>-1.5707963267949001</v>
      </c>
      <c r="Z31">
        <v>0.94009062101021901</v>
      </c>
      <c r="AA31">
        <v>4.2611671724292199E-2</v>
      </c>
      <c r="AB31">
        <v>5.21002781321077E-2</v>
      </c>
      <c r="AC31">
        <v>2.4904469513267898E-3</v>
      </c>
      <c r="AD31">
        <v>2.65297639325143E-2</v>
      </c>
      <c r="AE31">
        <v>2.6910666738534602E-3</v>
      </c>
      <c r="AF31">
        <v>0</v>
      </c>
      <c r="AG31">
        <v>6.4945683895760706E-2</v>
      </c>
      <c r="AH31">
        <v>3.67497599810061E-3</v>
      </c>
      <c r="AI31">
        <v>0.91042964410608895</v>
      </c>
      <c r="AJ31" t="s">
        <v>74</v>
      </c>
      <c r="AK31">
        <v>0</v>
      </c>
      <c r="AL31" t="s">
        <v>77</v>
      </c>
      <c r="AM31">
        <v>0</v>
      </c>
      <c r="AN31">
        <v>0.99199999999999999</v>
      </c>
      <c r="AO31">
        <v>0</v>
      </c>
      <c r="AP31">
        <v>5.8245346242475203E-2</v>
      </c>
      <c r="AQ31">
        <v>0</v>
      </c>
      <c r="AR31">
        <v>1.6E-2</v>
      </c>
      <c r="AS31">
        <v>0</v>
      </c>
      <c r="AT31">
        <v>0</v>
      </c>
      <c r="AU31">
        <v>0</v>
      </c>
      <c r="AV31">
        <v>0</v>
      </c>
      <c r="AW31">
        <v>1</v>
      </c>
      <c r="AX31" t="s">
        <v>74</v>
      </c>
      <c r="AY31">
        <v>0</v>
      </c>
      <c r="AZ31" t="s">
        <v>76</v>
      </c>
      <c r="BA31">
        <v>-1.5707963267949001</v>
      </c>
      <c r="BB31">
        <v>0.99199999999999999</v>
      </c>
      <c r="BC31">
        <v>0</v>
      </c>
      <c r="BD31">
        <v>5.8245346242475203E-2</v>
      </c>
      <c r="BE31">
        <v>0</v>
      </c>
      <c r="BF31">
        <v>1.6E-2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1.1332824031022199E-4</v>
      </c>
      <c r="BM31" s="1">
        <v>3.43103299469307E-5</v>
      </c>
      <c r="BN31" s="1">
        <v>4.1482761248680702E-7</v>
      </c>
      <c r="BO31" s="1">
        <v>5.3894540251759599E-7</v>
      </c>
      <c r="BP31">
        <v>0</v>
      </c>
      <c r="BQ31">
        <v>0</v>
      </c>
      <c r="BR31" s="1">
        <v>6.2276509753920903E-5</v>
      </c>
      <c r="BS31" s="1">
        <v>1.8893978679370899E-5</v>
      </c>
    </row>
    <row r="32" spans="1:71" x14ac:dyDescent="0.25">
      <c r="A32">
        <v>29</v>
      </c>
      <c r="B32" s="1">
        <v>3.1263943628742103E-5</v>
      </c>
      <c r="C32">
        <v>0.10413777290170501</v>
      </c>
      <c r="D32">
        <v>-2.9847604313875097E-4</v>
      </c>
      <c r="E32">
        <v>6.1312499999999995E-4</v>
      </c>
      <c r="F32">
        <v>-1.0413777290170501E-3</v>
      </c>
      <c r="G32" s="1">
        <v>1.0842021724855E-19</v>
      </c>
      <c r="H32" t="s">
        <v>74</v>
      </c>
      <c r="I32">
        <v>0</v>
      </c>
      <c r="J32" t="s">
        <v>75</v>
      </c>
      <c r="K32">
        <v>3.14159265358979</v>
      </c>
      <c r="L32">
        <v>0.94483716583363897</v>
      </c>
      <c r="M32">
        <v>0</v>
      </c>
      <c r="N32">
        <v>5.5476177285019398E-2</v>
      </c>
      <c r="O32">
        <v>0</v>
      </c>
      <c r="P32">
        <v>1.6E-2</v>
      </c>
      <c r="Q32">
        <v>0</v>
      </c>
      <c r="R32">
        <v>0</v>
      </c>
      <c r="S32">
        <v>0</v>
      </c>
      <c r="T32">
        <v>0</v>
      </c>
      <c r="U32">
        <v>0.95251219630362105</v>
      </c>
      <c r="V32" t="s">
        <v>78</v>
      </c>
      <c r="W32">
        <v>2217888.44623311</v>
      </c>
      <c r="X32" t="s">
        <v>76</v>
      </c>
      <c r="Y32">
        <v>-1.5707963267949001</v>
      </c>
      <c r="Z32">
        <v>0.93835804666048295</v>
      </c>
      <c r="AA32">
        <v>4.5278345228392698E-2</v>
      </c>
      <c r="AB32">
        <v>5.1980286815343203E-2</v>
      </c>
      <c r="AC32">
        <v>2.6164233925249701E-3</v>
      </c>
      <c r="AD32">
        <v>2.6531555401847099E-2</v>
      </c>
      <c r="AE32">
        <v>2.8034589465651301E-3</v>
      </c>
      <c r="AF32">
        <v>0</v>
      </c>
      <c r="AG32">
        <v>6.7206916660253399E-2</v>
      </c>
      <c r="AH32">
        <v>3.9548993973783503E-3</v>
      </c>
      <c r="AI32">
        <v>0.90718550684367805</v>
      </c>
      <c r="AJ32" t="s">
        <v>74</v>
      </c>
      <c r="AK32">
        <v>0</v>
      </c>
      <c r="AL32" t="s">
        <v>77</v>
      </c>
      <c r="AM32">
        <v>0</v>
      </c>
      <c r="AN32">
        <v>0.99199999999999999</v>
      </c>
      <c r="AO32">
        <v>0</v>
      </c>
      <c r="AP32">
        <v>5.8245346242475203E-2</v>
      </c>
      <c r="AQ32">
        <v>0</v>
      </c>
      <c r="AR32">
        <v>1.6E-2</v>
      </c>
      <c r="AS32">
        <v>0</v>
      </c>
      <c r="AT32">
        <v>0</v>
      </c>
      <c r="AU32">
        <v>0</v>
      </c>
      <c r="AV32">
        <v>0</v>
      </c>
      <c r="AW32">
        <v>1</v>
      </c>
      <c r="AX32" t="s">
        <v>74</v>
      </c>
      <c r="AY32">
        <v>0</v>
      </c>
      <c r="AZ32" t="s">
        <v>76</v>
      </c>
      <c r="BA32">
        <v>-1.5707963267949001</v>
      </c>
      <c r="BB32">
        <v>0.99199999999999999</v>
      </c>
      <c r="BC32">
        <v>0</v>
      </c>
      <c r="BD32">
        <v>5.8245346242475203E-2</v>
      </c>
      <c r="BE32">
        <v>0</v>
      </c>
      <c r="BF32">
        <v>1.6E-2</v>
      </c>
      <c r="BG32">
        <v>0</v>
      </c>
      <c r="BH32">
        <v>0</v>
      </c>
      <c r="BI32">
        <v>0</v>
      </c>
      <c r="BJ32">
        <v>0</v>
      </c>
      <c r="BK32">
        <v>1</v>
      </c>
      <c r="BL32">
        <v>1.13281789988919E-4</v>
      </c>
      <c r="BM32" s="1">
        <v>3.5580908028815897E-5</v>
      </c>
      <c r="BN32" s="1">
        <v>4.14579702149316E-7</v>
      </c>
      <c r="BO32" s="1">
        <v>5.5890359635691001E-7</v>
      </c>
      <c r="BP32">
        <v>0</v>
      </c>
      <c r="BQ32">
        <v>0</v>
      </c>
      <c r="BR32" s="1">
        <v>6.2248474082573496E-5</v>
      </c>
      <c r="BS32" s="1">
        <v>1.9594305397989401E-5</v>
      </c>
    </row>
    <row r="33" spans="1:71" x14ac:dyDescent="0.25">
      <c r="A33">
        <v>30</v>
      </c>
      <c r="B33" s="1">
        <v>3.0262215091104201E-5</v>
      </c>
      <c r="C33">
        <v>0.104168035116796</v>
      </c>
      <c r="D33">
        <v>-2.98640729955439E-4</v>
      </c>
      <c r="E33">
        <v>6.1312499999999995E-4</v>
      </c>
      <c r="F33">
        <v>-1.0416803511679601E-3</v>
      </c>
      <c r="G33">
        <v>0</v>
      </c>
      <c r="H33" t="s">
        <v>74</v>
      </c>
      <c r="I33">
        <v>0</v>
      </c>
      <c r="J33" t="s">
        <v>75</v>
      </c>
      <c r="K33">
        <v>3.14159265358979</v>
      </c>
      <c r="L33">
        <v>0.94315301282877995</v>
      </c>
      <c r="M33">
        <v>0</v>
      </c>
      <c r="N33">
        <v>5.5377292128877001E-2</v>
      </c>
      <c r="O33">
        <v>0</v>
      </c>
      <c r="P33">
        <v>1.6E-2</v>
      </c>
      <c r="Q33">
        <v>0</v>
      </c>
      <c r="R33">
        <v>0</v>
      </c>
      <c r="S33">
        <v>0</v>
      </c>
      <c r="T33">
        <v>0</v>
      </c>
      <c r="U33">
        <v>0.95080670726012795</v>
      </c>
      <c r="V33" t="s">
        <v>78</v>
      </c>
      <c r="W33">
        <v>2219309.6135232402</v>
      </c>
      <c r="X33" t="s">
        <v>76</v>
      </c>
      <c r="Y33">
        <v>-1.5707963267949001</v>
      </c>
      <c r="Z33">
        <v>0.936627420250284</v>
      </c>
      <c r="AA33">
        <v>5.0633881402424898E-2</v>
      </c>
      <c r="AB33">
        <v>5.1861256667596903E-2</v>
      </c>
      <c r="AC33">
        <v>2.8268410503099299E-3</v>
      </c>
      <c r="AD33">
        <v>2.6529301100278999E-2</v>
      </c>
      <c r="AE33">
        <v>2.9162058464219198E-3</v>
      </c>
      <c r="AF33">
        <v>0</v>
      </c>
      <c r="AG33">
        <v>6.9457660472544605E-2</v>
      </c>
      <c r="AH33">
        <v>4.2452960500963897E-3</v>
      </c>
      <c r="AI33">
        <v>0.90394776591267001</v>
      </c>
      <c r="AJ33" t="s">
        <v>74</v>
      </c>
      <c r="AK33">
        <v>0</v>
      </c>
      <c r="AL33" t="s">
        <v>77</v>
      </c>
      <c r="AM33">
        <v>0</v>
      </c>
      <c r="AN33">
        <v>0.99199999999999999</v>
      </c>
      <c r="AO33">
        <v>0</v>
      </c>
      <c r="AP33">
        <v>5.8245346242475203E-2</v>
      </c>
      <c r="AQ33">
        <v>0</v>
      </c>
      <c r="AR33">
        <v>1.6E-2</v>
      </c>
      <c r="AS33">
        <v>0</v>
      </c>
      <c r="AT33">
        <v>0</v>
      </c>
      <c r="AU33">
        <v>0</v>
      </c>
      <c r="AV33">
        <v>0</v>
      </c>
      <c r="AW33">
        <v>1</v>
      </c>
      <c r="AX33" t="s">
        <v>74</v>
      </c>
      <c r="AY33">
        <v>0</v>
      </c>
      <c r="AZ33" t="s">
        <v>76</v>
      </c>
      <c r="BA33">
        <v>-1.5707963267949001</v>
      </c>
      <c r="BB33">
        <v>0.99199999999999999</v>
      </c>
      <c r="BC33">
        <v>0</v>
      </c>
      <c r="BD33">
        <v>5.8245346242475203E-2</v>
      </c>
      <c r="BE33">
        <v>0</v>
      </c>
      <c r="BF33">
        <v>1.6E-2</v>
      </c>
      <c r="BG33">
        <v>0</v>
      </c>
      <c r="BH33">
        <v>0</v>
      </c>
      <c r="BI33">
        <v>0</v>
      </c>
      <c r="BJ33">
        <v>0</v>
      </c>
      <c r="BK33">
        <v>1</v>
      </c>
      <c r="BL33">
        <v>1.13278041165867E-4</v>
      </c>
      <c r="BM33" s="1">
        <v>3.6851478261320497E-5</v>
      </c>
      <c r="BN33" s="1">
        <v>4.1441999407782799E-7</v>
      </c>
      <c r="BO33" s="1">
        <v>5.7886166689844196E-7</v>
      </c>
      <c r="BP33">
        <v>0</v>
      </c>
      <c r="BQ33">
        <v>0</v>
      </c>
      <c r="BR33" s="1">
        <v>6.2243888102884995E-5</v>
      </c>
      <c r="BS33" s="1">
        <v>2.0294652465261201E-5</v>
      </c>
    </row>
    <row r="34" spans="1:71" x14ac:dyDescent="0.25">
      <c r="A34">
        <v>31</v>
      </c>
      <c r="B34" s="1">
        <v>2.9327681695774102E-5</v>
      </c>
      <c r="C34">
        <v>0.104197362798492</v>
      </c>
      <c r="D34">
        <v>-2.9880030689685E-4</v>
      </c>
      <c r="E34">
        <v>6.1312499999999995E-4</v>
      </c>
      <c r="F34">
        <v>-1.04197362798492E-3</v>
      </c>
      <c r="G34" s="1">
        <v>1.0842021724855E-19</v>
      </c>
      <c r="H34" t="s">
        <v>74</v>
      </c>
      <c r="I34">
        <v>0</v>
      </c>
      <c r="J34" t="s">
        <v>75</v>
      </c>
      <c r="K34">
        <v>3.14159265358979</v>
      </c>
      <c r="L34">
        <v>0.94146887036302496</v>
      </c>
      <c r="M34">
        <v>0</v>
      </c>
      <c r="N34">
        <v>5.5278407591538702E-2</v>
      </c>
      <c r="O34">
        <v>0</v>
      </c>
      <c r="P34">
        <v>1.6E-2</v>
      </c>
      <c r="Q34">
        <v>0</v>
      </c>
      <c r="R34">
        <v>0</v>
      </c>
      <c r="S34">
        <v>0</v>
      </c>
      <c r="T34">
        <v>0</v>
      </c>
      <c r="U34">
        <v>0.94910152992208696</v>
      </c>
      <c r="V34" t="s">
        <v>78</v>
      </c>
      <c r="W34">
        <v>2220686.6850700402</v>
      </c>
      <c r="X34" t="s">
        <v>76</v>
      </c>
      <c r="Y34">
        <v>-1.5707963267949001</v>
      </c>
      <c r="Z34">
        <v>0.93489862141966595</v>
      </c>
      <c r="AA34">
        <v>5.0633881402424898E-2</v>
      </c>
      <c r="AB34">
        <v>5.1743125609822201E-2</v>
      </c>
      <c r="AC34">
        <v>2.8682703014045099E-3</v>
      </c>
      <c r="AD34">
        <v>2.6523250042742998E-2</v>
      </c>
      <c r="AE34">
        <v>3.0292941294474498E-3</v>
      </c>
      <c r="AF34">
        <v>0</v>
      </c>
      <c r="AG34">
        <v>7.1697890177772797E-2</v>
      </c>
      <c r="AH34">
        <v>4.5461909079123203E-3</v>
      </c>
      <c r="AI34">
        <v>0.900716393652359</v>
      </c>
      <c r="AJ34" t="s">
        <v>74</v>
      </c>
      <c r="AK34">
        <v>0</v>
      </c>
      <c r="AL34" t="s">
        <v>77</v>
      </c>
      <c r="AM34">
        <v>0</v>
      </c>
      <c r="AN34">
        <v>0.99199999999999999</v>
      </c>
      <c r="AO34">
        <v>0</v>
      </c>
      <c r="AP34">
        <v>5.8245346242475203E-2</v>
      </c>
      <c r="AQ34">
        <v>0</v>
      </c>
      <c r="AR34">
        <v>1.6E-2</v>
      </c>
      <c r="AS34">
        <v>0</v>
      </c>
      <c r="AT34">
        <v>0</v>
      </c>
      <c r="AU34">
        <v>0</v>
      </c>
      <c r="AV34">
        <v>0</v>
      </c>
      <c r="AW34">
        <v>1</v>
      </c>
      <c r="AX34" t="s">
        <v>74</v>
      </c>
      <c r="AY34">
        <v>0</v>
      </c>
      <c r="AZ34" t="s">
        <v>76</v>
      </c>
      <c r="BA34">
        <v>-1.5707963267949001</v>
      </c>
      <c r="BB34">
        <v>0.99199999999999999</v>
      </c>
      <c r="BC34">
        <v>0</v>
      </c>
      <c r="BD34">
        <v>5.8245346242475203E-2</v>
      </c>
      <c r="BE34">
        <v>0</v>
      </c>
      <c r="BF34">
        <v>1.6E-2</v>
      </c>
      <c r="BG34">
        <v>0</v>
      </c>
      <c r="BH34">
        <v>0</v>
      </c>
      <c r="BI34">
        <v>0</v>
      </c>
      <c r="BJ34">
        <v>0</v>
      </c>
      <c r="BK34">
        <v>1</v>
      </c>
      <c r="BL34">
        <v>1.13190247993858E-4</v>
      </c>
      <c r="BM34" s="1">
        <v>3.8122040542842601E-5</v>
      </c>
      <c r="BN34" s="1">
        <v>4.1409480728478798E-7</v>
      </c>
      <c r="BO34" s="1">
        <v>5.98819612546233E-7</v>
      </c>
      <c r="BP34">
        <v>0</v>
      </c>
      <c r="BQ34">
        <v>0</v>
      </c>
      <c r="BR34" s="1">
        <v>6.2192955416854305E-5</v>
      </c>
      <c r="BS34" s="1">
        <v>2.0995019094815699E-5</v>
      </c>
    </row>
    <row r="35" spans="1:71" x14ac:dyDescent="0.25">
      <c r="A35">
        <v>32</v>
      </c>
      <c r="B35" s="1">
        <v>2.8453820054948599E-5</v>
      </c>
      <c r="C35">
        <v>0.104225816618547</v>
      </c>
      <c r="D35">
        <v>-2.9895510630447E-4</v>
      </c>
      <c r="E35">
        <v>6.1312499999999995E-4</v>
      </c>
      <c r="F35">
        <v>-1.04225816618547E-3</v>
      </c>
      <c r="G35">
        <v>0</v>
      </c>
      <c r="H35" t="s">
        <v>74</v>
      </c>
      <c r="I35">
        <v>0</v>
      </c>
      <c r="J35" t="s">
        <v>75</v>
      </c>
      <c r="K35">
        <v>3.14159265358979</v>
      </c>
      <c r="L35">
        <v>0.93978473856635103</v>
      </c>
      <c r="M35">
        <v>0</v>
      </c>
      <c r="N35">
        <v>5.5179523680636298E-2</v>
      </c>
      <c r="O35">
        <v>0</v>
      </c>
      <c r="P35">
        <v>1.6E-2</v>
      </c>
      <c r="Q35">
        <v>0</v>
      </c>
      <c r="R35">
        <v>0</v>
      </c>
      <c r="S35">
        <v>0</v>
      </c>
      <c r="T35">
        <v>0</v>
      </c>
      <c r="U35">
        <v>0.947396632410335</v>
      </c>
      <c r="V35" t="s">
        <v>78</v>
      </c>
      <c r="W35">
        <v>2222022.5288191899</v>
      </c>
      <c r="X35" t="s">
        <v>76</v>
      </c>
      <c r="Y35">
        <v>-1.5707963267949001</v>
      </c>
      <c r="Z35">
        <v>0.93317154110159295</v>
      </c>
      <c r="AA35">
        <v>5.3299048212641198E-2</v>
      </c>
      <c r="AB35">
        <v>5.1625837511617798E-2</v>
      </c>
      <c r="AC35">
        <v>2.99410296947794E-3</v>
      </c>
      <c r="AD35">
        <v>2.6513628170027899E-2</v>
      </c>
      <c r="AE35">
        <v>3.1427113542619898E-3</v>
      </c>
      <c r="AF35">
        <v>0</v>
      </c>
      <c r="AG35">
        <v>7.3927580421095401E-2</v>
      </c>
      <c r="AH35">
        <v>4.8576091295506399E-3</v>
      </c>
      <c r="AI35">
        <v>0.89749136739575897</v>
      </c>
      <c r="AJ35" t="s">
        <v>74</v>
      </c>
      <c r="AK35">
        <v>0</v>
      </c>
      <c r="AL35" t="s">
        <v>77</v>
      </c>
      <c r="AM35">
        <v>0</v>
      </c>
      <c r="AN35">
        <v>0.99199999999999999</v>
      </c>
      <c r="AO35">
        <v>0</v>
      </c>
      <c r="AP35">
        <v>5.8245346242475203E-2</v>
      </c>
      <c r="AQ35">
        <v>0</v>
      </c>
      <c r="AR35">
        <v>1.6E-2</v>
      </c>
      <c r="AS35">
        <v>0</v>
      </c>
      <c r="AT35">
        <v>0</v>
      </c>
      <c r="AU35">
        <v>0</v>
      </c>
      <c r="AV35">
        <v>0</v>
      </c>
      <c r="AW35">
        <v>1</v>
      </c>
      <c r="AX35" t="s">
        <v>74</v>
      </c>
      <c r="AY35">
        <v>0</v>
      </c>
      <c r="AZ35" t="s">
        <v>76</v>
      </c>
      <c r="BA35">
        <v>-1.5707963267949001</v>
      </c>
      <c r="BB35">
        <v>0.99199999999999999</v>
      </c>
      <c r="BC35">
        <v>0</v>
      </c>
      <c r="BD35">
        <v>5.8245346242475203E-2</v>
      </c>
      <c r="BE35">
        <v>0</v>
      </c>
      <c r="BF35">
        <v>1.6E-2</v>
      </c>
      <c r="BG35">
        <v>0</v>
      </c>
      <c r="BH35">
        <v>0</v>
      </c>
      <c r="BI35">
        <v>0</v>
      </c>
      <c r="BJ35">
        <v>0</v>
      </c>
      <c r="BK35">
        <v>1</v>
      </c>
      <c r="BL35">
        <v>1.1314507832334101E-4</v>
      </c>
      <c r="BM35" s="1">
        <v>3.9392594775322999E-5</v>
      </c>
      <c r="BN35" s="1">
        <v>4.1385730671312E-7</v>
      </c>
      <c r="BO35" s="1">
        <v>6.1877743175997203E-7</v>
      </c>
      <c r="BP35">
        <v>0</v>
      </c>
      <c r="BQ35">
        <v>0</v>
      </c>
      <c r="BR35" s="1">
        <v>6.2165437858815705E-5</v>
      </c>
      <c r="BS35" s="1">
        <v>2.16954045513763E-5</v>
      </c>
    </row>
    <row r="36" spans="1:71" x14ac:dyDescent="0.25">
      <c r="A36">
        <v>33</v>
      </c>
      <c r="B36" s="1">
        <v>2.7634926520030101E-5</v>
      </c>
      <c r="C36">
        <v>0.104253451545067</v>
      </c>
      <c r="D36">
        <v>-2.99105429236079E-4</v>
      </c>
      <c r="E36">
        <v>6.1312499999999995E-4</v>
      </c>
      <c r="F36">
        <v>-1.0425345154506699E-3</v>
      </c>
      <c r="G36" s="1">
        <v>1.0842021724855E-19</v>
      </c>
      <c r="H36" t="s">
        <v>74</v>
      </c>
      <c r="I36">
        <v>0</v>
      </c>
      <c r="J36" t="s">
        <v>75</v>
      </c>
      <c r="K36">
        <v>3.14159265358979</v>
      </c>
      <c r="L36">
        <v>0.93810061756462104</v>
      </c>
      <c r="M36">
        <v>0</v>
      </c>
      <c r="N36">
        <v>5.50806404035597E-2</v>
      </c>
      <c r="O36">
        <v>0</v>
      </c>
      <c r="P36">
        <v>1.6E-2</v>
      </c>
      <c r="Q36">
        <v>0</v>
      </c>
      <c r="R36">
        <v>0</v>
      </c>
      <c r="S36">
        <v>0</v>
      </c>
      <c r="T36">
        <v>0</v>
      </c>
      <c r="U36">
        <v>0.94569198704271495</v>
      </c>
      <c r="V36" t="s">
        <v>78</v>
      </c>
      <c r="W36">
        <v>2223319.74275323</v>
      </c>
      <c r="X36" t="s">
        <v>76</v>
      </c>
      <c r="Y36">
        <v>-1.5707963267949001</v>
      </c>
      <c r="Z36">
        <v>0.93144608013566399</v>
      </c>
      <c r="AA36">
        <v>5.3299048212641198E-2</v>
      </c>
      <c r="AB36">
        <v>5.1509341449898598E-2</v>
      </c>
      <c r="AC36">
        <v>3.0354653660441301E-3</v>
      </c>
      <c r="AD36">
        <v>2.6500641169512298E-2</v>
      </c>
      <c r="AE36">
        <v>3.25644580577442E-3</v>
      </c>
      <c r="AF36">
        <v>0</v>
      </c>
      <c r="AG36">
        <v>7.6146705656502306E-2</v>
      </c>
      <c r="AH36">
        <v>5.1795760711144702E-3</v>
      </c>
      <c r="AI36">
        <v>0.89427266863722699</v>
      </c>
      <c r="AJ36" t="s">
        <v>74</v>
      </c>
      <c r="AK36">
        <v>0</v>
      </c>
      <c r="AL36" t="s">
        <v>77</v>
      </c>
      <c r="AM36">
        <v>0</v>
      </c>
      <c r="AN36">
        <v>0.99199999999999999</v>
      </c>
      <c r="AO36">
        <v>0</v>
      </c>
      <c r="AP36">
        <v>5.8245346242475203E-2</v>
      </c>
      <c r="AQ36">
        <v>0</v>
      </c>
      <c r="AR36">
        <v>1.6E-2</v>
      </c>
      <c r="AS36">
        <v>0</v>
      </c>
      <c r="AT36">
        <v>0</v>
      </c>
      <c r="AU36">
        <v>0</v>
      </c>
      <c r="AV36">
        <v>0</v>
      </c>
      <c r="AW36">
        <v>1</v>
      </c>
      <c r="AX36" t="s">
        <v>74</v>
      </c>
      <c r="AY36">
        <v>0</v>
      </c>
      <c r="AZ36" t="s">
        <v>76</v>
      </c>
      <c r="BA36">
        <v>-1.5707963267949001</v>
      </c>
      <c r="BB36">
        <v>0.99199999999999999</v>
      </c>
      <c r="BC36">
        <v>0</v>
      </c>
      <c r="BD36">
        <v>5.8245346242475203E-2</v>
      </c>
      <c r="BE36">
        <v>0</v>
      </c>
      <c r="BF36">
        <v>1.6E-2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1.13058069852226E-4</v>
      </c>
      <c r="BM36" s="1">
        <v>4.0663140863808397E-5</v>
      </c>
      <c r="BN36" s="1">
        <v>4.1353841610321902E-7</v>
      </c>
      <c r="BO36" s="1">
        <v>6.3873512304813705E-7</v>
      </c>
      <c r="BP36">
        <v>0</v>
      </c>
      <c r="BQ36">
        <v>0</v>
      </c>
      <c r="BR36" s="1">
        <v>6.2114822308214206E-5</v>
      </c>
      <c r="BS36" s="1">
        <v>2.2395808145804001E-5</v>
      </c>
    </row>
    <row r="37" spans="1:71" x14ac:dyDescent="0.25">
      <c r="A37">
        <v>34</v>
      </c>
      <c r="B37" s="1">
        <v>2.68659922190929E-5</v>
      </c>
      <c r="C37">
        <v>0.104280317537286</v>
      </c>
      <c r="D37">
        <v>-2.9925154928020102E-4</v>
      </c>
      <c r="E37">
        <v>6.1312499999999995E-4</v>
      </c>
      <c r="F37">
        <v>-1.04280317537286E-3</v>
      </c>
      <c r="G37" s="1">
        <v>1.0842021724855E-19</v>
      </c>
      <c r="H37" t="s">
        <v>74</v>
      </c>
      <c r="I37">
        <v>0</v>
      </c>
      <c r="J37" t="s">
        <v>75</v>
      </c>
      <c r="K37">
        <v>3.14159265358979</v>
      </c>
      <c r="L37">
        <v>0.93641650748008998</v>
      </c>
      <c r="M37">
        <v>0</v>
      </c>
      <c r="N37">
        <v>5.4981757767487101E-2</v>
      </c>
      <c r="O37">
        <v>0</v>
      </c>
      <c r="P37">
        <v>1.6E-2</v>
      </c>
      <c r="Q37">
        <v>0</v>
      </c>
      <c r="R37">
        <v>0</v>
      </c>
      <c r="S37">
        <v>0</v>
      </c>
      <c r="T37">
        <v>0</v>
      </c>
      <c r="U37">
        <v>0.94398756966284103</v>
      </c>
      <c r="V37" t="s">
        <v>78</v>
      </c>
      <c r="W37">
        <v>2224580.6878083101</v>
      </c>
      <c r="X37" t="s">
        <v>76</v>
      </c>
      <c r="Y37">
        <v>-1.5707963267949001</v>
      </c>
      <c r="Z37">
        <v>0.92972214808956199</v>
      </c>
      <c r="AA37">
        <v>5.5961425266697402E-2</v>
      </c>
      <c r="AB37">
        <v>5.1393591079962497E-2</v>
      </c>
      <c r="AC37">
        <v>3.1611519708474901E-3</v>
      </c>
      <c r="AD37">
        <v>2.6484476874284998E-2</v>
      </c>
      <c r="AE37">
        <v>3.3704864282955598E-3</v>
      </c>
      <c r="AF37">
        <v>0</v>
      </c>
      <c r="AG37">
        <v>7.8355240154713596E-2</v>
      </c>
      <c r="AH37">
        <v>5.5121172774178998E-3</v>
      </c>
      <c r="AI37">
        <v>0.89106028236118795</v>
      </c>
      <c r="AJ37" t="s">
        <v>74</v>
      </c>
      <c r="AK37">
        <v>0</v>
      </c>
      <c r="AL37" t="s">
        <v>77</v>
      </c>
      <c r="AM37">
        <v>0</v>
      </c>
      <c r="AN37">
        <v>0.99199999999999999</v>
      </c>
      <c r="AO37">
        <v>0</v>
      </c>
      <c r="AP37">
        <v>5.8245346242475203E-2</v>
      </c>
      <c r="AQ37">
        <v>0</v>
      </c>
      <c r="AR37">
        <v>1.6E-2</v>
      </c>
      <c r="AS37">
        <v>0</v>
      </c>
      <c r="AT37">
        <v>0</v>
      </c>
      <c r="AU37">
        <v>0</v>
      </c>
      <c r="AV37">
        <v>0</v>
      </c>
      <c r="AW37">
        <v>1</v>
      </c>
      <c r="AX37" t="s">
        <v>74</v>
      </c>
      <c r="AY37">
        <v>0</v>
      </c>
      <c r="AZ37" t="s">
        <v>76</v>
      </c>
      <c r="BA37">
        <v>-1.5707963267949001</v>
      </c>
      <c r="BB37">
        <v>0.99199999999999999</v>
      </c>
      <c r="BC37">
        <v>0</v>
      </c>
      <c r="BD37">
        <v>5.8245346242475203E-2</v>
      </c>
      <c r="BE37">
        <v>0</v>
      </c>
      <c r="BF37">
        <v>1.6E-2</v>
      </c>
      <c r="BG37">
        <v>0</v>
      </c>
      <c r="BH37">
        <v>0</v>
      </c>
      <c r="BI37">
        <v>0</v>
      </c>
      <c r="BJ37">
        <v>0</v>
      </c>
      <c r="BK37">
        <v>1</v>
      </c>
      <c r="BL37">
        <v>1.1301359665162401E-4</v>
      </c>
      <c r="BM37" s="1">
        <v>4.1933678716065798E-5</v>
      </c>
      <c r="BN37" s="1">
        <v>4.1330674326967801E-7</v>
      </c>
      <c r="BO37" s="1">
        <v>6.5869268496193495E-7</v>
      </c>
      <c r="BP37">
        <v>0</v>
      </c>
      <c r="BQ37">
        <v>0</v>
      </c>
      <c r="BR37" s="1">
        <v>6.2087581617711204E-5</v>
      </c>
      <c r="BS37" s="1">
        <v>2.30962292307558E-5</v>
      </c>
    </row>
    <row r="38" spans="1:71" x14ac:dyDescent="0.25">
      <c r="A38">
        <v>35</v>
      </c>
      <c r="B38" s="1">
        <v>2.6142600293067799E-5</v>
      </c>
      <c r="C38">
        <v>0.10430646013757899</v>
      </c>
      <c r="D38">
        <v>-2.9939371580590902E-4</v>
      </c>
      <c r="E38">
        <v>6.1312499999999995E-4</v>
      </c>
      <c r="F38">
        <v>-1.0430646013757901E-3</v>
      </c>
      <c r="G38">
        <v>0</v>
      </c>
      <c r="H38" t="s">
        <v>74</v>
      </c>
      <c r="I38">
        <v>0</v>
      </c>
      <c r="J38" t="s">
        <v>75</v>
      </c>
      <c r="K38">
        <v>3.14159265358979</v>
      </c>
      <c r="L38">
        <v>0.93473240843184402</v>
      </c>
      <c r="M38">
        <v>0</v>
      </c>
      <c r="N38">
        <v>5.4882875779410797E-2</v>
      </c>
      <c r="O38">
        <v>0</v>
      </c>
      <c r="P38">
        <v>1.6E-2</v>
      </c>
      <c r="Q38">
        <v>0</v>
      </c>
      <c r="R38">
        <v>0</v>
      </c>
      <c r="S38">
        <v>0</v>
      </c>
      <c r="T38">
        <v>0</v>
      </c>
      <c r="U38">
        <v>0.94228335909447802</v>
      </c>
      <c r="V38" t="s">
        <v>78</v>
      </c>
      <c r="W38">
        <v>2225807.5159184802</v>
      </c>
      <c r="X38" t="s">
        <v>76</v>
      </c>
      <c r="Y38">
        <v>-1.5707963267949001</v>
      </c>
      <c r="Z38">
        <v>0.92799966225182395</v>
      </c>
      <c r="AA38">
        <v>5.86219315317036E-2</v>
      </c>
      <c r="AB38">
        <v>5.1278544099059402E-2</v>
      </c>
      <c r="AC38">
        <v>3.2867490810553901E-3</v>
      </c>
      <c r="AD38">
        <v>2.6465307314431401E-2</v>
      </c>
      <c r="AE38">
        <v>3.4848227666557301E-3</v>
      </c>
      <c r="AF38">
        <v>0</v>
      </c>
      <c r="AG38">
        <v>8.0553158010297193E-2</v>
      </c>
      <c r="AH38">
        <v>5.8552584742106303E-3</v>
      </c>
      <c r="AI38">
        <v>0.88785419649640696</v>
      </c>
      <c r="AJ38" t="s">
        <v>74</v>
      </c>
      <c r="AK38">
        <v>0</v>
      </c>
      <c r="AL38" t="s">
        <v>77</v>
      </c>
      <c r="AM38">
        <v>0</v>
      </c>
      <c r="AN38">
        <v>0.99199999999999999</v>
      </c>
      <c r="AO38">
        <v>0</v>
      </c>
      <c r="AP38">
        <v>5.8245346242475203E-2</v>
      </c>
      <c r="AQ38">
        <v>0</v>
      </c>
      <c r="AR38">
        <v>1.6E-2</v>
      </c>
      <c r="AS38">
        <v>0</v>
      </c>
      <c r="AT38">
        <v>0</v>
      </c>
      <c r="AU38">
        <v>0</v>
      </c>
      <c r="AV38">
        <v>0</v>
      </c>
      <c r="AW38">
        <v>1</v>
      </c>
      <c r="AX38" t="s">
        <v>74</v>
      </c>
      <c r="AY38">
        <v>0</v>
      </c>
      <c r="AZ38" t="s">
        <v>76</v>
      </c>
      <c r="BA38">
        <v>-1.5707963267949001</v>
      </c>
      <c r="BB38">
        <v>0.99199999999999999</v>
      </c>
      <c r="BC38">
        <v>0</v>
      </c>
      <c r="BD38">
        <v>5.8245346242475203E-2</v>
      </c>
      <c r="BE38">
        <v>0</v>
      </c>
      <c r="BF38">
        <v>1.6E-2</v>
      </c>
      <c r="BG38">
        <v>0</v>
      </c>
      <c r="BH38">
        <v>0</v>
      </c>
      <c r="BI38">
        <v>0</v>
      </c>
      <c r="BJ38">
        <v>0</v>
      </c>
      <c r="BK38">
        <v>1</v>
      </c>
      <c r="BL38">
        <v>1.12969430722238E-4</v>
      </c>
      <c r="BM38" s="1">
        <v>4.32042082422539E-5</v>
      </c>
      <c r="BN38" s="1">
        <v>4.13077702971453E-7</v>
      </c>
      <c r="BO38" s="1">
        <v>6.78650116090143E-7</v>
      </c>
      <c r="BP38">
        <v>0</v>
      </c>
      <c r="BQ38">
        <v>0</v>
      </c>
      <c r="BR38" s="1">
        <v>6.2060461778323206E-5</v>
      </c>
      <c r="BS38" s="1">
        <v>2.37966671968738E-5</v>
      </c>
    </row>
    <row r="39" spans="1:71" x14ac:dyDescent="0.25">
      <c r="A39">
        <v>36</v>
      </c>
      <c r="B39" s="1">
        <v>2.54608408598883E-5</v>
      </c>
      <c r="C39">
        <v>0.10433192097843901</v>
      </c>
      <c r="D39">
        <v>-2.9953215674548397E-4</v>
      </c>
      <c r="E39">
        <v>6.1312499999999995E-4</v>
      </c>
      <c r="F39">
        <v>-1.04331920978439E-3</v>
      </c>
      <c r="G39">
        <v>0</v>
      </c>
      <c r="H39" t="s">
        <v>74</v>
      </c>
      <c r="I39">
        <v>0</v>
      </c>
      <c r="J39" t="s">
        <v>75</v>
      </c>
      <c r="K39">
        <v>3.14159265358979</v>
      </c>
      <c r="L39">
        <v>0.93304832053618703</v>
      </c>
      <c r="M39">
        <v>0</v>
      </c>
      <c r="N39">
        <v>5.4783994446159501E-2</v>
      </c>
      <c r="O39">
        <v>0</v>
      </c>
      <c r="P39">
        <v>1.6E-2</v>
      </c>
      <c r="Q39">
        <v>0</v>
      </c>
      <c r="R39">
        <v>0</v>
      </c>
      <c r="S39">
        <v>0</v>
      </c>
      <c r="T39">
        <v>0</v>
      </c>
      <c r="U39">
        <v>0.940579336694774</v>
      </c>
      <c r="V39" t="s">
        <v>78</v>
      </c>
      <c r="W39">
        <v>2227002.1940286998</v>
      </c>
      <c r="X39" t="s">
        <v>76</v>
      </c>
      <c r="Y39">
        <v>-1.5707963267949001</v>
      </c>
      <c r="Z39">
        <v>0.92627854676677501</v>
      </c>
      <c r="AA39">
        <v>5.86219315317036E-2</v>
      </c>
      <c r="AB39">
        <v>5.1164161786565597E-2</v>
      </c>
      <c r="AC39">
        <v>3.3280151644923999E-3</v>
      </c>
      <c r="AD39">
        <v>2.6443290479583999E-2</v>
      </c>
      <c r="AE39">
        <v>3.5994449141566998E-3</v>
      </c>
      <c r="AF39">
        <v>0</v>
      </c>
      <c r="AG39">
        <v>8.2740433148078302E-2</v>
      </c>
      <c r="AH39">
        <v>6.20902556118E-3</v>
      </c>
      <c r="AI39">
        <v>0.88465440146906704</v>
      </c>
      <c r="AJ39" t="s">
        <v>74</v>
      </c>
      <c r="AK39">
        <v>0</v>
      </c>
      <c r="AL39" t="s">
        <v>77</v>
      </c>
      <c r="AM39">
        <v>0</v>
      </c>
      <c r="AN39">
        <v>0.99199999999999999</v>
      </c>
      <c r="AO39">
        <v>0</v>
      </c>
      <c r="AP39">
        <v>5.8245346242475203E-2</v>
      </c>
      <c r="AQ39">
        <v>0</v>
      </c>
      <c r="AR39">
        <v>1.6E-2</v>
      </c>
      <c r="AS39">
        <v>0</v>
      </c>
      <c r="AT39">
        <v>0</v>
      </c>
      <c r="AU39">
        <v>0</v>
      </c>
      <c r="AV39">
        <v>0</v>
      </c>
      <c r="AW39">
        <v>1</v>
      </c>
      <c r="AX39" t="s">
        <v>74</v>
      </c>
      <c r="AY39">
        <v>0</v>
      </c>
      <c r="AZ39" t="s">
        <v>76</v>
      </c>
      <c r="BA39">
        <v>-1.5707963267949001</v>
      </c>
      <c r="BB39">
        <v>0.99199999999999999</v>
      </c>
      <c r="BC39">
        <v>0</v>
      </c>
      <c r="BD39">
        <v>5.8245346242475203E-2</v>
      </c>
      <c r="BE39">
        <v>0</v>
      </c>
      <c r="BF39">
        <v>1.6E-2</v>
      </c>
      <c r="BG39">
        <v>0</v>
      </c>
      <c r="BH39">
        <v>0</v>
      </c>
      <c r="BI39">
        <v>0</v>
      </c>
      <c r="BJ39">
        <v>0</v>
      </c>
      <c r="BK39">
        <v>1</v>
      </c>
      <c r="BL39">
        <v>1.12883431941084E-4</v>
      </c>
      <c r="BM39" s="1">
        <v>4.4474729354629197E-5</v>
      </c>
      <c r="BN39" s="1">
        <v>4.12766899711241E-7</v>
      </c>
      <c r="BO39" s="1">
        <v>6.9860741505448696E-7</v>
      </c>
      <c r="BP39">
        <v>0</v>
      </c>
      <c r="BQ39">
        <v>0</v>
      </c>
      <c r="BR39" s="1">
        <v>6.2010254327892606E-5</v>
      </c>
      <c r="BS39" s="1">
        <v>2.4497121469417E-5</v>
      </c>
    </row>
    <row r="40" spans="1:71" x14ac:dyDescent="0.25">
      <c r="A40">
        <v>37</v>
      </c>
      <c r="B40" s="1">
        <v>2.4817240236655899E-5</v>
      </c>
      <c r="C40">
        <v>0.104356738218675</v>
      </c>
      <c r="D40">
        <v>-2.9966708098828697E-4</v>
      </c>
      <c r="E40">
        <v>6.1312499999999995E-4</v>
      </c>
      <c r="F40">
        <v>-1.0435673821867499E-3</v>
      </c>
      <c r="G40" s="1">
        <v>1.0842021724855E-19</v>
      </c>
      <c r="H40" t="s">
        <v>74</v>
      </c>
      <c r="I40">
        <v>0</v>
      </c>
      <c r="J40" t="s">
        <v>75</v>
      </c>
      <c r="K40">
        <v>3.14159265358979</v>
      </c>
      <c r="L40">
        <v>0.93136424390698003</v>
      </c>
      <c r="M40">
        <v>0</v>
      </c>
      <c r="N40">
        <v>5.4685113774418502E-2</v>
      </c>
      <c r="O40">
        <v>0</v>
      </c>
      <c r="P40">
        <v>1.6E-2</v>
      </c>
      <c r="Q40">
        <v>0</v>
      </c>
      <c r="R40">
        <v>0</v>
      </c>
      <c r="S40">
        <v>0</v>
      </c>
      <c r="T40">
        <v>0</v>
      </c>
      <c r="U40">
        <v>0.93887548598591597</v>
      </c>
      <c r="V40" t="s">
        <v>78</v>
      </c>
      <c r="W40">
        <v>2228166.5247527701</v>
      </c>
      <c r="X40" t="s">
        <v>76</v>
      </c>
      <c r="Y40">
        <v>-1.5707963267949001</v>
      </c>
      <c r="Z40">
        <v>0.92455873188811999</v>
      </c>
      <c r="AA40">
        <v>6.1277827593691499E-2</v>
      </c>
      <c r="AB40">
        <v>5.1050408607972601E-2</v>
      </c>
      <c r="AC40">
        <v>3.45341297806498E-3</v>
      </c>
      <c r="AD40">
        <v>2.6418571840405899E-2</v>
      </c>
      <c r="AE40">
        <v>3.71434346639007E-3</v>
      </c>
      <c r="AF40">
        <v>0</v>
      </c>
      <c r="AG40">
        <v>8.4917039328944594E-2</v>
      </c>
      <c r="AH40">
        <v>6.5734446056397297E-3</v>
      </c>
      <c r="AI40">
        <v>0.881460889834215</v>
      </c>
      <c r="AJ40" t="s">
        <v>74</v>
      </c>
      <c r="AK40">
        <v>0</v>
      </c>
      <c r="AL40" t="s">
        <v>77</v>
      </c>
      <c r="AM40">
        <v>0</v>
      </c>
      <c r="AN40">
        <v>0.99199999999999999</v>
      </c>
      <c r="AO40">
        <v>0</v>
      </c>
      <c r="AP40">
        <v>5.8245346242475203E-2</v>
      </c>
      <c r="AQ40">
        <v>0</v>
      </c>
      <c r="AR40">
        <v>1.6E-2</v>
      </c>
      <c r="AS40">
        <v>0</v>
      </c>
      <c r="AT40">
        <v>0</v>
      </c>
      <c r="AU40">
        <v>0</v>
      </c>
      <c r="AV40">
        <v>0</v>
      </c>
      <c r="AW40">
        <v>1</v>
      </c>
      <c r="AX40" t="s">
        <v>74</v>
      </c>
      <c r="AY40">
        <v>0</v>
      </c>
      <c r="AZ40" t="s">
        <v>76</v>
      </c>
      <c r="BA40">
        <v>-1.5707963267949001</v>
      </c>
      <c r="BB40">
        <v>0.99199999999999999</v>
      </c>
      <c r="BC40">
        <v>0</v>
      </c>
      <c r="BD40">
        <v>5.8245346242475203E-2</v>
      </c>
      <c r="BE40">
        <v>0</v>
      </c>
      <c r="BF40">
        <v>1.6E-2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1.1283981392270299E-4</v>
      </c>
      <c r="BM40" s="1">
        <v>4.5745241967292201E-5</v>
      </c>
      <c r="BN40" s="1">
        <v>4.1254265676708099E-7</v>
      </c>
      <c r="BO40" s="1">
        <v>7.1856458050566304E-7</v>
      </c>
      <c r="BP40">
        <v>0</v>
      </c>
      <c r="BQ40">
        <v>0</v>
      </c>
      <c r="BR40" s="1">
        <v>6.1983346859896497E-5</v>
      </c>
      <c r="BS40" s="1">
        <v>2.51975915052822E-5</v>
      </c>
    </row>
    <row r="41" spans="1:71" x14ac:dyDescent="0.25">
      <c r="A41">
        <v>38</v>
      </c>
      <c r="B41" s="1">
        <v>2.4208701705095301E-5</v>
      </c>
      <c r="C41">
        <v>0.10438094692038</v>
      </c>
      <c r="D41">
        <v>-2.9979868044930101E-4</v>
      </c>
      <c r="E41">
        <v>6.1312499999999995E-4</v>
      </c>
      <c r="F41">
        <v>-1.0438094692038001E-3</v>
      </c>
      <c r="G41">
        <v>0</v>
      </c>
      <c r="H41" t="s">
        <v>74</v>
      </c>
      <c r="I41">
        <v>0</v>
      </c>
      <c r="J41" t="s">
        <v>75</v>
      </c>
      <c r="K41">
        <v>3.14159265358979</v>
      </c>
      <c r="L41">
        <v>0.929680178655937</v>
      </c>
      <c r="M41">
        <v>0</v>
      </c>
      <c r="N41">
        <v>5.45862337707472E-2</v>
      </c>
      <c r="O41">
        <v>0</v>
      </c>
      <c r="P41">
        <v>1.6E-2</v>
      </c>
      <c r="Q41">
        <v>0</v>
      </c>
      <c r="R41">
        <v>0</v>
      </c>
      <c r="S41">
        <v>0</v>
      </c>
      <c r="T41">
        <v>0</v>
      </c>
      <c r="U41">
        <v>0.93716635023833605</v>
      </c>
      <c r="V41" t="s">
        <v>78</v>
      </c>
      <c r="W41">
        <v>2229302.1642238102</v>
      </c>
      <c r="X41" t="s">
        <v>76</v>
      </c>
      <c r="Y41">
        <v>-1.5707963267949001</v>
      </c>
      <c r="Z41">
        <v>0.92284015333209402</v>
      </c>
      <c r="AA41">
        <v>6.1277827593691499E-2</v>
      </c>
      <c r="AB41">
        <v>5.0937251872323501E-2</v>
      </c>
      <c r="AC41">
        <v>3.4946220385350499E-3</v>
      </c>
      <c r="AD41">
        <v>2.63912856677141E-2</v>
      </c>
      <c r="AE41">
        <v>3.8295094801135002E-3</v>
      </c>
      <c r="AF41">
        <v>0</v>
      </c>
      <c r="AG41">
        <v>8.7082950155101799E-2</v>
      </c>
      <c r="AH41">
        <v>6.9485418368231003E-3</v>
      </c>
      <c r="AI41">
        <v>0.87826821385871401</v>
      </c>
      <c r="AJ41" t="s">
        <v>74</v>
      </c>
      <c r="AK41">
        <v>0</v>
      </c>
      <c r="AL41" t="s">
        <v>77</v>
      </c>
      <c r="AM41">
        <v>0</v>
      </c>
      <c r="AN41">
        <v>0.99199999999999999</v>
      </c>
      <c r="AO41">
        <v>0</v>
      </c>
      <c r="AP41">
        <v>5.8245346242475203E-2</v>
      </c>
      <c r="AQ41">
        <v>0</v>
      </c>
      <c r="AR41">
        <v>1.6E-2</v>
      </c>
      <c r="AS41">
        <v>0</v>
      </c>
      <c r="AT41">
        <v>0</v>
      </c>
      <c r="AU41">
        <v>0</v>
      </c>
      <c r="AV41">
        <v>0</v>
      </c>
      <c r="AW41">
        <v>1</v>
      </c>
      <c r="AX41" t="s">
        <v>74</v>
      </c>
      <c r="AY41">
        <v>0</v>
      </c>
      <c r="AZ41" t="s">
        <v>76</v>
      </c>
      <c r="BA41">
        <v>-1.5707963267949001</v>
      </c>
      <c r="BB41">
        <v>0.99199999999999999</v>
      </c>
      <c r="BC41">
        <v>0</v>
      </c>
      <c r="BD41">
        <v>5.8245346242475203E-2</v>
      </c>
      <c r="BE41">
        <v>0</v>
      </c>
      <c r="BF41">
        <v>1.6E-2</v>
      </c>
      <c r="BG41">
        <v>0</v>
      </c>
      <c r="BH41">
        <v>0</v>
      </c>
      <c r="BI41">
        <v>0</v>
      </c>
      <c r="BJ41">
        <v>0</v>
      </c>
      <c r="BK41">
        <v>1</v>
      </c>
      <c r="BL41">
        <v>1.12754400083278E-4</v>
      </c>
      <c r="BM41" s="1">
        <v>4.7015745995962401E-5</v>
      </c>
      <c r="BN41" s="1">
        <v>4.12236521463075E-7</v>
      </c>
      <c r="BO41" s="1">
        <v>7.3852161111979697E-7</v>
      </c>
      <c r="BP41">
        <v>0</v>
      </c>
      <c r="BQ41">
        <v>0</v>
      </c>
      <c r="BR41" s="1">
        <v>6.1933375807523696E-5</v>
      </c>
      <c r="BS41" s="1">
        <v>2.58980767903529E-5</v>
      </c>
    </row>
    <row r="42" spans="1:71" x14ac:dyDescent="0.25">
      <c r="A42">
        <v>39</v>
      </c>
      <c r="B42" s="1">
        <v>2.3632455681057198E-5</v>
      </c>
      <c r="C42">
        <v>0.104404579376061</v>
      </c>
      <c r="D42">
        <v>-2.9992713186401902E-4</v>
      </c>
      <c r="E42">
        <v>6.1312499999999995E-4</v>
      </c>
      <c r="F42">
        <v>-1.0440457937606099E-3</v>
      </c>
      <c r="G42">
        <v>0</v>
      </c>
      <c r="H42" t="s">
        <v>74</v>
      </c>
      <c r="I42">
        <v>0</v>
      </c>
      <c r="J42" t="s">
        <v>75</v>
      </c>
      <c r="K42">
        <v>3.14159265358979</v>
      </c>
      <c r="L42">
        <v>0.92799612493193095</v>
      </c>
      <c r="M42">
        <v>0</v>
      </c>
      <c r="N42">
        <v>5.44873544438867E-2</v>
      </c>
      <c r="O42">
        <v>0</v>
      </c>
      <c r="P42">
        <v>1.6E-2</v>
      </c>
      <c r="Q42">
        <v>0</v>
      </c>
      <c r="R42">
        <v>0</v>
      </c>
      <c r="S42">
        <v>0</v>
      </c>
      <c r="T42">
        <v>0</v>
      </c>
      <c r="U42">
        <v>0.93545183486665295</v>
      </c>
      <c r="V42" t="s">
        <v>78</v>
      </c>
      <c r="W42">
        <v>2230410.6375833801</v>
      </c>
      <c r="X42" t="s">
        <v>76</v>
      </c>
      <c r="Y42">
        <v>-1.5707963267949001</v>
      </c>
      <c r="Z42">
        <v>0.92112275175335201</v>
      </c>
      <c r="AA42">
        <v>6.3928051452146806E-2</v>
      </c>
      <c r="AB42">
        <v>5.0824661436788099E-2</v>
      </c>
      <c r="AC42">
        <v>3.6197869156176401E-3</v>
      </c>
      <c r="AD42">
        <v>2.6361554959915701E-2</v>
      </c>
      <c r="AE42">
        <v>3.9449351253358E-3</v>
      </c>
      <c r="AF42">
        <v>0</v>
      </c>
      <c r="AG42">
        <v>8.9238136709707705E-2</v>
      </c>
      <c r="AH42">
        <v>7.3343459469460198E-3</v>
      </c>
      <c r="AI42">
        <v>0.87507628927050896</v>
      </c>
      <c r="AJ42" t="s">
        <v>74</v>
      </c>
      <c r="AK42">
        <v>0</v>
      </c>
      <c r="AL42" t="s">
        <v>77</v>
      </c>
      <c r="AM42">
        <v>0</v>
      </c>
      <c r="AN42">
        <v>0.99199999999999999</v>
      </c>
      <c r="AO42">
        <v>0</v>
      </c>
      <c r="AP42">
        <v>5.8245346242475203E-2</v>
      </c>
      <c r="AQ42">
        <v>0</v>
      </c>
      <c r="AR42">
        <v>1.6E-2</v>
      </c>
      <c r="AS42">
        <v>0</v>
      </c>
      <c r="AT42">
        <v>0</v>
      </c>
      <c r="AU42">
        <v>0</v>
      </c>
      <c r="AV42">
        <v>0</v>
      </c>
      <c r="AW42">
        <v>1</v>
      </c>
      <c r="AX42" t="s">
        <v>74</v>
      </c>
      <c r="AY42">
        <v>0</v>
      </c>
      <c r="AZ42" t="s">
        <v>76</v>
      </c>
      <c r="BA42">
        <v>-1.5707963267949001</v>
      </c>
      <c r="BB42">
        <v>0.99199999999999999</v>
      </c>
      <c r="BC42">
        <v>0</v>
      </c>
      <c r="BD42">
        <v>5.8245346242475203E-2</v>
      </c>
      <c r="BE42">
        <v>0</v>
      </c>
      <c r="BF42">
        <v>1.6E-2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1.1271124764062099E-4</v>
      </c>
      <c r="BM42" s="1">
        <v>4.82862413283268E-5</v>
      </c>
      <c r="BN42" s="1">
        <v>4.1201651741676702E-7</v>
      </c>
      <c r="BO42" s="1">
        <v>7.5847850513267805E-7</v>
      </c>
      <c r="BP42">
        <v>0</v>
      </c>
      <c r="BQ42">
        <v>0</v>
      </c>
      <c r="BR42" s="1">
        <v>6.1906644656997096E-5</v>
      </c>
      <c r="BS42" s="1">
        <v>2.65985768209122E-5</v>
      </c>
    </row>
    <row r="43" spans="1:71" x14ac:dyDescent="0.25">
      <c r="A43">
        <v>40</v>
      </c>
      <c r="B43" s="1">
        <v>2.3086018644953198E-5</v>
      </c>
      <c r="C43">
        <v>0.10442766539470601</v>
      </c>
      <c r="D43">
        <v>-3.0005259835776902E-4</v>
      </c>
      <c r="E43">
        <v>6.1312499999999995E-4</v>
      </c>
      <c r="F43">
        <v>-1.0442766539470599E-3</v>
      </c>
      <c r="G43" s="1">
        <v>1.0842021724855E-19</v>
      </c>
      <c r="H43" t="s">
        <v>74</v>
      </c>
      <c r="I43">
        <v>0</v>
      </c>
      <c r="J43" t="s">
        <v>75</v>
      </c>
      <c r="K43">
        <v>3.14159265358979</v>
      </c>
      <c r="L43">
        <v>0.92631208288206501</v>
      </c>
      <c r="M43">
        <v>0</v>
      </c>
      <c r="N43">
        <v>5.4388475802474003E-2</v>
      </c>
      <c r="O43">
        <v>0</v>
      </c>
      <c r="P43">
        <v>1.6E-2</v>
      </c>
      <c r="Q43">
        <v>0</v>
      </c>
      <c r="R43">
        <v>0</v>
      </c>
      <c r="S43">
        <v>0</v>
      </c>
      <c r="T43">
        <v>0</v>
      </c>
      <c r="U43">
        <v>0.93373206040090895</v>
      </c>
      <c r="V43" t="s">
        <v>78</v>
      </c>
      <c r="W43">
        <v>2231493.3525238298</v>
      </c>
      <c r="X43" t="s">
        <v>76</v>
      </c>
      <c r="Y43">
        <v>-1.5707963267949001</v>
      </c>
      <c r="Z43">
        <v>0.91940647221235094</v>
      </c>
      <c r="AA43">
        <v>6.3928051452146806E-2</v>
      </c>
      <c r="AB43">
        <v>5.0712609444117297E-2</v>
      </c>
      <c r="AC43">
        <v>3.66094109057678E-3</v>
      </c>
      <c r="AD43">
        <v>2.6329493680629101E-2</v>
      </c>
      <c r="AE43">
        <v>4.0606129796738099E-3</v>
      </c>
      <c r="AF43">
        <v>0</v>
      </c>
      <c r="AG43">
        <v>9.1382569686451906E-2</v>
      </c>
      <c r="AH43">
        <v>7.7308860203619701E-3</v>
      </c>
      <c r="AI43">
        <v>0.87188524701150905</v>
      </c>
      <c r="AJ43" t="s">
        <v>74</v>
      </c>
      <c r="AK43">
        <v>0</v>
      </c>
      <c r="AL43" t="s">
        <v>77</v>
      </c>
      <c r="AM43">
        <v>0</v>
      </c>
      <c r="AN43">
        <v>0.99199999999999999</v>
      </c>
      <c r="AO43">
        <v>0</v>
      </c>
      <c r="AP43">
        <v>5.8245346242475203E-2</v>
      </c>
      <c r="AQ43">
        <v>0</v>
      </c>
      <c r="AR43">
        <v>1.6E-2</v>
      </c>
      <c r="AS43">
        <v>0</v>
      </c>
      <c r="AT43">
        <v>0</v>
      </c>
      <c r="AU43">
        <v>0</v>
      </c>
      <c r="AV43">
        <v>0</v>
      </c>
      <c r="AW43">
        <v>1</v>
      </c>
      <c r="AX43" t="s">
        <v>74</v>
      </c>
      <c r="AY43">
        <v>0</v>
      </c>
      <c r="AZ43" t="s">
        <v>76</v>
      </c>
      <c r="BA43">
        <v>-1.5707963267949001</v>
      </c>
      <c r="BB43">
        <v>0.99199999999999999</v>
      </c>
      <c r="BC43">
        <v>0</v>
      </c>
      <c r="BD43">
        <v>5.8245346242475203E-2</v>
      </c>
      <c r="BE43">
        <v>0</v>
      </c>
      <c r="BF43">
        <v>1.6E-2</v>
      </c>
      <c r="BG43">
        <v>0</v>
      </c>
      <c r="BH43">
        <v>0</v>
      </c>
      <c r="BI43">
        <v>0</v>
      </c>
      <c r="BJ43">
        <v>0</v>
      </c>
      <c r="BK43">
        <v>1</v>
      </c>
      <c r="BL43">
        <v>1.1262635941105899E-4</v>
      </c>
      <c r="BM43" s="1">
        <v>4.9556727853406999E-5</v>
      </c>
      <c r="BN43" s="1">
        <v>4.1171457221093703E-7</v>
      </c>
      <c r="BO43" s="1">
        <v>7.7843526080105995E-7</v>
      </c>
      <c r="BP43">
        <v>0</v>
      </c>
      <c r="BQ43">
        <v>0</v>
      </c>
      <c r="BR43" s="1">
        <v>6.1856885948705198E-5</v>
      </c>
      <c r="BS43" s="1">
        <v>2.7299091117830201E-5</v>
      </c>
    </row>
    <row r="44" spans="1:71" x14ac:dyDescent="0.25">
      <c r="A44">
        <v>41</v>
      </c>
      <c r="B44" s="1">
        <v>2.2567156188608799E-5</v>
      </c>
      <c r="C44">
        <v>0.104450232550895</v>
      </c>
      <c r="D44">
        <v>-3.00175230812204E-4</v>
      </c>
      <c r="E44">
        <v>6.1312499999999995E-4</v>
      </c>
      <c r="F44">
        <v>-1.04450232550895E-3</v>
      </c>
      <c r="G44">
        <v>0</v>
      </c>
      <c r="H44" t="s">
        <v>74</v>
      </c>
      <c r="I44">
        <v>0</v>
      </c>
      <c r="J44" t="s">
        <v>75</v>
      </c>
      <c r="K44">
        <v>3.14159265358979</v>
      </c>
      <c r="L44">
        <v>0.92462805265048098</v>
      </c>
      <c r="M44">
        <v>0</v>
      </c>
      <c r="N44">
        <v>5.4289597854972602E-2</v>
      </c>
      <c r="O44">
        <v>0</v>
      </c>
      <c r="P44">
        <v>1.6E-2</v>
      </c>
      <c r="Q44">
        <v>0</v>
      </c>
      <c r="R44">
        <v>0</v>
      </c>
      <c r="S44">
        <v>0</v>
      </c>
      <c r="T44">
        <v>0</v>
      </c>
      <c r="U44">
        <v>0.93200713811110003</v>
      </c>
      <c r="V44" t="s">
        <v>78</v>
      </c>
      <c r="W44">
        <v>2232551.61108064</v>
      </c>
      <c r="X44" t="s">
        <v>76</v>
      </c>
      <c r="Y44">
        <v>-1.5707963267949001</v>
      </c>
      <c r="Z44">
        <v>0.91769126374310295</v>
      </c>
      <c r="AA44">
        <v>6.6571641598990705E-2</v>
      </c>
      <c r="AB44">
        <v>5.0601070095546999E-2</v>
      </c>
      <c r="AC44">
        <v>3.7858482997698401E-3</v>
      </c>
      <c r="AD44">
        <v>2.6295207683316901E-2</v>
      </c>
      <c r="AE44">
        <v>4.1765359714544797E-3</v>
      </c>
      <c r="AF44">
        <v>0</v>
      </c>
      <c r="AG44">
        <v>9.35162194850475E-2</v>
      </c>
      <c r="AH44">
        <v>8.1381914398676695E-3</v>
      </c>
      <c r="AI44">
        <v>0.86869520880902096</v>
      </c>
      <c r="AJ44" t="s">
        <v>74</v>
      </c>
      <c r="AK44">
        <v>0</v>
      </c>
      <c r="AL44" t="s">
        <v>77</v>
      </c>
      <c r="AM44">
        <v>0</v>
      </c>
      <c r="AN44">
        <v>0.99199999999999999</v>
      </c>
      <c r="AO44">
        <v>0</v>
      </c>
      <c r="AP44">
        <v>5.8245346242475203E-2</v>
      </c>
      <c r="AQ44">
        <v>0</v>
      </c>
      <c r="AR44">
        <v>1.6E-2</v>
      </c>
      <c r="AS44">
        <v>0</v>
      </c>
      <c r="AT44">
        <v>0</v>
      </c>
      <c r="AU44">
        <v>0</v>
      </c>
      <c r="AV44">
        <v>0</v>
      </c>
      <c r="AW44">
        <v>1</v>
      </c>
      <c r="AX44" t="s">
        <v>74</v>
      </c>
      <c r="AY44">
        <v>0</v>
      </c>
      <c r="AZ44" t="s">
        <v>76</v>
      </c>
      <c r="BA44">
        <v>-1.5707963267949001</v>
      </c>
      <c r="BB44">
        <v>0.99199999999999999</v>
      </c>
      <c r="BC44">
        <v>0</v>
      </c>
      <c r="BD44">
        <v>5.8245346242475203E-2</v>
      </c>
      <c r="BE44">
        <v>0</v>
      </c>
      <c r="BF44">
        <v>1.6E-2</v>
      </c>
      <c r="BG44">
        <v>0</v>
      </c>
      <c r="BH44">
        <v>0</v>
      </c>
      <c r="BI44">
        <v>0</v>
      </c>
      <c r="BJ44">
        <v>0</v>
      </c>
      <c r="BK44">
        <v>1</v>
      </c>
      <c r="BL44">
        <v>1.1258360436762E-4</v>
      </c>
      <c r="BM44" s="1">
        <v>5.0827205462457601E-5</v>
      </c>
      <c r="BN44" s="1">
        <v>4.1149834335777202E-7</v>
      </c>
      <c r="BO44" s="1">
        <v>7.9839187641677898E-7</v>
      </c>
      <c r="BP44">
        <v>0</v>
      </c>
      <c r="BQ44">
        <v>0</v>
      </c>
      <c r="BR44" s="1">
        <v>6.1830301468595593E-5</v>
      </c>
      <c r="BS44" s="1">
        <v>2.7999619225248E-5</v>
      </c>
    </row>
    <row r="45" spans="1:71" x14ac:dyDescent="0.25">
      <c r="A45">
        <v>42</v>
      </c>
      <c r="B45" s="1">
        <v>2.2073852483043101E-5</v>
      </c>
      <c r="C45">
        <v>0.104472306403378</v>
      </c>
      <c r="D45">
        <v>-3.0029516906419598E-4</v>
      </c>
      <c r="E45">
        <v>6.1312499999999995E-4</v>
      </c>
      <c r="F45">
        <v>-1.04472306403378E-3</v>
      </c>
      <c r="G45" s="1">
        <v>1.0842021724855E-19</v>
      </c>
      <c r="H45" t="s">
        <v>74</v>
      </c>
      <c r="I45">
        <v>0</v>
      </c>
      <c r="J45" t="s">
        <v>75</v>
      </c>
      <c r="K45">
        <v>3.14159265358979</v>
      </c>
      <c r="L45">
        <v>0.92294403437875505</v>
      </c>
      <c r="M45">
        <v>0</v>
      </c>
      <c r="N45">
        <v>5.4190720609695098E-2</v>
      </c>
      <c r="O45">
        <v>0</v>
      </c>
      <c r="P45">
        <v>1.6E-2</v>
      </c>
      <c r="Q45">
        <v>0</v>
      </c>
      <c r="R45">
        <v>0</v>
      </c>
      <c r="S45">
        <v>0</v>
      </c>
      <c r="T45">
        <v>0</v>
      </c>
      <c r="U45">
        <v>0.930277170910357</v>
      </c>
      <c r="V45" t="s">
        <v>78</v>
      </c>
      <c r="W45">
        <v>2233586.6199781001</v>
      </c>
      <c r="X45" t="s">
        <v>76</v>
      </c>
      <c r="Y45">
        <v>-1.5707963267949001</v>
      </c>
      <c r="Z45">
        <v>0.91597707897437097</v>
      </c>
      <c r="AA45">
        <v>6.9211581477805303E-2</v>
      </c>
      <c r="AB45">
        <v>5.0490019451427698E-2</v>
      </c>
      <c r="AC45">
        <v>3.9106195068141902E-3</v>
      </c>
      <c r="AD45">
        <v>2.6258795479803702E-2</v>
      </c>
      <c r="AE45">
        <v>4.2926973540425503E-3</v>
      </c>
      <c r="AF45">
        <v>0</v>
      </c>
      <c r="AG45">
        <v>9.5639056213824097E-2</v>
      </c>
      <c r="AH45">
        <v>8.5562918835165695E-3</v>
      </c>
      <c r="AI45">
        <v>0.86550628807881902</v>
      </c>
      <c r="AJ45" t="s">
        <v>74</v>
      </c>
      <c r="AK45">
        <v>0</v>
      </c>
      <c r="AL45" t="s">
        <v>77</v>
      </c>
      <c r="AM45">
        <v>0</v>
      </c>
      <c r="AN45">
        <v>0.99199999999999999</v>
      </c>
      <c r="AO45">
        <v>0</v>
      </c>
      <c r="AP45">
        <v>5.8245346242475203E-2</v>
      </c>
      <c r="AQ45">
        <v>0</v>
      </c>
      <c r="AR45">
        <v>1.6E-2</v>
      </c>
      <c r="AS45">
        <v>0</v>
      </c>
      <c r="AT45">
        <v>0</v>
      </c>
      <c r="AU45">
        <v>0</v>
      </c>
      <c r="AV45">
        <v>0</v>
      </c>
      <c r="AW45">
        <v>1</v>
      </c>
      <c r="AX45" t="s">
        <v>74</v>
      </c>
      <c r="AY45">
        <v>0</v>
      </c>
      <c r="AZ45" t="s">
        <v>76</v>
      </c>
      <c r="BA45">
        <v>-1.5707963267949001</v>
      </c>
      <c r="BB45">
        <v>0.99199999999999999</v>
      </c>
      <c r="BC45">
        <v>0</v>
      </c>
      <c r="BD45">
        <v>5.8245346242475203E-2</v>
      </c>
      <c r="BE45">
        <v>0</v>
      </c>
      <c r="BF45">
        <v>1.6E-2</v>
      </c>
      <c r="BG45">
        <v>0</v>
      </c>
      <c r="BH45">
        <v>0</v>
      </c>
      <c r="BI45">
        <v>0</v>
      </c>
      <c r="BJ45">
        <v>0</v>
      </c>
      <c r="BK45">
        <v>1</v>
      </c>
      <c r="BL45">
        <v>1.12541026026444E-4</v>
      </c>
      <c r="BM45" s="1">
        <v>5.20976740486703E-5</v>
      </c>
      <c r="BN45" s="1">
        <v>4.1128385173905298E-7</v>
      </c>
      <c r="BO45" s="1">
        <v>8.1834835030209199E-7</v>
      </c>
      <c r="BP45">
        <v>0</v>
      </c>
      <c r="BQ45">
        <v>0</v>
      </c>
      <c r="BR45" s="1">
        <v>6.1803781079487497E-5</v>
      </c>
      <c r="BS45" s="1">
        <v>2.8700160708781901E-5</v>
      </c>
    </row>
    <row r="46" spans="1:71" x14ac:dyDescent="0.25">
      <c r="A46">
        <v>43</v>
      </c>
      <c r="B46" s="1">
        <v>2.16042841682812E-5</v>
      </c>
      <c r="C46">
        <v>0.104493910687546</v>
      </c>
      <c r="D46">
        <v>-3.00412542961392E-4</v>
      </c>
      <c r="E46">
        <v>6.1312499999999995E-4</v>
      </c>
      <c r="F46">
        <v>-1.04493910687546E-3</v>
      </c>
      <c r="G46" s="1">
        <v>1.0842021724855E-19</v>
      </c>
      <c r="H46" t="s">
        <v>74</v>
      </c>
      <c r="I46">
        <v>0</v>
      </c>
      <c r="J46" t="s">
        <v>75</v>
      </c>
      <c r="K46">
        <v>3.14159265358979</v>
      </c>
      <c r="L46">
        <v>0.92126002820624697</v>
      </c>
      <c r="M46">
        <v>0</v>
      </c>
      <c r="N46">
        <v>5.4091844074823897E-2</v>
      </c>
      <c r="O46">
        <v>0</v>
      </c>
      <c r="P46">
        <v>1.6E-2</v>
      </c>
      <c r="Q46">
        <v>0</v>
      </c>
      <c r="R46">
        <v>0</v>
      </c>
      <c r="S46">
        <v>0</v>
      </c>
      <c r="T46">
        <v>0</v>
      </c>
      <c r="U46">
        <v>0.92854225415062996</v>
      </c>
      <c r="V46" t="s">
        <v>78</v>
      </c>
      <c r="W46">
        <v>2234599.4997383901</v>
      </c>
      <c r="X46" t="s">
        <v>76</v>
      </c>
      <c r="Y46">
        <v>-1.5707963267949001</v>
      </c>
      <c r="Z46">
        <v>0.91426387379528395</v>
      </c>
      <c r="AA46">
        <v>6.9211581477805303E-2</v>
      </c>
      <c r="AB46">
        <v>5.03794352555079E-2</v>
      </c>
      <c r="AC46">
        <v>3.9516938540181002E-3</v>
      </c>
      <c r="AD46">
        <v>2.62203489190489E-2</v>
      </c>
      <c r="AE46">
        <v>4.4090906826265803E-3</v>
      </c>
      <c r="AF46">
        <v>0</v>
      </c>
      <c r="AG46">
        <v>9.7751049691944203E-2</v>
      </c>
      <c r="AH46">
        <v>8.9852173218727995E-3</v>
      </c>
      <c r="AI46">
        <v>0.86231859072073103</v>
      </c>
      <c r="AJ46" t="s">
        <v>74</v>
      </c>
      <c r="AK46">
        <v>0</v>
      </c>
      <c r="AL46" t="s">
        <v>77</v>
      </c>
      <c r="AM46">
        <v>0</v>
      </c>
      <c r="AN46">
        <v>0.99199999999999999</v>
      </c>
      <c r="AO46">
        <v>0</v>
      </c>
      <c r="AP46">
        <v>5.8245346242475203E-2</v>
      </c>
      <c r="AQ46">
        <v>0</v>
      </c>
      <c r="AR46">
        <v>1.6E-2</v>
      </c>
      <c r="AS46">
        <v>0</v>
      </c>
      <c r="AT46">
        <v>0</v>
      </c>
      <c r="AU46">
        <v>0</v>
      </c>
      <c r="AV46">
        <v>0</v>
      </c>
      <c r="AW46">
        <v>1</v>
      </c>
      <c r="AX46" t="s">
        <v>74</v>
      </c>
      <c r="AY46">
        <v>0</v>
      </c>
      <c r="AZ46" t="s">
        <v>76</v>
      </c>
      <c r="BA46">
        <v>-1.5707963267949001</v>
      </c>
      <c r="BB46">
        <v>0.99199999999999999</v>
      </c>
      <c r="BC46">
        <v>0</v>
      </c>
      <c r="BD46">
        <v>5.8245346242475203E-2</v>
      </c>
      <c r="BE46">
        <v>0</v>
      </c>
      <c r="BF46">
        <v>1.6E-2</v>
      </c>
      <c r="BG46">
        <v>0</v>
      </c>
      <c r="BH46">
        <v>0</v>
      </c>
      <c r="BI46">
        <v>0</v>
      </c>
      <c r="BJ46">
        <v>0</v>
      </c>
      <c r="BK46">
        <v>1</v>
      </c>
      <c r="BL46">
        <v>1.1245683283464999E-4</v>
      </c>
      <c r="BM46" s="1">
        <v>5.3368133506908499E-5</v>
      </c>
      <c r="BN46" s="1">
        <v>4.1098744458942698E-7</v>
      </c>
      <c r="BO46" s="1">
        <v>8.3830468080551596E-7</v>
      </c>
      <c r="BP46">
        <v>0</v>
      </c>
      <c r="BQ46">
        <v>0</v>
      </c>
      <c r="BR46" s="1">
        <v>6.17543032107996E-5</v>
      </c>
      <c r="BS46" s="1">
        <v>2.9400715153904601E-5</v>
      </c>
    </row>
    <row r="47" spans="1:71" x14ac:dyDescent="0.25">
      <c r="A47">
        <v>44</v>
      </c>
      <c r="B47" s="1">
        <v>2.1156797901219301E-5</v>
      </c>
      <c r="C47">
        <v>0.104515067485448</v>
      </c>
      <c r="D47">
        <v>-3.00527473294546E-4</v>
      </c>
      <c r="E47">
        <v>6.1312499999999995E-4</v>
      </c>
      <c r="F47">
        <v>-1.0451506748544799E-3</v>
      </c>
      <c r="G47">
        <v>0</v>
      </c>
      <c r="H47" t="s">
        <v>74</v>
      </c>
      <c r="I47">
        <v>0</v>
      </c>
      <c r="J47" t="s">
        <v>75</v>
      </c>
      <c r="K47">
        <v>3.14159265358979</v>
      </c>
      <c r="L47">
        <v>0.91957603427041101</v>
      </c>
      <c r="M47">
        <v>0</v>
      </c>
      <c r="N47">
        <v>5.3992968258429697E-2</v>
      </c>
      <c r="O47">
        <v>0</v>
      </c>
      <c r="P47">
        <v>1.6E-2</v>
      </c>
      <c r="Q47">
        <v>0</v>
      </c>
      <c r="R47">
        <v>0</v>
      </c>
      <c r="S47">
        <v>0</v>
      </c>
      <c r="T47">
        <v>0</v>
      </c>
      <c r="U47">
        <v>0.92680247632589896</v>
      </c>
      <c r="V47" t="s">
        <v>78</v>
      </c>
      <c r="W47">
        <v>2235591.29272709</v>
      </c>
      <c r="X47" t="s">
        <v>76</v>
      </c>
      <c r="Y47">
        <v>-1.5707963267949001</v>
      </c>
      <c r="Z47">
        <v>0.912551607059228</v>
      </c>
      <c r="AA47">
        <v>7.1843601876360699E-2</v>
      </c>
      <c r="AB47">
        <v>5.0269296779574701E-2</v>
      </c>
      <c r="AC47">
        <v>4.0761691578915498E-3</v>
      </c>
      <c r="AD47">
        <v>2.6179953788531201E-2</v>
      </c>
      <c r="AE47">
        <v>4.5257097931744403E-3</v>
      </c>
      <c r="AF47">
        <v>0</v>
      </c>
      <c r="AG47">
        <v>9.9852169451280198E-2</v>
      </c>
      <c r="AH47">
        <v>9.4249980156657902E-3</v>
      </c>
      <c r="AI47">
        <v>0.85913221582175003</v>
      </c>
      <c r="AJ47" t="s">
        <v>74</v>
      </c>
      <c r="AK47">
        <v>0</v>
      </c>
      <c r="AL47" t="s">
        <v>77</v>
      </c>
      <c r="AM47">
        <v>0</v>
      </c>
      <c r="AN47">
        <v>0.99199999999999999</v>
      </c>
      <c r="AO47">
        <v>0</v>
      </c>
      <c r="AP47">
        <v>5.8245346242475203E-2</v>
      </c>
      <c r="AQ47">
        <v>0</v>
      </c>
      <c r="AR47">
        <v>1.6E-2</v>
      </c>
      <c r="AS47">
        <v>0</v>
      </c>
      <c r="AT47">
        <v>0</v>
      </c>
      <c r="AU47">
        <v>0</v>
      </c>
      <c r="AV47">
        <v>0</v>
      </c>
      <c r="AW47">
        <v>1</v>
      </c>
      <c r="AX47" t="s">
        <v>74</v>
      </c>
      <c r="AY47">
        <v>0</v>
      </c>
      <c r="AZ47" t="s">
        <v>76</v>
      </c>
      <c r="BA47">
        <v>-1.5707963267949001</v>
      </c>
      <c r="BB47">
        <v>0.99199999999999999</v>
      </c>
      <c r="BC47">
        <v>0</v>
      </c>
      <c r="BD47">
        <v>5.8245346242475203E-2</v>
      </c>
      <c r="BE47">
        <v>0</v>
      </c>
      <c r="BF47">
        <v>1.6E-2</v>
      </c>
      <c r="BG47">
        <v>0</v>
      </c>
      <c r="BH47">
        <v>0</v>
      </c>
      <c r="BI47">
        <v>0</v>
      </c>
      <c r="BJ47">
        <v>0</v>
      </c>
      <c r="BK47">
        <v>1</v>
      </c>
      <c r="BL47">
        <v>1.12414563340423E-4</v>
      </c>
      <c r="BM47" s="1">
        <v>5.4638583733472998E-5</v>
      </c>
      <c r="BN47" s="1">
        <v>4.1077614115197699E-7</v>
      </c>
      <c r="BO47" s="1">
        <v>8.58260866298148E-7</v>
      </c>
      <c r="BP47">
        <v>0</v>
      </c>
      <c r="BQ47">
        <v>0</v>
      </c>
      <c r="BR47" s="1">
        <v>6.1727890517163699E-5</v>
      </c>
      <c r="BS47" s="1">
        <v>3.0101282164482401E-5</v>
      </c>
    </row>
    <row r="48" spans="1:71" x14ac:dyDescent="0.25">
      <c r="A48">
        <v>45</v>
      </c>
      <c r="B48" s="1">
        <v>2.07298909770016E-5</v>
      </c>
      <c r="C48">
        <v>0.104535797376425</v>
      </c>
      <c r="D48">
        <v>-3.00640072623505E-4</v>
      </c>
      <c r="E48">
        <v>6.1312499999999995E-4</v>
      </c>
      <c r="F48">
        <v>-1.04535797376425E-3</v>
      </c>
      <c r="G48">
        <v>0</v>
      </c>
      <c r="H48" t="s">
        <v>74</v>
      </c>
      <c r="I48">
        <v>0</v>
      </c>
      <c r="J48" t="s">
        <v>75</v>
      </c>
      <c r="K48">
        <v>3.14159265358979</v>
      </c>
      <c r="L48">
        <v>0.91789205270707397</v>
      </c>
      <c r="M48">
        <v>0</v>
      </c>
      <c r="N48">
        <v>5.38940931684877E-2</v>
      </c>
      <c r="O48">
        <v>0</v>
      </c>
      <c r="P48">
        <v>1.6E-2</v>
      </c>
      <c r="Q48">
        <v>0</v>
      </c>
      <c r="R48">
        <v>0</v>
      </c>
      <c r="S48">
        <v>0</v>
      </c>
      <c r="T48">
        <v>0</v>
      </c>
      <c r="U48">
        <v>0.92505791969548901</v>
      </c>
      <c r="V48" t="s">
        <v>78</v>
      </c>
      <c r="W48">
        <v>2236562.9702810398</v>
      </c>
      <c r="X48" t="s">
        <v>76</v>
      </c>
      <c r="Y48">
        <v>-1.5707963267949001</v>
      </c>
      <c r="Z48">
        <v>0.91084024032085698</v>
      </c>
      <c r="AA48">
        <v>7.1843601876360699E-2</v>
      </c>
      <c r="AB48">
        <v>5.0159584685677397E-2</v>
      </c>
      <c r="AC48">
        <v>4.1171985358021603E-3</v>
      </c>
      <c r="AD48">
        <v>2.6137690348654399E-2</v>
      </c>
      <c r="AE48">
        <v>4.6425487833090901E-3</v>
      </c>
      <c r="AF48">
        <v>0</v>
      </c>
      <c r="AG48">
        <v>0.101942384737974</v>
      </c>
      <c r="AH48">
        <v>9.8756645138092496E-3</v>
      </c>
      <c r="AI48">
        <v>0.85594725627926405</v>
      </c>
      <c r="AJ48" t="s">
        <v>74</v>
      </c>
      <c r="AK48">
        <v>0</v>
      </c>
      <c r="AL48" t="s">
        <v>77</v>
      </c>
      <c r="AM48">
        <v>0</v>
      </c>
      <c r="AN48">
        <v>0.99199999999999999</v>
      </c>
      <c r="AO48">
        <v>0</v>
      </c>
      <c r="AP48">
        <v>5.8245346242475203E-2</v>
      </c>
      <c r="AQ48">
        <v>0</v>
      </c>
      <c r="AR48">
        <v>1.6E-2</v>
      </c>
      <c r="AS48">
        <v>0</v>
      </c>
      <c r="AT48">
        <v>0</v>
      </c>
      <c r="AU48">
        <v>0</v>
      </c>
      <c r="AV48">
        <v>0</v>
      </c>
      <c r="AW48">
        <v>1</v>
      </c>
      <c r="AX48" t="s">
        <v>74</v>
      </c>
      <c r="AY48">
        <v>0</v>
      </c>
      <c r="AZ48" t="s">
        <v>76</v>
      </c>
      <c r="BA48">
        <v>-1.5707963267949001</v>
      </c>
      <c r="BB48">
        <v>0.99199999999999999</v>
      </c>
      <c r="BC48">
        <v>0</v>
      </c>
      <c r="BD48">
        <v>5.8245346242475203E-2</v>
      </c>
      <c r="BE48">
        <v>0</v>
      </c>
      <c r="BF48">
        <v>1.6E-2</v>
      </c>
      <c r="BG48">
        <v>0</v>
      </c>
      <c r="BH48">
        <v>0</v>
      </c>
      <c r="BI48">
        <v>0</v>
      </c>
      <c r="BJ48">
        <v>0</v>
      </c>
      <c r="BK48">
        <v>1</v>
      </c>
      <c r="BL48">
        <v>1.12330784437459E-4</v>
      </c>
      <c r="BM48" s="1">
        <v>5.5909024625891701E-5</v>
      </c>
      <c r="BN48" s="1">
        <v>4.1048302013208399E-7</v>
      </c>
      <c r="BO48" s="1">
        <v>8.7821690517036197E-7</v>
      </c>
      <c r="BP48">
        <v>0</v>
      </c>
      <c r="BQ48">
        <v>0</v>
      </c>
      <c r="BR48" s="1">
        <v>6.1678580235751104E-5</v>
      </c>
      <c r="BS48" s="1">
        <v>3.08018613614492E-5</v>
      </c>
    </row>
    <row r="49" spans="1:71" x14ac:dyDescent="0.25">
      <c r="A49">
        <v>46</v>
      </c>
      <c r="B49" s="1">
        <v>2.0322194543599E-5</v>
      </c>
      <c r="C49">
        <v>0.104556119570968</v>
      </c>
      <c r="D49">
        <v>-3.0075044601107602E-4</v>
      </c>
      <c r="E49">
        <v>6.1312499999999995E-4</v>
      </c>
      <c r="F49">
        <v>-1.04556119570968E-3</v>
      </c>
      <c r="G49" s="1">
        <v>1.0842021724855E-19</v>
      </c>
      <c r="H49" t="s">
        <v>74</v>
      </c>
      <c r="I49">
        <v>0</v>
      </c>
      <c r="J49" t="s">
        <v>75</v>
      </c>
      <c r="K49">
        <v>3.14159265358979</v>
      </c>
      <c r="L49">
        <v>0.91620808365068396</v>
      </c>
      <c r="M49">
        <v>0</v>
      </c>
      <c r="N49">
        <v>5.3795218812891898E-2</v>
      </c>
      <c r="O49">
        <v>0</v>
      </c>
      <c r="P49">
        <v>1.6E-2</v>
      </c>
      <c r="Q49">
        <v>0</v>
      </c>
      <c r="R49">
        <v>0</v>
      </c>
      <c r="S49">
        <v>0</v>
      </c>
      <c r="T49">
        <v>0</v>
      </c>
      <c r="U49">
        <v>0.92330866083816598</v>
      </c>
      <c r="V49" t="s">
        <v>78</v>
      </c>
      <c r="W49">
        <v>2237515.4390412699</v>
      </c>
      <c r="X49" t="s">
        <v>76</v>
      </c>
      <c r="Y49">
        <v>-1.5707963267949001</v>
      </c>
      <c r="Z49">
        <v>0.909129737601855</v>
      </c>
      <c r="AA49">
        <v>7.4466934178439498E-2</v>
      </c>
      <c r="AB49">
        <v>5.0050280903594598E-2</v>
      </c>
      <c r="AC49">
        <v>4.2413580723055797E-3</v>
      </c>
      <c r="AD49">
        <v>2.60936338089802E-2</v>
      </c>
      <c r="AE49">
        <v>4.7596019948893597E-3</v>
      </c>
      <c r="AF49">
        <v>0</v>
      </c>
      <c r="AG49">
        <v>0.104021664513713</v>
      </c>
      <c r="AH49">
        <v>1.0337247651754301E-2</v>
      </c>
      <c r="AI49">
        <v>0.85276379935507296</v>
      </c>
      <c r="AJ49" t="s">
        <v>74</v>
      </c>
      <c r="AK49">
        <v>0</v>
      </c>
      <c r="AL49" t="s">
        <v>77</v>
      </c>
      <c r="AM49">
        <v>0</v>
      </c>
      <c r="AN49">
        <v>0.99199999999999999</v>
      </c>
      <c r="AO49">
        <v>0</v>
      </c>
      <c r="AP49">
        <v>5.8245346242475203E-2</v>
      </c>
      <c r="AQ49">
        <v>0</v>
      </c>
      <c r="AR49">
        <v>1.6E-2</v>
      </c>
      <c r="AS49">
        <v>0</v>
      </c>
      <c r="AT49">
        <v>0</v>
      </c>
      <c r="AU49">
        <v>0</v>
      </c>
      <c r="AV49">
        <v>0</v>
      </c>
      <c r="AW49">
        <v>1</v>
      </c>
      <c r="AX49" t="s">
        <v>74</v>
      </c>
      <c r="AY49">
        <v>0</v>
      </c>
      <c r="AZ49" t="s">
        <v>76</v>
      </c>
      <c r="BA49">
        <v>-1.5707963267949001</v>
      </c>
      <c r="BB49">
        <v>0.99199999999999999</v>
      </c>
      <c r="BC49">
        <v>0</v>
      </c>
      <c r="BD49">
        <v>5.8245346242475203E-2</v>
      </c>
      <c r="BE49">
        <v>0</v>
      </c>
      <c r="BF49">
        <v>1.6E-2</v>
      </c>
      <c r="BG49">
        <v>0</v>
      </c>
      <c r="BH49">
        <v>0</v>
      </c>
      <c r="BI49">
        <v>0</v>
      </c>
      <c r="BJ49">
        <v>0</v>
      </c>
      <c r="BK49">
        <v>1</v>
      </c>
      <c r="BL49">
        <v>1.12288775136871E-4</v>
      </c>
      <c r="BM49" s="1">
        <v>5.7179456082733601E-5</v>
      </c>
      <c r="BN49" s="1">
        <v>4.1027458258575E-7</v>
      </c>
      <c r="BO49" s="1">
        <v>8.9817279582888095E-7</v>
      </c>
      <c r="BP49">
        <v>0</v>
      </c>
      <c r="BQ49">
        <v>0</v>
      </c>
      <c r="BR49" s="1">
        <v>6.1652253899040598E-5</v>
      </c>
      <c r="BS49" s="1">
        <v>3.1502452381603997E-5</v>
      </c>
    </row>
    <row r="50" spans="1:71" x14ac:dyDescent="0.25">
      <c r="A50">
        <v>47</v>
      </c>
      <c r="B50" s="1">
        <v>1.9932459013599501E-5</v>
      </c>
      <c r="C50">
        <v>0.10457605202998201</v>
      </c>
      <c r="D50">
        <v>-3.0085869167685602E-4</v>
      </c>
      <c r="E50">
        <v>6.1312499999999995E-4</v>
      </c>
      <c r="F50">
        <v>-1.0457605202998199E-3</v>
      </c>
      <c r="G50">
        <v>0</v>
      </c>
      <c r="H50" t="s">
        <v>74</v>
      </c>
      <c r="I50">
        <v>0</v>
      </c>
      <c r="J50" t="s">
        <v>75</v>
      </c>
      <c r="K50">
        <v>3.14159265358979</v>
      </c>
      <c r="L50">
        <v>0.91452412723453602</v>
      </c>
      <c r="M50">
        <v>0</v>
      </c>
      <c r="N50">
        <v>5.3696345199468698E-2</v>
      </c>
      <c r="O50">
        <v>0</v>
      </c>
      <c r="P50">
        <v>1.6E-2</v>
      </c>
      <c r="Q50">
        <v>0</v>
      </c>
      <c r="R50">
        <v>0</v>
      </c>
      <c r="S50">
        <v>0</v>
      </c>
      <c r="T50">
        <v>0</v>
      </c>
      <c r="U50">
        <v>0.92155477114603401</v>
      </c>
      <c r="V50" t="s">
        <v>78</v>
      </c>
      <c r="W50">
        <v>2238449.5465952298</v>
      </c>
      <c r="X50" t="s">
        <v>76</v>
      </c>
      <c r="Y50">
        <v>-1.5707963267949001</v>
      </c>
      <c r="Z50">
        <v>0.90742006518174201</v>
      </c>
      <c r="AA50">
        <v>7.4466934178439498E-2</v>
      </c>
      <c r="AB50">
        <v>4.9941368521559198E-2</v>
      </c>
      <c r="AC50">
        <v>4.2823406180945399E-3</v>
      </c>
      <c r="AD50">
        <v>2.6047854753766898E-2</v>
      </c>
      <c r="AE50">
        <v>4.8768639981083698E-3</v>
      </c>
      <c r="AF50">
        <v>0</v>
      </c>
      <c r="AG50">
        <v>0.10608997745673</v>
      </c>
      <c r="AH50">
        <v>1.0809778550147199E-2</v>
      </c>
      <c r="AI50">
        <v>0.84958192716920999</v>
      </c>
      <c r="AJ50" t="s">
        <v>74</v>
      </c>
      <c r="AK50">
        <v>0</v>
      </c>
      <c r="AL50" t="s">
        <v>77</v>
      </c>
      <c r="AM50">
        <v>0</v>
      </c>
      <c r="AN50">
        <v>0.99199999999999999</v>
      </c>
      <c r="AO50">
        <v>0</v>
      </c>
      <c r="AP50">
        <v>5.8245346242475203E-2</v>
      </c>
      <c r="AQ50">
        <v>0</v>
      </c>
      <c r="AR50">
        <v>1.6E-2</v>
      </c>
      <c r="AS50">
        <v>0</v>
      </c>
      <c r="AT50">
        <v>0</v>
      </c>
      <c r="AU50">
        <v>0</v>
      </c>
      <c r="AV50">
        <v>0</v>
      </c>
      <c r="AW50">
        <v>1</v>
      </c>
      <c r="AX50" t="s">
        <v>74</v>
      </c>
      <c r="AY50">
        <v>0</v>
      </c>
      <c r="AZ50" t="s">
        <v>76</v>
      </c>
      <c r="BA50">
        <v>-1.5707963267949001</v>
      </c>
      <c r="BB50">
        <v>0.99199999999999999</v>
      </c>
      <c r="BC50">
        <v>0</v>
      </c>
      <c r="BD50">
        <v>5.8245346242475203E-2</v>
      </c>
      <c r="BE50">
        <v>0</v>
      </c>
      <c r="BF50">
        <v>1.6E-2</v>
      </c>
      <c r="BG50">
        <v>0</v>
      </c>
      <c r="BH50">
        <v>0</v>
      </c>
      <c r="BI50">
        <v>0</v>
      </c>
      <c r="BJ50">
        <v>0</v>
      </c>
      <c r="BK50">
        <v>1</v>
      </c>
      <c r="BL50">
        <v>1.1220537341203599E-4</v>
      </c>
      <c r="BM50" s="1">
        <v>5.8449878003438402E-5</v>
      </c>
      <c r="BN50" s="1">
        <v>4.0998445813657299E-7</v>
      </c>
      <c r="BO50" s="1">
        <v>9.18128536694109E-7</v>
      </c>
      <c r="BP50">
        <v>0</v>
      </c>
      <c r="BQ50">
        <v>0</v>
      </c>
      <c r="BR50" s="1">
        <v>6.1603095909167394E-5</v>
      </c>
      <c r="BS50" s="1">
        <v>3.2203054876514699E-5</v>
      </c>
    </row>
    <row r="51" spans="1:71" x14ac:dyDescent="0.25">
      <c r="A51">
        <v>48</v>
      </c>
      <c r="B51" s="1">
        <v>1.9559541344491298E-5</v>
      </c>
      <c r="C51">
        <v>0.10459561157132601</v>
      </c>
      <c r="D51">
        <v>-3.0096490158127299E-4</v>
      </c>
      <c r="E51">
        <v>6.1312499999999995E-4</v>
      </c>
      <c r="F51">
        <v>-1.0459561157132599E-3</v>
      </c>
      <c r="G51">
        <v>0</v>
      </c>
      <c r="H51" t="s">
        <v>74</v>
      </c>
      <c r="I51">
        <v>0</v>
      </c>
      <c r="J51" t="s">
        <v>75</v>
      </c>
      <c r="K51">
        <v>3.14159265358979</v>
      </c>
      <c r="L51">
        <v>0.91284018359096497</v>
      </c>
      <c r="M51">
        <v>0</v>
      </c>
      <c r="N51">
        <v>5.35974723359883E-2</v>
      </c>
      <c r="O51">
        <v>0</v>
      </c>
      <c r="P51">
        <v>1.6E-2</v>
      </c>
      <c r="Q51">
        <v>0</v>
      </c>
      <c r="R51">
        <v>0</v>
      </c>
      <c r="S51">
        <v>0</v>
      </c>
      <c r="T51">
        <v>0</v>
      </c>
      <c r="U51">
        <v>0.91979631726590405</v>
      </c>
      <c r="V51" t="s">
        <v>78</v>
      </c>
      <c r="W51">
        <v>2239366.0865167701</v>
      </c>
      <c r="X51" t="s">
        <v>76</v>
      </c>
      <c r="Y51">
        <v>-1.5707963267949001</v>
      </c>
      <c r="Z51">
        <v>0.905711191410559</v>
      </c>
      <c r="AA51">
        <v>7.9718515711604501E-2</v>
      </c>
      <c r="AB51">
        <v>4.9832831688552598E-2</v>
      </c>
      <c r="AC51">
        <v>4.4890274301220001E-3</v>
      </c>
      <c r="AD51">
        <v>2.60004195231913E-2</v>
      </c>
      <c r="AE51">
        <v>4.99432957694744E-3</v>
      </c>
      <c r="AF51">
        <v>0</v>
      </c>
      <c r="AG51">
        <v>0.10814729196256601</v>
      </c>
      <c r="AH51">
        <v>1.1293288613770099E-2</v>
      </c>
      <c r="AI51">
        <v>0.84640171714125001</v>
      </c>
      <c r="AJ51" t="s">
        <v>74</v>
      </c>
      <c r="AK51">
        <v>0</v>
      </c>
      <c r="AL51" t="s">
        <v>77</v>
      </c>
      <c r="AM51">
        <v>0</v>
      </c>
      <c r="AN51">
        <v>0.99199999999999999</v>
      </c>
      <c r="AO51">
        <v>0</v>
      </c>
      <c r="AP51">
        <v>5.8245346242475203E-2</v>
      </c>
      <c r="AQ51">
        <v>0</v>
      </c>
      <c r="AR51">
        <v>1.6E-2</v>
      </c>
      <c r="AS51">
        <v>0</v>
      </c>
      <c r="AT51">
        <v>0</v>
      </c>
      <c r="AU51">
        <v>0</v>
      </c>
      <c r="AV51">
        <v>0</v>
      </c>
      <c r="AW51">
        <v>1</v>
      </c>
      <c r="AX51" t="s">
        <v>74</v>
      </c>
      <c r="AY51">
        <v>0</v>
      </c>
      <c r="AZ51" t="s">
        <v>76</v>
      </c>
      <c r="BA51">
        <v>-1.5707963267949001</v>
      </c>
      <c r="BB51">
        <v>0.99199999999999999</v>
      </c>
      <c r="BC51">
        <v>0</v>
      </c>
      <c r="BD51">
        <v>5.8245346242475203E-2</v>
      </c>
      <c r="BE51">
        <v>0</v>
      </c>
      <c r="BF51">
        <v>1.6E-2</v>
      </c>
      <c r="BG51">
        <v>0</v>
      </c>
      <c r="BH51">
        <v>0</v>
      </c>
      <c r="BI51">
        <v>0</v>
      </c>
      <c r="BJ51">
        <v>0</v>
      </c>
      <c r="BK51">
        <v>1</v>
      </c>
      <c r="BL51">
        <v>1.12205011969807E-4</v>
      </c>
      <c r="BM51" s="1">
        <v>5.9720290288167802E-5</v>
      </c>
      <c r="BN51" s="1">
        <v>4.0986146337334799E-7</v>
      </c>
      <c r="BO51" s="1">
        <v>9.3808412619779001E-7</v>
      </c>
      <c r="BP51">
        <v>0</v>
      </c>
      <c r="BQ51">
        <v>0</v>
      </c>
      <c r="BR51" s="1">
        <v>6.1599663772686695E-5</v>
      </c>
      <c r="BS51" s="1">
        <v>3.2903668511519599E-5</v>
      </c>
    </row>
    <row r="52" spans="1:71" x14ac:dyDescent="0.25">
      <c r="A52">
        <v>49</v>
      </c>
      <c r="B52" s="1">
        <v>1.92023939140422E-5</v>
      </c>
      <c r="C52">
        <v>0.10461481396524</v>
      </c>
      <c r="D52">
        <v>-3.0106916194859798E-4</v>
      </c>
      <c r="E52">
        <v>6.1312499999999995E-4</v>
      </c>
      <c r="F52">
        <v>-1.0461481396524001E-3</v>
      </c>
      <c r="G52" s="1">
        <v>1.0842021724855E-19</v>
      </c>
      <c r="H52" t="s">
        <v>74</v>
      </c>
      <c r="I52">
        <v>0</v>
      </c>
      <c r="J52" t="s">
        <v>75</v>
      </c>
      <c r="K52">
        <v>3.14159265358979</v>
      </c>
      <c r="L52">
        <v>0.91115625285153801</v>
      </c>
      <c r="M52">
        <v>0</v>
      </c>
      <c r="N52">
        <v>5.3498600230175497E-2</v>
      </c>
      <c r="O52">
        <v>0</v>
      </c>
      <c r="P52">
        <v>1.6E-2</v>
      </c>
      <c r="Q52">
        <v>0</v>
      </c>
      <c r="R52">
        <v>0</v>
      </c>
      <c r="S52">
        <v>0</v>
      </c>
      <c r="T52">
        <v>0</v>
      </c>
      <c r="U52">
        <v>0.91803336149472303</v>
      </c>
      <c r="V52" t="s">
        <v>78</v>
      </c>
      <c r="W52">
        <v>2240265.8028795002</v>
      </c>
      <c r="X52" t="s">
        <v>76</v>
      </c>
      <c r="Y52">
        <v>-1.5707963267949001</v>
      </c>
      <c r="Z52">
        <v>0.90400308654074402</v>
      </c>
      <c r="AA52">
        <v>8.2327505384558394E-2</v>
      </c>
      <c r="AB52">
        <v>4.9724655526725198E-2</v>
      </c>
      <c r="AC52">
        <v>4.6126782015904599E-3</v>
      </c>
      <c r="AD52">
        <v>2.59513905557116E-2</v>
      </c>
      <c r="AE52">
        <v>5.1119937158422496E-3</v>
      </c>
      <c r="AF52">
        <v>0</v>
      </c>
      <c r="AG52">
        <v>0.11019357614459099</v>
      </c>
      <c r="AH52">
        <v>1.1787809530738699E-2</v>
      </c>
      <c r="AI52">
        <v>0.84322324238569102</v>
      </c>
      <c r="AJ52" t="s">
        <v>74</v>
      </c>
      <c r="AK52">
        <v>0</v>
      </c>
      <c r="AL52" t="s">
        <v>77</v>
      </c>
      <c r="AM52">
        <v>0</v>
      </c>
      <c r="AN52">
        <v>0.99199999999999999</v>
      </c>
      <c r="AO52">
        <v>0</v>
      </c>
      <c r="AP52">
        <v>5.8245346242475203E-2</v>
      </c>
      <c r="AQ52">
        <v>0</v>
      </c>
      <c r="AR52">
        <v>1.6E-2</v>
      </c>
      <c r="AS52">
        <v>0</v>
      </c>
      <c r="AT52">
        <v>0</v>
      </c>
      <c r="AU52">
        <v>0</v>
      </c>
      <c r="AV52">
        <v>0</v>
      </c>
      <c r="AW52">
        <v>1</v>
      </c>
      <c r="AX52" t="s">
        <v>74</v>
      </c>
      <c r="AY52">
        <v>0</v>
      </c>
      <c r="AZ52" t="s">
        <v>76</v>
      </c>
      <c r="BA52">
        <v>-1.5707963267949001</v>
      </c>
      <c r="BB52">
        <v>0.99199999999999999</v>
      </c>
      <c r="BC52">
        <v>0</v>
      </c>
      <c r="BD52">
        <v>5.8245346242475203E-2</v>
      </c>
      <c r="BE52">
        <v>0</v>
      </c>
      <c r="BF52">
        <v>1.6E-2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1.12163313221721E-4</v>
      </c>
      <c r="BM52" s="1">
        <v>6.0990692837664902E-5</v>
      </c>
      <c r="BN52" s="1">
        <v>4.09656804341193E-7</v>
      </c>
      <c r="BO52" s="1">
        <v>9.5803956278079806E-7</v>
      </c>
      <c r="BP52">
        <v>0</v>
      </c>
      <c r="BQ52">
        <v>0</v>
      </c>
      <c r="BR52" s="1">
        <v>6.1573432494230995E-5</v>
      </c>
      <c r="BS52" s="1">
        <v>3.36042929648127E-5</v>
      </c>
    </row>
    <row r="53" spans="1:71" x14ac:dyDescent="0.25">
      <c r="A53">
        <v>50</v>
      </c>
      <c r="B53" s="1">
        <v>1.8860054761983799E-5</v>
      </c>
      <c r="C53">
        <v>0.104633674020002</v>
      </c>
      <c r="D53">
        <v>-3.0117155373643098E-4</v>
      </c>
      <c r="E53">
        <v>6.1312499999999995E-4</v>
      </c>
      <c r="F53">
        <v>-1.0463367402000199E-3</v>
      </c>
      <c r="G53" s="1">
        <v>1.0842021724855E-19</v>
      </c>
      <c r="H53" t="s">
        <v>74</v>
      </c>
      <c r="I53">
        <v>0</v>
      </c>
      <c r="J53" t="s">
        <v>75</v>
      </c>
      <c r="K53">
        <v>3.14159265358979</v>
      </c>
      <c r="L53">
        <v>0.90947233514721404</v>
      </c>
      <c r="M53">
        <v>0</v>
      </c>
      <c r="N53">
        <v>5.3399728889719701E-2</v>
      </c>
      <c r="O53">
        <v>0</v>
      </c>
      <c r="P53">
        <v>1.6E-2</v>
      </c>
      <c r="Q53">
        <v>0</v>
      </c>
      <c r="R53">
        <v>0</v>
      </c>
      <c r="S53">
        <v>0</v>
      </c>
      <c r="T53">
        <v>0</v>
      </c>
      <c r="U53">
        <v>0.91626596213467304</v>
      </c>
      <c r="V53" t="s">
        <v>78</v>
      </c>
      <c r="W53">
        <v>2241149.3943082099</v>
      </c>
      <c r="X53" t="s">
        <v>76</v>
      </c>
      <c r="Y53">
        <v>-1.5707963267949001</v>
      </c>
      <c r="Z53">
        <v>0.90229572257586299</v>
      </c>
      <c r="AA53">
        <v>8.2327505384558394E-2</v>
      </c>
      <c r="AB53">
        <v>4.9616826052706398E-2</v>
      </c>
      <c r="AC53">
        <v>4.6535961441853003E-3</v>
      </c>
      <c r="AD53">
        <v>2.5900826696255101E-2</v>
      </c>
      <c r="AE53">
        <v>5.22985158743762E-3</v>
      </c>
      <c r="AF53">
        <v>0</v>
      </c>
      <c r="AG53">
        <v>0.11222879783431899</v>
      </c>
      <c r="AH53">
        <v>1.2293373271942101E-2</v>
      </c>
      <c r="AI53">
        <v>0.84004657206699995</v>
      </c>
      <c r="AJ53" t="s">
        <v>74</v>
      </c>
      <c r="AK53">
        <v>0</v>
      </c>
      <c r="AL53" t="s">
        <v>77</v>
      </c>
      <c r="AM53">
        <v>0</v>
      </c>
      <c r="AN53">
        <v>0.99199999999999999</v>
      </c>
      <c r="AO53">
        <v>0</v>
      </c>
      <c r="AP53">
        <v>5.8245346242475203E-2</v>
      </c>
      <c r="AQ53">
        <v>0</v>
      </c>
      <c r="AR53">
        <v>1.6E-2</v>
      </c>
      <c r="AS53">
        <v>0</v>
      </c>
      <c r="AT53">
        <v>0</v>
      </c>
      <c r="AU53">
        <v>0</v>
      </c>
      <c r="AV53">
        <v>0</v>
      </c>
      <c r="AW53">
        <v>1</v>
      </c>
      <c r="AX53" t="s">
        <v>74</v>
      </c>
      <c r="AY53">
        <v>0</v>
      </c>
      <c r="AZ53" t="s">
        <v>76</v>
      </c>
      <c r="BA53">
        <v>-1.5707963267949001</v>
      </c>
      <c r="BB53">
        <v>0.99199999999999999</v>
      </c>
      <c r="BC53">
        <v>0</v>
      </c>
      <c r="BD53">
        <v>5.8245346242475203E-2</v>
      </c>
      <c r="BE53">
        <v>0</v>
      </c>
      <c r="BF53">
        <v>1.6E-2</v>
      </c>
      <c r="BG53">
        <v>0</v>
      </c>
      <c r="BH53">
        <v>0</v>
      </c>
      <c r="BI53">
        <v>0</v>
      </c>
      <c r="BJ53">
        <v>0</v>
      </c>
      <c r="BK53">
        <v>1</v>
      </c>
      <c r="BL53">
        <v>1.12080421785781E-4</v>
      </c>
      <c r="BM53" s="1">
        <v>6.22610855531303E-5</v>
      </c>
      <c r="BN53" s="1">
        <v>4.0937072565867998E-7</v>
      </c>
      <c r="BO53" s="1">
        <v>9.7799484489119908E-7</v>
      </c>
      <c r="BP53">
        <v>0</v>
      </c>
      <c r="BQ53">
        <v>0</v>
      </c>
      <c r="BR53" s="1">
        <v>6.1524481345203797E-5</v>
      </c>
      <c r="BS53" s="1">
        <v>3.4304927926606798E-5</v>
      </c>
    </row>
    <row r="54" spans="1:71" x14ac:dyDescent="0.25">
      <c r="A54">
        <v>51</v>
      </c>
      <c r="B54" s="1">
        <v>1.8531639006233499E-5</v>
      </c>
      <c r="C54">
        <v>0.104652205659008</v>
      </c>
      <c r="D54">
        <v>-3.0127215305810102E-4</v>
      </c>
      <c r="E54">
        <v>6.1312499999999995E-4</v>
      </c>
      <c r="F54">
        <v>-1.0465220565900801E-3</v>
      </c>
      <c r="G54" s="1">
        <v>1.0842021724855E-19</v>
      </c>
      <c r="H54" t="s">
        <v>74</v>
      </c>
      <c r="I54">
        <v>0</v>
      </c>
      <c r="J54" t="s">
        <v>75</v>
      </c>
      <c r="K54">
        <v>3.14159265358979</v>
      </c>
      <c r="L54">
        <v>0.90778843060850001</v>
      </c>
      <c r="M54">
        <v>0</v>
      </c>
      <c r="N54">
        <v>5.3300858322283498E-2</v>
      </c>
      <c r="O54">
        <v>0</v>
      </c>
      <c r="P54">
        <v>1.6E-2</v>
      </c>
      <c r="Q54">
        <v>0</v>
      </c>
      <c r="R54">
        <v>0</v>
      </c>
      <c r="S54">
        <v>0</v>
      </c>
      <c r="T54">
        <v>0</v>
      </c>
      <c r="U54">
        <v>0.91449417381278597</v>
      </c>
      <c r="V54" t="s">
        <v>78</v>
      </c>
      <c r="W54">
        <v>2242017.5176239801</v>
      </c>
      <c r="X54" t="s">
        <v>76</v>
      </c>
      <c r="Y54">
        <v>-1.5707963267949001</v>
      </c>
      <c r="Z54">
        <v>0.900589073134205</v>
      </c>
      <c r="AA54">
        <v>8.49261353952631E-2</v>
      </c>
      <c r="AB54">
        <v>4.9509330106739802E-2</v>
      </c>
      <c r="AC54">
        <v>4.7768826286069604E-3</v>
      </c>
      <c r="AD54">
        <v>2.5848783474271102E-2</v>
      </c>
      <c r="AE54">
        <v>5.3478985413206101E-3</v>
      </c>
      <c r="AF54">
        <v>0</v>
      </c>
      <c r="AG54">
        <v>0.114252924581508</v>
      </c>
      <c r="AH54">
        <v>1.28100120907045E-2</v>
      </c>
      <c r="AI54">
        <v>0.83687177171920202</v>
      </c>
      <c r="AJ54" t="s">
        <v>74</v>
      </c>
      <c r="AK54">
        <v>0</v>
      </c>
      <c r="AL54" t="s">
        <v>77</v>
      </c>
      <c r="AM54">
        <v>0</v>
      </c>
      <c r="AN54">
        <v>0.99199999999999999</v>
      </c>
      <c r="AO54">
        <v>0</v>
      </c>
      <c r="AP54">
        <v>5.8245346242475203E-2</v>
      </c>
      <c r="AQ54">
        <v>0</v>
      </c>
      <c r="AR54">
        <v>1.6E-2</v>
      </c>
      <c r="AS54">
        <v>0</v>
      </c>
      <c r="AT54">
        <v>0</v>
      </c>
      <c r="AU54">
        <v>0</v>
      </c>
      <c r="AV54">
        <v>0</v>
      </c>
      <c r="AW54">
        <v>1</v>
      </c>
      <c r="AX54" t="s">
        <v>74</v>
      </c>
      <c r="AY54">
        <v>0</v>
      </c>
      <c r="AZ54" t="s">
        <v>76</v>
      </c>
      <c r="BA54">
        <v>-1.5707963267949001</v>
      </c>
      <c r="BB54">
        <v>0.99199999999999999</v>
      </c>
      <c r="BC54">
        <v>0</v>
      </c>
      <c r="BD54">
        <v>5.8245346242475203E-2</v>
      </c>
      <c r="BE54">
        <v>0</v>
      </c>
      <c r="BF54">
        <v>1.6E-2</v>
      </c>
      <c r="BG54">
        <v>0</v>
      </c>
      <c r="BH54">
        <v>0</v>
      </c>
      <c r="BI54">
        <v>0</v>
      </c>
      <c r="BJ54">
        <v>0</v>
      </c>
      <c r="BK54">
        <v>1</v>
      </c>
      <c r="BL54">
        <v>1.1203888177129E-4</v>
      </c>
      <c r="BM54" s="1">
        <v>6.3531468336106304E-5</v>
      </c>
      <c r="BN54" s="1">
        <v>4.0916827909675198E-7</v>
      </c>
      <c r="BO54" s="1">
        <v>9.9794997098241995E-7</v>
      </c>
      <c r="BP54">
        <v>0</v>
      </c>
      <c r="BQ54">
        <v>0</v>
      </c>
      <c r="BR54" s="1">
        <v>6.1498291369060104E-5</v>
      </c>
      <c r="BS54" s="1">
        <v>3.5005573098363702E-5</v>
      </c>
    </row>
    <row r="55" spans="1:71" x14ac:dyDescent="0.25">
      <c r="A55">
        <v>52</v>
      </c>
      <c r="B55" s="1">
        <v>1.82163312716512E-5</v>
      </c>
      <c r="C55">
        <v>0.10467042199028</v>
      </c>
      <c r="D55">
        <v>-3.0137103156354798E-4</v>
      </c>
      <c r="E55">
        <v>6.1312499999999995E-4</v>
      </c>
      <c r="F55">
        <v>-1.0467042199028E-3</v>
      </c>
      <c r="G55">
        <v>0</v>
      </c>
      <c r="H55" t="s">
        <v>74</v>
      </c>
      <c r="I55">
        <v>0</v>
      </c>
      <c r="J55" t="s">
        <v>75</v>
      </c>
      <c r="K55">
        <v>3.14159265358979</v>
      </c>
      <c r="L55">
        <v>0.90610453936558399</v>
      </c>
      <c r="M55">
        <v>0</v>
      </c>
      <c r="N55">
        <v>5.3201988535511099E-2</v>
      </c>
      <c r="O55">
        <v>0</v>
      </c>
      <c r="P55">
        <v>1.6E-2</v>
      </c>
      <c r="Q55">
        <v>0</v>
      </c>
      <c r="R55">
        <v>0</v>
      </c>
      <c r="S55">
        <v>0</v>
      </c>
      <c r="T55">
        <v>0</v>
      </c>
      <c r="U55">
        <v>0.91297008130760005</v>
      </c>
      <c r="V55" t="s">
        <v>78</v>
      </c>
      <c r="W55">
        <v>2242870.7911310201</v>
      </c>
      <c r="X55" t="s">
        <v>76</v>
      </c>
      <c r="Y55">
        <v>-1.5707963267949001</v>
      </c>
      <c r="Z55">
        <v>0.89888311332551296</v>
      </c>
      <c r="AA55">
        <v>8.49261353952631E-2</v>
      </c>
      <c r="AB55">
        <v>4.9402155288726497E-2</v>
      </c>
      <c r="AC55">
        <v>4.8177597838735299E-3</v>
      </c>
      <c r="AD55">
        <v>2.57953133551347E-2</v>
      </c>
      <c r="AE55">
        <v>5.4661300936363396E-3</v>
      </c>
      <c r="AF55">
        <v>0</v>
      </c>
      <c r="AG55">
        <v>0.116265923654093</v>
      </c>
      <c r="AH55">
        <v>1.3337758522656E-2</v>
      </c>
      <c r="AI55">
        <v>0.833698903534138</v>
      </c>
      <c r="AJ55" t="s">
        <v>74</v>
      </c>
      <c r="AK55">
        <v>0</v>
      </c>
      <c r="AL55" t="s">
        <v>77</v>
      </c>
      <c r="AM55">
        <v>0</v>
      </c>
      <c r="AN55">
        <v>0.99199999999999999</v>
      </c>
      <c r="AO55">
        <v>0</v>
      </c>
      <c r="AP55">
        <v>5.8245346242475203E-2</v>
      </c>
      <c r="AQ55">
        <v>0</v>
      </c>
      <c r="AR55">
        <v>1.6E-2</v>
      </c>
      <c r="AS55">
        <v>0</v>
      </c>
      <c r="AT55">
        <v>0</v>
      </c>
      <c r="AU55">
        <v>0</v>
      </c>
      <c r="AV55">
        <v>0</v>
      </c>
      <c r="AW55">
        <v>1</v>
      </c>
      <c r="AX55" t="s">
        <v>74</v>
      </c>
      <c r="AY55">
        <v>0</v>
      </c>
      <c r="AZ55" t="s">
        <v>76</v>
      </c>
      <c r="BA55">
        <v>-1.5707963267949001</v>
      </c>
      <c r="BB55">
        <v>0.99199999999999999</v>
      </c>
      <c r="BC55">
        <v>0</v>
      </c>
      <c r="BD55">
        <v>5.8245346242475203E-2</v>
      </c>
      <c r="BE55">
        <v>0</v>
      </c>
      <c r="BF55">
        <v>1.6E-2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1.11956298046531E-4</v>
      </c>
      <c r="BM55" s="1">
        <v>6.4801841088374694E-5</v>
      </c>
      <c r="BN55" s="1">
        <v>4.0888463737710699E-7</v>
      </c>
      <c r="BO55" s="1">
        <v>1.01790493951166E-6</v>
      </c>
      <c r="BP55">
        <v>0</v>
      </c>
      <c r="BQ55">
        <v>0</v>
      </c>
      <c r="BR55" s="1">
        <v>6.1449464516815706E-5</v>
      </c>
      <c r="BS55" s="1">
        <v>3.57062281920892E-5</v>
      </c>
    </row>
    <row r="56" spans="1:71" x14ac:dyDescent="0.25">
      <c r="A56">
        <v>53</v>
      </c>
      <c r="B56" s="1">
        <v>1.79133789948239E-5</v>
      </c>
      <c r="C56">
        <v>0.10468833536927501</v>
      </c>
      <c r="D56">
        <v>-3.01468256783482E-4</v>
      </c>
      <c r="E56">
        <v>6.1312499999999995E-4</v>
      </c>
      <c r="F56">
        <v>-1.04688335369275E-3</v>
      </c>
      <c r="G56">
        <v>0</v>
      </c>
      <c r="H56" t="s">
        <v>74</v>
      </c>
      <c r="I56">
        <v>0</v>
      </c>
      <c r="J56" t="s">
        <v>75</v>
      </c>
      <c r="K56">
        <v>3.14159265358979</v>
      </c>
      <c r="L56">
        <v>0.90442066154846901</v>
      </c>
      <c r="M56">
        <v>0</v>
      </c>
      <c r="N56">
        <v>5.3103119537035302E-2</v>
      </c>
      <c r="O56">
        <v>0</v>
      </c>
      <c r="P56">
        <v>1.6E-2</v>
      </c>
      <c r="Q56">
        <v>0</v>
      </c>
      <c r="R56">
        <v>0</v>
      </c>
      <c r="S56">
        <v>0</v>
      </c>
      <c r="T56">
        <v>0</v>
      </c>
      <c r="U56">
        <v>0.91093763211794399</v>
      </c>
      <c r="V56" t="s">
        <v>78</v>
      </c>
      <c r="W56">
        <v>2243709.7975865798</v>
      </c>
      <c r="X56" t="s">
        <v>76</v>
      </c>
      <c r="Y56">
        <v>-1.5707963267949001</v>
      </c>
      <c r="Z56">
        <v>0.89717781963935905</v>
      </c>
      <c r="AA56">
        <v>8.7513820444055104E-2</v>
      </c>
      <c r="AB56">
        <v>4.92952899003814E-2</v>
      </c>
      <c r="AC56">
        <v>4.9406665808525803E-3</v>
      </c>
      <c r="AD56">
        <v>2.57404659679304E-2</v>
      </c>
      <c r="AE56">
        <v>5.5845419175001697E-3</v>
      </c>
      <c r="AF56">
        <v>0</v>
      </c>
      <c r="AG56">
        <v>0.118267762037922</v>
      </c>
      <c r="AH56">
        <v>1.38766453857962E-2</v>
      </c>
      <c r="AI56">
        <v>0.83052802662206104</v>
      </c>
      <c r="AJ56" t="s">
        <v>74</v>
      </c>
      <c r="AK56">
        <v>0</v>
      </c>
      <c r="AL56" t="s">
        <v>77</v>
      </c>
      <c r="AM56">
        <v>0</v>
      </c>
      <c r="AN56">
        <v>0.99199999999999999</v>
      </c>
      <c r="AO56">
        <v>0</v>
      </c>
      <c r="AP56">
        <v>5.8245346242475203E-2</v>
      </c>
      <c r="AQ56">
        <v>0</v>
      </c>
      <c r="AR56">
        <v>1.6E-2</v>
      </c>
      <c r="AS56">
        <v>0</v>
      </c>
      <c r="AT56">
        <v>0</v>
      </c>
      <c r="AU56">
        <v>0</v>
      </c>
      <c r="AV56">
        <v>0</v>
      </c>
      <c r="AW56">
        <v>1</v>
      </c>
      <c r="AX56" t="s">
        <v>74</v>
      </c>
      <c r="AY56">
        <v>0</v>
      </c>
      <c r="AZ56" t="s">
        <v>76</v>
      </c>
      <c r="BA56">
        <v>-1.5707963267949001</v>
      </c>
      <c r="BB56">
        <v>0.99199999999999999</v>
      </c>
      <c r="BC56">
        <v>0</v>
      </c>
      <c r="BD56">
        <v>5.8245346242475203E-2</v>
      </c>
      <c r="BE56">
        <v>0</v>
      </c>
      <c r="BF56">
        <v>1.6E-2</v>
      </c>
      <c r="BG56">
        <v>0</v>
      </c>
      <c r="BH56">
        <v>0</v>
      </c>
      <c r="BI56">
        <v>0</v>
      </c>
      <c r="BJ56">
        <v>0</v>
      </c>
      <c r="BK56">
        <v>1</v>
      </c>
      <c r="BL56">
        <v>1.1191488425161E-4</v>
      </c>
      <c r="BM56" s="1">
        <v>6.6072203711859407E-5</v>
      </c>
      <c r="BN56" s="1">
        <v>4.0868419570451902E-7</v>
      </c>
      <c r="BO56" s="1">
        <v>1.0378597489383299E-6</v>
      </c>
      <c r="BP56">
        <v>0</v>
      </c>
      <c r="BQ56">
        <v>0</v>
      </c>
      <c r="BR56" s="1">
        <v>6.1423301414963299E-5</v>
      </c>
      <c r="BS56" s="1">
        <v>3.64068929296803E-5</v>
      </c>
    </row>
    <row r="57" spans="1:71" x14ac:dyDescent="0.25">
      <c r="A57">
        <v>54</v>
      </c>
      <c r="B57" s="1">
        <v>1.7622086488692701E-5</v>
      </c>
      <c r="C57">
        <v>0.104705957455764</v>
      </c>
      <c r="D57">
        <v>-3.0156389244100399E-4</v>
      </c>
      <c r="E57">
        <v>6.1312499999999995E-4</v>
      </c>
      <c r="F57">
        <v>-1.0470595745576401E-3</v>
      </c>
      <c r="G57">
        <v>0</v>
      </c>
      <c r="H57" t="s">
        <v>74</v>
      </c>
      <c r="I57">
        <v>0</v>
      </c>
      <c r="J57" t="s">
        <v>75</v>
      </c>
      <c r="K57">
        <v>3.14159265358979</v>
      </c>
      <c r="L57">
        <v>0.90273679728708101</v>
      </c>
      <c r="M57">
        <v>0</v>
      </c>
      <c r="N57">
        <v>5.3004251334485102E-2</v>
      </c>
      <c r="O57">
        <v>0</v>
      </c>
      <c r="P57">
        <v>1.6E-2</v>
      </c>
      <c r="Q57">
        <v>0</v>
      </c>
      <c r="R57">
        <v>0</v>
      </c>
      <c r="S57">
        <v>0</v>
      </c>
      <c r="T57">
        <v>0</v>
      </c>
      <c r="U57">
        <v>0.90915297208261003</v>
      </c>
      <c r="V57" t="s">
        <v>78</v>
      </c>
      <c r="W57">
        <v>2244535.08689008</v>
      </c>
      <c r="X57" t="s">
        <v>76</v>
      </c>
      <c r="Y57">
        <v>-1.5707963267949001</v>
      </c>
      <c r="Z57">
        <v>0.89547316984385295</v>
      </c>
      <c r="AA57">
        <v>9.0095826194072096E-2</v>
      </c>
      <c r="AB57">
        <v>4.9188722892812203E-2</v>
      </c>
      <c r="AC57">
        <v>5.0633758284261803E-3</v>
      </c>
      <c r="AD57">
        <v>2.56842883122433E-2</v>
      </c>
      <c r="AE57">
        <v>5.7031298341316504E-3</v>
      </c>
      <c r="AF57">
        <v>0</v>
      </c>
      <c r="AG57">
        <v>0.12025840643633701</v>
      </c>
      <c r="AH57">
        <v>1.44267057807414E-2</v>
      </c>
      <c r="AI57">
        <v>0.82735919724765195</v>
      </c>
      <c r="AJ57" t="s">
        <v>74</v>
      </c>
      <c r="AK57">
        <v>0</v>
      </c>
      <c r="AL57" t="s">
        <v>77</v>
      </c>
      <c r="AM57">
        <v>0</v>
      </c>
      <c r="AN57">
        <v>0.99199999999999999</v>
      </c>
      <c r="AO57">
        <v>0</v>
      </c>
      <c r="AP57">
        <v>5.8245346242475203E-2</v>
      </c>
      <c r="AQ57">
        <v>0</v>
      </c>
      <c r="AR57">
        <v>1.6E-2</v>
      </c>
      <c r="AS57">
        <v>0</v>
      </c>
      <c r="AT57">
        <v>0</v>
      </c>
      <c r="AU57">
        <v>0</v>
      </c>
      <c r="AV57">
        <v>0</v>
      </c>
      <c r="AW57">
        <v>1</v>
      </c>
      <c r="AX57" t="s">
        <v>74</v>
      </c>
      <c r="AY57">
        <v>0</v>
      </c>
      <c r="AZ57" t="s">
        <v>76</v>
      </c>
      <c r="BA57">
        <v>-1.5707963267949001</v>
      </c>
      <c r="BB57">
        <v>0.99199999999999999</v>
      </c>
      <c r="BC57">
        <v>0</v>
      </c>
      <c r="BD57">
        <v>5.8245346242475203E-2</v>
      </c>
      <c r="BE57">
        <v>0</v>
      </c>
      <c r="BF57">
        <v>1.6E-2</v>
      </c>
      <c r="BG57">
        <v>0</v>
      </c>
      <c r="BH57">
        <v>0</v>
      </c>
      <c r="BI57">
        <v>0</v>
      </c>
      <c r="BJ57">
        <v>0</v>
      </c>
      <c r="BK57">
        <v>1</v>
      </c>
      <c r="BL57">
        <v>1.11873521270337E-4</v>
      </c>
      <c r="BM57" s="1">
        <v>6.7342556108539094E-5</v>
      </c>
      <c r="BN57" s="1">
        <v>4.08484681489251E-7</v>
      </c>
      <c r="BO57" s="1">
        <v>1.0578143977227199E-6</v>
      </c>
      <c r="BP57">
        <v>0</v>
      </c>
      <c r="BQ57">
        <v>0</v>
      </c>
      <c r="BR57" s="1">
        <v>6.1397146369716405E-5</v>
      </c>
      <c r="BS57" s="1">
        <v>3.7107567042325098E-5</v>
      </c>
    </row>
    <row r="58" spans="1:71" x14ac:dyDescent="0.25">
      <c r="A58">
        <v>55</v>
      </c>
      <c r="B58" s="1">
        <v>1.7341809668237399E-5</v>
      </c>
      <c r="C58">
        <v>0.104723299265432</v>
      </c>
      <c r="D58">
        <v>-3.0165799873429502E-4</v>
      </c>
      <c r="E58">
        <v>6.1312499999999995E-4</v>
      </c>
      <c r="F58">
        <v>-1.04723299265432E-3</v>
      </c>
      <c r="G58">
        <v>0</v>
      </c>
      <c r="H58" t="s">
        <v>74</v>
      </c>
      <c r="I58">
        <v>0</v>
      </c>
      <c r="J58" t="s">
        <v>75</v>
      </c>
      <c r="K58">
        <v>3.14159265358979</v>
      </c>
      <c r="L58">
        <v>0.90105294671138902</v>
      </c>
      <c r="M58">
        <v>0</v>
      </c>
      <c r="N58">
        <v>5.29053839354914E-2</v>
      </c>
      <c r="O58">
        <v>0</v>
      </c>
      <c r="P58">
        <v>1.6E-2</v>
      </c>
      <c r="Q58">
        <v>0</v>
      </c>
      <c r="R58">
        <v>0</v>
      </c>
      <c r="S58">
        <v>0</v>
      </c>
      <c r="T58">
        <v>0</v>
      </c>
      <c r="U58">
        <v>0.90736411021091501</v>
      </c>
      <c r="V58" t="s">
        <v>78</v>
      </c>
      <c r="W58">
        <v>2245347.1785226101</v>
      </c>
      <c r="X58" t="s">
        <v>76</v>
      </c>
      <c r="Y58">
        <v>-1.5707963267949001</v>
      </c>
      <c r="Z58">
        <v>0.89376914289356602</v>
      </c>
      <c r="AA58">
        <v>9.0095826194072096E-2</v>
      </c>
      <c r="AB58">
        <v>4.9082443818923203E-2</v>
      </c>
      <c r="AC58">
        <v>5.1041968997065498E-3</v>
      </c>
      <c r="AD58">
        <v>2.56268249462531E-2</v>
      </c>
      <c r="AE58">
        <v>5.8218898046423504E-3</v>
      </c>
      <c r="AF58">
        <v>0</v>
      </c>
      <c r="AG58">
        <v>0.122237823269585</v>
      </c>
      <c r="AH58">
        <v>1.498797309114E-2</v>
      </c>
      <c r="AI58">
        <v>0.82419246904422905</v>
      </c>
      <c r="AJ58" t="s">
        <v>74</v>
      </c>
      <c r="AK58">
        <v>0</v>
      </c>
      <c r="AL58" t="s">
        <v>77</v>
      </c>
      <c r="AM58">
        <v>0</v>
      </c>
      <c r="AN58">
        <v>0.99199999999999999</v>
      </c>
      <c r="AO58">
        <v>0</v>
      </c>
      <c r="AP58">
        <v>5.8245346242475203E-2</v>
      </c>
      <c r="AQ58">
        <v>0</v>
      </c>
      <c r="AR58">
        <v>1.6E-2</v>
      </c>
      <c r="AS58">
        <v>0</v>
      </c>
      <c r="AT58">
        <v>0</v>
      </c>
      <c r="AU58">
        <v>0</v>
      </c>
      <c r="AV58">
        <v>0</v>
      </c>
      <c r="AW58">
        <v>1</v>
      </c>
      <c r="AX58" t="s">
        <v>74</v>
      </c>
      <c r="AY58">
        <v>0</v>
      </c>
      <c r="AZ58" t="s">
        <v>76</v>
      </c>
      <c r="BA58">
        <v>-1.5707963267949001</v>
      </c>
      <c r="BB58">
        <v>0.99199999999999999</v>
      </c>
      <c r="BC58">
        <v>0</v>
      </c>
      <c r="BD58">
        <v>5.8245346242475203E-2</v>
      </c>
      <c r="BE58">
        <v>0</v>
      </c>
      <c r="BF58">
        <v>1.6E-2</v>
      </c>
      <c r="BG58">
        <v>0</v>
      </c>
      <c r="BH58">
        <v>0</v>
      </c>
      <c r="BI58">
        <v>0</v>
      </c>
      <c r="BJ58">
        <v>0</v>
      </c>
      <c r="BK58">
        <v>1</v>
      </c>
      <c r="BL58">
        <v>1.11791358569536E-4</v>
      </c>
      <c r="BM58" s="1">
        <v>6.8612898180362699E-5</v>
      </c>
      <c r="BN58" s="1">
        <v>4.0820436673546799E-7</v>
      </c>
      <c r="BO58" s="1">
        <v>1.07776888432466E-6</v>
      </c>
      <c r="BP58">
        <v>0</v>
      </c>
      <c r="BQ58">
        <v>0</v>
      </c>
      <c r="BR58" s="1">
        <v>6.1348489948101495E-5</v>
      </c>
      <c r="BS58" s="1">
        <v>3.7808250269944703E-5</v>
      </c>
    </row>
    <row r="59" spans="1:71" x14ac:dyDescent="0.25">
      <c r="A59">
        <v>56</v>
      </c>
      <c r="B59" s="1">
        <v>1.70719513529205E-5</v>
      </c>
      <c r="C59">
        <v>0.10474037121678501</v>
      </c>
      <c r="D59">
        <v>-3.0175063259355999E-4</v>
      </c>
      <c r="E59">
        <v>6.1312499999999995E-4</v>
      </c>
      <c r="F59">
        <v>-1.04740371216785E-3</v>
      </c>
      <c r="G59" s="1">
        <v>1.0842021724855E-19</v>
      </c>
      <c r="H59" t="s">
        <v>74</v>
      </c>
      <c r="I59">
        <v>0</v>
      </c>
      <c r="J59" t="s">
        <v>75</v>
      </c>
      <c r="K59">
        <v>3.14159265358979</v>
      </c>
      <c r="L59">
        <v>0.89936910995149599</v>
      </c>
      <c r="M59">
        <v>0</v>
      </c>
      <c r="N59">
        <v>5.2806517347693198E-2</v>
      </c>
      <c r="O59">
        <v>0</v>
      </c>
      <c r="P59">
        <v>1.6E-2</v>
      </c>
      <c r="Q59">
        <v>0</v>
      </c>
      <c r="R59">
        <v>0</v>
      </c>
      <c r="S59">
        <v>0</v>
      </c>
      <c r="T59">
        <v>0</v>
      </c>
      <c r="U59">
        <v>0.90557108656926899</v>
      </c>
      <c r="V59" t="s">
        <v>78</v>
      </c>
      <c r="W59">
        <v>2246146.5637642099</v>
      </c>
      <c r="X59" t="s">
        <v>76</v>
      </c>
      <c r="Y59">
        <v>-1.5707963267949001</v>
      </c>
      <c r="Z59">
        <v>0.89206571884566199</v>
      </c>
      <c r="AA59">
        <v>9.2666082748903797E-2</v>
      </c>
      <c r="AB59">
        <v>4.8976442790115197E-2</v>
      </c>
      <c r="AC59">
        <v>5.2265073057431999E-3</v>
      </c>
      <c r="AD59">
        <v>2.5568118158134999E-2</v>
      </c>
      <c r="AE59">
        <v>5.9408179224189001E-3</v>
      </c>
      <c r="AF59">
        <v>0</v>
      </c>
      <c r="AG59">
        <v>0.12420597867410001</v>
      </c>
      <c r="AH59">
        <v>1.5560480984253E-2</v>
      </c>
      <c r="AI59">
        <v>0.82102789320849501</v>
      </c>
      <c r="AJ59" t="s">
        <v>74</v>
      </c>
      <c r="AK59">
        <v>0</v>
      </c>
      <c r="AL59" t="s">
        <v>77</v>
      </c>
      <c r="AM59">
        <v>0</v>
      </c>
      <c r="AN59">
        <v>0.99199999999999999</v>
      </c>
      <c r="AO59">
        <v>0</v>
      </c>
      <c r="AP59">
        <v>5.8245346242475203E-2</v>
      </c>
      <c r="AQ59">
        <v>0</v>
      </c>
      <c r="AR59">
        <v>1.6E-2</v>
      </c>
      <c r="AS59">
        <v>0</v>
      </c>
      <c r="AT59">
        <v>0</v>
      </c>
      <c r="AU59">
        <v>0</v>
      </c>
      <c r="AV59">
        <v>0</v>
      </c>
      <c r="AW59">
        <v>1</v>
      </c>
      <c r="AX59" t="s">
        <v>74</v>
      </c>
      <c r="AY59">
        <v>0</v>
      </c>
      <c r="AZ59" t="s">
        <v>76</v>
      </c>
      <c r="BA59">
        <v>-1.5707963267949001</v>
      </c>
      <c r="BB59">
        <v>0.99199999999999999</v>
      </c>
      <c r="BC59">
        <v>0</v>
      </c>
      <c r="BD59">
        <v>5.8245346242475203E-2</v>
      </c>
      <c r="BE59">
        <v>0</v>
      </c>
      <c r="BF59">
        <v>1.6E-2</v>
      </c>
      <c r="BG59">
        <v>0</v>
      </c>
      <c r="BH59">
        <v>0</v>
      </c>
      <c r="BI59">
        <v>0</v>
      </c>
      <c r="BJ59">
        <v>0</v>
      </c>
      <c r="BK59">
        <v>1</v>
      </c>
      <c r="BL59">
        <v>1.1175007996425101E-4</v>
      </c>
      <c r="BM59" s="1">
        <v>6.9883229829176694E-5</v>
      </c>
      <c r="BN59" s="1">
        <v>4.0800659098810499E-7</v>
      </c>
      <c r="BO59" s="1">
        <v>1.09772320720234E-6</v>
      </c>
      <c r="BP59">
        <v>0</v>
      </c>
      <c r="BQ59">
        <v>0</v>
      </c>
      <c r="BR59" s="1">
        <v>6.1322343241349304E-5</v>
      </c>
      <c r="BS59" s="1">
        <v>3.8508942360681003E-5</v>
      </c>
    </row>
    <row r="60" spans="1:71" x14ac:dyDescent="0.25">
      <c r="A60">
        <v>57</v>
      </c>
      <c r="B60" s="1">
        <v>1.6811957073552801E-5</v>
      </c>
      <c r="C60">
        <v>0.104757183173858</v>
      </c>
      <c r="D60">
        <v>-3.0184184791498102E-4</v>
      </c>
      <c r="E60">
        <v>6.1312499999999995E-4</v>
      </c>
      <c r="F60">
        <v>-1.0475718317385801E-3</v>
      </c>
      <c r="G60">
        <v>0</v>
      </c>
      <c r="H60" t="s">
        <v>74</v>
      </c>
      <c r="I60">
        <v>0</v>
      </c>
      <c r="J60" t="s">
        <v>75</v>
      </c>
      <c r="K60">
        <v>3.14159265358979</v>
      </c>
      <c r="L60">
        <v>0.89768528713773699</v>
      </c>
      <c r="M60">
        <v>0</v>
      </c>
      <c r="N60">
        <v>5.27076515787432E-2</v>
      </c>
      <c r="O60">
        <v>0</v>
      </c>
      <c r="P60">
        <v>1.6E-2</v>
      </c>
      <c r="Q60">
        <v>0</v>
      </c>
      <c r="R60">
        <v>0</v>
      </c>
      <c r="S60">
        <v>0</v>
      </c>
      <c r="T60">
        <v>0</v>
      </c>
      <c r="U60">
        <v>0.90377393892018498</v>
      </c>
      <c r="V60" t="s">
        <v>78</v>
      </c>
      <c r="W60">
        <v>2246933.70771277</v>
      </c>
      <c r="X60" t="s">
        <v>76</v>
      </c>
      <c r="Y60">
        <v>-1.5707963267949001</v>
      </c>
      <c r="Z60">
        <v>0.89036287878337805</v>
      </c>
      <c r="AA60">
        <v>9.2666082748903797E-2</v>
      </c>
      <c r="AB60">
        <v>4.8870710436827697E-2</v>
      </c>
      <c r="AC60">
        <v>5.2672907922588904E-3</v>
      </c>
      <c r="AD60">
        <v>2.5508208122526702E-2</v>
      </c>
      <c r="AE60">
        <v>6.05991040604692E-3</v>
      </c>
      <c r="AF60">
        <v>0</v>
      </c>
      <c r="AG60">
        <v>0.12616283850162199</v>
      </c>
      <c r="AH60">
        <v>1.6144263411684599E-2</v>
      </c>
      <c r="AI60">
        <v>0.817865518677929</v>
      </c>
      <c r="AJ60" t="s">
        <v>74</v>
      </c>
      <c r="AK60">
        <v>0</v>
      </c>
      <c r="AL60" t="s">
        <v>77</v>
      </c>
      <c r="AM60">
        <v>0</v>
      </c>
      <c r="AN60">
        <v>0.99199999999999999</v>
      </c>
      <c r="AO60">
        <v>0</v>
      </c>
      <c r="AP60">
        <v>5.8245346242475203E-2</v>
      </c>
      <c r="AQ60">
        <v>0</v>
      </c>
      <c r="AR60">
        <v>1.6E-2</v>
      </c>
      <c r="AS60">
        <v>0</v>
      </c>
      <c r="AT60">
        <v>0</v>
      </c>
      <c r="AU60">
        <v>0</v>
      </c>
      <c r="AV60">
        <v>0</v>
      </c>
      <c r="AW60">
        <v>1</v>
      </c>
      <c r="AX60" t="s">
        <v>74</v>
      </c>
      <c r="AY60">
        <v>0</v>
      </c>
      <c r="AZ60" t="s">
        <v>76</v>
      </c>
      <c r="BA60">
        <v>-1.5707963267949001</v>
      </c>
      <c r="BB60">
        <v>0.99199999999999999</v>
      </c>
      <c r="BC60">
        <v>0</v>
      </c>
      <c r="BD60">
        <v>5.8245346242475203E-2</v>
      </c>
      <c r="BE60">
        <v>0</v>
      </c>
      <c r="BF60">
        <v>1.6E-2</v>
      </c>
      <c r="BG60">
        <v>0</v>
      </c>
      <c r="BH60">
        <v>0</v>
      </c>
      <c r="BI60">
        <v>0</v>
      </c>
      <c r="BJ60">
        <v>0</v>
      </c>
      <c r="BK60">
        <v>1</v>
      </c>
      <c r="BL60">
        <v>1.1166817264639E-4</v>
      </c>
      <c r="BM60" s="1">
        <v>7.1153550956653294E-5</v>
      </c>
      <c r="BN60" s="1">
        <v>4.0772829651612399E-7</v>
      </c>
      <c r="BO60" s="1">
        <v>1.11767736481124E-6</v>
      </c>
      <c r="BP60">
        <v>0</v>
      </c>
      <c r="BQ60">
        <v>0</v>
      </c>
      <c r="BR60" s="1">
        <v>6.1273789931400098E-5</v>
      </c>
      <c r="BS60" s="1">
        <v>3.9209643070417897E-5</v>
      </c>
    </row>
    <row r="61" spans="1:71" x14ac:dyDescent="0.25">
      <c r="A61">
        <v>58</v>
      </c>
      <c r="B61" s="1">
        <v>1.65613113214125E-5</v>
      </c>
      <c r="C61">
        <v>0.10477374448518</v>
      </c>
      <c r="D61">
        <v>-3.0193169577411E-4</v>
      </c>
      <c r="E61">
        <v>6.1312499999999995E-4</v>
      </c>
      <c r="F61">
        <v>-1.0477374448517999E-3</v>
      </c>
      <c r="G61">
        <v>0</v>
      </c>
      <c r="H61" t="s">
        <v>74</v>
      </c>
      <c r="I61">
        <v>0</v>
      </c>
      <c r="J61" t="s">
        <v>75</v>
      </c>
      <c r="K61">
        <v>3.14159265358979</v>
      </c>
      <c r="L61">
        <v>0.89600147840076805</v>
      </c>
      <c r="M61">
        <v>0</v>
      </c>
      <c r="N61">
        <v>5.2608786636312903E-2</v>
      </c>
      <c r="O61">
        <v>0</v>
      </c>
      <c r="P61">
        <v>1.6E-2</v>
      </c>
      <c r="Q61">
        <v>0</v>
      </c>
      <c r="R61">
        <v>0</v>
      </c>
      <c r="S61">
        <v>0</v>
      </c>
      <c r="T61">
        <v>0</v>
      </c>
      <c r="U61">
        <v>0.90197270288412201</v>
      </c>
      <c r="V61" t="s">
        <v>78</v>
      </c>
      <c r="W61">
        <v>2247709.0511254999</v>
      </c>
      <c r="X61" t="s">
        <v>76</v>
      </c>
      <c r="Y61">
        <v>-1.5707963267949001</v>
      </c>
      <c r="Z61">
        <v>0.88866060474609798</v>
      </c>
      <c r="AA61">
        <v>9.52240973413815E-2</v>
      </c>
      <c r="AB61">
        <v>4.8765237872517998E-2</v>
      </c>
      <c r="AC61">
        <v>5.3891821699192897E-3</v>
      </c>
      <c r="AD61">
        <v>2.54471330436058E-2</v>
      </c>
      <c r="AE61">
        <v>6.1791635927284996E-3</v>
      </c>
      <c r="AF61">
        <v>0</v>
      </c>
      <c r="AG61">
        <v>0.12810836831818501</v>
      </c>
      <c r="AH61">
        <v>1.6739354610256201E-2</v>
      </c>
      <c r="AI61">
        <v>0.81470539229266103</v>
      </c>
      <c r="AJ61" t="s">
        <v>74</v>
      </c>
      <c r="AK61">
        <v>0</v>
      </c>
      <c r="AL61" t="s">
        <v>77</v>
      </c>
      <c r="AM61">
        <v>0</v>
      </c>
      <c r="AN61">
        <v>0.99199999999999999</v>
      </c>
      <c r="AO61">
        <v>0</v>
      </c>
      <c r="AP61">
        <v>5.8245346242475203E-2</v>
      </c>
      <c r="AQ61">
        <v>0</v>
      </c>
      <c r="AR61">
        <v>1.6E-2</v>
      </c>
      <c r="AS61">
        <v>0</v>
      </c>
      <c r="AT61">
        <v>0</v>
      </c>
      <c r="AU61">
        <v>0</v>
      </c>
      <c r="AV61">
        <v>0</v>
      </c>
      <c r="AW61">
        <v>1</v>
      </c>
      <c r="AX61" t="s">
        <v>74</v>
      </c>
      <c r="AY61">
        <v>0</v>
      </c>
      <c r="AZ61" t="s">
        <v>76</v>
      </c>
      <c r="BA61">
        <v>-1.5707963267949001</v>
      </c>
      <c r="BB61">
        <v>0.99199999999999999</v>
      </c>
      <c r="BC61">
        <v>0</v>
      </c>
      <c r="BD61">
        <v>5.8245346242475203E-2</v>
      </c>
      <c r="BE61">
        <v>0</v>
      </c>
      <c r="BF61">
        <v>1.6E-2</v>
      </c>
      <c r="BG61">
        <v>0</v>
      </c>
      <c r="BH61">
        <v>0</v>
      </c>
      <c r="BI61">
        <v>0</v>
      </c>
      <c r="BJ61">
        <v>0</v>
      </c>
      <c r="BK61">
        <v>1</v>
      </c>
      <c r="BL61">
        <v>1.1162694958185001E-4</v>
      </c>
      <c r="BM61" s="1">
        <v>7.2423861464220794E-5</v>
      </c>
      <c r="BN61" s="1">
        <v>4.07532088359934E-7</v>
      </c>
      <c r="BO61" s="1">
        <v>1.13763135560301E-6</v>
      </c>
      <c r="BP61">
        <v>0</v>
      </c>
      <c r="BQ61">
        <v>0</v>
      </c>
      <c r="BR61" s="1">
        <v>6.1247638299931294E-5</v>
      </c>
      <c r="BS61" s="1">
        <v>3.9910352162336302E-5</v>
      </c>
    </row>
    <row r="62" spans="1:71" x14ac:dyDescent="0.25">
      <c r="A62">
        <v>59</v>
      </c>
      <c r="B62" s="1">
        <v>1.6319534186275201E-5</v>
      </c>
      <c r="C62">
        <v>0.104790064019366</v>
      </c>
      <c r="D62">
        <v>-3.02020224620827E-4</v>
      </c>
      <c r="E62">
        <v>6.1312499999999995E-4</v>
      </c>
      <c r="F62">
        <v>-1.0479006401936601E-3</v>
      </c>
      <c r="G62" s="1">
        <v>1.0842021724855E-19</v>
      </c>
      <c r="H62" t="s">
        <v>74</v>
      </c>
      <c r="I62">
        <v>0</v>
      </c>
      <c r="J62" t="s">
        <v>75</v>
      </c>
      <c r="K62">
        <v>3.14159265358979</v>
      </c>
      <c r="L62">
        <v>0.89431768387164501</v>
      </c>
      <c r="M62">
        <v>0</v>
      </c>
      <c r="N62">
        <v>5.2509922528097198E-2</v>
      </c>
      <c r="O62">
        <v>0</v>
      </c>
      <c r="P62">
        <v>1.6E-2</v>
      </c>
      <c r="Q62">
        <v>0</v>
      </c>
      <c r="R62">
        <v>0</v>
      </c>
      <c r="S62">
        <v>0</v>
      </c>
      <c r="T62">
        <v>0</v>
      </c>
      <c r="U62">
        <v>0.90016741208738604</v>
      </c>
      <c r="V62" t="s">
        <v>78</v>
      </c>
      <c r="W62">
        <v>2248473.0121013601</v>
      </c>
      <c r="X62" t="s">
        <v>76</v>
      </c>
      <c r="Y62">
        <v>-1.5707963267949001</v>
      </c>
      <c r="Z62">
        <v>0.88695887966532205</v>
      </c>
      <c r="AA62">
        <v>9.7775815905486105E-2</v>
      </c>
      <c r="AB62">
        <v>4.8660016660721998E-2</v>
      </c>
      <c r="AC62">
        <v>5.5108589256014301E-3</v>
      </c>
      <c r="AD62">
        <v>2.5384929286136702E-2</v>
      </c>
      <c r="AE62">
        <v>6.2985739321516103E-3</v>
      </c>
      <c r="AF62">
        <v>0</v>
      </c>
      <c r="AG62">
        <v>0.13004253340299299</v>
      </c>
      <c r="AH62">
        <v>1.7345789103022501E-2</v>
      </c>
      <c r="AI62">
        <v>0.81154755894338404</v>
      </c>
      <c r="AJ62" t="s">
        <v>74</v>
      </c>
      <c r="AK62">
        <v>0</v>
      </c>
      <c r="AL62" t="s">
        <v>77</v>
      </c>
      <c r="AM62">
        <v>0</v>
      </c>
      <c r="AN62">
        <v>0.99199999999999999</v>
      </c>
      <c r="AO62">
        <v>0</v>
      </c>
      <c r="AP62">
        <v>5.8245346242475203E-2</v>
      </c>
      <c r="AQ62">
        <v>0</v>
      </c>
      <c r="AR62">
        <v>1.6E-2</v>
      </c>
      <c r="AS62">
        <v>0</v>
      </c>
      <c r="AT62">
        <v>0</v>
      </c>
      <c r="AU62">
        <v>0</v>
      </c>
      <c r="AV62">
        <v>0</v>
      </c>
      <c r="AW62">
        <v>1</v>
      </c>
      <c r="AX62" t="s">
        <v>74</v>
      </c>
      <c r="AY62">
        <v>0</v>
      </c>
      <c r="AZ62" t="s">
        <v>76</v>
      </c>
      <c r="BA62">
        <v>-1.5707963267949001</v>
      </c>
      <c r="BB62">
        <v>0.99199999999999999</v>
      </c>
      <c r="BC62">
        <v>0</v>
      </c>
      <c r="BD62">
        <v>5.8245346242475203E-2</v>
      </c>
      <c r="BE62">
        <v>0</v>
      </c>
      <c r="BF62">
        <v>1.6E-2</v>
      </c>
      <c r="BG62">
        <v>0</v>
      </c>
      <c r="BH62">
        <v>0</v>
      </c>
      <c r="BI62">
        <v>0</v>
      </c>
      <c r="BJ62">
        <v>0</v>
      </c>
      <c r="BK62">
        <v>1</v>
      </c>
      <c r="BL62">
        <v>1.11585745299686E-4</v>
      </c>
      <c r="BM62" s="1">
        <v>7.3694161253007898E-5</v>
      </c>
      <c r="BN62" s="1">
        <v>4.0733660904869299E-7</v>
      </c>
      <c r="BO62" s="1">
        <v>1.1575851780245601E-6</v>
      </c>
      <c r="BP62">
        <v>0</v>
      </c>
      <c r="BQ62">
        <v>0</v>
      </c>
      <c r="BR62" s="1">
        <v>6.1221480345725302E-5</v>
      </c>
      <c r="BS62" s="1">
        <v>4.0611069406503902E-5</v>
      </c>
    </row>
    <row r="63" spans="1:71" x14ac:dyDescent="0.25">
      <c r="A63">
        <v>60</v>
      </c>
      <c r="B63" s="1">
        <v>1.6086178336828701E-5</v>
      </c>
      <c r="C63">
        <v>0.10480615019770299</v>
      </c>
      <c r="D63">
        <v>-3.02107480457759E-4</v>
      </c>
      <c r="E63">
        <v>6.1312499999999995E-4</v>
      </c>
      <c r="F63">
        <v>-1.0480615019770299E-3</v>
      </c>
      <c r="G63">
        <v>0</v>
      </c>
      <c r="H63" t="s">
        <v>74</v>
      </c>
      <c r="I63">
        <v>0</v>
      </c>
      <c r="J63" t="s">
        <v>75</v>
      </c>
      <c r="K63">
        <v>3.14159265358979</v>
      </c>
      <c r="L63">
        <v>0.89263390368190798</v>
      </c>
      <c r="M63">
        <v>0</v>
      </c>
      <c r="N63">
        <v>5.2411059261819597E-2</v>
      </c>
      <c r="O63">
        <v>0</v>
      </c>
      <c r="P63">
        <v>1.6E-2</v>
      </c>
      <c r="Q63">
        <v>0</v>
      </c>
      <c r="R63">
        <v>0</v>
      </c>
      <c r="S63">
        <v>0</v>
      </c>
      <c r="T63">
        <v>0</v>
      </c>
      <c r="U63">
        <v>0.898358098297523</v>
      </c>
      <c r="V63" t="s">
        <v>78</v>
      </c>
      <c r="W63">
        <v>2249225.9876206801</v>
      </c>
      <c r="X63" t="s">
        <v>76</v>
      </c>
      <c r="Y63">
        <v>-1.5707963267949001</v>
      </c>
      <c r="Z63">
        <v>0.88525768730597998</v>
      </c>
      <c r="AA63">
        <v>9.7775815905486105E-2</v>
      </c>
      <c r="AB63">
        <v>4.85550387848891E-2</v>
      </c>
      <c r="AC63">
        <v>5.5515935509276504E-3</v>
      </c>
      <c r="AD63">
        <v>2.5321631495691999E-2</v>
      </c>
      <c r="AE63">
        <v>6.4181379807710997E-3</v>
      </c>
      <c r="AF63">
        <v>0</v>
      </c>
      <c r="AG63">
        <v>0.131965298747143</v>
      </c>
      <c r="AH63">
        <v>1.7963601700412501E-2</v>
      </c>
      <c r="AI63">
        <v>0.808392061706801</v>
      </c>
      <c r="AJ63" t="s">
        <v>74</v>
      </c>
      <c r="AK63">
        <v>0</v>
      </c>
      <c r="AL63" t="s">
        <v>77</v>
      </c>
      <c r="AM63">
        <v>0</v>
      </c>
      <c r="AN63">
        <v>0.99199999999999999</v>
      </c>
      <c r="AO63">
        <v>0</v>
      </c>
      <c r="AP63">
        <v>5.8245346242475203E-2</v>
      </c>
      <c r="AQ63">
        <v>0</v>
      </c>
      <c r="AR63">
        <v>1.6E-2</v>
      </c>
      <c r="AS63">
        <v>0</v>
      </c>
      <c r="AT63">
        <v>0</v>
      </c>
      <c r="AU63">
        <v>0</v>
      </c>
      <c r="AV63">
        <v>0</v>
      </c>
      <c r="AW63">
        <v>1</v>
      </c>
      <c r="AX63" t="s">
        <v>74</v>
      </c>
      <c r="AY63">
        <v>0</v>
      </c>
      <c r="AZ63" t="s">
        <v>76</v>
      </c>
      <c r="BA63">
        <v>-1.5707963267949001</v>
      </c>
      <c r="BB63">
        <v>0.99199999999999999</v>
      </c>
      <c r="BC63">
        <v>0</v>
      </c>
      <c r="BD63">
        <v>5.8245346242475203E-2</v>
      </c>
      <c r="BE63">
        <v>0</v>
      </c>
      <c r="BF63">
        <v>1.6E-2</v>
      </c>
      <c r="BG63">
        <v>0</v>
      </c>
      <c r="BH63">
        <v>0</v>
      </c>
      <c r="BI63">
        <v>0</v>
      </c>
      <c r="BJ63">
        <v>0</v>
      </c>
      <c r="BK63">
        <v>1</v>
      </c>
      <c r="BL63">
        <v>1.1150419204129301E-4</v>
      </c>
      <c r="BM63" s="1">
        <v>7.4964450223777906E-5</v>
      </c>
      <c r="BN63" s="1">
        <v>4.0706110334347998E-7</v>
      </c>
      <c r="BO63" s="1">
        <v>1.1775388305170901E-6</v>
      </c>
      <c r="BP63">
        <v>0</v>
      </c>
      <c r="BQ63">
        <v>0</v>
      </c>
      <c r="BR63" s="1">
        <v>6.1173070551171098E-5</v>
      </c>
      <c r="BS63" s="1">
        <v>4.1311794579487599E-5</v>
      </c>
    </row>
    <row r="64" spans="1:71" x14ac:dyDescent="0.25">
      <c r="A64">
        <v>61</v>
      </c>
      <c r="B64" s="1">
        <v>1.58608263038498E-5</v>
      </c>
      <c r="C64">
        <v>0.104822011024007</v>
      </c>
      <c r="D64">
        <v>-3.0219350700379601E-4</v>
      </c>
      <c r="E64">
        <v>6.1312499999999995E-4</v>
      </c>
      <c r="F64">
        <v>-1.04822011024007E-3</v>
      </c>
      <c r="G64">
        <v>0</v>
      </c>
      <c r="H64" t="s">
        <v>74</v>
      </c>
      <c r="I64">
        <v>0</v>
      </c>
      <c r="J64" t="s">
        <v>75</v>
      </c>
      <c r="K64">
        <v>3.14159265358979</v>
      </c>
      <c r="L64">
        <v>0.89095013796364197</v>
      </c>
      <c r="M64">
        <v>0</v>
      </c>
      <c r="N64">
        <v>5.2312196845235297E-2</v>
      </c>
      <c r="O64">
        <v>0</v>
      </c>
      <c r="P64">
        <v>1.6E-2</v>
      </c>
      <c r="Q64">
        <v>0</v>
      </c>
      <c r="R64">
        <v>0</v>
      </c>
      <c r="S64">
        <v>0</v>
      </c>
      <c r="T64">
        <v>0</v>
      </c>
      <c r="U64">
        <v>0.89654479154743405</v>
      </c>
      <c r="V64" t="s">
        <v>78</v>
      </c>
      <c r="W64">
        <v>2249968.3549562702</v>
      </c>
      <c r="X64" t="s">
        <v>76</v>
      </c>
      <c r="Y64">
        <v>-1.5707963267949001</v>
      </c>
      <c r="Z64">
        <v>0.88355701221251404</v>
      </c>
      <c r="AA64">
        <v>0.100314610188964</v>
      </c>
      <c r="AB64">
        <v>4.8450296620709397E-2</v>
      </c>
      <c r="AC64">
        <v>5.6728375604647501E-3</v>
      </c>
      <c r="AD64">
        <v>2.52572727091076E-2</v>
      </c>
      <c r="AE64">
        <v>6.5378523964693697E-3</v>
      </c>
      <c r="AF64">
        <v>0</v>
      </c>
      <c r="AG64">
        <v>0.13387662905226</v>
      </c>
      <c r="AH64">
        <v>1.8592827501503501E-2</v>
      </c>
      <c r="AI64">
        <v>0.80523894196977397</v>
      </c>
      <c r="AJ64" t="s">
        <v>74</v>
      </c>
      <c r="AK64">
        <v>0</v>
      </c>
      <c r="AL64" t="s">
        <v>77</v>
      </c>
      <c r="AM64">
        <v>0</v>
      </c>
      <c r="AN64">
        <v>0.99199999999999999</v>
      </c>
      <c r="AO64">
        <v>0</v>
      </c>
      <c r="AP64">
        <v>5.8245346242475203E-2</v>
      </c>
      <c r="AQ64">
        <v>0</v>
      </c>
      <c r="AR64">
        <v>1.6E-2</v>
      </c>
      <c r="AS64">
        <v>0</v>
      </c>
      <c r="AT64">
        <v>0</v>
      </c>
      <c r="AU64">
        <v>0</v>
      </c>
      <c r="AV64">
        <v>0</v>
      </c>
      <c r="AW64">
        <v>1</v>
      </c>
      <c r="AX64" t="s">
        <v>74</v>
      </c>
      <c r="AY64">
        <v>0</v>
      </c>
      <c r="AZ64" t="s">
        <v>76</v>
      </c>
      <c r="BA64">
        <v>-1.5707963267949001</v>
      </c>
      <c r="BB64">
        <v>0.99199999999999999</v>
      </c>
      <c r="BC64">
        <v>0</v>
      </c>
      <c r="BD64">
        <v>5.8245346242475203E-2</v>
      </c>
      <c r="BE64">
        <v>0</v>
      </c>
      <c r="BF64">
        <v>1.6E-2</v>
      </c>
      <c r="BG64">
        <v>0</v>
      </c>
      <c r="BH64">
        <v>0</v>
      </c>
      <c r="BI64">
        <v>0</v>
      </c>
      <c r="BJ64">
        <v>0</v>
      </c>
      <c r="BK64">
        <v>1</v>
      </c>
      <c r="BL64">
        <v>1.1146301175567999E-4</v>
      </c>
      <c r="BM64" s="1">
        <v>7.6234728276881498E-5</v>
      </c>
      <c r="BN64" s="1">
        <v>4.06866992418543E-7</v>
      </c>
      <c r="BO64" s="1">
        <v>1.1974923115153299E-6</v>
      </c>
      <c r="BP64">
        <v>0</v>
      </c>
      <c r="BQ64">
        <v>0</v>
      </c>
      <c r="BR64" s="1">
        <v>6.1146893738321306E-5</v>
      </c>
      <c r="BS64" s="1">
        <v>4.2012527463998298E-5</v>
      </c>
    </row>
    <row r="65" spans="1:71" x14ac:dyDescent="0.25">
      <c r="A65">
        <v>62</v>
      </c>
      <c r="B65" s="1">
        <v>1.5643088030768001E-5</v>
      </c>
      <c r="C65">
        <v>0.10483765411203801</v>
      </c>
      <c r="D65">
        <v>-3.0227834584419801E-4</v>
      </c>
      <c r="E65">
        <v>6.1312499999999995E-4</v>
      </c>
      <c r="F65">
        <v>-1.04837654112037E-3</v>
      </c>
      <c r="G65" s="1">
        <v>1.0842021724855E-19</v>
      </c>
      <c r="H65" t="s">
        <v>74</v>
      </c>
      <c r="I65">
        <v>0</v>
      </c>
      <c r="J65" t="s">
        <v>75</v>
      </c>
      <c r="K65">
        <v>3.14159265358979</v>
      </c>
      <c r="L65">
        <v>0.88926638684956105</v>
      </c>
      <c r="M65">
        <v>0</v>
      </c>
      <c r="N65">
        <v>5.2213335286136697E-2</v>
      </c>
      <c r="O65">
        <v>0</v>
      </c>
      <c r="P65">
        <v>1.6E-2</v>
      </c>
      <c r="Q65">
        <v>0</v>
      </c>
      <c r="R65">
        <v>0</v>
      </c>
      <c r="S65">
        <v>0</v>
      </c>
      <c r="T65">
        <v>0</v>
      </c>
      <c r="U65">
        <v>0.89472752024935798</v>
      </c>
      <c r="V65" t="s">
        <v>78</v>
      </c>
      <c r="W65">
        <v>2250700.4729687301</v>
      </c>
      <c r="X65" t="s">
        <v>76</v>
      </c>
      <c r="Y65">
        <v>-1.5707963267949001</v>
      </c>
      <c r="Z65">
        <v>0.88185683965932005</v>
      </c>
      <c r="AA65">
        <v>0.100314610188964</v>
      </c>
      <c r="AB65">
        <v>4.8345782910694302E-2</v>
      </c>
      <c r="AC65">
        <v>5.71353640496528E-3</v>
      </c>
      <c r="AD65">
        <v>2.51918844561176E-2</v>
      </c>
      <c r="AE65">
        <v>6.6577139335627896E-3</v>
      </c>
      <c r="AF65">
        <v>0</v>
      </c>
      <c r="AG65">
        <v>0.13577648872898501</v>
      </c>
      <c r="AH65">
        <v>1.9233501895406901E-2</v>
      </c>
      <c r="AI65">
        <v>0.80208823954335695</v>
      </c>
      <c r="AJ65" t="s">
        <v>74</v>
      </c>
      <c r="AK65">
        <v>0</v>
      </c>
      <c r="AL65" t="s">
        <v>77</v>
      </c>
      <c r="AM65">
        <v>0</v>
      </c>
      <c r="AN65">
        <v>0.99199999999999999</v>
      </c>
      <c r="AO65">
        <v>0</v>
      </c>
      <c r="AP65">
        <v>5.8245346242475203E-2</v>
      </c>
      <c r="AQ65">
        <v>0</v>
      </c>
      <c r="AR65">
        <v>1.6E-2</v>
      </c>
      <c r="AS65">
        <v>0</v>
      </c>
      <c r="AT65">
        <v>0</v>
      </c>
      <c r="AU65">
        <v>0</v>
      </c>
      <c r="AV65">
        <v>0</v>
      </c>
      <c r="AW65">
        <v>1</v>
      </c>
      <c r="AX65" t="s">
        <v>74</v>
      </c>
      <c r="AY65">
        <v>0</v>
      </c>
      <c r="AZ65" t="s">
        <v>76</v>
      </c>
      <c r="BA65">
        <v>-1.5707963267949001</v>
      </c>
      <c r="BB65">
        <v>0.99199999999999999</v>
      </c>
      <c r="BC65">
        <v>0</v>
      </c>
      <c r="BD65">
        <v>5.8245346242475203E-2</v>
      </c>
      <c r="BE65">
        <v>0</v>
      </c>
      <c r="BF65">
        <v>1.6E-2</v>
      </c>
      <c r="BG65">
        <v>0</v>
      </c>
      <c r="BH65">
        <v>0</v>
      </c>
      <c r="BI65">
        <v>0</v>
      </c>
      <c r="BJ65">
        <v>0</v>
      </c>
      <c r="BK65">
        <v>1</v>
      </c>
      <c r="BL65">
        <v>1.1138167354337299E-4</v>
      </c>
      <c r="BM65" s="1">
        <v>7.7504995312196196E-5</v>
      </c>
      <c r="BN65" s="1">
        <v>4.0659318871278697E-7</v>
      </c>
      <c r="BO65" s="1">
        <v>1.2174456194465299E-6</v>
      </c>
      <c r="BP65">
        <v>0</v>
      </c>
      <c r="BQ65">
        <v>0</v>
      </c>
      <c r="BR65" s="1">
        <v>6.1098570668805197E-5</v>
      </c>
      <c r="BS65" s="1">
        <v>4.2713267848551101E-5</v>
      </c>
    </row>
    <row r="66" spans="1:71" x14ac:dyDescent="0.25">
      <c r="A66">
        <v>63</v>
      </c>
      <c r="B66" s="1">
        <v>1.54325986619712E-5</v>
      </c>
      <c r="C66">
        <v>0.104853086710699</v>
      </c>
      <c r="D66">
        <v>-3.0236203656856602E-4</v>
      </c>
      <c r="E66">
        <v>6.1312499999999995E-4</v>
      </c>
      <c r="F66">
        <v>-1.0485308671069899E-3</v>
      </c>
      <c r="G66" s="1">
        <v>1.0842021724855E-19</v>
      </c>
      <c r="H66" t="s">
        <v>74</v>
      </c>
      <c r="I66">
        <v>0</v>
      </c>
      <c r="J66" t="s">
        <v>75</v>
      </c>
      <c r="K66">
        <v>3.14159265358979</v>
      </c>
      <c r="L66">
        <v>0.88758265047306195</v>
      </c>
      <c r="M66">
        <v>0</v>
      </c>
      <c r="N66">
        <v>5.21144745923562E-2</v>
      </c>
      <c r="O66">
        <v>0</v>
      </c>
      <c r="P66">
        <v>1.6E-2</v>
      </c>
      <c r="Q66">
        <v>0</v>
      </c>
      <c r="R66">
        <v>0</v>
      </c>
      <c r="S66">
        <v>0</v>
      </c>
      <c r="T66">
        <v>0</v>
      </c>
      <c r="U66">
        <v>0.89290631129965203</v>
      </c>
      <c r="V66" t="s">
        <v>78</v>
      </c>
      <c r="W66">
        <v>2251422.6832971098</v>
      </c>
      <c r="X66" t="s">
        <v>76</v>
      </c>
      <c r="Y66">
        <v>-1.5707963267949001</v>
      </c>
      <c r="Z66">
        <v>0.88015715560508301</v>
      </c>
      <c r="AA66">
        <v>0.102840059150772</v>
      </c>
      <c r="AB66">
        <v>4.8241490740789997E-2</v>
      </c>
      <c r="AC66">
        <v>5.8343313739482403E-3</v>
      </c>
      <c r="AD66">
        <v>2.5125496853004799E-2</v>
      </c>
      <c r="AE66">
        <v>6.7777194381288897E-3</v>
      </c>
      <c r="AF66">
        <v>0</v>
      </c>
      <c r="AG66">
        <v>0.137664841895389</v>
      </c>
      <c r="AH66">
        <v>1.9885660562778101E-2</v>
      </c>
      <c r="AI66">
        <v>0.79893999276763294</v>
      </c>
      <c r="AJ66" t="s">
        <v>74</v>
      </c>
      <c r="AK66">
        <v>0</v>
      </c>
      <c r="AL66" t="s">
        <v>77</v>
      </c>
      <c r="AM66">
        <v>0</v>
      </c>
      <c r="AN66">
        <v>0.99199999999999999</v>
      </c>
      <c r="AO66">
        <v>0</v>
      </c>
      <c r="AP66">
        <v>5.8245346242475203E-2</v>
      </c>
      <c r="AQ66">
        <v>0</v>
      </c>
      <c r="AR66">
        <v>1.6E-2</v>
      </c>
      <c r="AS66">
        <v>0</v>
      </c>
      <c r="AT66">
        <v>0</v>
      </c>
      <c r="AU66">
        <v>0</v>
      </c>
      <c r="AV66">
        <v>0</v>
      </c>
      <c r="AW66">
        <v>1</v>
      </c>
      <c r="AX66" t="s">
        <v>74</v>
      </c>
      <c r="AY66">
        <v>0</v>
      </c>
      <c r="AZ66" t="s">
        <v>76</v>
      </c>
      <c r="BA66">
        <v>-1.5707963267949001</v>
      </c>
      <c r="BB66">
        <v>0.99199999999999999</v>
      </c>
      <c r="BC66">
        <v>0</v>
      </c>
      <c r="BD66">
        <v>5.8245346242475203E-2</v>
      </c>
      <c r="BE66">
        <v>0</v>
      </c>
      <c r="BF66">
        <v>1.6E-2</v>
      </c>
      <c r="BG66">
        <v>0</v>
      </c>
      <c r="BH66">
        <v>0</v>
      </c>
      <c r="BI66">
        <v>0</v>
      </c>
      <c r="BJ66">
        <v>0</v>
      </c>
      <c r="BK66">
        <v>1</v>
      </c>
      <c r="BL66">
        <v>1.11340494596022E-4</v>
      </c>
      <c r="BM66" s="1">
        <v>7.8775251229083602E-5</v>
      </c>
      <c r="BN66" s="1">
        <v>4.0640031428064802E-7</v>
      </c>
      <c r="BO66" s="1">
        <v>1.2373987527299001E-6</v>
      </c>
      <c r="BP66">
        <v>0</v>
      </c>
      <c r="BQ66">
        <v>0</v>
      </c>
      <c r="BR66" s="1">
        <v>6.1072364538993298E-5</v>
      </c>
      <c r="BS66" s="1">
        <v>4.3414015527155802E-5</v>
      </c>
    </row>
    <row r="67" spans="1:71" x14ac:dyDescent="0.25">
      <c r="A67">
        <v>64</v>
      </c>
      <c r="B67" s="1">
        <v>1.5229016541863E-5</v>
      </c>
      <c r="C67">
        <v>0.10486831572724099</v>
      </c>
      <c r="D67">
        <v>-3.0244461689786598E-4</v>
      </c>
      <c r="E67">
        <v>6.1312499999999995E-4</v>
      </c>
      <c r="F67">
        <v>-1.0486831572724101E-3</v>
      </c>
      <c r="G67">
        <v>0</v>
      </c>
      <c r="H67" t="s">
        <v>74</v>
      </c>
      <c r="I67">
        <v>0</v>
      </c>
      <c r="J67" t="s">
        <v>75</v>
      </c>
      <c r="K67">
        <v>3.14159265358979</v>
      </c>
      <c r="L67">
        <v>0.88589892896829103</v>
      </c>
      <c r="M67">
        <v>0</v>
      </c>
      <c r="N67">
        <v>5.2015614771770198E-2</v>
      </c>
      <c r="O67">
        <v>0</v>
      </c>
      <c r="P67">
        <v>1.6E-2</v>
      </c>
      <c r="Q67">
        <v>0</v>
      </c>
      <c r="R67">
        <v>0</v>
      </c>
      <c r="S67">
        <v>0</v>
      </c>
      <c r="T67">
        <v>0</v>
      </c>
      <c r="U67">
        <v>0.89108119017529697</v>
      </c>
      <c r="V67" t="s">
        <v>78</v>
      </c>
      <c r="W67">
        <v>2252135.3114550202</v>
      </c>
      <c r="X67" t="s">
        <v>76</v>
      </c>
      <c r="Y67">
        <v>-1.5707963267949001</v>
      </c>
      <c r="Z67">
        <v>0.87845794665068</v>
      </c>
      <c r="AA67">
        <v>0.107901831387165</v>
      </c>
      <c r="AB67">
        <v>4.81374135188328E-2</v>
      </c>
      <c r="AC67">
        <v>6.0347927857156798E-3</v>
      </c>
      <c r="AD67">
        <v>2.5058138689013802E-2</v>
      </c>
      <c r="AE67">
        <v>6.8978658436264799E-3</v>
      </c>
      <c r="AF67">
        <v>0</v>
      </c>
      <c r="AG67">
        <v>0.13954165237524599</v>
      </c>
      <c r="AH67">
        <v>2.0549339477432399E-2</v>
      </c>
      <c r="AI67">
        <v>0.79579423860827503</v>
      </c>
      <c r="AJ67" t="s">
        <v>74</v>
      </c>
      <c r="AK67">
        <v>0</v>
      </c>
      <c r="AL67" t="s">
        <v>77</v>
      </c>
      <c r="AM67">
        <v>0</v>
      </c>
      <c r="AN67">
        <v>0.99199999999999999</v>
      </c>
      <c r="AO67">
        <v>0</v>
      </c>
      <c r="AP67">
        <v>5.8245346242475203E-2</v>
      </c>
      <c r="AQ67">
        <v>0</v>
      </c>
      <c r="AR67">
        <v>1.6E-2</v>
      </c>
      <c r="AS67">
        <v>0</v>
      </c>
      <c r="AT67">
        <v>0</v>
      </c>
      <c r="AU67">
        <v>0</v>
      </c>
      <c r="AV67">
        <v>0</v>
      </c>
      <c r="AW67">
        <v>1</v>
      </c>
      <c r="AX67" t="s">
        <v>74</v>
      </c>
      <c r="AY67">
        <v>0</v>
      </c>
      <c r="AZ67" t="s">
        <v>76</v>
      </c>
      <c r="BA67">
        <v>-1.5707963267949001</v>
      </c>
      <c r="BB67">
        <v>0.99199999999999999</v>
      </c>
      <c r="BC67">
        <v>0</v>
      </c>
      <c r="BD67">
        <v>5.8245346242475203E-2</v>
      </c>
      <c r="BE67">
        <v>0</v>
      </c>
      <c r="BF67">
        <v>1.6E-2</v>
      </c>
      <c r="BG67">
        <v>0</v>
      </c>
      <c r="BH67">
        <v>0</v>
      </c>
      <c r="BI67">
        <v>0</v>
      </c>
      <c r="BJ67">
        <v>0</v>
      </c>
      <c r="BK67">
        <v>1</v>
      </c>
      <c r="BL67">
        <v>1.11339256780635E-4</v>
      </c>
      <c r="BM67" s="1">
        <v>8.0045495926339406E-5</v>
      </c>
      <c r="BN67" s="1">
        <v>4.0628791044355199E-7</v>
      </c>
      <c r="BO67" s="1">
        <v>1.2573517097756999E-6</v>
      </c>
      <c r="BP67">
        <v>0</v>
      </c>
      <c r="BQ67">
        <v>0</v>
      </c>
      <c r="BR67" s="1">
        <v>6.1068156664568897E-5</v>
      </c>
      <c r="BS67" s="1">
        <v>4.4114770299021202E-5</v>
      </c>
    </row>
    <row r="68" spans="1:71" x14ac:dyDescent="0.25">
      <c r="A68">
        <v>65</v>
      </c>
      <c r="B68" s="1">
        <v>1.5032021401895001E-5</v>
      </c>
      <c r="C68">
        <v>0.104883347748643</v>
      </c>
      <c r="D68">
        <v>-3.0252612280150498E-4</v>
      </c>
      <c r="E68">
        <v>6.1312499999999995E-4</v>
      </c>
      <c r="F68">
        <v>-1.0488334774864301E-3</v>
      </c>
      <c r="G68">
        <v>0</v>
      </c>
      <c r="H68" t="s">
        <v>74</v>
      </c>
      <c r="I68">
        <v>0</v>
      </c>
      <c r="J68" t="s">
        <v>75</v>
      </c>
      <c r="K68">
        <v>3.14159265358979</v>
      </c>
      <c r="L68">
        <v>0.884215222470211</v>
      </c>
      <c r="M68">
        <v>0</v>
      </c>
      <c r="N68">
        <v>5.1916755832303103E-2</v>
      </c>
      <c r="O68">
        <v>0</v>
      </c>
      <c r="P68">
        <v>1.6E-2</v>
      </c>
      <c r="Q68">
        <v>0</v>
      </c>
      <c r="R68">
        <v>0</v>
      </c>
      <c r="S68">
        <v>0</v>
      </c>
      <c r="T68">
        <v>0</v>
      </c>
      <c r="U68">
        <v>0.88925218102286696</v>
      </c>
      <c r="V68" t="s">
        <v>78</v>
      </c>
      <c r="W68">
        <v>2252838.667841</v>
      </c>
      <c r="X68" t="s">
        <v>76</v>
      </c>
      <c r="Y68">
        <v>-1.5707963267949001</v>
      </c>
      <c r="Z68">
        <v>0.87675920000030205</v>
      </c>
      <c r="AA68">
        <v>0.107901831387165</v>
      </c>
      <c r="AB68">
        <v>4.8033544954674497E-2</v>
      </c>
      <c r="AC68">
        <v>6.0754469697175796E-3</v>
      </c>
      <c r="AD68">
        <v>2.4989837506192401E-2</v>
      </c>
      <c r="AE68">
        <v>7.0181501667867597E-3</v>
      </c>
      <c r="AF68">
        <v>0</v>
      </c>
      <c r="AG68">
        <v>0.14140688369622101</v>
      </c>
      <c r="AH68">
        <v>2.1224574908069699E-2</v>
      </c>
      <c r="AI68">
        <v>0.79265101274559202</v>
      </c>
      <c r="AJ68" t="s">
        <v>74</v>
      </c>
      <c r="AK68">
        <v>0</v>
      </c>
      <c r="AL68" t="s">
        <v>77</v>
      </c>
      <c r="AM68">
        <v>0</v>
      </c>
      <c r="AN68">
        <v>0.99199999999999999</v>
      </c>
      <c r="AO68">
        <v>0</v>
      </c>
      <c r="AP68">
        <v>5.8245346242475203E-2</v>
      </c>
      <c r="AQ68">
        <v>0</v>
      </c>
      <c r="AR68">
        <v>1.6E-2</v>
      </c>
      <c r="AS68">
        <v>0</v>
      </c>
      <c r="AT68">
        <v>0</v>
      </c>
      <c r="AU68">
        <v>0</v>
      </c>
      <c r="AV68">
        <v>0</v>
      </c>
      <c r="AW68">
        <v>1</v>
      </c>
      <c r="AX68" t="s">
        <v>74</v>
      </c>
      <c r="AY68">
        <v>0</v>
      </c>
      <c r="AZ68" t="s">
        <v>76</v>
      </c>
      <c r="BA68">
        <v>-1.5707963267949001</v>
      </c>
      <c r="BB68">
        <v>0.99199999999999999</v>
      </c>
      <c r="BC68">
        <v>0</v>
      </c>
      <c r="BD68">
        <v>5.8245346242475203E-2</v>
      </c>
      <c r="BE68">
        <v>0</v>
      </c>
      <c r="BF68">
        <v>1.6E-2</v>
      </c>
      <c r="BG68">
        <v>0</v>
      </c>
      <c r="BH68">
        <v>0</v>
      </c>
      <c r="BI68">
        <v>0</v>
      </c>
      <c r="BJ68">
        <v>0</v>
      </c>
      <c r="BK68">
        <v>1</v>
      </c>
      <c r="BL68">
        <v>1.11258220120823E-4</v>
      </c>
      <c r="BM68" s="1">
        <v>8.1315729302145303E-5</v>
      </c>
      <c r="BN68" s="1">
        <v>4.0601647850344702E-7</v>
      </c>
      <c r="BO68" s="1">
        <v>1.2773044889845801E-6</v>
      </c>
      <c r="BP68">
        <v>0</v>
      </c>
      <c r="BQ68">
        <v>0</v>
      </c>
      <c r="BR68" s="1">
        <v>6.1019956239633598E-5</v>
      </c>
      <c r="BS68" s="1">
        <v>4.4815531968278303E-5</v>
      </c>
    </row>
    <row r="69" spans="1:71" x14ac:dyDescent="0.25">
      <c r="A69">
        <v>66</v>
      </c>
      <c r="B69" s="1">
        <v>1.48413127151827E-5</v>
      </c>
      <c r="C69">
        <v>0.104898189061358</v>
      </c>
      <c r="D69">
        <v>-3.0260658860539898E-4</v>
      </c>
      <c r="E69">
        <v>6.1312499999999995E-4</v>
      </c>
      <c r="F69">
        <v>-1.0489818906135799E-3</v>
      </c>
      <c r="G69" s="1">
        <v>1.0842021724855E-19</v>
      </c>
      <c r="H69" t="s">
        <v>74</v>
      </c>
      <c r="I69">
        <v>0</v>
      </c>
      <c r="J69" t="s">
        <v>75</v>
      </c>
      <c r="K69">
        <v>3.14159265358979</v>
      </c>
      <c r="L69">
        <v>0.882531531114646</v>
      </c>
      <c r="M69">
        <v>0</v>
      </c>
      <c r="N69">
        <v>5.18178977819298E-2</v>
      </c>
      <c r="O69">
        <v>0</v>
      </c>
      <c r="P69">
        <v>1.6E-2</v>
      </c>
      <c r="Q69">
        <v>0</v>
      </c>
      <c r="R69">
        <v>0</v>
      </c>
      <c r="S69">
        <v>0</v>
      </c>
      <c r="T69">
        <v>0</v>
      </c>
      <c r="U69">
        <v>0.88741930674067904</v>
      </c>
      <c r="V69" t="s">
        <v>78</v>
      </c>
      <c r="W69">
        <v>2253533.0486710402</v>
      </c>
      <c r="X69" t="s">
        <v>76</v>
      </c>
      <c r="Y69">
        <v>-1.5707963267949001</v>
      </c>
      <c r="Z69">
        <v>0.87506090342549803</v>
      </c>
      <c r="AA69">
        <v>0.110406525445179</v>
      </c>
      <c r="AB69">
        <v>4.7929879041823602E-2</v>
      </c>
      <c r="AC69">
        <v>6.1955471816850603E-3</v>
      </c>
      <c r="AD69">
        <v>2.4920619673255699E-2</v>
      </c>
      <c r="AE69">
        <v>7.1385695037551999E-3</v>
      </c>
      <c r="AF69">
        <v>0</v>
      </c>
      <c r="AG69">
        <v>0.14326049908795499</v>
      </c>
      <c r="AH69">
        <v>2.1911403420106799E-2</v>
      </c>
      <c r="AI69">
        <v>0.78951034965673705</v>
      </c>
      <c r="AJ69" t="s">
        <v>74</v>
      </c>
      <c r="AK69">
        <v>0</v>
      </c>
      <c r="AL69" t="s">
        <v>77</v>
      </c>
      <c r="AM69">
        <v>0</v>
      </c>
      <c r="AN69">
        <v>0.99199999999999999</v>
      </c>
      <c r="AO69">
        <v>0</v>
      </c>
      <c r="AP69">
        <v>5.8245346242475203E-2</v>
      </c>
      <c r="AQ69">
        <v>0</v>
      </c>
      <c r="AR69">
        <v>1.6E-2</v>
      </c>
      <c r="AS69">
        <v>0</v>
      </c>
      <c r="AT69">
        <v>0</v>
      </c>
      <c r="AU69">
        <v>0</v>
      </c>
      <c r="AV69">
        <v>0</v>
      </c>
      <c r="AW69">
        <v>1</v>
      </c>
      <c r="AX69" t="s">
        <v>74</v>
      </c>
      <c r="AY69">
        <v>0</v>
      </c>
      <c r="AZ69" t="s">
        <v>76</v>
      </c>
      <c r="BA69">
        <v>-1.5707963267949001</v>
      </c>
      <c r="BB69">
        <v>0.99199999999999999</v>
      </c>
      <c r="BC69">
        <v>0</v>
      </c>
      <c r="BD69">
        <v>5.8245346242475203E-2</v>
      </c>
      <c r="BE69">
        <v>0</v>
      </c>
      <c r="BF69">
        <v>1.6E-2</v>
      </c>
      <c r="BG69">
        <v>0</v>
      </c>
      <c r="BH69">
        <v>0</v>
      </c>
      <c r="BI69">
        <v>0</v>
      </c>
      <c r="BJ69">
        <v>0</v>
      </c>
      <c r="BK69">
        <v>1</v>
      </c>
      <c r="BL69">
        <v>1.11217008245194E-4</v>
      </c>
      <c r="BM69" s="1">
        <v>8.2585951254030999E-5</v>
      </c>
      <c r="BN69" s="1">
        <v>4.0582525054194598E-7</v>
      </c>
      <c r="BO69" s="1">
        <v>1.2972570887469399E-6</v>
      </c>
      <c r="BP69">
        <v>0</v>
      </c>
      <c r="BQ69">
        <v>0</v>
      </c>
      <c r="BR69" s="1">
        <v>6.09936907954178E-5</v>
      </c>
      <c r="BS69" s="1">
        <v>4.5516300343724103E-5</v>
      </c>
    </row>
    <row r="70" spans="1:71" x14ac:dyDescent="0.25">
      <c r="A70">
        <v>67</v>
      </c>
      <c r="B70" s="1">
        <v>1.4656608200900801E-5</v>
      </c>
      <c r="C70">
        <v>0.104912845669559</v>
      </c>
      <c r="D70">
        <v>-3.0268604709185102E-4</v>
      </c>
      <c r="E70">
        <v>6.1312499999999995E-4</v>
      </c>
      <c r="F70">
        <v>-1.0491284566955901E-3</v>
      </c>
      <c r="G70">
        <v>0</v>
      </c>
      <c r="H70" t="s">
        <v>74</v>
      </c>
      <c r="I70">
        <v>0</v>
      </c>
      <c r="J70" t="s">
        <v>75</v>
      </c>
      <c r="K70">
        <v>3.14159265358979</v>
      </c>
      <c r="L70">
        <v>0.88084785503834995</v>
      </c>
      <c r="M70">
        <v>0</v>
      </c>
      <c r="N70">
        <v>5.1719040628679699E-2</v>
      </c>
      <c r="O70">
        <v>0</v>
      </c>
      <c r="P70">
        <v>1.6E-2</v>
      </c>
      <c r="Q70">
        <v>0</v>
      </c>
      <c r="R70">
        <v>0</v>
      </c>
      <c r="S70">
        <v>0</v>
      </c>
      <c r="T70">
        <v>0</v>
      </c>
      <c r="U70">
        <v>0.88558258905473597</v>
      </c>
      <c r="V70" t="s">
        <v>78</v>
      </c>
      <c r="W70">
        <v>2254218.7368405</v>
      </c>
      <c r="X70" t="s">
        <v>76</v>
      </c>
      <c r="Y70">
        <v>-1.5707963267949001</v>
      </c>
      <c r="Z70">
        <v>0.8733630452319</v>
      </c>
      <c r="AA70">
        <v>0.110406525445179</v>
      </c>
      <c r="AB70">
        <v>4.7826410040466498E-2</v>
      </c>
      <c r="AC70">
        <v>6.2361749785024402E-3</v>
      </c>
      <c r="AD70">
        <v>2.4850510454006901E-2</v>
      </c>
      <c r="AE70">
        <v>7.2591210264637499E-3</v>
      </c>
      <c r="AF70">
        <v>0</v>
      </c>
      <c r="AG70">
        <v>0.14510246148004599</v>
      </c>
      <c r="AH70">
        <v>2.26098618776071E-2</v>
      </c>
      <c r="AI70">
        <v>0.78637228269173698</v>
      </c>
      <c r="AJ70" t="s">
        <v>74</v>
      </c>
      <c r="AK70">
        <v>0</v>
      </c>
      <c r="AL70" t="s">
        <v>77</v>
      </c>
      <c r="AM70">
        <v>0</v>
      </c>
      <c r="AN70">
        <v>0.99199999999999999</v>
      </c>
      <c r="AO70">
        <v>0</v>
      </c>
      <c r="AP70">
        <v>5.8245346242475203E-2</v>
      </c>
      <c r="AQ70">
        <v>0</v>
      </c>
      <c r="AR70">
        <v>1.6E-2</v>
      </c>
      <c r="AS70">
        <v>0</v>
      </c>
      <c r="AT70">
        <v>0</v>
      </c>
      <c r="AU70">
        <v>0</v>
      </c>
      <c r="AV70">
        <v>0</v>
      </c>
      <c r="AW70">
        <v>1</v>
      </c>
      <c r="AX70" t="s">
        <v>74</v>
      </c>
      <c r="AY70">
        <v>0</v>
      </c>
      <c r="AZ70" t="s">
        <v>76</v>
      </c>
      <c r="BA70">
        <v>-1.5707963267949001</v>
      </c>
      <c r="BB70">
        <v>0.99199999999999999</v>
      </c>
      <c r="BC70">
        <v>0</v>
      </c>
      <c r="BD70">
        <v>5.8245346242475203E-2</v>
      </c>
      <c r="BE70">
        <v>0</v>
      </c>
      <c r="BF70">
        <v>1.6E-2</v>
      </c>
      <c r="BG70">
        <v>0</v>
      </c>
      <c r="BH70">
        <v>0</v>
      </c>
      <c r="BI70">
        <v>0</v>
      </c>
      <c r="BJ70">
        <v>0</v>
      </c>
      <c r="BK70">
        <v>1</v>
      </c>
      <c r="BL70">
        <v>1.111361590663E-4</v>
      </c>
      <c r="BM70" s="1">
        <v>8.38561616788265E-5</v>
      </c>
      <c r="BN70" s="1">
        <v>4.0555528797893402E-7</v>
      </c>
      <c r="BO70" s="1">
        <v>1.3172095074422E-6</v>
      </c>
      <c r="BP70">
        <v>0</v>
      </c>
      <c r="BQ70">
        <v>0</v>
      </c>
      <c r="BR70" s="1">
        <v>6.0945566462022498E-5</v>
      </c>
      <c r="BS70" s="1">
        <v>4.62170752385753E-5</v>
      </c>
    </row>
    <row r="71" spans="1:71" x14ac:dyDescent="0.25">
      <c r="A71">
        <v>68</v>
      </c>
      <c r="B71" s="1">
        <v>1.44776424627967E-5</v>
      </c>
      <c r="C71">
        <v>0.10492732331202199</v>
      </c>
      <c r="D71">
        <v>-3.0276452959196302E-4</v>
      </c>
      <c r="E71">
        <v>6.1312499999999995E-4</v>
      </c>
      <c r="F71">
        <v>-1.04927323312022E-3</v>
      </c>
      <c r="G71" s="1">
        <v>1.0842021724855E-19</v>
      </c>
      <c r="H71" t="s">
        <v>74</v>
      </c>
      <c r="I71">
        <v>0</v>
      </c>
      <c r="J71" t="s">
        <v>75</v>
      </c>
      <c r="K71">
        <v>3.14159265358979</v>
      </c>
      <c r="L71">
        <v>0.87916419437904803</v>
      </c>
      <c r="M71">
        <v>0</v>
      </c>
      <c r="N71">
        <v>5.1620184380639603E-2</v>
      </c>
      <c r="O71">
        <v>0</v>
      </c>
      <c r="P71">
        <v>1.6E-2</v>
      </c>
      <c r="Q71">
        <v>0</v>
      </c>
      <c r="R71">
        <v>0</v>
      </c>
      <c r="S71">
        <v>0</v>
      </c>
      <c r="T71">
        <v>0</v>
      </c>
      <c r="U71">
        <v>0.88374204858900995</v>
      </c>
      <c r="V71" t="s">
        <v>78</v>
      </c>
      <c r="W71">
        <v>2254896.0027215802</v>
      </c>
      <c r="X71" t="s">
        <v>76</v>
      </c>
      <c r="Y71">
        <v>-1.5707963267949001</v>
      </c>
      <c r="Z71">
        <v>0.87166561422836797</v>
      </c>
      <c r="AA71">
        <v>0.112896923315754</v>
      </c>
      <c r="AB71">
        <v>4.77231324617442E-2</v>
      </c>
      <c r="AC71">
        <v>6.3557993765242802E-3</v>
      </c>
      <c r="AD71">
        <v>2.4779534070790601E-2</v>
      </c>
      <c r="AE71">
        <v>7.3798019792177599E-3</v>
      </c>
      <c r="AF71">
        <v>0</v>
      </c>
      <c r="AG71">
        <v>0.14693273349994099</v>
      </c>
      <c r="AH71">
        <v>2.33199874453138E-2</v>
      </c>
      <c r="AI71">
        <v>0.78323684414385297</v>
      </c>
      <c r="AJ71" t="s">
        <v>74</v>
      </c>
      <c r="AK71">
        <v>0</v>
      </c>
      <c r="AL71" t="s">
        <v>77</v>
      </c>
      <c r="AM71">
        <v>0</v>
      </c>
      <c r="AN71">
        <v>0.99199999999999999</v>
      </c>
      <c r="AO71">
        <v>0</v>
      </c>
      <c r="AP71">
        <v>5.8245346242475203E-2</v>
      </c>
      <c r="AQ71">
        <v>0</v>
      </c>
      <c r="AR71">
        <v>1.6E-2</v>
      </c>
      <c r="AS71">
        <v>0</v>
      </c>
      <c r="AT71">
        <v>0</v>
      </c>
      <c r="AU71">
        <v>0</v>
      </c>
      <c r="AV71">
        <v>0</v>
      </c>
      <c r="AW71">
        <v>1</v>
      </c>
      <c r="AX71" t="s">
        <v>74</v>
      </c>
      <c r="AY71">
        <v>0</v>
      </c>
      <c r="AZ71" t="s">
        <v>76</v>
      </c>
      <c r="BA71">
        <v>-1.5707963267949001</v>
      </c>
      <c r="BB71">
        <v>0.99199999999999999</v>
      </c>
      <c r="BC71">
        <v>0</v>
      </c>
      <c r="BD71">
        <v>5.8245346242475203E-2</v>
      </c>
      <c r="BE71">
        <v>0</v>
      </c>
      <c r="BF71">
        <v>1.6E-2</v>
      </c>
      <c r="BG71">
        <v>0</v>
      </c>
      <c r="BH71">
        <v>0</v>
      </c>
      <c r="BI71">
        <v>0</v>
      </c>
      <c r="BJ71">
        <v>0</v>
      </c>
      <c r="BK71">
        <v>1</v>
      </c>
      <c r="BL71">
        <v>1.11094904351929E-4</v>
      </c>
      <c r="BM71" s="1">
        <v>8.5126360472627602E-5</v>
      </c>
      <c r="BN71" s="1">
        <v>4.0536503388820099E-7</v>
      </c>
      <c r="BO71" s="1">
        <v>1.33716174343822E-6</v>
      </c>
      <c r="BP71">
        <v>0</v>
      </c>
      <c r="BQ71">
        <v>0</v>
      </c>
      <c r="BR71" s="1">
        <v>6.0919251638632197E-5</v>
      </c>
      <c r="BS71" s="1">
        <v>4.69178564702427E-5</v>
      </c>
    </row>
    <row r="72" spans="1:71" x14ac:dyDescent="0.25">
      <c r="A72">
        <v>69</v>
      </c>
      <c r="B72" s="1">
        <v>1.430416574796E-5</v>
      </c>
      <c r="C72">
        <v>0.10494162747777</v>
      </c>
      <c r="D72">
        <v>-3.0284206607125198E-4</v>
      </c>
      <c r="E72">
        <v>6.1312499999999995E-4</v>
      </c>
      <c r="F72">
        <v>-1.0494162747777E-3</v>
      </c>
      <c r="G72">
        <v>0</v>
      </c>
      <c r="H72" t="s">
        <v>74</v>
      </c>
      <c r="I72">
        <v>0</v>
      </c>
      <c r="J72" t="s">
        <v>75</v>
      </c>
      <c r="K72">
        <v>3.14159265358979</v>
      </c>
      <c r="L72">
        <v>0.87748054927549901</v>
      </c>
      <c r="M72">
        <v>0</v>
      </c>
      <c r="N72">
        <v>5.1521329045956403E-2</v>
      </c>
      <c r="O72">
        <v>0</v>
      </c>
      <c r="P72">
        <v>1.6E-2</v>
      </c>
      <c r="Q72">
        <v>0</v>
      </c>
      <c r="R72">
        <v>0</v>
      </c>
      <c r="S72">
        <v>0</v>
      </c>
      <c r="T72">
        <v>0</v>
      </c>
      <c r="U72">
        <v>0.88189770493059405</v>
      </c>
      <c r="V72" t="s">
        <v>78</v>
      </c>
      <c r="W72">
        <v>2255565.1049021599</v>
      </c>
      <c r="X72" t="s">
        <v>76</v>
      </c>
      <c r="Y72">
        <v>-1.5707963267949001</v>
      </c>
      <c r="Z72">
        <v>0.86996859969836604</v>
      </c>
      <c r="AA72">
        <v>0.115380042694953</v>
      </c>
      <c r="AB72">
        <v>4.7620041053176403E-2</v>
      </c>
      <c r="AC72">
        <v>6.4751844035433196E-3</v>
      </c>
      <c r="AD72">
        <v>2.4707713763411399E-2</v>
      </c>
      <c r="AE72">
        <v>7.5006096754804399E-3</v>
      </c>
      <c r="AF72">
        <v>0</v>
      </c>
      <c r="AG72">
        <v>0.148751277470727</v>
      </c>
      <c r="AH72">
        <v>2.4041817590774901E-2</v>
      </c>
      <c r="AI72">
        <v>0.78010406531481702</v>
      </c>
      <c r="AJ72" t="s">
        <v>74</v>
      </c>
      <c r="AK72">
        <v>0</v>
      </c>
      <c r="AL72" t="s">
        <v>77</v>
      </c>
      <c r="AM72">
        <v>0</v>
      </c>
      <c r="AN72">
        <v>0.99199999999999999</v>
      </c>
      <c r="AO72">
        <v>0</v>
      </c>
      <c r="AP72">
        <v>5.8245346242475203E-2</v>
      </c>
      <c r="AQ72">
        <v>0</v>
      </c>
      <c r="AR72">
        <v>1.6E-2</v>
      </c>
      <c r="AS72">
        <v>0</v>
      </c>
      <c r="AT72">
        <v>0</v>
      </c>
      <c r="AU72">
        <v>0</v>
      </c>
      <c r="AV72">
        <v>0</v>
      </c>
      <c r="AW72">
        <v>1</v>
      </c>
      <c r="AX72" t="s">
        <v>74</v>
      </c>
      <c r="AY72">
        <v>0</v>
      </c>
      <c r="AZ72" t="s">
        <v>76</v>
      </c>
      <c r="BA72">
        <v>-1.5707963267949001</v>
      </c>
      <c r="BB72">
        <v>0.99199999999999999</v>
      </c>
      <c r="BC72">
        <v>0</v>
      </c>
      <c r="BD72">
        <v>5.8245346242475203E-2</v>
      </c>
      <c r="BE72">
        <v>0</v>
      </c>
      <c r="BF72">
        <v>1.6E-2</v>
      </c>
      <c r="BG72">
        <v>0</v>
      </c>
      <c r="BH72">
        <v>0</v>
      </c>
      <c r="BI72">
        <v>0</v>
      </c>
      <c r="BJ72">
        <v>0</v>
      </c>
      <c r="BK72">
        <v>1</v>
      </c>
      <c r="BL72">
        <v>1.11053623493813E-4</v>
      </c>
      <c r="BM72" s="1">
        <v>8.6396547530751103E-5</v>
      </c>
      <c r="BN72" s="1">
        <v>4.0517523679387899E-7</v>
      </c>
      <c r="BO72" s="1">
        <v>1.35711379509064E-6</v>
      </c>
      <c r="BP72">
        <v>0</v>
      </c>
      <c r="BQ72">
        <v>0</v>
      </c>
      <c r="BR72" s="1">
        <v>6.0892910242254799E-5</v>
      </c>
      <c r="BS72" s="1">
        <v>4.7618643860111498E-5</v>
      </c>
    </row>
    <row r="73" spans="1:71" x14ac:dyDescent="0.25">
      <c r="A73">
        <v>70</v>
      </c>
      <c r="B73" s="1">
        <v>1.41359428137273E-5</v>
      </c>
      <c r="C73">
        <v>0.10495576342058401</v>
      </c>
      <c r="D73">
        <v>-3.0291868520906299E-4</v>
      </c>
      <c r="E73">
        <v>6.1312499999999995E-4</v>
      </c>
      <c r="F73">
        <v>-1.04955763420584E-3</v>
      </c>
      <c r="G73">
        <v>0</v>
      </c>
      <c r="H73" t="s">
        <v>74</v>
      </c>
      <c r="I73">
        <v>0</v>
      </c>
      <c r="J73" t="s">
        <v>75</v>
      </c>
      <c r="K73">
        <v>3.14159265358979</v>
      </c>
      <c r="L73">
        <v>0.87579691986754304</v>
      </c>
      <c r="M73">
        <v>0</v>
      </c>
      <c r="N73">
        <v>5.1422474632841102E-2</v>
      </c>
      <c r="O73">
        <v>0</v>
      </c>
      <c r="P73">
        <v>1.6E-2</v>
      </c>
      <c r="Q73">
        <v>0</v>
      </c>
      <c r="R73">
        <v>0</v>
      </c>
      <c r="S73">
        <v>0</v>
      </c>
      <c r="T73">
        <v>0</v>
      </c>
      <c r="U73">
        <v>0.88004957669013695</v>
      </c>
      <c r="V73" t="s">
        <v>78</v>
      </c>
      <c r="W73">
        <v>2256226.2908710502</v>
      </c>
      <c r="X73" t="s">
        <v>76</v>
      </c>
      <c r="Y73">
        <v>-1.5707963267949001</v>
      </c>
      <c r="Z73">
        <v>0.86827199137336697</v>
      </c>
      <c r="AA73">
        <v>0.115380042694953</v>
      </c>
      <c r="AB73">
        <v>4.7517130785131603E-2</v>
      </c>
      <c r="AC73">
        <v>6.5157685873066104E-3</v>
      </c>
      <c r="AD73">
        <v>2.4635071843900801E-2</v>
      </c>
      <c r="AE73">
        <v>7.6215414948414802E-3</v>
      </c>
      <c r="AF73">
        <v>0</v>
      </c>
      <c r="AG73">
        <v>0.15055805540883099</v>
      </c>
      <c r="AH73">
        <v>2.4775390086565902E-2</v>
      </c>
      <c r="AI73">
        <v>0.77697397657535705</v>
      </c>
      <c r="AJ73" t="s">
        <v>74</v>
      </c>
      <c r="AK73">
        <v>0</v>
      </c>
      <c r="AL73" t="s">
        <v>77</v>
      </c>
      <c r="AM73">
        <v>0</v>
      </c>
      <c r="AN73">
        <v>0.99199999999999999</v>
      </c>
      <c r="AO73">
        <v>0</v>
      </c>
      <c r="AP73">
        <v>5.8245346242475203E-2</v>
      </c>
      <c r="AQ73">
        <v>0</v>
      </c>
      <c r="AR73">
        <v>1.6E-2</v>
      </c>
      <c r="AS73">
        <v>0</v>
      </c>
      <c r="AT73">
        <v>0</v>
      </c>
      <c r="AU73">
        <v>0</v>
      </c>
      <c r="AV73">
        <v>0</v>
      </c>
      <c r="AW73">
        <v>1</v>
      </c>
      <c r="AX73" t="s">
        <v>74</v>
      </c>
      <c r="AY73">
        <v>0</v>
      </c>
      <c r="AZ73" t="s">
        <v>76</v>
      </c>
      <c r="BA73">
        <v>-1.5707963267949001</v>
      </c>
      <c r="BB73">
        <v>0.99199999999999999</v>
      </c>
      <c r="BC73">
        <v>0</v>
      </c>
      <c r="BD73">
        <v>5.8245346242475203E-2</v>
      </c>
      <c r="BE73">
        <v>0</v>
      </c>
      <c r="BF73">
        <v>1.6E-2</v>
      </c>
      <c r="BG73">
        <v>0</v>
      </c>
      <c r="BH73">
        <v>0</v>
      </c>
      <c r="BI73">
        <v>0</v>
      </c>
      <c r="BJ73">
        <v>0</v>
      </c>
      <c r="BK73">
        <v>1</v>
      </c>
      <c r="BL73">
        <v>1.10973033245115E-4</v>
      </c>
      <c r="BM73" s="1">
        <v>8.7666722747698397E-5</v>
      </c>
      <c r="BN73" s="1">
        <v>4.0490731381745502E-7</v>
      </c>
      <c r="BO73" s="1">
        <v>1.3770656607423101E-6</v>
      </c>
      <c r="BP73">
        <v>0</v>
      </c>
      <c r="BQ73">
        <v>0</v>
      </c>
      <c r="BR73" s="1">
        <v>6.08448907954113E-5</v>
      </c>
      <c r="BS73" s="1">
        <v>4.8319437233339198E-5</v>
      </c>
    </row>
    <row r="74" spans="1:71" x14ac:dyDescent="0.25">
      <c r="A74">
        <v>71</v>
      </c>
      <c r="B74" s="1">
        <v>1.39727518917516E-5</v>
      </c>
      <c r="C74">
        <v>0.104969736172476</v>
      </c>
      <c r="D74">
        <v>-3.02994414472303E-4</v>
      </c>
      <c r="E74">
        <v>6.1312499999999995E-4</v>
      </c>
      <c r="F74">
        <v>-1.04969736172476E-3</v>
      </c>
      <c r="G74" s="1">
        <v>1.0842021724855E-19</v>
      </c>
      <c r="H74" t="s">
        <v>74</v>
      </c>
      <c r="I74">
        <v>0</v>
      </c>
      <c r="J74" t="s">
        <v>75</v>
      </c>
      <c r="K74">
        <v>3.14159265358979</v>
      </c>
      <c r="L74">
        <v>0.87411330629614303</v>
      </c>
      <c r="M74">
        <v>0</v>
      </c>
      <c r="N74">
        <v>5.1323621149570203E-2</v>
      </c>
      <c r="O74">
        <v>0</v>
      </c>
      <c r="P74">
        <v>1.6E-2</v>
      </c>
      <c r="Q74">
        <v>0</v>
      </c>
      <c r="R74">
        <v>0</v>
      </c>
      <c r="S74">
        <v>0</v>
      </c>
      <c r="T74">
        <v>0</v>
      </c>
      <c r="U74">
        <v>0.87819768155797095</v>
      </c>
      <c r="V74" t="s">
        <v>78</v>
      </c>
      <c r="W74">
        <v>2256879.7976543298</v>
      </c>
      <c r="X74" t="s">
        <v>76</v>
      </c>
      <c r="Y74">
        <v>-1.5707963267949001</v>
      </c>
      <c r="Z74">
        <v>0.86657577940810904</v>
      </c>
      <c r="AA74">
        <v>0.117848355763159</v>
      </c>
      <c r="AB74">
        <v>4.7414396838255803E-2</v>
      </c>
      <c r="AC74">
        <v>6.6346617699855597E-3</v>
      </c>
      <c r="AD74">
        <v>2.4561629747483601E-2</v>
      </c>
      <c r="AE74">
        <v>7.7425948801569701E-3</v>
      </c>
      <c r="AF74">
        <v>0</v>
      </c>
      <c r="AG74">
        <v>0.152353029021638</v>
      </c>
      <c r="AH74">
        <v>2.5520743012607899E-2</v>
      </c>
      <c r="AI74">
        <v>0.77384660742141897</v>
      </c>
      <c r="AJ74" t="s">
        <v>74</v>
      </c>
      <c r="AK74">
        <v>0</v>
      </c>
      <c r="AL74" t="s">
        <v>77</v>
      </c>
      <c r="AM74">
        <v>0</v>
      </c>
      <c r="AN74">
        <v>0.99199999999999999</v>
      </c>
      <c r="AO74">
        <v>0</v>
      </c>
      <c r="AP74">
        <v>5.8245346242475203E-2</v>
      </c>
      <c r="AQ74">
        <v>0</v>
      </c>
      <c r="AR74">
        <v>1.6E-2</v>
      </c>
      <c r="AS74">
        <v>0</v>
      </c>
      <c r="AT74">
        <v>0</v>
      </c>
      <c r="AU74">
        <v>0</v>
      </c>
      <c r="AV74">
        <v>0</v>
      </c>
      <c r="AW74">
        <v>1</v>
      </c>
      <c r="AX74" t="s">
        <v>74</v>
      </c>
      <c r="AY74">
        <v>0</v>
      </c>
      <c r="AZ74" t="s">
        <v>76</v>
      </c>
      <c r="BA74">
        <v>-1.5707963267949001</v>
      </c>
      <c r="BB74">
        <v>0.99199999999999999</v>
      </c>
      <c r="BC74">
        <v>0</v>
      </c>
      <c r="BD74">
        <v>5.8245346242475203E-2</v>
      </c>
      <c r="BE74">
        <v>0</v>
      </c>
      <c r="BF74">
        <v>1.6E-2</v>
      </c>
      <c r="BG74">
        <v>0</v>
      </c>
      <c r="BH74">
        <v>0</v>
      </c>
      <c r="BI74">
        <v>0</v>
      </c>
      <c r="BJ74">
        <v>0</v>
      </c>
      <c r="BK74">
        <v>1</v>
      </c>
      <c r="BL74">
        <v>1.10931686121381E-4</v>
      </c>
      <c r="BM74" s="1">
        <v>8.8936886017122697E-5</v>
      </c>
      <c r="BN74" s="1">
        <v>4.0471835558890702E-7</v>
      </c>
      <c r="BO74" s="1">
        <v>1.3970173387227299E-6</v>
      </c>
      <c r="BP74">
        <v>0</v>
      </c>
      <c r="BQ74">
        <v>0</v>
      </c>
      <c r="BR74" s="1">
        <v>6.0818489252806399E-5</v>
      </c>
      <c r="BS74" s="1">
        <v>4.9020236418665103E-5</v>
      </c>
    </row>
    <row r="75" spans="1:71" x14ac:dyDescent="0.25">
      <c r="A75">
        <v>72</v>
      </c>
      <c r="B75" s="1">
        <v>1.3814383739748801E-5</v>
      </c>
      <c r="C75">
        <v>0.104983550556215</v>
      </c>
      <c r="D75">
        <v>-3.0306928018398598E-4</v>
      </c>
      <c r="E75">
        <v>6.1312499999999995E-4</v>
      </c>
      <c r="F75">
        <v>-1.0498355055621499E-3</v>
      </c>
      <c r="G75" s="1">
        <v>1.0842021724855E-19</v>
      </c>
      <c r="H75" t="s">
        <v>74</v>
      </c>
      <c r="I75">
        <v>0</v>
      </c>
      <c r="J75" t="s">
        <v>75</v>
      </c>
      <c r="K75">
        <v>3.14159265358979</v>
      </c>
      <c r="L75">
        <v>0.87242970870344205</v>
      </c>
      <c r="M75">
        <v>0</v>
      </c>
      <c r="N75">
        <v>5.1224768604489698E-2</v>
      </c>
      <c r="O75">
        <v>0</v>
      </c>
      <c r="P75">
        <v>1.6E-2</v>
      </c>
      <c r="Q75">
        <v>0</v>
      </c>
      <c r="R75">
        <v>0</v>
      </c>
      <c r="S75">
        <v>0</v>
      </c>
      <c r="T75">
        <v>0</v>
      </c>
      <c r="U75">
        <v>0.87634203635632302</v>
      </c>
      <c r="V75" t="s">
        <v>78</v>
      </c>
      <c r="W75">
        <v>2257525.8524068398</v>
      </c>
      <c r="X75" t="s">
        <v>76</v>
      </c>
      <c r="Y75">
        <v>-1.5707963267949001</v>
      </c>
      <c r="Z75">
        <v>0.86487995435757503</v>
      </c>
      <c r="AA75">
        <v>0.120309145329258</v>
      </c>
      <c r="AB75">
        <v>4.7311834591778103E-2</v>
      </c>
      <c r="AC75">
        <v>6.7533071096780098E-3</v>
      </c>
      <c r="AD75">
        <v>2.4487408080057799E-2</v>
      </c>
      <c r="AE75">
        <v>7.8637673348469894E-3</v>
      </c>
      <c r="AF75">
        <v>0</v>
      </c>
      <c r="AG75">
        <v>0.15413615970500399</v>
      </c>
      <c r="AH75">
        <v>2.62779147585697E-2</v>
      </c>
      <c r="AI75">
        <v>0.77072198652647805</v>
      </c>
      <c r="AJ75" t="s">
        <v>74</v>
      </c>
      <c r="AK75">
        <v>0</v>
      </c>
      <c r="AL75" t="s">
        <v>77</v>
      </c>
      <c r="AM75">
        <v>0</v>
      </c>
      <c r="AN75">
        <v>0.99199999999999999</v>
      </c>
      <c r="AO75">
        <v>0</v>
      </c>
      <c r="AP75">
        <v>5.8245346242475203E-2</v>
      </c>
      <c r="AQ75">
        <v>0</v>
      </c>
      <c r="AR75">
        <v>1.6E-2</v>
      </c>
      <c r="AS75">
        <v>0</v>
      </c>
      <c r="AT75">
        <v>0</v>
      </c>
      <c r="AU75">
        <v>0</v>
      </c>
      <c r="AV75">
        <v>0</v>
      </c>
      <c r="AW75">
        <v>1</v>
      </c>
      <c r="AX75" t="s">
        <v>74</v>
      </c>
      <c r="AY75">
        <v>0</v>
      </c>
      <c r="AZ75" t="s">
        <v>76</v>
      </c>
      <c r="BA75">
        <v>-1.5707963267949001</v>
      </c>
      <c r="BB75">
        <v>0.99199999999999999</v>
      </c>
      <c r="BC75">
        <v>0</v>
      </c>
      <c r="BD75">
        <v>5.8245346242475203E-2</v>
      </c>
      <c r="BE75">
        <v>0</v>
      </c>
      <c r="BF75">
        <v>1.6E-2</v>
      </c>
      <c r="BG75">
        <v>0</v>
      </c>
      <c r="BH75">
        <v>0</v>
      </c>
      <c r="BI75">
        <v>0</v>
      </c>
      <c r="BJ75">
        <v>0</v>
      </c>
      <c r="BK75">
        <v>1</v>
      </c>
      <c r="BL75">
        <v>1.10890301395448E-4</v>
      </c>
      <c r="BM75" s="1">
        <v>9.0207037231787002E-5</v>
      </c>
      <c r="BN75" s="1">
        <v>4.0452978951694898E-7</v>
      </c>
      <c r="BO75" s="1">
        <v>1.4169688273474199E-6</v>
      </c>
      <c r="BP75">
        <v>0</v>
      </c>
      <c r="BQ75">
        <v>0</v>
      </c>
      <c r="BR75" s="1">
        <v>6.0792055819252097E-5</v>
      </c>
      <c r="BS75" s="1">
        <v>4.9721041248224997E-5</v>
      </c>
    </row>
    <row r="76" spans="1:71" x14ac:dyDescent="0.25">
      <c r="A76">
        <v>73</v>
      </c>
      <c r="B76" s="1">
        <v>1.36606407723535E-5</v>
      </c>
      <c r="C76">
        <v>0.104997211196988</v>
      </c>
      <c r="D76">
        <v>-3.0314330758701301E-4</v>
      </c>
      <c r="E76">
        <v>6.1312499999999995E-4</v>
      </c>
      <c r="F76">
        <v>-1.0499721119698799E-3</v>
      </c>
      <c r="G76" s="1">
        <v>1.0842021724855E-19</v>
      </c>
      <c r="H76" t="s">
        <v>74</v>
      </c>
      <c r="I76">
        <v>0</v>
      </c>
      <c r="J76" t="s">
        <v>75</v>
      </c>
      <c r="K76">
        <v>3.14159265358979</v>
      </c>
      <c r="L76">
        <v>0.87074612723280698</v>
      </c>
      <c r="M76">
        <v>0</v>
      </c>
      <c r="N76">
        <v>5.1125917006017298E-2</v>
      </c>
      <c r="O76">
        <v>0</v>
      </c>
      <c r="P76">
        <v>1.6E-2</v>
      </c>
      <c r="Q76">
        <v>0</v>
      </c>
      <c r="R76">
        <v>0</v>
      </c>
      <c r="S76">
        <v>0</v>
      </c>
      <c r="T76">
        <v>0</v>
      </c>
      <c r="U76">
        <v>0.87448265708790396</v>
      </c>
      <c r="V76" t="s">
        <v>78</v>
      </c>
      <c r="W76">
        <v>2258164.6729625599</v>
      </c>
      <c r="X76" t="s">
        <v>76</v>
      </c>
      <c r="Y76">
        <v>-1.5707963267949001</v>
      </c>
      <c r="Z76">
        <v>0.86318450715551798</v>
      </c>
      <c r="AA76">
        <v>0.120309145329258</v>
      </c>
      <c r="AB76">
        <v>4.7209439612621799E-2</v>
      </c>
      <c r="AC76">
        <v>6.7938530254984296E-3</v>
      </c>
      <c r="AD76">
        <v>2.4412426662471301E-2</v>
      </c>
      <c r="AE76">
        <v>7.9850564203419096E-3</v>
      </c>
      <c r="AF76">
        <v>0</v>
      </c>
      <c r="AG76">
        <v>0.15590740854069801</v>
      </c>
      <c r="AH76">
        <v>2.7046944026366902E-2</v>
      </c>
      <c r="AI76">
        <v>0.76760014179022495</v>
      </c>
      <c r="AJ76" t="s">
        <v>74</v>
      </c>
      <c r="AK76">
        <v>0</v>
      </c>
      <c r="AL76" t="s">
        <v>77</v>
      </c>
      <c r="AM76">
        <v>0</v>
      </c>
      <c r="AN76">
        <v>0.99199999999999999</v>
      </c>
      <c r="AO76">
        <v>0</v>
      </c>
      <c r="AP76">
        <v>5.8245346242475203E-2</v>
      </c>
      <c r="AQ76">
        <v>0</v>
      </c>
      <c r="AR76">
        <v>1.6E-2</v>
      </c>
      <c r="AS76">
        <v>0</v>
      </c>
      <c r="AT76">
        <v>0</v>
      </c>
      <c r="AU76">
        <v>0</v>
      </c>
      <c r="AV76">
        <v>0</v>
      </c>
      <c r="AW76">
        <v>1</v>
      </c>
      <c r="AX76" t="s">
        <v>74</v>
      </c>
      <c r="AY76">
        <v>0</v>
      </c>
      <c r="AZ76" t="s">
        <v>76</v>
      </c>
      <c r="BA76">
        <v>-1.5707963267949001</v>
      </c>
      <c r="BB76">
        <v>0.99199999999999999</v>
      </c>
      <c r="BC76">
        <v>0</v>
      </c>
      <c r="BD76">
        <v>5.8245346242475203E-2</v>
      </c>
      <c r="BE76">
        <v>0</v>
      </c>
      <c r="BF76">
        <v>1.6E-2</v>
      </c>
      <c r="BG76">
        <v>0</v>
      </c>
      <c r="BH76">
        <v>0</v>
      </c>
      <c r="BI76">
        <v>0</v>
      </c>
      <c r="BJ76">
        <v>0</v>
      </c>
      <c r="BK76">
        <v>1</v>
      </c>
      <c r="BL76">
        <v>1.10809951064544E-4</v>
      </c>
      <c r="BM76" s="1">
        <v>9.1477176283532698E-5</v>
      </c>
      <c r="BN76" s="1">
        <v>4.0426374899485802E-7</v>
      </c>
      <c r="BO76" s="1">
        <v>1.43692012491742E-6</v>
      </c>
      <c r="BP76">
        <v>0</v>
      </c>
      <c r="BQ76">
        <v>0</v>
      </c>
      <c r="BR76" s="1">
        <v>6.0744133840427002E-5</v>
      </c>
      <c r="BS76" s="1">
        <v>5.04218515573816E-5</v>
      </c>
    </row>
    <row r="77" spans="1:71" x14ac:dyDescent="0.25">
      <c r="A77">
        <v>74</v>
      </c>
      <c r="B77" s="1">
        <v>1.35113362634633E-5</v>
      </c>
      <c r="C77">
        <v>0.105010722533251</v>
      </c>
      <c r="D77">
        <v>-3.0321652090359102E-4</v>
      </c>
      <c r="E77">
        <v>6.1312499999999995E-4</v>
      </c>
      <c r="F77">
        <v>-1.05010722533251E-3</v>
      </c>
      <c r="G77">
        <v>0</v>
      </c>
      <c r="H77" t="s">
        <v>74</v>
      </c>
      <c r="I77">
        <v>0</v>
      </c>
      <c r="J77" t="s">
        <v>75</v>
      </c>
      <c r="K77">
        <v>3.14159265358979</v>
      </c>
      <c r="L77">
        <v>0.869062562028874</v>
      </c>
      <c r="M77">
        <v>0</v>
      </c>
      <c r="N77">
        <v>5.10270663626455E-2</v>
      </c>
      <c r="O77">
        <v>0</v>
      </c>
      <c r="P77">
        <v>1.6E-2</v>
      </c>
      <c r="Q77">
        <v>0</v>
      </c>
      <c r="R77">
        <v>0</v>
      </c>
      <c r="S77">
        <v>0</v>
      </c>
      <c r="T77">
        <v>0</v>
      </c>
      <c r="U77">
        <v>0.87261955898119603</v>
      </c>
      <c r="V77" t="s">
        <v>78</v>
      </c>
      <c r="W77">
        <v>2258796.4683473599</v>
      </c>
      <c r="X77" t="s">
        <v>76</v>
      </c>
      <c r="Y77">
        <v>-1.5707963267949001</v>
      </c>
      <c r="Z77">
        <v>0.86148942909444104</v>
      </c>
      <c r="AA77">
        <v>0.12275465737577899</v>
      </c>
      <c r="AB77">
        <v>4.7107207645253599E-2</v>
      </c>
      <c r="AC77">
        <v>6.9119946530837202E-3</v>
      </c>
      <c r="AD77">
        <v>2.4336704571855501E-2</v>
      </c>
      <c r="AE77">
        <v>8.1064597536656593E-3</v>
      </c>
      <c r="AF77">
        <v>0</v>
      </c>
      <c r="AG77">
        <v>0.15766673629373701</v>
      </c>
      <c r="AH77">
        <v>2.7827869832744299E-2</v>
      </c>
      <c r="AI77">
        <v>0.764481100383965</v>
      </c>
      <c r="AJ77" t="s">
        <v>74</v>
      </c>
      <c r="AK77">
        <v>0</v>
      </c>
      <c r="AL77" t="s">
        <v>77</v>
      </c>
      <c r="AM77">
        <v>0</v>
      </c>
      <c r="AN77">
        <v>0.99199999999999999</v>
      </c>
      <c r="AO77">
        <v>0</v>
      </c>
      <c r="AP77">
        <v>5.8245346242475203E-2</v>
      </c>
      <c r="AQ77">
        <v>0</v>
      </c>
      <c r="AR77">
        <v>1.6E-2</v>
      </c>
      <c r="AS77">
        <v>0</v>
      </c>
      <c r="AT77">
        <v>0</v>
      </c>
      <c r="AU77">
        <v>0</v>
      </c>
      <c r="AV77">
        <v>0</v>
      </c>
      <c r="AW77">
        <v>1</v>
      </c>
      <c r="AX77" t="s">
        <v>74</v>
      </c>
      <c r="AY77">
        <v>0</v>
      </c>
      <c r="AZ77" t="s">
        <v>76</v>
      </c>
      <c r="BA77">
        <v>-1.5707963267949001</v>
      </c>
      <c r="BB77">
        <v>0.99199999999999999</v>
      </c>
      <c r="BC77">
        <v>0</v>
      </c>
      <c r="BD77">
        <v>5.8245346242475203E-2</v>
      </c>
      <c r="BE77">
        <v>0</v>
      </c>
      <c r="BF77">
        <v>1.6E-2</v>
      </c>
      <c r="BG77">
        <v>0</v>
      </c>
      <c r="BH77">
        <v>0</v>
      </c>
      <c r="BI77">
        <v>0</v>
      </c>
      <c r="BJ77">
        <v>0</v>
      </c>
      <c r="BK77">
        <v>1</v>
      </c>
      <c r="BL77">
        <v>1.1076848057296699E-4</v>
      </c>
      <c r="BM77" s="1">
        <v>9.2747303063240707E-5</v>
      </c>
      <c r="BN77" s="1">
        <v>4.0407590814950098E-7</v>
      </c>
      <c r="BO77" s="1">
        <v>1.4568712297187201E-6</v>
      </c>
      <c r="BP77">
        <v>0</v>
      </c>
      <c r="BQ77">
        <v>0</v>
      </c>
      <c r="BR77" s="1">
        <v>6.0717631398881897E-5</v>
      </c>
      <c r="BS77" s="1">
        <v>5.1122667184558498E-5</v>
      </c>
    </row>
    <row r="78" spans="1:71" x14ac:dyDescent="0.25">
      <c r="A78">
        <v>75</v>
      </c>
      <c r="B78" s="1">
        <v>1.33662936133933E-5</v>
      </c>
      <c r="C78">
        <v>0.10502408882686499</v>
      </c>
      <c r="D78">
        <v>-3.0328894339063203E-4</v>
      </c>
      <c r="E78">
        <v>6.1312499999999995E-4</v>
      </c>
      <c r="F78">
        <v>-1.0502408882686401E-3</v>
      </c>
      <c r="G78" s="1">
        <v>1.0842021724855E-19</v>
      </c>
      <c r="H78" t="s">
        <v>74</v>
      </c>
      <c r="I78">
        <v>0</v>
      </c>
      <c r="J78" t="s">
        <v>75</v>
      </c>
      <c r="K78">
        <v>3.14159265358979</v>
      </c>
      <c r="L78">
        <v>0.86737901323759403</v>
      </c>
      <c r="M78">
        <v>0</v>
      </c>
      <c r="N78">
        <v>5.09282166829437E-2</v>
      </c>
      <c r="O78">
        <v>0</v>
      </c>
      <c r="P78">
        <v>1.6E-2</v>
      </c>
      <c r="Q78">
        <v>0</v>
      </c>
      <c r="R78">
        <v>0</v>
      </c>
      <c r="S78">
        <v>0</v>
      </c>
      <c r="T78">
        <v>0</v>
      </c>
      <c r="U78">
        <v>0.87075275653268402</v>
      </c>
      <c r="V78" t="s">
        <v>78</v>
      </c>
      <c r="W78">
        <v>2259421.4392571398</v>
      </c>
      <c r="X78" t="s">
        <v>76</v>
      </c>
      <c r="Y78">
        <v>-1.5707963267949001</v>
      </c>
      <c r="Z78">
        <v>0.85979471180689104</v>
      </c>
      <c r="AA78">
        <v>0.12275465737577899</v>
      </c>
      <c r="AB78">
        <v>4.7005134602212797E-2</v>
      </c>
      <c r="AC78">
        <v>6.9525143173761097E-3</v>
      </c>
      <c r="AD78">
        <v>2.4260260180247399E-2</v>
      </c>
      <c r="AE78">
        <v>8.2279750051482397E-3</v>
      </c>
      <c r="AF78">
        <v>0</v>
      </c>
      <c r="AG78">
        <v>0.15941410340965501</v>
      </c>
      <c r="AH78">
        <v>2.8620731511952199E-2</v>
      </c>
      <c r="AI78">
        <v>0.76136488879295094</v>
      </c>
      <c r="AJ78" t="s">
        <v>74</v>
      </c>
      <c r="AK78">
        <v>0</v>
      </c>
      <c r="AL78" t="s">
        <v>77</v>
      </c>
      <c r="AM78">
        <v>0</v>
      </c>
      <c r="AN78">
        <v>0.99199999999999999</v>
      </c>
      <c r="AO78">
        <v>0</v>
      </c>
      <c r="AP78">
        <v>5.8245346242475203E-2</v>
      </c>
      <c r="AQ78">
        <v>0</v>
      </c>
      <c r="AR78">
        <v>1.6E-2</v>
      </c>
      <c r="AS78">
        <v>0</v>
      </c>
      <c r="AT78">
        <v>0</v>
      </c>
      <c r="AU78">
        <v>0</v>
      </c>
      <c r="AV78">
        <v>0</v>
      </c>
      <c r="AW78">
        <v>1</v>
      </c>
      <c r="AX78" t="s">
        <v>74</v>
      </c>
      <c r="AY78">
        <v>0</v>
      </c>
      <c r="AZ78" t="s">
        <v>76</v>
      </c>
      <c r="BA78">
        <v>-1.5707963267949001</v>
      </c>
      <c r="BB78">
        <v>0.99199999999999999</v>
      </c>
      <c r="BC78">
        <v>0</v>
      </c>
      <c r="BD78">
        <v>5.8245346242475203E-2</v>
      </c>
      <c r="BE78">
        <v>0</v>
      </c>
      <c r="BF78">
        <v>1.6E-2</v>
      </c>
      <c r="BG78">
        <v>0</v>
      </c>
      <c r="BH78">
        <v>0</v>
      </c>
      <c r="BI78">
        <v>0</v>
      </c>
      <c r="BJ78">
        <v>0</v>
      </c>
      <c r="BK78">
        <v>1</v>
      </c>
      <c r="BL78">
        <v>1.10688279043741E-4</v>
      </c>
      <c r="BM78" s="1">
        <v>9.4017417460803804E-5</v>
      </c>
      <c r="BN78" s="1">
        <v>4.0381103829608198E-7</v>
      </c>
      <c r="BO78" s="1">
        <v>1.47682214002173E-6</v>
      </c>
      <c r="BP78">
        <v>0</v>
      </c>
      <c r="BQ78">
        <v>0</v>
      </c>
      <c r="BR78" s="1">
        <v>6.0669769676938501E-5</v>
      </c>
      <c r="BS78" s="1">
        <v>5.1823487971089197E-5</v>
      </c>
    </row>
    <row r="79" spans="1:71" x14ac:dyDescent="0.25">
      <c r="A79">
        <v>76</v>
      </c>
      <c r="B79" s="1">
        <v>1.3225345674585299E-5</v>
      </c>
      <c r="C79">
        <v>0.105037314172539</v>
      </c>
      <c r="D79">
        <v>-3.0336059739146602E-4</v>
      </c>
      <c r="E79">
        <v>6.1312499999999995E-4</v>
      </c>
      <c r="F79">
        <v>-1.0503731417253899E-3</v>
      </c>
      <c r="G79" s="1">
        <v>1.0842021724855E-19</v>
      </c>
      <c r="H79" t="s">
        <v>74</v>
      </c>
      <c r="I79">
        <v>0</v>
      </c>
      <c r="J79" t="s">
        <v>75</v>
      </c>
      <c r="K79">
        <v>3.14159265358979</v>
      </c>
      <c r="L79">
        <v>0.86569548100627802</v>
      </c>
      <c r="M79">
        <v>0</v>
      </c>
      <c r="N79">
        <v>5.0829367975561299E-2</v>
      </c>
      <c r="O79">
        <v>0</v>
      </c>
      <c r="P79">
        <v>1.6E-2</v>
      </c>
      <c r="Q79">
        <v>0</v>
      </c>
      <c r="R79">
        <v>0</v>
      </c>
      <c r="S79">
        <v>0</v>
      </c>
      <c r="T79">
        <v>0</v>
      </c>
      <c r="U79">
        <v>0.86888226354630405</v>
      </c>
      <c r="V79" t="s">
        <v>78</v>
      </c>
      <c r="W79">
        <v>2260039.7785039698</v>
      </c>
      <c r="X79" t="s">
        <v>76</v>
      </c>
      <c r="Y79">
        <v>-1.5707963267949001</v>
      </c>
      <c r="Z79">
        <v>0.85810034724798501</v>
      </c>
      <c r="AA79">
        <v>0.12518459724082201</v>
      </c>
      <c r="AB79">
        <v>4.6903216555265699E-2</v>
      </c>
      <c r="AC79">
        <v>7.0701443815638096E-3</v>
      </c>
      <c r="AD79">
        <v>2.4183111190713698E-2</v>
      </c>
      <c r="AE79">
        <v>8.3495998962568596E-3</v>
      </c>
      <c r="AF79">
        <v>0</v>
      </c>
      <c r="AG79">
        <v>0.16114947001166799</v>
      </c>
      <c r="AH79">
        <v>2.9425568718501799E-2</v>
      </c>
      <c r="AI79">
        <v>0.75825153285595404</v>
      </c>
      <c r="AJ79" t="s">
        <v>74</v>
      </c>
      <c r="AK79">
        <v>0</v>
      </c>
      <c r="AL79" t="s">
        <v>77</v>
      </c>
      <c r="AM79">
        <v>0</v>
      </c>
      <c r="AN79">
        <v>0.99199999999999999</v>
      </c>
      <c r="AO79">
        <v>0</v>
      </c>
      <c r="AP79">
        <v>5.8245346242475203E-2</v>
      </c>
      <c r="AQ79">
        <v>0</v>
      </c>
      <c r="AR79">
        <v>1.6E-2</v>
      </c>
      <c r="AS79">
        <v>0</v>
      </c>
      <c r="AT79">
        <v>0</v>
      </c>
      <c r="AU79">
        <v>0</v>
      </c>
      <c r="AV79">
        <v>0</v>
      </c>
      <c r="AW79">
        <v>1</v>
      </c>
      <c r="AX79" t="s">
        <v>74</v>
      </c>
      <c r="AY79">
        <v>0</v>
      </c>
      <c r="AZ79" t="s">
        <v>76</v>
      </c>
      <c r="BA79">
        <v>-1.5707963267949001</v>
      </c>
      <c r="BB79">
        <v>0.99199999999999999</v>
      </c>
      <c r="BC79">
        <v>0</v>
      </c>
      <c r="BD79">
        <v>5.8245346242475203E-2</v>
      </c>
      <c r="BE79">
        <v>0</v>
      </c>
      <c r="BF79">
        <v>1.6E-2</v>
      </c>
      <c r="BG79">
        <v>0</v>
      </c>
      <c r="BH79">
        <v>0</v>
      </c>
      <c r="BI79">
        <v>0</v>
      </c>
      <c r="BJ79">
        <v>0</v>
      </c>
      <c r="BK79">
        <v>1</v>
      </c>
      <c r="BL79">
        <v>1.10646710698671E-4</v>
      </c>
      <c r="BM79" s="1">
        <v>9.5287519365084899E-5</v>
      </c>
      <c r="BN79" s="1">
        <v>4.03623853430065E-7</v>
      </c>
      <c r="BO79" s="1">
        <v>1.4967728540807301E-6</v>
      </c>
      <c r="BP79">
        <v>0</v>
      </c>
      <c r="BQ79">
        <v>0</v>
      </c>
      <c r="BR79" s="1">
        <v>6.0643192700904199E-5</v>
      </c>
      <c r="BS79" s="1">
        <v>5.25243137610653E-5</v>
      </c>
    </row>
    <row r="80" spans="1:71" x14ac:dyDescent="0.25">
      <c r="A80">
        <v>77</v>
      </c>
      <c r="B80" s="1">
        <v>1.30883341307708E-5</v>
      </c>
      <c r="C80">
        <v>0.10505040250667</v>
      </c>
      <c r="D80">
        <v>-3.0343150438415001E-4</v>
      </c>
      <c r="E80">
        <v>6.1312499999999995E-4</v>
      </c>
      <c r="F80">
        <v>-1.0505040250667001E-3</v>
      </c>
      <c r="G80" s="1">
        <v>1.0842021724855E-19</v>
      </c>
      <c r="H80" t="s">
        <v>74</v>
      </c>
      <c r="I80">
        <v>0</v>
      </c>
      <c r="J80" t="s">
        <v>75</v>
      </c>
      <c r="K80">
        <v>3.14159265358979</v>
      </c>
      <c r="L80">
        <v>0.86401196548364201</v>
      </c>
      <c r="M80">
        <v>0</v>
      </c>
      <c r="N80">
        <v>5.0730520249230103E-2</v>
      </c>
      <c r="O80">
        <v>0</v>
      </c>
      <c r="P80">
        <v>1.6E-2</v>
      </c>
      <c r="Q80">
        <v>0</v>
      </c>
      <c r="R80">
        <v>0</v>
      </c>
      <c r="S80">
        <v>0</v>
      </c>
      <c r="T80">
        <v>0</v>
      </c>
      <c r="U80">
        <v>0.86700809317030603</v>
      </c>
      <c r="V80" t="s">
        <v>78</v>
      </c>
      <c r="W80">
        <v>2260651.6714330502</v>
      </c>
      <c r="X80" t="s">
        <v>76</v>
      </c>
      <c r="Y80">
        <v>-1.5707963267949001</v>
      </c>
      <c r="Z80">
        <v>0.85640632767904601</v>
      </c>
      <c r="AA80">
        <v>0.12760664501708099</v>
      </c>
      <c r="AB80">
        <v>4.6801449727136901E-2</v>
      </c>
      <c r="AC80">
        <v>7.1875185917520904E-3</v>
      </c>
      <c r="AD80">
        <v>2.4105274671169401E-2</v>
      </c>
      <c r="AE80">
        <v>8.4713321975402895E-3</v>
      </c>
      <c r="AF80">
        <v>0</v>
      </c>
      <c r="AG80">
        <v>0.16287279589776599</v>
      </c>
      <c r="AH80">
        <v>3.0242421430013999E-2</v>
      </c>
      <c r="AI80">
        <v>0.75514105780222995</v>
      </c>
      <c r="AJ80" t="s">
        <v>74</v>
      </c>
      <c r="AK80">
        <v>0</v>
      </c>
      <c r="AL80" t="s">
        <v>77</v>
      </c>
      <c r="AM80">
        <v>0</v>
      </c>
      <c r="AN80">
        <v>0.99199999999999999</v>
      </c>
      <c r="AO80">
        <v>0</v>
      </c>
      <c r="AP80">
        <v>5.8245346242475203E-2</v>
      </c>
      <c r="AQ80">
        <v>0</v>
      </c>
      <c r="AR80">
        <v>1.6E-2</v>
      </c>
      <c r="AS80">
        <v>0</v>
      </c>
      <c r="AT80">
        <v>0</v>
      </c>
      <c r="AU80">
        <v>0</v>
      </c>
      <c r="AV80">
        <v>0</v>
      </c>
      <c r="AW80">
        <v>1</v>
      </c>
      <c r="AX80" t="s">
        <v>74</v>
      </c>
      <c r="AY80">
        <v>0</v>
      </c>
      <c r="AZ80" t="s">
        <v>76</v>
      </c>
      <c r="BA80">
        <v>-1.5707963267949001</v>
      </c>
      <c r="BB80">
        <v>0.99199999999999999</v>
      </c>
      <c r="BC80">
        <v>0</v>
      </c>
      <c r="BD80">
        <v>5.8245346242475203E-2</v>
      </c>
      <c r="BE80">
        <v>0</v>
      </c>
      <c r="BF80">
        <v>1.6E-2</v>
      </c>
      <c r="BG80">
        <v>0</v>
      </c>
      <c r="BH80">
        <v>0</v>
      </c>
      <c r="BI80">
        <v>0</v>
      </c>
      <c r="BJ80">
        <v>0</v>
      </c>
      <c r="BK80">
        <v>1</v>
      </c>
      <c r="BL80">
        <v>1.10605090526535E-4</v>
      </c>
      <c r="BM80" s="1">
        <v>9.6557608663889896E-5</v>
      </c>
      <c r="BN80" s="1">
        <v>4.03436977460463E-7</v>
      </c>
      <c r="BO80" s="1">
        <v>1.5167233701333701E-6</v>
      </c>
      <c r="BP80">
        <v>0</v>
      </c>
      <c r="BQ80">
        <v>0</v>
      </c>
      <c r="BR80" s="1">
        <v>6.0616577403659699E-5</v>
      </c>
      <c r="BS80" s="1">
        <v>5.3225144401200503E-5</v>
      </c>
    </row>
    <row r="81" spans="1:71" x14ac:dyDescent="0.25">
      <c r="A81">
        <v>78</v>
      </c>
      <c r="B81" s="1">
        <v>1.2955108924442E-5</v>
      </c>
      <c r="C81">
        <v>0.105063357615594</v>
      </c>
      <c r="D81">
        <v>-3.03501685026646E-4</v>
      </c>
      <c r="E81">
        <v>6.1312499999999995E-4</v>
      </c>
      <c r="F81">
        <v>-1.0506335761559401E-3</v>
      </c>
      <c r="G81">
        <v>0</v>
      </c>
      <c r="H81" t="s">
        <v>74</v>
      </c>
      <c r="I81">
        <v>0</v>
      </c>
      <c r="J81" t="s">
        <v>75</v>
      </c>
      <c r="K81">
        <v>3.14159265358979</v>
      </c>
      <c r="L81">
        <v>0.86232846681984898</v>
      </c>
      <c r="M81">
        <v>0</v>
      </c>
      <c r="N81">
        <v>5.0631673512766998E-2</v>
      </c>
      <c r="O81">
        <v>0</v>
      </c>
      <c r="P81">
        <v>1.6E-2</v>
      </c>
      <c r="Q81">
        <v>0</v>
      </c>
      <c r="R81">
        <v>0</v>
      </c>
      <c r="S81">
        <v>0</v>
      </c>
      <c r="T81">
        <v>0</v>
      </c>
      <c r="U81">
        <v>0.86513025793173903</v>
      </c>
      <c r="V81" t="s">
        <v>78</v>
      </c>
      <c r="W81">
        <v>2261257.2963125701</v>
      </c>
      <c r="X81" t="s">
        <v>76</v>
      </c>
      <c r="Y81">
        <v>-1.5707963267949001</v>
      </c>
      <c r="Z81">
        <v>0.85471264565229099</v>
      </c>
      <c r="AA81">
        <v>0.12760664501708099</v>
      </c>
      <c r="AB81">
        <v>4.6699830483771299E-2</v>
      </c>
      <c r="AC81">
        <v>7.2280006646659699E-3</v>
      </c>
      <c r="AD81">
        <v>2.4026767086067099E-2</v>
      </c>
      <c r="AE81">
        <v>8.5931697266770704E-3</v>
      </c>
      <c r="AF81">
        <v>0</v>
      </c>
      <c r="AG81">
        <v>0.164584040537712</v>
      </c>
      <c r="AH81">
        <v>3.1071329950150099E-2</v>
      </c>
      <c r="AI81">
        <v>0.75203348828613503</v>
      </c>
      <c r="AJ81" t="s">
        <v>74</v>
      </c>
      <c r="AK81">
        <v>0</v>
      </c>
      <c r="AL81" t="s">
        <v>77</v>
      </c>
      <c r="AM81">
        <v>0</v>
      </c>
      <c r="AN81">
        <v>0.99199999999999999</v>
      </c>
      <c r="AO81">
        <v>0</v>
      </c>
      <c r="AP81">
        <v>5.8245346242475203E-2</v>
      </c>
      <c r="AQ81">
        <v>0</v>
      </c>
      <c r="AR81">
        <v>1.6E-2</v>
      </c>
      <c r="AS81">
        <v>0</v>
      </c>
      <c r="AT81">
        <v>0</v>
      </c>
      <c r="AU81">
        <v>0</v>
      </c>
      <c r="AV81">
        <v>0</v>
      </c>
      <c r="AW81">
        <v>1</v>
      </c>
      <c r="AX81" t="s">
        <v>74</v>
      </c>
      <c r="AY81">
        <v>0</v>
      </c>
      <c r="AZ81" t="s">
        <v>76</v>
      </c>
      <c r="BA81">
        <v>-1.5707963267949001</v>
      </c>
      <c r="BB81">
        <v>0.99199999999999999</v>
      </c>
      <c r="BC81">
        <v>0</v>
      </c>
      <c r="BD81">
        <v>5.8245346242475203E-2</v>
      </c>
      <c r="BE81">
        <v>0</v>
      </c>
      <c r="BF81">
        <v>1.6E-2</v>
      </c>
      <c r="BG81">
        <v>0</v>
      </c>
      <c r="BH81">
        <v>0</v>
      </c>
      <c r="BI81">
        <v>0</v>
      </c>
      <c r="BJ81">
        <v>0</v>
      </c>
      <c r="BK81">
        <v>1</v>
      </c>
      <c r="BL81">
        <v>1.10525098573077E-4</v>
      </c>
      <c r="BM81" s="1">
        <v>9.7827685243931093E-5</v>
      </c>
      <c r="BN81" s="1">
        <v>4.0317375558531702E-7</v>
      </c>
      <c r="BO81" s="1">
        <v>1.5366736864001399E-6</v>
      </c>
      <c r="BP81">
        <v>0</v>
      </c>
      <c r="BQ81">
        <v>0</v>
      </c>
      <c r="BR81" s="1">
        <v>6.0568800759207701E-5</v>
      </c>
      <c r="BS81" s="1">
        <v>5.3925979740694901E-5</v>
      </c>
    </row>
    <row r="82" spans="1:71" x14ac:dyDescent="0.25">
      <c r="A82">
        <v>79</v>
      </c>
      <c r="B82" s="1">
        <v>1.28255277284123E-5</v>
      </c>
      <c r="C82">
        <v>0.105076183143323</v>
      </c>
      <c r="D82">
        <v>-3.0357115919910299E-4</v>
      </c>
      <c r="E82">
        <v>6.1312499999999995E-4</v>
      </c>
      <c r="F82">
        <v>-1.0507618314332301E-3</v>
      </c>
      <c r="G82" s="1">
        <v>1.0842021724855E-19</v>
      </c>
      <c r="H82" t="s">
        <v>74</v>
      </c>
      <c r="I82">
        <v>0</v>
      </c>
      <c r="J82" t="s">
        <v>75</v>
      </c>
      <c r="K82">
        <v>3.14159265358979</v>
      </c>
      <c r="L82">
        <v>0.86064498516655097</v>
      </c>
      <c r="M82">
        <v>0</v>
      </c>
      <c r="N82">
        <v>5.0532827775076297E-2</v>
      </c>
      <c r="O82">
        <v>0</v>
      </c>
      <c r="P82">
        <v>1.6E-2</v>
      </c>
      <c r="Q82">
        <v>0</v>
      </c>
      <c r="R82">
        <v>0</v>
      </c>
      <c r="S82">
        <v>0</v>
      </c>
      <c r="T82">
        <v>0</v>
      </c>
      <c r="U82">
        <v>0.86324876976874798</v>
      </c>
      <c r="V82" t="s">
        <v>78</v>
      </c>
      <c r="W82">
        <v>2261856.8246985702</v>
      </c>
      <c r="X82" t="s">
        <v>76</v>
      </c>
      <c r="Y82">
        <v>-1.5707963267949001</v>
      </c>
      <c r="Z82">
        <v>0.85301929399647403</v>
      </c>
      <c r="AA82">
        <v>0.13001270506318499</v>
      </c>
      <c r="AB82">
        <v>4.6598355327088302E-2</v>
      </c>
      <c r="AC82">
        <v>7.3448471506424601E-3</v>
      </c>
      <c r="AD82">
        <v>2.3947604326116999E-2</v>
      </c>
      <c r="AE82">
        <v>8.7151103466224095E-3</v>
      </c>
      <c r="AF82">
        <v>0</v>
      </c>
      <c r="AG82">
        <v>0.16628316306996599</v>
      </c>
      <c r="AH82">
        <v>3.1912334911629897E-2</v>
      </c>
      <c r="AI82">
        <v>0.748928848419531</v>
      </c>
      <c r="AJ82" t="s">
        <v>74</v>
      </c>
      <c r="AK82">
        <v>0</v>
      </c>
      <c r="AL82" t="s">
        <v>77</v>
      </c>
      <c r="AM82">
        <v>0</v>
      </c>
      <c r="AN82">
        <v>0.99199999999999999</v>
      </c>
      <c r="AO82">
        <v>0</v>
      </c>
      <c r="AP82">
        <v>5.8245346242475203E-2</v>
      </c>
      <c r="AQ82">
        <v>0</v>
      </c>
      <c r="AR82">
        <v>1.6E-2</v>
      </c>
      <c r="AS82">
        <v>0</v>
      </c>
      <c r="AT82">
        <v>0</v>
      </c>
      <c r="AU82">
        <v>0</v>
      </c>
      <c r="AV82">
        <v>0</v>
      </c>
      <c r="AW82">
        <v>1</v>
      </c>
      <c r="AX82" t="s">
        <v>74</v>
      </c>
      <c r="AY82">
        <v>0</v>
      </c>
      <c r="AZ82" t="s">
        <v>76</v>
      </c>
      <c r="BA82">
        <v>-1.5707963267949001</v>
      </c>
      <c r="BB82">
        <v>0.99199999999999999</v>
      </c>
      <c r="BC82">
        <v>0</v>
      </c>
      <c r="BD82">
        <v>5.8245346242475203E-2</v>
      </c>
      <c r="BE82">
        <v>0</v>
      </c>
      <c r="BF82">
        <v>1.6E-2</v>
      </c>
      <c r="BG82">
        <v>0</v>
      </c>
      <c r="BH82">
        <v>0</v>
      </c>
      <c r="BI82">
        <v>0</v>
      </c>
      <c r="BJ82">
        <v>0</v>
      </c>
      <c r="BK82">
        <v>1</v>
      </c>
      <c r="BL82">
        <v>1.10483361368879E-4</v>
      </c>
      <c r="BM82" s="1">
        <v>9.9097748990797894E-5</v>
      </c>
      <c r="BN82" s="1">
        <v>4.0298743165409301E-7</v>
      </c>
      <c r="BO82" s="1">
        <v>1.5566238010838801E-6</v>
      </c>
      <c r="BP82">
        <v>0</v>
      </c>
      <c r="BQ82">
        <v>0</v>
      </c>
      <c r="BR82" s="1">
        <v>6.05421018970653E-5</v>
      </c>
      <c r="BS82" s="1">
        <v>5.4626819631110401E-5</v>
      </c>
    </row>
    <row r="83" spans="1:71" x14ac:dyDescent="0.25">
      <c r="A83">
        <v>80</v>
      </c>
      <c r="B83" s="1">
        <v>1.26994554576368E-5</v>
      </c>
      <c r="C83">
        <v>0.10508888259878001</v>
      </c>
      <c r="D83">
        <v>-3.0363994604346999E-4</v>
      </c>
      <c r="E83">
        <v>6.1312499999999995E-4</v>
      </c>
      <c r="F83">
        <v>-1.0508888259877999E-3</v>
      </c>
      <c r="G83" s="1">
        <v>1.0842021724855E-19</v>
      </c>
      <c r="H83" t="s">
        <v>74</v>
      </c>
      <c r="I83">
        <v>0</v>
      </c>
      <c r="J83" t="s">
        <v>75</v>
      </c>
      <c r="K83">
        <v>3.14159265358979</v>
      </c>
      <c r="L83">
        <v>0.85896152067693599</v>
      </c>
      <c r="M83">
        <v>0</v>
      </c>
      <c r="N83">
        <v>5.0433983045152397E-2</v>
      </c>
      <c r="O83">
        <v>0</v>
      </c>
      <c r="P83">
        <v>1.6E-2</v>
      </c>
      <c r="Q83">
        <v>0</v>
      </c>
      <c r="R83">
        <v>0</v>
      </c>
      <c r="S83">
        <v>0</v>
      </c>
      <c r="T83">
        <v>0</v>
      </c>
      <c r="U83">
        <v>0.86136364006083999</v>
      </c>
      <c r="V83" t="s">
        <v>78</v>
      </c>
      <c r="W83">
        <v>2262450.4217767799</v>
      </c>
      <c r="X83" t="s">
        <v>76</v>
      </c>
      <c r="Y83">
        <v>-1.5707963267949001</v>
      </c>
      <c r="Z83">
        <v>0.85132626580341897</v>
      </c>
      <c r="AA83">
        <v>0.13483380226864</v>
      </c>
      <c r="AB83">
        <v>4.6497020888189397E-2</v>
      </c>
      <c r="AC83">
        <v>7.5375583952735099E-3</v>
      </c>
      <c r="AD83">
        <v>2.3867801736183698E-2</v>
      </c>
      <c r="AE83">
        <v>8.8371519638463705E-3</v>
      </c>
      <c r="AF83">
        <v>0</v>
      </c>
      <c r="AG83">
        <v>0.16797012229850899</v>
      </c>
      <c r="AH83">
        <v>3.2765477279333897E-2</v>
      </c>
      <c r="AI83">
        <v>0.745827161802185</v>
      </c>
      <c r="AJ83" t="s">
        <v>74</v>
      </c>
      <c r="AK83">
        <v>0</v>
      </c>
      <c r="AL83" t="s">
        <v>77</v>
      </c>
      <c r="AM83">
        <v>0</v>
      </c>
      <c r="AN83">
        <v>0.99199999999999999</v>
      </c>
      <c r="AO83">
        <v>0</v>
      </c>
      <c r="AP83">
        <v>5.8245346242475203E-2</v>
      </c>
      <c r="AQ83">
        <v>0</v>
      </c>
      <c r="AR83">
        <v>1.6E-2</v>
      </c>
      <c r="AS83">
        <v>0</v>
      </c>
      <c r="AT83">
        <v>0</v>
      </c>
      <c r="AU83">
        <v>0</v>
      </c>
      <c r="AV83">
        <v>0</v>
      </c>
      <c r="AW83">
        <v>1</v>
      </c>
      <c r="AX83" t="s">
        <v>74</v>
      </c>
      <c r="AY83">
        <v>0</v>
      </c>
      <c r="AZ83" t="s">
        <v>76</v>
      </c>
      <c r="BA83">
        <v>-1.5707963267949001</v>
      </c>
      <c r="BB83">
        <v>0.99199999999999999</v>
      </c>
      <c r="BC83">
        <v>0</v>
      </c>
      <c r="BD83">
        <v>5.8245346242475203E-2</v>
      </c>
      <c r="BE83">
        <v>0</v>
      </c>
      <c r="BF83">
        <v>1.6E-2</v>
      </c>
      <c r="BG83">
        <v>0</v>
      </c>
      <c r="BH83">
        <v>0</v>
      </c>
      <c r="BI83">
        <v>0</v>
      </c>
      <c r="BJ83">
        <v>0</v>
      </c>
      <c r="BK83">
        <v>1</v>
      </c>
      <c r="BL83">
        <v>1.10479627406783E-4</v>
      </c>
      <c r="BM83">
        <v>1.00367799788922E-4</v>
      </c>
      <c r="BN83" s="1">
        <v>4.0287749903305901E-7</v>
      </c>
      <c r="BO83" s="1">
        <v>1.5765737123692401E-6</v>
      </c>
      <c r="BP83">
        <v>0</v>
      </c>
      <c r="BQ83">
        <v>0</v>
      </c>
      <c r="BR83" s="1">
        <v>6.0536343259574801E-5</v>
      </c>
      <c r="BS83" s="1">
        <v>5.5327663926248499E-5</v>
      </c>
    </row>
    <row r="84" spans="1:71" x14ac:dyDescent="0.25">
      <c r="A84">
        <v>81</v>
      </c>
      <c r="B84" s="1">
        <v>1.25767638175781E-5</v>
      </c>
      <c r="C84">
        <v>0.105101459362598</v>
      </c>
      <c r="D84">
        <v>-3.03708064000633E-4</v>
      </c>
      <c r="E84">
        <v>6.1312499999999995E-4</v>
      </c>
      <c r="F84">
        <v>-1.05101459362598E-3</v>
      </c>
      <c r="G84" s="1">
        <v>1.0842021724855E-19</v>
      </c>
      <c r="H84" t="s">
        <v>74</v>
      </c>
      <c r="I84">
        <v>0</v>
      </c>
      <c r="J84" t="s">
        <v>75</v>
      </c>
      <c r="K84">
        <v>3.14159265358979</v>
      </c>
      <c r="L84">
        <v>0.85727807350577001</v>
      </c>
      <c r="M84">
        <v>0</v>
      </c>
      <c r="N84">
        <v>5.03351393320823E-2</v>
      </c>
      <c r="O84">
        <v>0</v>
      </c>
      <c r="P84">
        <v>1.6E-2</v>
      </c>
      <c r="Q84">
        <v>0</v>
      </c>
      <c r="R84">
        <v>0</v>
      </c>
      <c r="S84">
        <v>0</v>
      </c>
      <c r="T84">
        <v>0</v>
      </c>
      <c r="U84">
        <v>0.86351537493371999</v>
      </c>
      <c r="V84" t="s">
        <v>78</v>
      </c>
      <c r="W84">
        <v>2263038.24668309</v>
      </c>
      <c r="X84" t="s">
        <v>76</v>
      </c>
      <c r="Y84">
        <v>-1.5707963267949001</v>
      </c>
      <c r="Z84">
        <v>0.84963355441538102</v>
      </c>
      <c r="AA84">
        <v>0.13483380226864</v>
      </c>
      <c r="AB84">
        <v>4.6395823920986498E-2</v>
      </c>
      <c r="AC84">
        <v>7.5780048739952002E-3</v>
      </c>
      <c r="AD84">
        <v>2.3787374141494198E-2</v>
      </c>
      <c r="AE84">
        <v>8.9592925266583894E-3</v>
      </c>
      <c r="AF84">
        <v>0</v>
      </c>
      <c r="AG84">
        <v>0.16964487668959599</v>
      </c>
      <c r="AH84">
        <v>3.3630798353489602E-2</v>
      </c>
      <c r="AI84">
        <v>0.74272845155028999</v>
      </c>
      <c r="AJ84" t="s">
        <v>74</v>
      </c>
      <c r="AK84">
        <v>0</v>
      </c>
      <c r="AL84" t="s">
        <v>77</v>
      </c>
      <c r="AM84">
        <v>0</v>
      </c>
      <c r="AN84">
        <v>0.99199999999999999</v>
      </c>
      <c r="AO84">
        <v>0</v>
      </c>
      <c r="AP84">
        <v>5.8245346242475203E-2</v>
      </c>
      <c r="AQ84">
        <v>0</v>
      </c>
      <c r="AR84">
        <v>1.6E-2</v>
      </c>
      <c r="AS84">
        <v>0</v>
      </c>
      <c r="AT84">
        <v>0</v>
      </c>
      <c r="AU84">
        <v>0</v>
      </c>
      <c r="AV84">
        <v>0</v>
      </c>
      <c r="AW84">
        <v>1</v>
      </c>
      <c r="AX84" t="s">
        <v>74</v>
      </c>
      <c r="AY84">
        <v>0</v>
      </c>
      <c r="AZ84" t="s">
        <v>76</v>
      </c>
      <c r="BA84">
        <v>-1.5707963267949001</v>
      </c>
      <c r="BB84">
        <v>0.99199999999999999</v>
      </c>
      <c r="BC84">
        <v>0</v>
      </c>
      <c r="BD84">
        <v>5.8245346242475203E-2</v>
      </c>
      <c r="BE84">
        <v>0</v>
      </c>
      <c r="BF84">
        <v>1.6E-2</v>
      </c>
      <c r="BG84">
        <v>0</v>
      </c>
      <c r="BH84">
        <v>0</v>
      </c>
      <c r="BI84">
        <v>0</v>
      </c>
      <c r="BJ84">
        <v>0</v>
      </c>
      <c r="BK84">
        <v>1</v>
      </c>
      <c r="BL84">
        <v>1.10399830306007E-4</v>
      </c>
      <c r="BM84">
        <v>1.0163783752154301E-4</v>
      </c>
      <c r="BN84" s="1">
        <v>4.02615808613688E-7</v>
      </c>
      <c r="BO84" s="1">
        <v>1.5965234184221601E-6</v>
      </c>
      <c r="BP84">
        <v>0</v>
      </c>
      <c r="BQ84">
        <v>0</v>
      </c>
      <c r="BR84" s="1">
        <v>6.0488646074591098E-5</v>
      </c>
      <c r="BS84" s="1">
        <v>5.6028512482034097E-5</v>
      </c>
    </row>
    <row r="85" spans="1:71" x14ac:dyDescent="0.25">
      <c r="A85">
        <v>82</v>
      </c>
      <c r="B85" s="1">
        <v>1.2457330886108201E-5</v>
      </c>
      <c r="C85">
        <v>0.10511391669348399</v>
      </c>
      <c r="D85">
        <v>-3.0377553084526602E-4</v>
      </c>
      <c r="E85">
        <v>6.1312499999999995E-4</v>
      </c>
      <c r="F85">
        <v>-1.0511391669348401E-3</v>
      </c>
      <c r="G85" s="1">
        <v>1.0842021724855E-19</v>
      </c>
      <c r="H85" t="s">
        <v>74</v>
      </c>
      <c r="I85">
        <v>0</v>
      </c>
      <c r="J85" t="s">
        <v>75</v>
      </c>
      <c r="K85">
        <v>3.14159265358979</v>
      </c>
      <c r="L85">
        <v>0.85559464380943995</v>
      </c>
      <c r="M85">
        <v>0</v>
      </c>
      <c r="N85">
        <v>5.02362966450485E-2</v>
      </c>
      <c r="O85">
        <v>0</v>
      </c>
      <c r="P85">
        <v>1.6E-2</v>
      </c>
      <c r="Q85">
        <v>0</v>
      </c>
      <c r="R85">
        <v>0</v>
      </c>
      <c r="S85">
        <v>0</v>
      </c>
      <c r="T85">
        <v>0</v>
      </c>
      <c r="U85">
        <v>0.86093647240842996</v>
      </c>
      <c r="V85" t="s">
        <v>78</v>
      </c>
      <c r="W85">
        <v>2263620.45280432</v>
      </c>
      <c r="X85" t="s">
        <v>76</v>
      </c>
      <c r="Y85">
        <v>-1.5707963267949001</v>
      </c>
      <c r="Z85">
        <v>0.847941153413166</v>
      </c>
      <c r="AA85">
        <v>0.137215395443199</v>
      </c>
      <c r="AB85">
        <v>4.6294761296219199E-2</v>
      </c>
      <c r="AC85">
        <v>7.6940554848159998E-3</v>
      </c>
      <c r="AD85">
        <v>2.3706335872279199E-2</v>
      </c>
      <c r="AE85">
        <v>9.0815300236126804E-3</v>
      </c>
      <c r="AF85">
        <v>0</v>
      </c>
      <c r="AG85">
        <v>0.171307384368412</v>
      </c>
      <c r="AH85">
        <v>3.4508339772945103E-2</v>
      </c>
      <c r="AI85">
        <v>0.73963274032325799</v>
      </c>
      <c r="AJ85" t="s">
        <v>74</v>
      </c>
      <c r="AK85">
        <v>0</v>
      </c>
      <c r="AL85" t="s">
        <v>77</v>
      </c>
      <c r="AM85">
        <v>0</v>
      </c>
      <c r="AN85">
        <v>0.99199999999999999</v>
      </c>
      <c r="AO85">
        <v>0</v>
      </c>
      <c r="AP85">
        <v>5.8245346242475203E-2</v>
      </c>
      <c r="AQ85">
        <v>0</v>
      </c>
      <c r="AR85">
        <v>1.6E-2</v>
      </c>
      <c r="AS85">
        <v>0</v>
      </c>
      <c r="AT85">
        <v>0</v>
      </c>
      <c r="AU85">
        <v>0</v>
      </c>
      <c r="AV85">
        <v>0</v>
      </c>
      <c r="AW85">
        <v>1</v>
      </c>
      <c r="AX85" t="s">
        <v>74</v>
      </c>
      <c r="AY85">
        <v>0</v>
      </c>
      <c r="AZ85" t="s">
        <v>76</v>
      </c>
      <c r="BA85">
        <v>-1.5707963267949001</v>
      </c>
      <c r="BB85">
        <v>0.99199999999999999</v>
      </c>
      <c r="BC85">
        <v>0</v>
      </c>
      <c r="BD85">
        <v>5.8245346242475203E-2</v>
      </c>
      <c r="BE85">
        <v>0</v>
      </c>
      <c r="BF85">
        <v>1.6E-2</v>
      </c>
      <c r="BG85">
        <v>0</v>
      </c>
      <c r="BH85">
        <v>0</v>
      </c>
      <c r="BI85">
        <v>0</v>
      </c>
      <c r="BJ85">
        <v>0</v>
      </c>
      <c r="BK85">
        <v>1</v>
      </c>
      <c r="BL85">
        <v>1.10357902955517E-4</v>
      </c>
      <c r="BM85">
        <v>1.0290786207067799E-4</v>
      </c>
      <c r="BN85" s="1">
        <v>4.0243022322603101E-7</v>
      </c>
      <c r="BO85" s="1">
        <v>1.61647291738937E-6</v>
      </c>
      <c r="BP85">
        <v>0</v>
      </c>
      <c r="BQ85">
        <v>0</v>
      </c>
      <c r="BR85" s="1">
        <v>6.0461815962777599E-5</v>
      </c>
      <c r="BS85" s="1">
        <v>5.6729365156405898E-5</v>
      </c>
    </row>
    <row r="86" spans="1:71" x14ac:dyDescent="0.25">
      <c r="A86">
        <v>83</v>
      </c>
      <c r="B86" s="1">
        <v>1.2341040726079401E-5</v>
      </c>
      <c r="C86">
        <v>0.10512625773421</v>
      </c>
      <c r="D86">
        <v>-3.0384236371856202E-4</v>
      </c>
      <c r="E86">
        <v>6.1312499999999995E-4</v>
      </c>
      <c r="F86">
        <v>-1.0512625773421E-3</v>
      </c>
      <c r="G86">
        <v>0</v>
      </c>
      <c r="H86" t="s">
        <v>74</v>
      </c>
      <c r="I86">
        <v>0</v>
      </c>
      <c r="J86" t="s">
        <v>75</v>
      </c>
      <c r="K86">
        <v>3.14159265358979</v>
      </c>
      <c r="L86">
        <v>0.85391123174599404</v>
      </c>
      <c r="M86">
        <v>0</v>
      </c>
      <c r="N86">
        <v>5.0137454993330603E-2</v>
      </c>
      <c r="O86">
        <v>0</v>
      </c>
      <c r="P86">
        <v>1.6E-2</v>
      </c>
      <c r="Q86">
        <v>0</v>
      </c>
      <c r="R86">
        <v>0</v>
      </c>
      <c r="S86">
        <v>0</v>
      </c>
      <c r="T86">
        <v>0</v>
      </c>
      <c r="U86">
        <v>0.86062666746013206</v>
      </c>
      <c r="V86" t="s">
        <v>78</v>
      </c>
      <c r="W86">
        <v>2264197.1880606399</v>
      </c>
      <c r="X86" t="s">
        <v>76</v>
      </c>
      <c r="Y86">
        <v>-1.5707963267949001</v>
      </c>
      <c r="Z86">
        <v>0.84624905660495597</v>
      </c>
      <c r="AA86">
        <v>0.137215395443199</v>
      </c>
      <c r="AB86">
        <v>4.6193829995832797E-2</v>
      </c>
      <c r="AC86">
        <v>7.7344811732447402E-3</v>
      </c>
      <c r="AD86">
        <v>2.3624700786958799E-2</v>
      </c>
      <c r="AE86">
        <v>9.2038624819897503E-3</v>
      </c>
      <c r="AF86">
        <v>0</v>
      </c>
      <c r="AG86">
        <v>0.172957603115658</v>
      </c>
      <c r="AH86">
        <v>3.5398143518528498E-2</v>
      </c>
      <c r="AI86">
        <v>0.73654005034888803</v>
      </c>
      <c r="AJ86" t="s">
        <v>74</v>
      </c>
      <c r="AK86">
        <v>0</v>
      </c>
      <c r="AL86" t="s">
        <v>77</v>
      </c>
      <c r="AM86">
        <v>0</v>
      </c>
      <c r="AN86">
        <v>0.99199999999999999</v>
      </c>
      <c r="AO86">
        <v>0</v>
      </c>
      <c r="AP86">
        <v>5.8245346242475203E-2</v>
      </c>
      <c r="AQ86">
        <v>0</v>
      </c>
      <c r="AR86">
        <v>1.6E-2</v>
      </c>
      <c r="AS86">
        <v>0</v>
      </c>
      <c r="AT86">
        <v>0</v>
      </c>
      <c r="AU86">
        <v>0</v>
      </c>
      <c r="AV86">
        <v>0</v>
      </c>
      <c r="AW86">
        <v>1</v>
      </c>
      <c r="AX86" t="s">
        <v>74</v>
      </c>
      <c r="AY86">
        <v>0</v>
      </c>
      <c r="AZ86" t="s">
        <v>76</v>
      </c>
      <c r="BA86">
        <v>-1.5707963267949001</v>
      </c>
      <c r="BB86">
        <v>0.99199999999999999</v>
      </c>
      <c r="BC86">
        <v>0</v>
      </c>
      <c r="BD86">
        <v>5.8245346242475203E-2</v>
      </c>
      <c r="BE86">
        <v>0</v>
      </c>
      <c r="BF86">
        <v>1.6E-2</v>
      </c>
      <c r="BG86">
        <v>0</v>
      </c>
      <c r="BH86">
        <v>0</v>
      </c>
      <c r="BI86">
        <v>0</v>
      </c>
      <c r="BJ86">
        <v>0</v>
      </c>
      <c r="BK86">
        <v>1</v>
      </c>
      <c r="BL86">
        <v>1.10278229323679E-4</v>
      </c>
      <c r="BM86">
        <v>1.04177873317093E-4</v>
      </c>
      <c r="BN86" s="1">
        <v>4.0216949905450201E-7</v>
      </c>
      <c r="BO86" s="1">
        <v>1.63642220739794E-6</v>
      </c>
      <c r="BP86">
        <v>0</v>
      </c>
      <c r="BQ86">
        <v>0</v>
      </c>
      <c r="BR86" s="1">
        <v>6.0414169040769597E-5</v>
      </c>
      <c r="BS86" s="1">
        <v>5.7430221809211498E-5</v>
      </c>
    </row>
    <row r="87" spans="1:71" x14ac:dyDescent="0.25">
      <c r="A87">
        <v>84</v>
      </c>
      <c r="B87" s="1">
        <v>1.2227783025856499E-5</v>
      </c>
      <c r="C87">
        <v>0.10513848551723599</v>
      </c>
      <c r="D87">
        <v>-3.0390857915899402E-4</v>
      </c>
      <c r="E87">
        <v>6.1312499999999995E-4</v>
      </c>
      <c r="F87">
        <v>-1.0513848551723601E-3</v>
      </c>
      <c r="G87" s="1">
        <v>1.0842021724855E-19</v>
      </c>
      <c r="H87" t="s">
        <v>74</v>
      </c>
      <c r="I87">
        <v>0</v>
      </c>
      <c r="J87" t="s">
        <v>75</v>
      </c>
      <c r="K87">
        <v>3.14159265358979</v>
      </c>
      <c r="L87">
        <v>0.85222783747518605</v>
      </c>
      <c r="M87">
        <v>0</v>
      </c>
      <c r="N87">
        <v>5.0038614386308598E-2</v>
      </c>
      <c r="O87">
        <v>0</v>
      </c>
      <c r="P87">
        <v>1.6E-2</v>
      </c>
      <c r="Q87">
        <v>0</v>
      </c>
      <c r="R87">
        <v>0</v>
      </c>
      <c r="S87">
        <v>0</v>
      </c>
      <c r="T87">
        <v>0</v>
      </c>
      <c r="U87">
        <v>0.85821036611495405</v>
      </c>
      <c r="V87" t="s">
        <v>78</v>
      </c>
      <c r="W87">
        <v>2264768.5951710301</v>
      </c>
      <c r="X87" t="s">
        <v>76</v>
      </c>
      <c r="Y87">
        <v>-1.5707963267949001</v>
      </c>
      <c r="Z87">
        <v>0.84455725801580095</v>
      </c>
      <c r="AA87">
        <v>0.13958037099607401</v>
      </c>
      <c r="AB87">
        <v>4.60930271076926E-2</v>
      </c>
      <c r="AC87">
        <v>7.84998958474919E-3</v>
      </c>
      <c r="AD87">
        <v>2.3542482293977401E-2</v>
      </c>
      <c r="AE87">
        <v>9.3262879663489097E-3</v>
      </c>
      <c r="AF87">
        <v>0</v>
      </c>
      <c r="AG87">
        <v>0.17459549036403699</v>
      </c>
      <c r="AH87">
        <v>3.6300251916490701E-2</v>
      </c>
      <c r="AI87">
        <v>0.73345040344707602</v>
      </c>
      <c r="AJ87" t="s">
        <v>74</v>
      </c>
      <c r="AK87">
        <v>0</v>
      </c>
      <c r="AL87" t="s">
        <v>77</v>
      </c>
      <c r="AM87">
        <v>0</v>
      </c>
      <c r="AN87">
        <v>0.99199999999999999</v>
      </c>
      <c r="AO87">
        <v>0</v>
      </c>
      <c r="AP87">
        <v>5.8245346242475203E-2</v>
      </c>
      <c r="AQ87">
        <v>0</v>
      </c>
      <c r="AR87">
        <v>1.6E-2</v>
      </c>
      <c r="AS87">
        <v>0</v>
      </c>
      <c r="AT87">
        <v>0</v>
      </c>
      <c r="AU87">
        <v>0</v>
      </c>
      <c r="AV87">
        <v>0</v>
      </c>
      <c r="AW87">
        <v>1</v>
      </c>
      <c r="AX87" t="s">
        <v>74</v>
      </c>
      <c r="AY87">
        <v>0</v>
      </c>
      <c r="AZ87" t="s">
        <v>76</v>
      </c>
      <c r="BA87">
        <v>-1.5707963267949001</v>
      </c>
      <c r="BB87">
        <v>0.99199999999999999</v>
      </c>
      <c r="BC87">
        <v>0</v>
      </c>
      <c r="BD87">
        <v>5.8245346242475203E-2</v>
      </c>
      <c r="BE87">
        <v>0</v>
      </c>
      <c r="BF87">
        <v>1.6E-2</v>
      </c>
      <c r="BG87">
        <v>0</v>
      </c>
      <c r="BH87">
        <v>0</v>
      </c>
      <c r="BI87">
        <v>0</v>
      </c>
      <c r="BJ87">
        <v>0</v>
      </c>
      <c r="BK87">
        <v>1</v>
      </c>
      <c r="BL87">
        <v>1.1023616178184999E-4</v>
      </c>
      <c r="BM87">
        <v>1.0544787114026401E-4</v>
      </c>
      <c r="BN87" s="1">
        <v>4.0198433459406899E-7</v>
      </c>
      <c r="BO87" s="1">
        <v>1.6563712865546799E-6</v>
      </c>
      <c r="BP87">
        <v>0</v>
      </c>
      <c r="BQ87">
        <v>0</v>
      </c>
      <c r="BR87" s="1">
        <v>6.0387244803981201E-5</v>
      </c>
      <c r="BS87" s="1">
        <v>5.8131082302105401E-5</v>
      </c>
    </row>
    <row r="88" spans="1:71" x14ac:dyDescent="0.25">
      <c r="A88">
        <v>85</v>
      </c>
      <c r="B88" s="1">
        <v>1.21174527655458E-5</v>
      </c>
      <c r="C88">
        <v>0.10515060297000201</v>
      </c>
      <c r="D88">
        <v>-3.0397419313125002E-4</v>
      </c>
      <c r="E88">
        <v>6.1312499999999995E-4</v>
      </c>
      <c r="F88">
        <v>-1.05150602970002E-3</v>
      </c>
      <c r="G88" s="1">
        <v>1.0842021724855E-19</v>
      </c>
      <c r="H88" t="s">
        <v>74</v>
      </c>
      <c r="I88">
        <v>0</v>
      </c>
      <c r="J88" t="s">
        <v>75</v>
      </c>
      <c r="K88">
        <v>3.14159265358979</v>
      </c>
      <c r="L88">
        <v>0.850544461158524</v>
      </c>
      <c r="M88">
        <v>0</v>
      </c>
      <c r="N88">
        <v>4.99397748334654E-2</v>
      </c>
      <c r="O88">
        <v>0</v>
      </c>
      <c r="P88">
        <v>1.6E-2</v>
      </c>
      <c r="Q88">
        <v>0</v>
      </c>
      <c r="R88">
        <v>0</v>
      </c>
      <c r="S88">
        <v>0</v>
      </c>
      <c r="T88">
        <v>0</v>
      </c>
      <c r="U88">
        <v>0.85729535171551097</v>
      </c>
      <c r="V88" t="s">
        <v>78</v>
      </c>
      <c r="W88">
        <v>2265334.8119030101</v>
      </c>
      <c r="X88" t="s">
        <v>76</v>
      </c>
      <c r="Y88">
        <v>-1.5707963267949001</v>
      </c>
      <c r="Z88">
        <v>0.84286575187772805</v>
      </c>
      <c r="AA88">
        <v>0.141936949947603</v>
      </c>
      <c r="AB88">
        <v>4.5992349820608298E-2</v>
      </c>
      <c r="AC88">
        <v>7.9652243948876104E-3</v>
      </c>
      <c r="AD88">
        <v>2.34596933723803E-2</v>
      </c>
      <c r="AE88">
        <v>9.4488045771477704E-3</v>
      </c>
      <c r="AF88">
        <v>0</v>
      </c>
      <c r="AG88">
        <v>0.176221003194659</v>
      </c>
      <c r="AH88">
        <v>3.72147076420331E-2</v>
      </c>
      <c r="AI88">
        <v>0.73036382105212605</v>
      </c>
      <c r="AJ88" t="s">
        <v>74</v>
      </c>
      <c r="AK88">
        <v>0</v>
      </c>
      <c r="AL88" t="s">
        <v>77</v>
      </c>
      <c r="AM88">
        <v>0</v>
      </c>
      <c r="AN88">
        <v>0.99199999999999999</v>
      </c>
      <c r="AO88">
        <v>0</v>
      </c>
      <c r="AP88">
        <v>5.8245346242475203E-2</v>
      </c>
      <c r="AQ88">
        <v>0</v>
      </c>
      <c r="AR88">
        <v>1.6E-2</v>
      </c>
      <c r="AS88">
        <v>0</v>
      </c>
      <c r="AT88">
        <v>0</v>
      </c>
      <c r="AU88">
        <v>0</v>
      </c>
      <c r="AV88">
        <v>0</v>
      </c>
      <c r="AW88">
        <v>1</v>
      </c>
      <c r="AX88" t="s">
        <v>74</v>
      </c>
      <c r="AY88">
        <v>0</v>
      </c>
      <c r="AZ88" t="s">
        <v>76</v>
      </c>
      <c r="BA88">
        <v>-1.5707963267949001</v>
      </c>
      <c r="BB88">
        <v>0.99199999999999999</v>
      </c>
      <c r="BC88">
        <v>0</v>
      </c>
      <c r="BD88">
        <v>5.8245346242475203E-2</v>
      </c>
      <c r="BE88">
        <v>0</v>
      </c>
      <c r="BF88">
        <v>1.6E-2</v>
      </c>
      <c r="BG88">
        <v>0</v>
      </c>
      <c r="BH88">
        <v>0</v>
      </c>
      <c r="BI88">
        <v>0</v>
      </c>
      <c r="BJ88">
        <v>0</v>
      </c>
      <c r="BK88">
        <v>1</v>
      </c>
      <c r="BL88">
        <v>1.1019402076695599E-4</v>
      </c>
      <c r="BM88">
        <v>1.06717855418346E-4</v>
      </c>
      <c r="BN88" s="1">
        <v>4.0179936216674201E-7</v>
      </c>
      <c r="BO88" s="1">
        <v>1.67632015294566E-6</v>
      </c>
      <c r="BP88">
        <v>0</v>
      </c>
      <c r="BQ88">
        <v>0</v>
      </c>
      <c r="BR88" s="1">
        <v>6.03602720702899E-5</v>
      </c>
      <c r="BS88" s="1">
        <v>5.8831946498450999E-5</v>
      </c>
    </row>
    <row r="89" spans="1:71" x14ac:dyDescent="0.25">
      <c r="A89">
        <v>86</v>
      </c>
      <c r="B89" s="1">
        <v>1.2009949906942301E-5</v>
      </c>
      <c r="C89">
        <v>0.105162612919908</v>
      </c>
      <c r="D89">
        <v>-3.0403922105347298E-4</v>
      </c>
      <c r="E89">
        <v>6.1312499999999995E-4</v>
      </c>
      <c r="F89">
        <v>-1.05162612919908E-3</v>
      </c>
      <c r="G89">
        <v>0</v>
      </c>
      <c r="H89" t="s">
        <v>74</v>
      </c>
      <c r="I89">
        <v>0</v>
      </c>
      <c r="J89" t="s">
        <v>75</v>
      </c>
      <c r="K89">
        <v>3.14159265358979</v>
      </c>
      <c r="L89">
        <v>0.84886110295929795</v>
      </c>
      <c r="M89">
        <v>0</v>
      </c>
      <c r="N89">
        <v>4.9840936344388798E-2</v>
      </c>
      <c r="O89">
        <v>0</v>
      </c>
      <c r="P89">
        <v>1.6E-2</v>
      </c>
      <c r="Q89">
        <v>0</v>
      </c>
      <c r="R89">
        <v>0</v>
      </c>
      <c r="S89">
        <v>0</v>
      </c>
      <c r="T89">
        <v>0</v>
      </c>
      <c r="U89">
        <v>0.85538087797573403</v>
      </c>
      <c r="V89" t="s">
        <v>78</v>
      </c>
      <c r="W89">
        <v>2265895.97130768</v>
      </c>
      <c r="X89" t="s">
        <v>76</v>
      </c>
      <c r="Y89">
        <v>-1.5707963267949001</v>
      </c>
      <c r="Z89">
        <v>0.84117453262039199</v>
      </c>
      <c r="AA89">
        <v>0.141936949947603</v>
      </c>
      <c r="AB89">
        <v>4.5891795419648003E-2</v>
      </c>
      <c r="AC89">
        <v>8.00561739233485E-3</v>
      </c>
      <c r="AD89">
        <v>2.3376346591219701E-2</v>
      </c>
      <c r="AE89">
        <v>9.5714104494260006E-3</v>
      </c>
      <c r="AF89">
        <v>0</v>
      </c>
      <c r="AG89">
        <v>0.177834098333364</v>
      </c>
      <c r="AH89">
        <v>3.8141553722929503E-2</v>
      </c>
      <c r="AI89">
        <v>0.72728032423376099</v>
      </c>
      <c r="AJ89" t="s">
        <v>74</v>
      </c>
      <c r="AK89">
        <v>0</v>
      </c>
      <c r="AL89" t="s">
        <v>77</v>
      </c>
      <c r="AM89">
        <v>0</v>
      </c>
      <c r="AN89">
        <v>0.99199999999999999</v>
      </c>
      <c r="AO89">
        <v>0</v>
      </c>
      <c r="AP89">
        <v>5.8245346242475203E-2</v>
      </c>
      <c r="AQ89">
        <v>0</v>
      </c>
      <c r="AR89">
        <v>1.6E-2</v>
      </c>
      <c r="AS89">
        <v>0</v>
      </c>
      <c r="AT89">
        <v>0</v>
      </c>
      <c r="AU89">
        <v>0</v>
      </c>
      <c r="AV89">
        <v>0</v>
      </c>
      <c r="AW89">
        <v>1</v>
      </c>
      <c r="AX89" t="s">
        <v>74</v>
      </c>
      <c r="AY89">
        <v>0</v>
      </c>
      <c r="AZ89" t="s">
        <v>76</v>
      </c>
      <c r="BA89">
        <v>-1.5707963267949001</v>
      </c>
      <c r="BB89">
        <v>0.99199999999999999</v>
      </c>
      <c r="BC89">
        <v>0</v>
      </c>
      <c r="BD89">
        <v>5.8245346242475203E-2</v>
      </c>
      <c r="BE89">
        <v>0</v>
      </c>
      <c r="BF89">
        <v>1.6E-2</v>
      </c>
      <c r="BG89">
        <v>0</v>
      </c>
      <c r="BH89">
        <v>0</v>
      </c>
      <c r="BI89">
        <v>0</v>
      </c>
      <c r="BJ89">
        <v>0</v>
      </c>
      <c r="BK89">
        <v>1</v>
      </c>
      <c r="BL89">
        <v>1.10114520820661E-4</v>
      </c>
      <c r="BM89">
        <v>1.07987826028147E-4</v>
      </c>
      <c r="BN89" s="1">
        <v>4.0154000258638899E-7</v>
      </c>
      <c r="BO89" s="1">
        <v>1.69626880463579E-6</v>
      </c>
      <c r="BP89">
        <v>0</v>
      </c>
      <c r="BQ89">
        <v>0</v>
      </c>
      <c r="BR89" s="1">
        <v>6.0312695853700603E-5</v>
      </c>
      <c r="BS89" s="1">
        <v>5.9532814263231703E-5</v>
      </c>
    </row>
    <row r="90" spans="1:71" x14ac:dyDescent="0.25">
      <c r="A90">
        <v>87</v>
      </c>
      <c r="B90" s="1">
        <v>1.1905179104957901E-5</v>
      </c>
      <c r="C90">
        <v>0.105174518099013</v>
      </c>
      <c r="D90">
        <v>-3.0410367782292101E-4</v>
      </c>
      <c r="E90">
        <v>6.1312499999999995E-4</v>
      </c>
      <c r="F90">
        <v>-1.05174518099013E-3</v>
      </c>
      <c r="G90">
        <v>0</v>
      </c>
      <c r="H90" t="s">
        <v>74</v>
      </c>
      <c r="I90">
        <v>0</v>
      </c>
      <c r="J90" t="s">
        <v>75</v>
      </c>
      <c r="K90">
        <v>3.14159265358979</v>
      </c>
      <c r="L90">
        <v>0.84717776304264603</v>
      </c>
      <c r="M90">
        <v>0</v>
      </c>
      <c r="N90">
        <v>4.9742098928774701E-2</v>
      </c>
      <c r="O90">
        <v>0</v>
      </c>
      <c r="P90">
        <v>1.6E-2</v>
      </c>
      <c r="Q90">
        <v>0</v>
      </c>
      <c r="R90">
        <v>0</v>
      </c>
      <c r="S90">
        <v>0</v>
      </c>
      <c r="T90">
        <v>0</v>
      </c>
      <c r="U90">
        <v>0.85388183952552899</v>
      </c>
      <c r="V90" t="s">
        <v>78</v>
      </c>
      <c r="W90">
        <v>2266452.2019411302</v>
      </c>
      <c r="X90" t="s">
        <v>76</v>
      </c>
      <c r="Y90">
        <v>-1.5707963267949001</v>
      </c>
      <c r="Z90">
        <v>0.83948359486230195</v>
      </c>
      <c r="AA90">
        <v>0.14427656655035501</v>
      </c>
      <c r="AB90">
        <v>4.5791361281722898E-2</v>
      </c>
      <c r="AC90">
        <v>8.1203015782916593E-3</v>
      </c>
      <c r="AD90">
        <v>2.32924541278705E-2</v>
      </c>
      <c r="AE90">
        <v>9.6941037515467995E-3</v>
      </c>
      <c r="AF90">
        <v>0</v>
      </c>
      <c r="AG90">
        <v>0.179434732146947</v>
      </c>
      <c r="AH90">
        <v>3.9080833543221102E-2</v>
      </c>
      <c r="AI90">
        <v>0.72419993371698799</v>
      </c>
      <c r="AJ90" t="s">
        <v>74</v>
      </c>
      <c r="AK90">
        <v>0</v>
      </c>
      <c r="AL90" t="s">
        <v>77</v>
      </c>
      <c r="AM90">
        <v>0</v>
      </c>
      <c r="AN90">
        <v>0.99199999999999999</v>
      </c>
      <c r="AO90">
        <v>0</v>
      </c>
      <c r="AP90">
        <v>5.8245346242475203E-2</v>
      </c>
      <c r="AQ90">
        <v>0</v>
      </c>
      <c r="AR90">
        <v>1.6E-2</v>
      </c>
      <c r="AS90">
        <v>0</v>
      </c>
      <c r="AT90">
        <v>0</v>
      </c>
      <c r="AU90">
        <v>0</v>
      </c>
      <c r="AV90">
        <v>0</v>
      </c>
      <c r="AW90">
        <v>1</v>
      </c>
      <c r="AX90" t="s">
        <v>74</v>
      </c>
      <c r="AY90">
        <v>0</v>
      </c>
      <c r="AZ90" t="s">
        <v>76</v>
      </c>
      <c r="BA90">
        <v>-1.5707963267949001</v>
      </c>
      <c r="BB90">
        <v>0.99199999999999999</v>
      </c>
      <c r="BC90">
        <v>0</v>
      </c>
      <c r="BD90">
        <v>5.8245346242475203E-2</v>
      </c>
      <c r="BE90">
        <v>0</v>
      </c>
      <c r="BF90">
        <v>1.6E-2</v>
      </c>
      <c r="BG90">
        <v>0</v>
      </c>
      <c r="BH90">
        <v>0</v>
      </c>
      <c r="BI90">
        <v>0</v>
      </c>
      <c r="BJ90">
        <v>0</v>
      </c>
      <c r="BK90">
        <v>1</v>
      </c>
      <c r="BL90">
        <v>1.1007222713686999E-4</v>
      </c>
      <c r="BM90">
        <v>1.0925778284508401E-4</v>
      </c>
      <c r="BN90" s="1">
        <v>4.0135538207627602E-7</v>
      </c>
      <c r="BO90" s="1">
        <v>1.71621723966812E-6</v>
      </c>
      <c r="BP90">
        <v>0</v>
      </c>
      <c r="BQ90">
        <v>0</v>
      </c>
      <c r="BR90" s="1">
        <v>6.0285623263594797E-5</v>
      </c>
      <c r="BS90" s="1">
        <v>6.0233685462955301E-5</v>
      </c>
    </row>
    <row r="91" spans="1:71" x14ac:dyDescent="0.25">
      <c r="A91">
        <v>88</v>
      </c>
      <c r="B91" s="1">
        <v>1.18030494391136E-5</v>
      </c>
      <c r="C91">
        <v>0.105186321148453</v>
      </c>
      <c r="D91">
        <v>-3.0416757784015598E-4</v>
      </c>
      <c r="E91">
        <v>6.1312499999999995E-4</v>
      </c>
      <c r="F91">
        <v>-1.0518632114845301E-3</v>
      </c>
      <c r="G91">
        <v>0</v>
      </c>
      <c r="H91" t="s">
        <v>74</v>
      </c>
      <c r="I91">
        <v>0</v>
      </c>
      <c r="J91" t="s">
        <v>75</v>
      </c>
      <c r="K91">
        <v>3.14159265358979</v>
      </c>
      <c r="L91">
        <v>0.84549444157557496</v>
      </c>
      <c r="M91">
        <v>0</v>
      </c>
      <c r="N91">
        <v>4.9643262596428997E-2</v>
      </c>
      <c r="O91">
        <v>0</v>
      </c>
      <c r="P91">
        <v>1.6E-2</v>
      </c>
      <c r="Q91">
        <v>0</v>
      </c>
      <c r="R91">
        <v>0</v>
      </c>
      <c r="S91">
        <v>0</v>
      </c>
      <c r="T91">
        <v>0</v>
      </c>
      <c r="U91">
        <v>0.85217054083202703</v>
      </c>
      <c r="V91" t="s">
        <v>78</v>
      </c>
      <c r="W91">
        <v>2267003.6280732299</v>
      </c>
      <c r="X91" t="s">
        <v>76</v>
      </c>
      <c r="Y91">
        <v>-1.5707963267949001</v>
      </c>
      <c r="Z91">
        <v>0.83779293340250105</v>
      </c>
      <c r="AA91">
        <v>0.146607619859736</v>
      </c>
      <c r="AB91">
        <v>4.5691044871421303E-2</v>
      </c>
      <c r="AC91">
        <v>8.2347073779995804E-3</v>
      </c>
      <c r="AD91">
        <v>2.3208027785327101E-2</v>
      </c>
      <c r="AE91">
        <v>9.8168826839964297E-3</v>
      </c>
      <c r="AF91">
        <v>0</v>
      </c>
      <c r="AG91">
        <v>0.181022860639307</v>
      </c>
      <c r="AH91">
        <v>4.0032590847015E-2</v>
      </c>
      <c r="AI91">
        <v>0.72112266990079099</v>
      </c>
      <c r="AJ91" t="s">
        <v>74</v>
      </c>
      <c r="AK91">
        <v>0</v>
      </c>
      <c r="AL91" t="s">
        <v>77</v>
      </c>
      <c r="AM91">
        <v>0</v>
      </c>
      <c r="AN91">
        <v>0.99199999999999999</v>
      </c>
      <c r="AO91">
        <v>0</v>
      </c>
      <c r="AP91">
        <v>5.8245346242475203E-2</v>
      </c>
      <c r="AQ91">
        <v>0</v>
      </c>
      <c r="AR91">
        <v>1.6E-2</v>
      </c>
      <c r="AS91">
        <v>0</v>
      </c>
      <c r="AT91">
        <v>0</v>
      </c>
      <c r="AU91">
        <v>0</v>
      </c>
      <c r="AV91">
        <v>0</v>
      </c>
      <c r="AW91">
        <v>1</v>
      </c>
      <c r="AX91" t="s">
        <v>74</v>
      </c>
      <c r="AY91">
        <v>0</v>
      </c>
      <c r="AZ91" t="s">
        <v>76</v>
      </c>
      <c r="BA91">
        <v>-1.5707963267949001</v>
      </c>
      <c r="BB91">
        <v>0.99199999999999999</v>
      </c>
      <c r="BC91">
        <v>0</v>
      </c>
      <c r="BD91">
        <v>5.8245346242475203E-2</v>
      </c>
      <c r="BE91">
        <v>0</v>
      </c>
      <c r="BF91">
        <v>1.6E-2</v>
      </c>
      <c r="BG91">
        <v>0</v>
      </c>
      <c r="BH91">
        <v>0</v>
      </c>
      <c r="BI91">
        <v>0</v>
      </c>
      <c r="BJ91">
        <v>0</v>
      </c>
      <c r="BK91">
        <v>1</v>
      </c>
      <c r="BL91">
        <v>1.1002985366540001E-4</v>
      </c>
      <c r="BM91">
        <v>1.10527725743161E-4</v>
      </c>
      <c r="BN91" s="1">
        <v>4.0117091949191601E-7</v>
      </c>
      <c r="BO91" s="1">
        <v>1.7361654560635099E-6</v>
      </c>
      <c r="BP91">
        <v>0</v>
      </c>
      <c r="BQ91">
        <v>0</v>
      </c>
      <c r="BR91" s="1">
        <v>6.0258499234968501E-5</v>
      </c>
      <c r="BS91" s="1">
        <v>6.0934559965573899E-5</v>
      </c>
    </row>
    <row r="92" spans="1:71" x14ac:dyDescent="0.25">
      <c r="A92">
        <v>89</v>
      </c>
      <c r="B92" s="1">
        <v>1.1703474163273799E-5</v>
      </c>
      <c r="C92">
        <v>0.105198024622616</v>
      </c>
      <c r="D92">
        <v>-3.0423093503186401E-4</v>
      </c>
      <c r="E92">
        <v>6.1312499999999995E-4</v>
      </c>
      <c r="F92">
        <v>-1.05198024622616E-3</v>
      </c>
      <c r="G92">
        <v>0</v>
      </c>
      <c r="H92" t="s">
        <v>74</v>
      </c>
      <c r="I92">
        <v>0</v>
      </c>
      <c r="J92" t="s">
        <v>75</v>
      </c>
      <c r="K92">
        <v>3.14159265358979</v>
      </c>
      <c r="L92">
        <v>0.84381113872702196</v>
      </c>
      <c r="M92">
        <v>0</v>
      </c>
      <c r="N92">
        <v>4.9544427357270798E-2</v>
      </c>
      <c r="O92">
        <v>0</v>
      </c>
      <c r="P92">
        <v>1.6E-2</v>
      </c>
      <c r="Q92">
        <v>0</v>
      </c>
      <c r="R92">
        <v>0</v>
      </c>
      <c r="S92">
        <v>0</v>
      </c>
      <c r="T92">
        <v>0</v>
      </c>
      <c r="U92">
        <v>0.85051841542854001</v>
      </c>
      <c r="V92" t="s">
        <v>78</v>
      </c>
      <c r="W92">
        <v>2267550.3698845101</v>
      </c>
      <c r="X92" t="s">
        <v>76</v>
      </c>
      <c r="Y92">
        <v>-1.5707963267949001</v>
      </c>
      <c r="Z92">
        <v>0.83610254321273003</v>
      </c>
      <c r="AA92">
        <v>0.146607619859736</v>
      </c>
      <c r="AB92">
        <v>4.5590843737078203E-2</v>
      </c>
      <c r="AC92">
        <v>8.2750719814703201E-3</v>
      </c>
      <c r="AD92">
        <v>2.31230790085524E-2</v>
      </c>
      <c r="AE92">
        <v>9.9397454782351406E-3</v>
      </c>
      <c r="AF92">
        <v>0</v>
      </c>
      <c r="AG92">
        <v>0.18259843944750001</v>
      </c>
      <c r="AH92">
        <v>4.0996869742357597E-2</v>
      </c>
      <c r="AI92">
        <v>0.71804855287583902</v>
      </c>
      <c r="AJ92" t="s">
        <v>74</v>
      </c>
      <c r="AK92">
        <v>0</v>
      </c>
      <c r="AL92" t="s">
        <v>77</v>
      </c>
      <c r="AM92">
        <v>0</v>
      </c>
      <c r="AN92">
        <v>0.99199999999999999</v>
      </c>
      <c r="AO92">
        <v>0</v>
      </c>
      <c r="AP92">
        <v>5.8245346242475203E-2</v>
      </c>
      <c r="AQ92">
        <v>0</v>
      </c>
      <c r="AR92">
        <v>1.6E-2</v>
      </c>
      <c r="AS92">
        <v>0</v>
      </c>
      <c r="AT92">
        <v>0</v>
      </c>
      <c r="AU92">
        <v>0</v>
      </c>
      <c r="AV92">
        <v>0</v>
      </c>
      <c r="AW92">
        <v>1</v>
      </c>
      <c r="AX92" t="s">
        <v>74</v>
      </c>
      <c r="AY92">
        <v>0</v>
      </c>
      <c r="AZ92" t="s">
        <v>76</v>
      </c>
      <c r="BA92">
        <v>-1.5707963267949001</v>
      </c>
      <c r="BB92">
        <v>0.99199999999999999</v>
      </c>
      <c r="BC92">
        <v>0</v>
      </c>
      <c r="BD92">
        <v>5.8245346242475203E-2</v>
      </c>
      <c r="BE92">
        <v>0</v>
      </c>
      <c r="BF92">
        <v>1.6E-2</v>
      </c>
      <c r="BG92">
        <v>0</v>
      </c>
      <c r="BH92">
        <v>0</v>
      </c>
      <c r="BI92">
        <v>0</v>
      </c>
      <c r="BJ92">
        <v>0</v>
      </c>
      <c r="BK92">
        <v>1</v>
      </c>
      <c r="BL92">
        <v>1.09950517780385E-4</v>
      </c>
      <c r="BM92">
        <v>1.11797654594929E-4</v>
      </c>
      <c r="BN92" s="1">
        <v>4.00912843342184E-7</v>
      </c>
      <c r="BO92" s="1">
        <v>1.7561134518199899E-6</v>
      </c>
      <c r="BP92">
        <v>0</v>
      </c>
      <c r="BQ92">
        <v>0</v>
      </c>
      <c r="BR92" s="1">
        <v>6.0210990084626597E-5</v>
      </c>
      <c r="BS92" s="1">
        <v>6.1635437640397394E-5</v>
      </c>
    </row>
    <row r="93" spans="1:71" x14ac:dyDescent="0.25">
      <c r="A93">
        <v>90</v>
      </c>
      <c r="B93" s="1">
        <v>1.1606370472381E-5</v>
      </c>
      <c r="C93">
        <v>0.105209630993088</v>
      </c>
      <c r="D93">
        <v>-3.0429376287240302E-4</v>
      </c>
      <c r="E93">
        <v>6.1312499999999995E-4</v>
      </c>
      <c r="F93">
        <v>-1.05209630993088E-3</v>
      </c>
      <c r="G93">
        <v>0</v>
      </c>
      <c r="H93" t="s">
        <v>74</v>
      </c>
      <c r="I93">
        <v>0</v>
      </c>
      <c r="J93" t="s">
        <v>75</v>
      </c>
      <c r="K93">
        <v>3.14159265358979</v>
      </c>
      <c r="L93">
        <v>0.84212785466788898</v>
      </c>
      <c r="M93">
        <v>0</v>
      </c>
      <c r="N93">
        <v>4.9445593221334697E-2</v>
      </c>
      <c r="O93">
        <v>0</v>
      </c>
      <c r="P93">
        <v>1.6E-2</v>
      </c>
      <c r="Q93">
        <v>0</v>
      </c>
      <c r="R93">
        <v>0</v>
      </c>
      <c r="S93">
        <v>0</v>
      </c>
      <c r="T93">
        <v>0</v>
      </c>
      <c r="U93">
        <v>0.84883935326834603</v>
      </c>
      <c r="V93" t="s">
        <v>78</v>
      </c>
      <c r="W93">
        <v>2268092.5436521401</v>
      </c>
      <c r="X93" t="s">
        <v>76</v>
      </c>
      <c r="Y93">
        <v>-1.5707963267949001</v>
      </c>
      <c r="Z93">
        <v>0.83441241943002198</v>
      </c>
      <c r="AA93">
        <v>0.14892138820069301</v>
      </c>
      <c r="AB93">
        <v>4.5490755507062101E-2</v>
      </c>
      <c r="AC93">
        <v>8.3889178435224403E-3</v>
      </c>
      <c r="AD93">
        <v>2.3037618899938501E-2</v>
      </c>
      <c r="AE93">
        <v>1.0062690395599001E-2</v>
      </c>
      <c r="AF93">
        <v>0</v>
      </c>
      <c r="AG93">
        <v>0.18416142383770301</v>
      </c>
      <c r="AH93">
        <v>4.1973714705206E-2</v>
      </c>
      <c r="AI93">
        <v>0.71497760244120201</v>
      </c>
      <c r="AJ93" t="s">
        <v>74</v>
      </c>
      <c r="AK93">
        <v>0</v>
      </c>
      <c r="AL93" t="s">
        <v>77</v>
      </c>
      <c r="AM93">
        <v>0</v>
      </c>
      <c r="AN93">
        <v>0.99199999999999999</v>
      </c>
      <c r="AO93">
        <v>0</v>
      </c>
      <c r="AP93">
        <v>5.8245346242475203E-2</v>
      </c>
      <c r="AQ93">
        <v>0</v>
      </c>
      <c r="AR93">
        <v>1.6E-2</v>
      </c>
      <c r="AS93">
        <v>0</v>
      </c>
      <c r="AT93">
        <v>0</v>
      </c>
      <c r="AU93">
        <v>0</v>
      </c>
      <c r="AV93">
        <v>0</v>
      </c>
      <c r="AW93">
        <v>1</v>
      </c>
      <c r="AX93" t="s">
        <v>74</v>
      </c>
      <c r="AY93">
        <v>0</v>
      </c>
      <c r="AZ93" t="s">
        <v>76</v>
      </c>
      <c r="BA93">
        <v>-1.5707963267949001</v>
      </c>
      <c r="BB93">
        <v>0.99199999999999999</v>
      </c>
      <c r="BC93">
        <v>0</v>
      </c>
      <c r="BD93">
        <v>5.8245346242475203E-2</v>
      </c>
      <c r="BE93">
        <v>0</v>
      </c>
      <c r="BF93">
        <v>1.6E-2</v>
      </c>
      <c r="BG93">
        <v>0</v>
      </c>
      <c r="BH93">
        <v>0</v>
      </c>
      <c r="BI93">
        <v>0</v>
      </c>
      <c r="BJ93">
        <v>0</v>
      </c>
      <c r="BK93">
        <v>1</v>
      </c>
      <c r="BL93">
        <v>1.09907979528435E-4</v>
      </c>
      <c r="BM93">
        <v>1.13067569271454E-4</v>
      </c>
      <c r="BN93" s="1">
        <v>4.0072866769503802E-7</v>
      </c>
      <c r="BO93" s="1">
        <v>1.7760612249122801E-6</v>
      </c>
      <c r="BP93">
        <v>0</v>
      </c>
      <c r="BQ93">
        <v>0</v>
      </c>
      <c r="BR93" s="1">
        <v>6.0183760557309002E-5</v>
      </c>
      <c r="BS93" s="1">
        <v>6.2336318358015196E-5</v>
      </c>
    </row>
    <row r="94" spans="1:71" x14ac:dyDescent="0.25">
      <c r="A94">
        <v>91</v>
      </c>
      <c r="B94" s="1">
        <v>1.15116592846245E-5</v>
      </c>
      <c r="C94">
        <v>0.10522114265237301</v>
      </c>
      <c r="D94">
        <v>-3.0435607440415199E-4</v>
      </c>
      <c r="E94">
        <v>6.1312499999999995E-4</v>
      </c>
      <c r="F94">
        <v>-1.0522114265237299E-3</v>
      </c>
      <c r="G94">
        <v>0</v>
      </c>
      <c r="H94" t="s">
        <v>74</v>
      </c>
      <c r="I94">
        <v>0</v>
      </c>
      <c r="J94" t="s">
        <v>75</v>
      </c>
      <c r="K94">
        <v>3.14159265358979</v>
      </c>
      <c r="L94">
        <v>0.84044458957108803</v>
      </c>
      <c r="M94">
        <v>0</v>
      </c>
      <c r="N94">
        <v>4.9346760198773203E-2</v>
      </c>
      <c r="O94">
        <v>0</v>
      </c>
      <c r="P94">
        <v>1.6E-2</v>
      </c>
      <c r="Q94">
        <v>0</v>
      </c>
      <c r="R94">
        <v>0</v>
      </c>
      <c r="S94">
        <v>0</v>
      </c>
      <c r="T94">
        <v>0</v>
      </c>
      <c r="U94">
        <v>0.84716041459246005</v>
      </c>
      <c r="V94" t="s">
        <v>78</v>
      </c>
      <c r="W94">
        <v>2268630.2619255302</v>
      </c>
      <c r="X94" t="s">
        <v>76</v>
      </c>
      <c r="Y94">
        <v>-1.5707963267949001</v>
      </c>
      <c r="Z94">
        <v>0.83272255734969003</v>
      </c>
      <c r="AA94">
        <v>0.15122643710428499</v>
      </c>
      <c r="AB94">
        <v>4.53907778862657E-2</v>
      </c>
      <c r="AC94">
        <v>8.5024807988571607E-3</v>
      </c>
      <c r="AD94">
        <v>2.2951658233938101E-2</v>
      </c>
      <c r="AE94">
        <v>1.01857157262487E-2</v>
      </c>
      <c r="AF94">
        <v>0</v>
      </c>
      <c r="AG94">
        <v>0.18571176870108799</v>
      </c>
      <c r="AH94">
        <v>4.2963170583486102E-2</v>
      </c>
      <c r="AI94">
        <v>0.71190983812016695</v>
      </c>
      <c r="AJ94" t="s">
        <v>74</v>
      </c>
      <c r="AK94">
        <v>0</v>
      </c>
      <c r="AL94" t="s">
        <v>77</v>
      </c>
      <c r="AM94">
        <v>0</v>
      </c>
      <c r="AN94">
        <v>0.99199999999999999</v>
      </c>
      <c r="AO94">
        <v>0</v>
      </c>
      <c r="AP94">
        <v>5.8245346242475203E-2</v>
      </c>
      <c r="AQ94">
        <v>0</v>
      </c>
      <c r="AR94">
        <v>1.6E-2</v>
      </c>
      <c r="AS94">
        <v>0</v>
      </c>
      <c r="AT94">
        <v>0</v>
      </c>
      <c r="AU94">
        <v>0</v>
      </c>
      <c r="AV94">
        <v>0</v>
      </c>
      <c r="AW94">
        <v>1</v>
      </c>
      <c r="AX94" t="s">
        <v>74</v>
      </c>
      <c r="AY94">
        <v>0</v>
      </c>
      <c r="AZ94" t="s">
        <v>76</v>
      </c>
      <c r="BA94">
        <v>-1.5707963267949001</v>
      </c>
      <c r="BB94">
        <v>0.99199999999999999</v>
      </c>
      <c r="BC94">
        <v>0</v>
      </c>
      <c r="BD94">
        <v>5.8245346242475203E-2</v>
      </c>
      <c r="BE94">
        <v>0</v>
      </c>
      <c r="BF94">
        <v>1.6E-2</v>
      </c>
      <c r="BG94">
        <v>0</v>
      </c>
      <c r="BH94">
        <v>0</v>
      </c>
      <c r="BI94">
        <v>0</v>
      </c>
      <c r="BJ94">
        <v>0</v>
      </c>
      <c r="BK94">
        <v>1</v>
      </c>
      <c r="BL94">
        <v>1.09865355684423E-4</v>
      </c>
      <c r="BM94">
        <v>1.14337469642287E-4</v>
      </c>
      <c r="BN94" s="1">
        <v>4.0054461903255099E-7</v>
      </c>
      <c r="BO94" s="1">
        <v>1.79600877329128E-6</v>
      </c>
      <c r="BP94">
        <v>0</v>
      </c>
      <c r="BQ94">
        <v>0</v>
      </c>
      <c r="BR94" s="1">
        <v>6.0156476878950301E-5</v>
      </c>
      <c r="BS94" s="1">
        <v>6.3037201990220001E-5</v>
      </c>
    </row>
    <row r="95" spans="1:71" x14ac:dyDescent="0.25">
      <c r="A95">
        <v>92</v>
      </c>
      <c r="B95" s="1">
        <v>1.14192650381287E-5</v>
      </c>
      <c r="C95">
        <v>0.105232561917411</v>
      </c>
      <c r="D95">
        <v>-3.04417882256752E-4</v>
      </c>
      <c r="E95">
        <v>6.1312500000000104E-4</v>
      </c>
      <c r="F95">
        <v>-1.05232561917411E-3</v>
      </c>
      <c r="G95" s="1">
        <v>1.0842021724855E-19</v>
      </c>
      <c r="H95" t="s">
        <v>74</v>
      </c>
      <c r="I95">
        <v>0</v>
      </c>
      <c r="J95" t="s">
        <v>75</v>
      </c>
      <c r="K95">
        <v>3.14159265358979</v>
      </c>
      <c r="L95">
        <v>0.83876134361159405</v>
      </c>
      <c r="M95">
        <v>0</v>
      </c>
      <c r="N95">
        <v>4.9247928299859897E-2</v>
      </c>
      <c r="O95">
        <v>0</v>
      </c>
      <c r="P95">
        <v>1.6E-2</v>
      </c>
      <c r="Q95">
        <v>0</v>
      </c>
      <c r="R95">
        <v>0</v>
      </c>
      <c r="S95">
        <v>0</v>
      </c>
      <c r="T95">
        <v>0</v>
      </c>
      <c r="U95">
        <v>0.84547671643626499</v>
      </c>
      <c r="V95" t="s">
        <v>78</v>
      </c>
      <c r="W95">
        <v>2269163.63369236</v>
      </c>
      <c r="X95" t="s">
        <v>76</v>
      </c>
      <c r="Y95">
        <v>-1.5707963267949001</v>
      </c>
      <c r="Z95">
        <v>0.83103295241870501</v>
      </c>
      <c r="AA95">
        <v>0.15122643710428499</v>
      </c>
      <c r="AB95">
        <v>4.5290908652788703E-2</v>
      </c>
      <c r="AC95">
        <v>8.54281542381914E-3</v>
      </c>
      <c r="AD95">
        <v>2.2865207470920901E-2</v>
      </c>
      <c r="AE95">
        <v>1.0308819788162501E-2</v>
      </c>
      <c r="AF95">
        <v>0</v>
      </c>
      <c r="AG95">
        <v>0.187249428549605</v>
      </c>
      <c r="AH95">
        <v>4.3965282601239497E-2</v>
      </c>
      <c r="AI95">
        <v>0.70884527917523998</v>
      </c>
      <c r="AJ95" t="s">
        <v>74</v>
      </c>
      <c r="AK95">
        <v>0</v>
      </c>
      <c r="AL95" t="s">
        <v>77</v>
      </c>
      <c r="AM95">
        <v>0</v>
      </c>
      <c r="AN95">
        <v>0.99199999999999999</v>
      </c>
      <c r="AO95">
        <v>0</v>
      </c>
      <c r="AP95">
        <v>5.8245346242475203E-2</v>
      </c>
      <c r="AQ95">
        <v>0</v>
      </c>
      <c r="AR95">
        <v>1.6E-2</v>
      </c>
      <c r="AS95">
        <v>0</v>
      </c>
      <c r="AT95">
        <v>0</v>
      </c>
      <c r="AU95">
        <v>0</v>
      </c>
      <c r="AV95">
        <v>0</v>
      </c>
      <c r="AW95">
        <v>1</v>
      </c>
      <c r="AX95" t="s">
        <v>74</v>
      </c>
      <c r="AY95">
        <v>0</v>
      </c>
      <c r="AZ95" t="s">
        <v>76</v>
      </c>
      <c r="BA95">
        <v>-1.5707963267949001</v>
      </c>
      <c r="BB95">
        <v>0.99199999999999999</v>
      </c>
      <c r="BC95">
        <v>0</v>
      </c>
      <c r="BD95">
        <v>5.8245346242475203E-2</v>
      </c>
      <c r="BE95">
        <v>0</v>
      </c>
      <c r="BF95">
        <v>1.6E-2</v>
      </c>
      <c r="BG95">
        <v>0</v>
      </c>
      <c r="BH95">
        <v>0</v>
      </c>
      <c r="BI95">
        <v>0</v>
      </c>
      <c r="BJ95">
        <v>0</v>
      </c>
      <c r="BK95">
        <v>1</v>
      </c>
      <c r="BL95">
        <v>1.09786172430709E-4</v>
      </c>
      <c r="BM95">
        <v>1.15607355575422E-4</v>
      </c>
      <c r="BN95" s="1">
        <v>4.0028774286529202E-7</v>
      </c>
      <c r="BO95" s="1">
        <v>1.8159560948834501E-6</v>
      </c>
      <c r="BP95">
        <v>0</v>
      </c>
      <c r="BQ95">
        <v>0</v>
      </c>
      <c r="BR95" s="1">
        <v>6.0109030001202203E-5</v>
      </c>
      <c r="BS95" s="1">
        <v>6.3738088409931006E-5</v>
      </c>
    </row>
    <row r="96" spans="1:71" x14ac:dyDescent="0.25">
      <c r="A96">
        <v>93</v>
      </c>
      <c r="B96" s="1">
        <v>1.1329115500868501E-5</v>
      </c>
      <c r="C96">
        <v>0.105243891032912</v>
      </c>
      <c r="D96">
        <v>-3.0447919866531101E-4</v>
      </c>
      <c r="E96">
        <v>6.1312500000000104E-4</v>
      </c>
      <c r="F96">
        <v>-1.05243891032912E-3</v>
      </c>
      <c r="G96">
        <v>0</v>
      </c>
      <c r="H96" t="s">
        <v>74</v>
      </c>
      <c r="I96">
        <v>0</v>
      </c>
      <c r="J96" t="s">
        <v>75</v>
      </c>
      <c r="K96">
        <v>3.14159265358979</v>
      </c>
      <c r="L96">
        <v>0.83707811696648404</v>
      </c>
      <c r="M96">
        <v>0</v>
      </c>
      <c r="N96">
        <v>4.9149097534991901E-2</v>
      </c>
      <c r="O96">
        <v>0</v>
      </c>
      <c r="P96">
        <v>1.6E-2</v>
      </c>
      <c r="Q96">
        <v>0</v>
      </c>
      <c r="R96">
        <v>0</v>
      </c>
      <c r="S96">
        <v>0</v>
      </c>
      <c r="T96">
        <v>0</v>
      </c>
      <c r="U96">
        <v>0.84379029853563703</v>
      </c>
      <c r="V96" t="s">
        <v>78</v>
      </c>
      <c r="W96">
        <v>2269692.7645356399</v>
      </c>
      <c r="X96" t="s">
        <v>76</v>
      </c>
      <c r="Y96">
        <v>-1.5707963267949001</v>
      </c>
      <c r="Z96">
        <v>0.829343600229416</v>
      </c>
      <c r="AA96">
        <v>0.15351389857669301</v>
      </c>
      <c r="AB96">
        <v>4.5191145654796802E-2</v>
      </c>
      <c r="AC96">
        <v>8.6558096129046996E-3</v>
      </c>
      <c r="AD96">
        <v>2.27782767703027E-2</v>
      </c>
      <c r="AE96">
        <v>1.0432000926172001E-2</v>
      </c>
      <c r="AF96">
        <v>0</v>
      </c>
      <c r="AG96">
        <v>0.18877435751166799</v>
      </c>
      <c r="AH96">
        <v>4.4980096362866699E-2</v>
      </c>
      <c r="AI96">
        <v>0.70578394462232497</v>
      </c>
      <c r="AJ96" t="s">
        <v>74</v>
      </c>
      <c r="AK96">
        <v>0</v>
      </c>
      <c r="AL96" t="s">
        <v>77</v>
      </c>
      <c r="AM96">
        <v>0</v>
      </c>
      <c r="AN96">
        <v>0.99199999999999999</v>
      </c>
      <c r="AO96">
        <v>0</v>
      </c>
      <c r="AP96">
        <v>5.8245346242475203E-2</v>
      </c>
      <c r="AQ96">
        <v>0</v>
      </c>
      <c r="AR96">
        <v>1.6E-2</v>
      </c>
      <c r="AS96">
        <v>0</v>
      </c>
      <c r="AT96">
        <v>0</v>
      </c>
      <c r="AU96">
        <v>0</v>
      </c>
      <c r="AV96">
        <v>0</v>
      </c>
      <c r="AW96">
        <v>1</v>
      </c>
      <c r="AX96" t="s">
        <v>74</v>
      </c>
      <c r="AY96">
        <v>0</v>
      </c>
      <c r="AZ96" t="s">
        <v>76</v>
      </c>
      <c r="BA96">
        <v>-1.5707963267949001</v>
      </c>
      <c r="BB96">
        <v>0.99199999999999999</v>
      </c>
      <c r="BC96">
        <v>0</v>
      </c>
      <c r="BD96">
        <v>5.8245346242475203E-2</v>
      </c>
      <c r="BE96">
        <v>0</v>
      </c>
      <c r="BF96">
        <v>1.6E-2</v>
      </c>
      <c r="BG96">
        <v>0</v>
      </c>
      <c r="BH96">
        <v>0</v>
      </c>
      <c r="BI96">
        <v>0</v>
      </c>
      <c r="BJ96">
        <v>0</v>
      </c>
      <c r="BK96">
        <v>1</v>
      </c>
      <c r="BL96">
        <v>1.0974337264382201E-4</v>
      </c>
      <c r="BM96">
        <v>1.1687722693726701E-4</v>
      </c>
      <c r="BN96" s="1">
        <v>4.0010392203993398E-7</v>
      </c>
      <c r="BO96" s="1">
        <v>1.83590318759033E-6</v>
      </c>
      <c r="BP96">
        <v>0</v>
      </c>
      <c r="BQ96">
        <v>0</v>
      </c>
      <c r="BR96" s="1">
        <v>6.0081635607131898E-5</v>
      </c>
      <c r="BS96" s="1">
        <v>6.44389774911239E-5</v>
      </c>
    </row>
    <row r="97" spans="1:71" x14ac:dyDescent="0.25">
      <c r="A97">
        <v>94</v>
      </c>
      <c r="B97" s="1">
        <v>1.12411415928472E-5</v>
      </c>
      <c r="C97">
        <v>0.105255132174505</v>
      </c>
      <c r="D97">
        <v>-3.0454003548762202E-4</v>
      </c>
      <c r="E97">
        <v>6.1312500000000104E-4</v>
      </c>
      <c r="F97">
        <v>-1.05255132174505E-3</v>
      </c>
      <c r="G97" s="1">
        <v>1.0842021724855E-19</v>
      </c>
      <c r="H97" t="s">
        <v>74</v>
      </c>
      <c r="I97">
        <v>0</v>
      </c>
      <c r="J97" t="s">
        <v>75</v>
      </c>
      <c r="K97">
        <v>3.14159265358979</v>
      </c>
      <c r="L97">
        <v>0.83539490981498299</v>
      </c>
      <c r="M97">
        <v>0</v>
      </c>
      <c r="N97">
        <v>4.9050267914692497E-2</v>
      </c>
      <c r="O97">
        <v>0</v>
      </c>
      <c r="P97">
        <v>1.6E-2</v>
      </c>
      <c r="Q97">
        <v>0</v>
      </c>
      <c r="R97">
        <v>0</v>
      </c>
      <c r="S97">
        <v>0</v>
      </c>
      <c r="T97">
        <v>0</v>
      </c>
      <c r="U97">
        <v>0.84210161870683697</v>
      </c>
      <c r="V97" t="s">
        <v>78</v>
      </c>
      <c r="W97">
        <v>2270217.7567824</v>
      </c>
      <c r="X97" t="s">
        <v>76</v>
      </c>
      <c r="Y97">
        <v>-1.5707963267949001</v>
      </c>
      <c r="Z97">
        <v>0.82765449651360401</v>
      </c>
      <c r="AA97">
        <v>0.155792494103178</v>
      </c>
      <c r="AB97">
        <v>4.5091486807548299E-2</v>
      </c>
      <c r="AC97">
        <v>8.7685165985140895E-3</v>
      </c>
      <c r="AD97">
        <v>2.2690876002993399E-2</v>
      </c>
      <c r="AE97">
        <v>1.0555257511037801E-2</v>
      </c>
      <c r="AF97">
        <v>0</v>
      </c>
      <c r="AG97">
        <v>0.19028650932775701</v>
      </c>
      <c r="AH97">
        <v>4.60076578574641E-2</v>
      </c>
      <c r="AI97">
        <v>0.70272585324419401</v>
      </c>
      <c r="AJ97" t="s">
        <v>74</v>
      </c>
      <c r="AK97">
        <v>0</v>
      </c>
      <c r="AL97" t="s">
        <v>77</v>
      </c>
      <c r="AM97">
        <v>0</v>
      </c>
      <c r="AN97">
        <v>0.99199999999999999</v>
      </c>
      <c r="AO97">
        <v>0</v>
      </c>
      <c r="AP97">
        <v>5.8245346242475203E-2</v>
      </c>
      <c r="AQ97">
        <v>0</v>
      </c>
      <c r="AR97">
        <v>1.6E-2</v>
      </c>
      <c r="AS97">
        <v>0</v>
      </c>
      <c r="AT97">
        <v>0</v>
      </c>
      <c r="AU97">
        <v>0</v>
      </c>
      <c r="AV97">
        <v>0</v>
      </c>
      <c r="AW97">
        <v>1</v>
      </c>
      <c r="AX97" t="s">
        <v>74</v>
      </c>
      <c r="AY97">
        <v>0</v>
      </c>
      <c r="AZ97" t="s">
        <v>76</v>
      </c>
      <c r="BA97">
        <v>-1.5707963267949001</v>
      </c>
      <c r="BB97">
        <v>0.99199999999999999</v>
      </c>
      <c r="BC97">
        <v>0</v>
      </c>
      <c r="BD97">
        <v>5.8245346242475203E-2</v>
      </c>
      <c r="BE97">
        <v>0</v>
      </c>
      <c r="BF97">
        <v>1.6E-2</v>
      </c>
      <c r="BG97">
        <v>0</v>
      </c>
      <c r="BH97">
        <v>0</v>
      </c>
      <c r="BI97">
        <v>0</v>
      </c>
      <c r="BJ97">
        <v>0</v>
      </c>
      <c r="BK97">
        <v>1</v>
      </c>
      <c r="BL97">
        <v>1.09700481902853E-4</v>
      </c>
      <c r="BM97">
        <v>1.18147083592611E-4</v>
      </c>
      <c r="BN97" s="1">
        <v>3.9992019999289502E-7</v>
      </c>
      <c r="BO97" s="1">
        <v>1.85585004928803E-6</v>
      </c>
      <c r="BP97">
        <v>0</v>
      </c>
      <c r="BQ97">
        <v>0</v>
      </c>
      <c r="BR97" s="1">
        <v>6.00541845478606E-5</v>
      </c>
      <c r="BS97" s="1">
        <v>6.5139869108761603E-5</v>
      </c>
    </row>
    <row r="98" spans="1:71" x14ac:dyDescent="0.25">
      <c r="A98">
        <v>95</v>
      </c>
      <c r="B98" s="1">
        <v>1.11552772197498E-5</v>
      </c>
      <c r="C98">
        <v>0.10526628745172401</v>
      </c>
      <c r="D98">
        <v>-3.0460040422049099E-4</v>
      </c>
      <c r="E98">
        <v>6.1312500000000104E-4</v>
      </c>
      <c r="F98">
        <v>-1.0526628745172401E-3</v>
      </c>
      <c r="G98" s="1">
        <v>1.0842021724855E-19</v>
      </c>
      <c r="H98" t="s">
        <v>74</v>
      </c>
      <c r="I98">
        <v>0</v>
      </c>
      <c r="J98" t="s">
        <v>75</v>
      </c>
      <c r="K98">
        <v>3.14159265358979</v>
      </c>
      <c r="L98">
        <v>0.83371172233850999</v>
      </c>
      <c r="M98">
        <v>0</v>
      </c>
      <c r="N98">
        <v>4.8951439449613797E-2</v>
      </c>
      <c r="O98">
        <v>0</v>
      </c>
      <c r="P98">
        <v>1.6E-2</v>
      </c>
      <c r="Q98">
        <v>0</v>
      </c>
      <c r="R98">
        <v>0</v>
      </c>
      <c r="S98">
        <v>0</v>
      </c>
      <c r="T98">
        <v>0</v>
      </c>
      <c r="U98">
        <v>0.84041120640302003</v>
      </c>
      <c r="V98" t="s">
        <v>78</v>
      </c>
      <c r="W98">
        <v>2270738.7096444801</v>
      </c>
      <c r="X98" t="s">
        <v>76</v>
      </c>
      <c r="Y98">
        <v>-1.5707963267949001</v>
      </c>
      <c r="Z98">
        <v>0.82596563713684601</v>
      </c>
      <c r="AA98">
        <v>0.155792494103178</v>
      </c>
      <c r="AB98">
        <v>4.4991930090577503E-2</v>
      </c>
      <c r="AC98">
        <v>8.8088250236011308E-3</v>
      </c>
      <c r="AD98">
        <v>2.2603014763207901E-2</v>
      </c>
      <c r="AE98">
        <v>1.0678587938562601E-2</v>
      </c>
      <c r="AF98">
        <v>0</v>
      </c>
      <c r="AG98">
        <v>0.191785837345916</v>
      </c>
      <c r="AH98">
        <v>4.7048013463252499E-2</v>
      </c>
      <c r="AI98">
        <v>0.69967102360325595</v>
      </c>
      <c r="AJ98" t="s">
        <v>74</v>
      </c>
      <c r="AK98">
        <v>0</v>
      </c>
      <c r="AL98" t="s">
        <v>77</v>
      </c>
      <c r="AM98">
        <v>0</v>
      </c>
      <c r="AN98">
        <v>0.99199999999999999</v>
      </c>
      <c r="AO98">
        <v>0</v>
      </c>
      <c r="AP98">
        <v>5.8245346242475203E-2</v>
      </c>
      <c r="AQ98">
        <v>0</v>
      </c>
      <c r="AR98">
        <v>1.6E-2</v>
      </c>
      <c r="AS98">
        <v>0</v>
      </c>
      <c r="AT98">
        <v>0</v>
      </c>
      <c r="AU98">
        <v>0</v>
      </c>
      <c r="AV98">
        <v>0</v>
      </c>
      <c r="AW98">
        <v>1</v>
      </c>
      <c r="AX98" t="s">
        <v>74</v>
      </c>
      <c r="AY98">
        <v>0</v>
      </c>
      <c r="AZ98" t="s">
        <v>76</v>
      </c>
      <c r="BA98">
        <v>-1.5707963267949001</v>
      </c>
      <c r="BB98">
        <v>0.99199999999999999</v>
      </c>
      <c r="BC98">
        <v>0</v>
      </c>
      <c r="BD98">
        <v>5.8245346242475203E-2</v>
      </c>
      <c r="BE98">
        <v>0</v>
      </c>
      <c r="BF98">
        <v>1.6E-2</v>
      </c>
      <c r="BG98">
        <v>0</v>
      </c>
      <c r="BH98">
        <v>0</v>
      </c>
      <c r="BI98">
        <v>0</v>
      </c>
      <c r="BJ98">
        <v>0</v>
      </c>
      <c r="BK98">
        <v>1</v>
      </c>
      <c r="BL98">
        <v>1.09621443524371E-4</v>
      </c>
      <c r="BM98">
        <v>1.19416925404584E-4</v>
      </c>
      <c r="BN98" s="1">
        <v>3.9966445831478602E-7</v>
      </c>
      <c r="BO98" s="1">
        <v>1.8757966778266099E-6</v>
      </c>
      <c r="BP98">
        <v>0</v>
      </c>
      <c r="BQ98">
        <v>0</v>
      </c>
      <c r="BR98" s="1">
        <v>6.00067970357952E-5</v>
      </c>
      <c r="BS98" s="1">
        <v>6.5840763138727497E-5</v>
      </c>
    </row>
    <row r="99" spans="1:71" x14ac:dyDescent="0.25">
      <c r="A99">
        <v>96</v>
      </c>
      <c r="B99" s="1">
        <v>1.10714591169361E-5</v>
      </c>
      <c r="C99">
        <v>0.105277358910841</v>
      </c>
      <c r="D99">
        <v>-3.0466031601519399E-4</v>
      </c>
      <c r="E99">
        <v>6.1312500000000104E-4</v>
      </c>
      <c r="F99">
        <v>-1.05277358910841E-3</v>
      </c>
      <c r="G99" s="1">
        <v>1.0842021724855E-19</v>
      </c>
      <c r="H99" t="s">
        <v>74</v>
      </c>
      <c r="I99">
        <v>0</v>
      </c>
      <c r="J99" t="s">
        <v>75</v>
      </c>
      <c r="K99">
        <v>3.14159265358979</v>
      </c>
      <c r="L99">
        <v>0.83202855472074</v>
      </c>
      <c r="M99">
        <v>0</v>
      </c>
      <c r="N99">
        <v>4.8852612150540001E-2</v>
      </c>
      <c r="O99">
        <v>0</v>
      </c>
      <c r="P99">
        <v>1.6E-2</v>
      </c>
      <c r="Q99">
        <v>0</v>
      </c>
      <c r="R99">
        <v>0</v>
      </c>
      <c r="S99">
        <v>0</v>
      </c>
      <c r="T99">
        <v>0</v>
      </c>
      <c r="U99">
        <v>0.83871944724193603</v>
      </c>
      <c r="V99" t="s">
        <v>78</v>
      </c>
      <c r="W99">
        <v>2271255.7193519701</v>
      </c>
      <c r="X99" t="s">
        <v>76</v>
      </c>
      <c r="Y99">
        <v>-1.5707963267949001</v>
      </c>
      <c r="Z99">
        <v>0.82427701809318299</v>
      </c>
      <c r="AA99">
        <v>0.16033963653067601</v>
      </c>
      <c r="AB99">
        <v>4.4892473545024097E-2</v>
      </c>
      <c r="AC99">
        <v>8.9927847903840102E-3</v>
      </c>
      <c r="AD99">
        <v>2.2514702379677499E-2</v>
      </c>
      <c r="AE99">
        <v>1.0801990628740101E-2</v>
      </c>
      <c r="AF99">
        <v>0</v>
      </c>
      <c r="AG99">
        <v>0.19327229451714201</v>
      </c>
      <c r="AH99">
        <v>4.8101209952097199E-2</v>
      </c>
      <c r="AI99">
        <v>0.69661947405371405</v>
      </c>
      <c r="AJ99" t="s">
        <v>74</v>
      </c>
      <c r="AK99">
        <v>0</v>
      </c>
      <c r="AL99" t="s">
        <v>77</v>
      </c>
      <c r="AM99">
        <v>0</v>
      </c>
      <c r="AN99">
        <v>0.99199999999999999</v>
      </c>
      <c r="AO99">
        <v>0</v>
      </c>
      <c r="AP99">
        <v>5.8245346242475203E-2</v>
      </c>
      <c r="AQ99">
        <v>0</v>
      </c>
      <c r="AR99">
        <v>1.6E-2</v>
      </c>
      <c r="AS99">
        <v>0</v>
      </c>
      <c r="AT99">
        <v>0</v>
      </c>
      <c r="AU99">
        <v>0</v>
      </c>
      <c r="AV99">
        <v>0</v>
      </c>
      <c r="AW99">
        <v>1</v>
      </c>
      <c r="AX99" t="s">
        <v>74</v>
      </c>
      <c r="AY99">
        <v>0</v>
      </c>
      <c r="AZ99" t="s">
        <v>76</v>
      </c>
      <c r="BA99">
        <v>-1.5707963267949001</v>
      </c>
      <c r="BB99">
        <v>0.99199999999999999</v>
      </c>
      <c r="BC99">
        <v>0</v>
      </c>
      <c r="BD99">
        <v>5.8245346242475203E-2</v>
      </c>
      <c r="BE99">
        <v>0</v>
      </c>
      <c r="BF99">
        <v>1.6E-2</v>
      </c>
      <c r="BG99">
        <v>0</v>
      </c>
      <c r="BH99">
        <v>0</v>
      </c>
      <c r="BI99">
        <v>0</v>
      </c>
      <c r="BJ99">
        <v>0</v>
      </c>
      <c r="BK99">
        <v>1</v>
      </c>
      <c r="BL99">
        <v>1.09614281485449E-4</v>
      </c>
      <c r="BM99">
        <v>1.2068675223462E-4</v>
      </c>
      <c r="BN99" s="1">
        <v>3.9955274008395398E-7</v>
      </c>
      <c r="BO99" s="1">
        <v>1.89574307102946E-6</v>
      </c>
      <c r="BP99">
        <v>0</v>
      </c>
      <c r="BQ99">
        <v>0</v>
      </c>
      <c r="BR99" s="1">
        <v>5.99990324415668E-5</v>
      </c>
      <c r="BS99" s="1">
        <v>6.6541659457755193E-5</v>
      </c>
    </row>
    <row r="100" spans="1:71" x14ac:dyDescent="0.25">
      <c r="A100">
        <v>97</v>
      </c>
      <c r="B100" s="1">
        <v>1.09896267035117E-5</v>
      </c>
      <c r="C100">
        <v>0.105288348537545</v>
      </c>
      <c r="D100">
        <v>-3.0471978169214402E-4</v>
      </c>
      <c r="E100">
        <v>6.1312500000000104E-4</v>
      </c>
      <c r="F100">
        <v>-1.05288348537545E-3</v>
      </c>
      <c r="G100">
        <v>0</v>
      </c>
      <c r="H100" t="s">
        <v>74</v>
      </c>
      <c r="I100">
        <v>0</v>
      </c>
      <c r="J100" t="s">
        <v>75</v>
      </c>
      <c r="K100">
        <v>3.14159265358979</v>
      </c>
      <c r="L100">
        <v>0.83034540714762795</v>
      </c>
      <c r="M100">
        <v>0</v>
      </c>
      <c r="N100">
        <v>4.8753786028389798E-2</v>
      </c>
      <c r="O100">
        <v>0</v>
      </c>
      <c r="P100">
        <v>1.6E-2</v>
      </c>
      <c r="Q100">
        <v>0</v>
      </c>
      <c r="R100">
        <v>0</v>
      </c>
      <c r="S100">
        <v>0</v>
      </c>
      <c r="T100">
        <v>0</v>
      </c>
      <c r="U100">
        <v>0.83702664267563098</v>
      </c>
      <c r="V100" t="s">
        <v>78</v>
      </c>
      <c r="W100">
        <v>2271768.87927981</v>
      </c>
      <c r="X100" t="s">
        <v>76</v>
      </c>
      <c r="Y100">
        <v>-1.5707963267949001</v>
      </c>
      <c r="Z100">
        <v>0.82258863550003103</v>
      </c>
      <c r="AA100">
        <v>0.16259135698811999</v>
      </c>
      <c r="AB100">
        <v>4.4793115271099401E-2</v>
      </c>
      <c r="AC100">
        <v>9.1046246684838295E-3</v>
      </c>
      <c r="AD100">
        <v>2.2425947926297801E-2</v>
      </c>
      <c r="AE100">
        <v>1.09254640249387E-2</v>
      </c>
      <c r="AF100">
        <v>0</v>
      </c>
      <c r="AG100">
        <v>0.194745833390713</v>
      </c>
      <c r="AH100">
        <v>4.9167294494140902E-2</v>
      </c>
      <c r="AI100">
        <v>0.69357122275306005</v>
      </c>
      <c r="AJ100" t="s">
        <v>74</v>
      </c>
      <c r="AK100">
        <v>0</v>
      </c>
      <c r="AL100" t="s">
        <v>77</v>
      </c>
      <c r="AM100">
        <v>0</v>
      </c>
      <c r="AN100">
        <v>0.99199999999999999</v>
      </c>
      <c r="AO100">
        <v>0</v>
      </c>
      <c r="AP100">
        <v>5.8245346242475203E-2</v>
      </c>
      <c r="AQ100">
        <v>0</v>
      </c>
      <c r="AR100">
        <v>1.6E-2</v>
      </c>
      <c r="AS100">
        <v>0</v>
      </c>
      <c r="AT100">
        <v>0</v>
      </c>
      <c r="AU100">
        <v>0</v>
      </c>
      <c r="AV100">
        <v>0</v>
      </c>
      <c r="AW100">
        <v>1</v>
      </c>
      <c r="AX100" t="s">
        <v>74</v>
      </c>
      <c r="AY100">
        <v>0</v>
      </c>
      <c r="AZ100" t="s">
        <v>76</v>
      </c>
      <c r="BA100">
        <v>-1.5707963267949001</v>
      </c>
      <c r="BB100">
        <v>0.99199999999999999</v>
      </c>
      <c r="BC100">
        <v>0</v>
      </c>
      <c r="BD100">
        <v>5.8245346242475203E-2</v>
      </c>
      <c r="BE100">
        <v>0</v>
      </c>
      <c r="BF100">
        <v>1.6E-2</v>
      </c>
      <c r="BG100">
        <v>0</v>
      </c>
      <c r="BH100">
        <v>0</v>
      </c>
      <c r="BI100">
        <v>0</v>
      </c>
      <c r="BJ100">
        <v>0</v>
      </c>
      <c r="BK100">
        <v>1</v>
      </c>
      <c r="BL100">
        <v>1.0957110922646199E-4</v>
      </c>
      <c r="BM100">
        <v>1.21956563942427E-4</v>
      </c>
      <c r="BN100" s="1">
        <v>3.9936926746109202E-7</v>
      </c>
      <c r="BO100" s="1">
        <v>1.91568922669291E-6</v>
      </c>
      <c r="BP100">
        <v>0</v>
      </c>
      <c r="BQ100">
        <v>0</v>
      </c>
      <c r="BR100" s="1">
        <v>5.9971407422871501E-5</v>
      </c>
      <c r="BS100" s="1">
        <v>6.7242557943372606E-5</v>
      </c>
    </row>
    <row r="101" spans="1:71" x14ac:dyDescent="0.25">
      <c r="A101">
        <v>98</v>
      </c>
      <c r="B101" s="1">
        <v>1.0909721945091499E-5</v>
      </c>
      <c r="C101">
        <v>0.10529925825949001</v>
      </c>
      <c r="D101">
        <v>-3.0477881175480998E-4</v>
      </c>
      <c r="E101">
        <v>6.1312500000000104E-4</v>
      </c>
      <c r="F101">
        <v>-1.0529925825949E-3</v>
      </c>
      <c r="G101" s="1">
        <v>1.0842021724855E-19</v>
      </c>
      <c r="H101" t="s">
        <v>74</v>
      </c>
      <c r="I101">
        <v>0</v>
      </c>
      <c r="J101" t="s">
        <v>75</v>
      </c>
      <c r="K101">
        <v>3.14159265358979</v>
      </c>
      <c r="L101">
        <v>0.82866227980747598</v>
      </c>
      <c r="M101">
        <v>0</v>
      </c>
      <c r="N101">
        <v>4.8654961094219101E-2</v>
      </c>
      <c r="O101">
        <v>0</v>
      </c>
      <c r="P101">
        <v>1.6E-2</v>
      </c>
      <c r="Q101">
        <v>0</v>
      </c>
      <c r="R101">
        <v>0</v>
      </c>
      <c r="S101">
        <v>0</v>
      </c>
      <c r="T101">
        <v>0</v>
      </c>
      <c r="U101">
        <v>0.83533302641044205</v>
      </c>
      <c r="V101" t="s">
        <v>78</v>
      </c>
      <c r="W101">
        <v>2272278.2800678201</v>
      </c>
      <c r="X101" t="s">
        <v>76</v>
      </c>
      <c r="Y101">
        <v>-1.5707963267949001</v>
      </c>
      <c r="Z101">
        <v>0.82090048559338002</v>
      </c>
      <c r="AA101">
        <v>0.16259135698811999</v>
      </c>
      <c r="AB101">
        <v>4.4693853425682099E-2</v>
      </c>
      <c r="AC101">
        <v>9.1449076144883099E-3</v>
      </c>
      <c r="AD101">
        <v>2.23367602322504E-2</v>
      </c>
      <c r="AE101">
        <v>1.10490065931161E-2</v>
      </c>
      <c r="AF101">
        <v>0</v>
      </c>
      <c r="AG101">
        <v>0.19620640610937501</v>
      </c>
      <c r="AH101">
        <v>5.0246314662517402E-2</v>
      </c>
      <c r="AI101">
        <v>0.69052628767307001</v>
      </c>
      <c r="AJ101" t="s">
        <v>74</v>
      </c>
      <c r="AK101">
        <v>0</v>
      </c>
      <c r="AL101" t="s">
        <v>77</v>
      </c>
      <c r="AM101">
        <v>0</v>
      </c>
      <c r="AN101">
        <v>0.99199999999999999</v>
      </c>
      <c r="AO101">
        <v>0</v>
      </c>
      <c r="AP101">
        <v>5.8245346242475203E-2</v>
      </c>
      <c r="AQ101">
        <v>0</v>
      </c>
      <c r="AR101">
        <v>1.6E-2</v>
      </c>
      <c r="AS101">
        <v>0</v>
      </c>
      <c r="AT101">
        <v>0</v>
      </c>
      <c r="AU101">
        <v>0</v>
      </c>
      <c r="AV101">
        <v>0</v>
      </c>
      <c r="AW101">
        <v>1</v>
      </c>
      <c r="AX101" t="s">
        <v>74</v>
      </c>
      <c r="AY101">
        <v>0</v>
      </c>
      <c r="AZ101" t="s">
        <v>76</v>
      </c>
      <c r="BA101">
        <v>-1.5707963267949001</v>
      </c>
      <c r="BB101">
        <v>0.99199999999999999</v>
      </c>
      <c r="BC101">
        <v>0</v>
      </c>
      <c r="BD101">
        <v>5.8245346242475203E-2</v>
      </c>
      <c r="BE101">
        <v>0</v>
      </c>
      <c r="BF101">
        <v>1.6E-2</v>
      </c>
      <c r="BG101">
        <v>0</v>
      </c>
      <c r="BH101">
        <v>0</v>
      </c>
      <c r="BI101">
        <v>0</v>
      </c>
      <c r="BJ101">
        <v>0</v>
      </c>
      <c r="BK101">
        <v>1</v>
      </c>
      <c r="BL101">
        <v>1.0949220730967E-4</v>
      </c>
      <c r="BM101">
        <v>1.2322636038594601E-4</v>
      </c>
      <c r="BN101" s="1">
        <v>3.9911459578324901E-7</v>
      </c>
      <c r="BO101" s="1">
        <v>1.9356351425854801E-6</v>
      </c>
      <c r="BP101">
        <v>0</v>
      </c>
      <c r="BQ101">
        <v>0</v>
      </c>
      <c r="BR101" s="1">
        <v>5.9924076112695998E-5</v>
      </c>
      <c r="BS101" s="1">
        <v>6.7943458473834794E-5</v>
      </c>
    </row>
    <row r="102" spans="1:71" x14ac:dyDescent="0.25">
      <c r="A102">
        <v>99</v>
      </c>
      <c r="B102" s="1">
        <v>1.08316892253125E-5</v>
      </c>
      <c r="C102">
        <v>0.105310089948715</v>
      </c>
      <c r="D102">
        <v>-3.0483741640292399E-4</v>
      </c>
      <c r="E102">
        <v>6.1312500000000104E-4</v>
      </c>
      <c r="F102">
        <v>-1.0531008994871501E-3</v>
      </c>
      <c r="G102">
        <v>0</v>
      </c>
      <c r="H102" t="s">
        <v>74</v>
      </c>
      <c r="I102">
        <v>0</v>
      </c>
      <c r="J102" t="s">
        <v>75</v>
      </c>
      <c r="K102">
        <v>3.14159265358979</v>
      </c>
      <c r="L102">
        <v>0.826979172890981</v>
      </c>
      <c r="M102">
        <v>0</v>
      </c>
      <c r="N102">
        <v>4.8556137359224802E-2</v>
      </c>
      <c r="O102">
        <v>0</v>
      </c>
      <c r="P102">
        <v>1.6E-2</v>
      </c>
      <c r="Q102">
        <v>0</v>
      </c>
      <c r="R102">
        <v>0</v>
      </c>
      <c r="S102">
        <v>0</v>
      </c>
      <c r="T102">
        <v>0</v>
      </c>
      <c r="U102">
        <v>0.83363878006462</v>
      </c>
      <c r="V102" t="s">
        <v>78</v>
      </c>
      <c r="W102">
        <v>2272784.00973474</v>
      </c>
      <c r="X102" t="s">
        <v>76</v>
      </c>
      <c r="Y102">
        <v>-1.5707963267949001</v>
      </c>
      <c r="Z102">
        <v>0.81921256472322002</v>
      </c>
      <c r="AA102">
        <v>0.164824938920338</v>
      </c>
      <c r="AB102">
        <v>4.4594686220035401E-2</v>
      </c>
      <c r="AC102">
        <v>9.2561622759226494E-3</v>
      </c>
      <c r="AD102">
        <v>2.2247147891625602E-2</v>
      </c>
      <c r="AE102">
        <v>1.1172616821065399E-2</v>
      </c>
      <c r="AF102">
        <v>0</v>
      </c>
      <c r="AG102">
        <v>0.19765396440444499</v>
      </c>
      <c r="AH102">
        <v>5.1338318438175497E-2</v>
      </c>
      <c r="AI102">
        <v>0.68748468661022999</v>
      </c>
      <c r="AJ102" t="s">
        <v>74</v>
      </c>
      <c r="AK102">
        <v>0</v>
      </c>
      <c r="AL102" t="s">
        <v>77</v>
      </c>
      <c r="AM102">
        <v>0</v>
      </c>
      <c r="AN102">
        <v>0.99199999999999999</v>
      </c>
      <c r="AO102">
        <v>0</v>
      </c>
      <c r="AP102">
        <v>5.8245346242475203E-2</v>
      </c>
      <c r="AQ102">
        <v>0</v>
      </c>
      <c r="AR102">
        <v>1.6E-2</v>
      </c>
      <c r="AS102">
        <v>0</v>
      </c>
      <c r="AT102">
        <v>0</v>
      </c>
      <c r="AU102">
        <v>0</v>
      </c>
      <c r="AV102">
        <v>0</v>
      </c>
      <c r="AW102">
        <v>1</v>
      </c>
      <c r="AX102" t="s">
        <v>74</v>
      </c>
      <c r="AY102">
        <v>0</v>
      </c>
      <c r="AZ102" t="s">
        <v>76</v>
      </c>
      <c r="BA102">
        <v>-1.5707963267949001</v>
      </c>
      <c r="BB102">
        <v>0.99199999999999999</v>
      </c>
      <c r="BC102">
        <v>0</v>
      </c>
      <c r="BD102">
        <v>5.8245346242475203E-2</v>
      </c>
      <c r="BE102">
        <v>0</v>
      </c>
      <c r="BF102">
        <v>1.6E-2</v>
      </c>
      <c r="BG102">
        <v>0</v>
      </c>
      <c r="BH102">
        <v>0</v>
      </c>
      <c r="BI102">
        <v>0</v>
      </c>
      <c r="BJ102">
        <v>0</v>
      </c>
      <c r="BK102">
        <v>1</v>
      </c>
      <c r="BL102">
        <v>1.09448839170067E-4</v>
      </c>
      <c r="BM102">
        <v>1.2449614142131E-4</v>
      </c>
      <c r="BN102" s="1">
        <v>3.9893124750866002E-7</v>
      </c>
      <c r="BO102" s="1">
        <v>1.95558081644732E-6</v>
      </c>
      <c r="BP102">
        <v>0</v>
      </c>
      <c r="BQ102">
        <v>0</v>
      </c>
      <c r="BR102" s="1">
        <v>5.98963310103801E-5</v>
      </c>
      <c r="BS102" s="1">
        <v>6.8644360928064795E-5</v>
      </c>
    </row>
    <row r="103" spans="1:71" x14ac:dyDescent="0.25">
      <c r="A103">
        <v>100</v>
      </c>
      <c r="B103" s="1">
        <v>1.0755475224975001E-5</v>
      </c>
      <c r="C103">
        <v>0.10532084542394</v>
      </c>
      <c r="D103">
        <v>-3.0489560554503898E-4</v>
      </c>
      <c r="E103">
        <v>6.1312500000000104E-4</v>
      </c>
      <c r="F103">
        <v>-1.0532084542393999E-3</v>
      </c>
      <c r="G103">
        <v>0</v>
      </c>
      <c r="H103" t="s">
        <v>74</v>
      </c>
      <c r="I103">
        <v>0</v>
      </c>
      <c r="J103" t="s">
        <v>75</v>
      </c>
      <c r="K103">
        <v>3.14159265358979</v>
      </c>
      <c r="L103">
        <v>0.82529608659127396</v>
      </c>
      <c r="M103">
        <v>0</v>
      </c>
      <c r="N103">
        <v>4.8457314834746502E-2</v>
      </c>
      <c r="O103">
        <v>0</v>
      </c>
      <c r="P103">
        <v>1.6E-2</v>
      </c>
      <c r="Q103">
        <v>0</v>
      </c>
      <c r="R103">
        <v>0</v>
      </c>
      <c r="S103">
        <v>0</v>
      </c>
      <c r="T103">
        <v>0</v>
      </c>
      <c r="U103">
        <v>0.83194404491719598</v>
      </c>
      <c r="V103" t="s">
        <v>78</v>
      </c>
      <c r="W103">
        <v>2273286.1537865698</v>
      </c>
      <c r="X103" t="s">
        <v>76</v>
      </c>
      <c r="Y103">
        <v>-1.5707963267949001</v>
      </c>
      <c r="Z103">
        <v>0.817524869349188</v>
      </c>
      <c r="AA103">
        <v>0.16704938768139699</v>
      </c>
      <c r="AB103">
        <v>4.4495611917636999E-2</v>
      </c>
      <c r="AC103">
        <v>9.3671230521376499E-3</v>
      </c>
      <c r="AD103">
        <v>2.21571192725789E-2</v>
      </c>
      <c r="AE103">
        <v>1.12962932176905E-2</v>
      </c>
      <c r="AF103">
        <v>0</v>
      </c>
      <c r="AG103">
        <v>0.19908845959082599</v>
      </c>
      <c r="AH103">
        <v>5.2443354214807399E-2</v>
      </c>
      <c r="AI103">
        <v>0.684446437195667</v>
      </c>
      <c r="AJ103" t="s">
        <v>74</v>
      </c>
      <c r="AK103">
        <v>0</v>
      </c>
      <c r="AL103" t="s">
        <v>77</v>
      </c>
      <c r="AM103">
        <v>0</v>
      </c>
      <c r="AN103">
        <v>0.99199999999999999</v>
      </c>
      <c r="AO103">
        <v>0</v>
      </c>
      <c r="AP103">
        <v>5.8245346242475203E-2</v>
      </c>
      <c r="AQ103">
        <v>0</v>
      </c>
      <c r="AR103">
        <v>1.6E-2</v>
      </c>
      <c r="AS103">
        <v>0</v>
      </c>
      <c r="AT103">
        <v>0</v>
      </c>
      <c r="AU103">
        <v>0</v>
      </c>
      <c r="AV103">
        <v>0</v>
      </c>
      <c r="AW103">
        <v>1</v>
      </c>
      <c r="AX103" t="s">
        <v>74</v>
      </c>
      <c r="AY103">
        <v>0</v>
      </c>
      <c r="AZ103" t="s">
        <v>76</v>
      </c>
      <c r="BA103">
        <v>-1.5707963267949001</v>
      </c>
      <c r="BB103">
        <v>0.99199999999999999</v>
      </c>
      <c r="BC103">
        <v>0</v>
      </c>
      <c r="BD103">
        <v>5.8245346242475203E-2</v>
      </c>
      <c r="BE103">
        <v>0</v>
      </c>
      <c r="BF103">
        <v>1.6E-2</v>
      </c>
      <c r="BG103">
        <v>0</v>
      </c>
      <c r="BH103">
        <v>0</v>
      </c>
      <c r="BI103">
        <v>0</v>
      </c>
      <c r="BJ103">
        <v>0</v>
      </c>
      <c r="BK103">
        <v>1</v>
      </c>
      <c r="BL103">
        <v>1.09405371144736E-4</v>
      </c>
      <c r="BM103">
        <v>1.2576590690281699E-4</v>
      </c>
      <c r="BN103" s="1">
        <v>3.9874795103880901E-7</v>
      </c>
      <c r="BO103" s="1">
        <v>1.9755262459897298E-6</v>
      </c>
      <c r="BP103">
        <v>0</v>
      </c>
      <c r="BQ103">
        <v>0</v>
      </c>
      <c r="BR103" s="1">
        <v>5.9868525086388097E-5</v>
      </c>
      <c r="BS103" s="1">
        <v>6.9345265185598301E-5</v>
      </c>
    </row>
    <row r="104" spans="1:71" x14ac:dyDescent="0.25">
      <c r="A104">
        <v>101</v>
      </c>
      <c r="B104" s="1">
        <v>1.0681028808482401E-5</v>
      </c>
      <c r="C104">
        <v>0.105331526452749</v>
      </c>
      <c r="D104">
        <v>-3.0495338881045102E-4</v>
      </c>
      <c r="E104">
        <v>6.1312500000000104E-4</v>
      </c>
      <c r="F104">
        <v>-1.05331526452749E-3</v>
      </c>
      <c r="G104" s="1">
        <v>1.0842021724855E-19</v>
      </c>
      <c r="H104" t="s">
        <v>74</v>
      </c>
      <c r="I104">
        <v>0</v>
      </c>
      <c r="J104" t="s">
        <v>75</v>
      </c>
      <c r="K104">
        <v>3.14159265358979</v>
      </c>
      <c r="L104">
        <v>0.82361302110398604</v>
      </c>
      <c r="M104">
        <v>0</v>
      </c>
      <c r="N104">
        <v>4.8358493532270903E-2</v>
      </c>
      <c r="O104">
        <v>0</v>
      </c>
      <c r="P104">
        <v>1.6E-2</v>
      </c>
      <c r="Q104">
        <v>0</v>
      </c>
      <c r="R104">
        <v>0</v>
      </c>
      <c r="S104">
        <v>0</v>
      </c>
      <c r="T104">
        <v>0</v>
      </c>
      <c r="U104">
        <v>0.83024893099516905</v>
      </c>
      <c r="V104" t="s">
        <v>78</v>
      </c>
      <c r="W104">
        <v>2273784.7953194599</v>
      </c>
      <c r="X104" t="s">
        <v>76</v>
      </c>
      <c r="Y104">
        <v>-1.5707963267949001</v>
      </c>
      <c r="Z104">
        <v>0.81583739603644601</v>
      </c>
      <c r="AA104">
        <v>0.16704938768139699</v>
      </c>
      <c r="AB104">
        <v>4.4396628832116702E-2</v>
      </c>
      <c r="AC104">
        <v>9.4073809841463008E-3</v>
      </c>
      <c r="AD104">
        <v>2.2066682526046998E-2</v>
      </c>
      <c r="AE104">
        <v>1.14200343123077E-2</v>
      </c>
      <c r="AF104">
        <v>0</v>
      </c>
      <c r="AG104">
        <v>0.20050984256188001</v>
      </c>
      <c r="AH104">
        <v>5.35614708038692E-2</v>
      </c>
      <c r="AI104">
        <v>0.68141155690464095</v>
      </c>
      <c r="AJ104" t="s">
        <v>74</v>
      </c>
      <c r="AK104">
        <v>0</v>
      </c>
      <c r="AL104" t="s">
        <v>77</v>
      </c>
      <c r="AM104">
        <v>0</v>
      </c>
      <c r="AN104">
        <v>0.99199999999999999</v>
      </c>
      <c r="AO104">
        <v>0</v>
      </c>
      <c r="AP104">
        <v>5.8245346242475203E-2</v>
      </c>
      <c r="AQ104">
        <v>0</v>
      </c>
      <c r="AR104">
        <v>1.6E-2</v>
      </c>
      <c r="AS104">
        <v>0</v>
      </c>
      <c r="AT104">
        <v>0</v>
      </c>
      <c r="AU104">
        <v>0</v>
      </c>
      <c r="AV104">
        <v>0</v>
      </c>
      <c r="AW104">
        <v>1</v>
      </c>
      <c r="AX104" t="s">
        <v>74</v>
      </c>
      <c r="AY104">
        <v>0</v>
      </c>
      <c r="AZ104" t="s">
        <v>76</v>
      </c>
      <c r="BA104">
        <v>-1.5707963267949001</v>
      </c>
      <c r="BB104">
        <v>0.99199999999999999</v>
      </c>
      <c r="BC104">
        <v>0</v>
      </c>
      <c r="BD104">
        <v>5.8245346242475203E-2</v>
      </c>
      <c r="BE104">
        <v>0</v>
      </c>
      <c r="BF104">
        <v>1.6E-2</v>
      </c>
      <c r="BG104">
        <v>0</v>
      </c>
      <c r="BH104">
        <v>0</v>
      </c>
      <c r="BI104">
        <v>0</v>
      </c>
      <c r="BJ104">
        <v>0</v>
      </c>
      <c r="BK104">
        <v>1</v>
      </c>
      <c r="BL104">
        <v>1.09326597916742E-4</v>
      </c>
      <c r="BM104">
        <v>1.2703565668287499E-4</v>
      </c>
      <c r="BN104" s="1">
        <v>3.9849429039105099E-7</v>
      </c>
      <c r="BO104" s="1">
        <v>1.9954714288943701E-6</v>
      </c>
      <c r="BP104">
        <v>0</v>
      </c>
      <c r="BQ104">
        <v>0</v>
      </c>
      <c r="BR104" s="1">
        <v>5.9821246601394702E-5</v>
      </c>
      <c r="BS104" s="1">
        <v>7.0046171126521495E-5</v>
      </c>
    </row>
    <row r="105" spans="1:71" x14ac:dyDescent="0.25">
      <c r="A105">
        <v>102</v>
      </c>
      <c r="B105" s="1">
        <v>1.0608300917163301E-5</v>
      </c>
      <c r="C105">
        <v>0.10534213475366599</v>
      </c>
      <c r="D105">
        <v>-3.0501077556055201E-4</v>
      </c>
      <c r="E105">
        <v>6.1312500000000104E-4</v>
      </c>
      <c r="F105">
        <v>-1.05342134753666E-3</v>
      </c>
      <c r="G105" s="1">
        <v>1.0842021724855E-19</v>
      </c>
      <c r="H105" t="s">
        <v>74</v>
      </c>
      <c r="I105">
        <v>0</v>
      </c>
      <c r="J105" t="s">
        <v>75</v>
      </c>
      <c r="K105">
        <v>3.14159265358979</v>
      </c>
      <c r="L105">
        <v>0.82192997662729395</v>
      </c>
      <c r="M105">
        <v>0</v>
      </c>
      <c r="N105">
        <v>4.8259673463433801E-2</v>
      </c>
      <c r="O105">
        <v>0</v>
      </c>
      <c r="P105">
        <v>1.6E-2</v>
      </c>
      <c r="Q105">
        <v>0</v>
      </c>
      <c r="R105">
        <v>0</v>
      </c>
      <c r="S105">
        <v>0</v>
      </c>
      <c r="T105">
        <v>0</v>
      </c>
      <c r="U105">
        <v>0.82855352409689498</v>
      </c>
      <c r="V105" t="s">
        <v>78</v>
      </c>
      <c r="W105">
        <v>2274280.01511769</v>
      </c>
      <c r="X105" t="s">
        <v>76</v>
      </c>
      <c r="Y105">
        <v>-1.5707963267949001</v>
      </c>
      <c r="Z105">
        <v>0.81415014145174502</v>
      </c>
      <c r="AA105">
        <v>0.169255446446685</v>
      </c>
      <c r="AB105">
        <v>4.4297735325295101E-2</v>
      </c>
      <c r="AC105">
        <v>9.5177501562656794E-3</v>
      </c>
      <c r="AD105">
        <v>2.19758455940493E-2</v>
      </c>
      <c r="AE105">
        <v>1.1543838653974899E-2</v>
      </c>
      <c r="AF105">
        <v>0</v>
      </c>
      <c r="AG105">
        <v>0.20191806378423199</v>
      </c>
      <c r="AH105">
        <v>5.46927174397197E-2</v>
      </c>
      <c r="AI105">
        <v>0.67838006306555798</v>
      </c>
      <c r="AJ105" t="s">
        <v>74</v>
      </c>
      <c r="AK105">
        <v>0</v>
      </c>
      <c r="AL105" t="s">
        <v>77</v>
      </c>
      <c r="AM105">
        <v>0</v>
      </c>
      <c r="AN105">
        <v>0.99199999999999999</v>
      </c>
      <c r="AO105">
        <v>0</v>
      </c>
      <c r="AP105">
        <v>5.8245346242475203E-2</v>
      </c>
      <c r="AQ105">
        <v>0</v>
      </c>
      <c r="AR105">
        <v>1.6E-2</v>
      </c>
      <c r="AS105">
        <v>0</v>
      </c>
      <c r="AT105">
        <v>0</v>
      </c>
      <c r="AU105">
        <v>0</v>
      </c>
      <c r="AV105">
        <v>0</v>
      </c>
      <c r="AW105">
        <v>1</v>
      </c>
      <c r="AX105" t="s">
        <v>74</v>
      </c>
      <c r="AY105">
        <v>0</v>
      </c>
      <c r="AZ105" t="s">
        <v>76</v>
      </c>
      <c r="BA105">
        <v>-1.5707963267949001</v>
      </c>
      <c r="BB105">
        <v>0.99199999999999999</v>
      </c>
      <c r="BC105">
        <v>0</v>
      </c>
      <c r="BD105">
        <v>5.8245346242475203E-2</v>
      </c>
      <c r="BE105">
        <v>0</v>
      </c>
      <c r="BF105">
        <v>1.6E-2</v>
      </c>
      <c r="BG105">
        <v>0</v>
      </c>
      <c r="BH105">
        <v>0</v>
      </c>
      <c r="BI105">
        <v>0</v>
      </c>
      <c r="BJ105">
        <v>0</v>
      </c>
      <c r="BK105">
        <v>1</v>
      </c>
      <c r="BL105">
        <v>1.0928292571497201E-4</v>
      </c>
      <c r="BM105">
        <v>1.28305390611976E-4</v>
      </c>
      <c r="BN105" s="1">
        <v>3.9831107522597299E-7</v>
      </c>
      <c r="BO105" s="1">
        <v>2.0154163628127599E-6</v>
      </c>
      <c r="BP105">
        <v>0</v>
      </c>
      <c r="BQ105">
        <v>0</v>
      </c>
      <c r="BR105" s="1">
        <v>5.9793316730234598E-5</v>
      </c>
      <c r="BS105" s="1">
        <v>7.07470786314189E-5</v>
      </c>
    </row>
    <row r="106" spans="1:71" x14ac:dyDescent="0.25">
      <c r="A106">
        <v>103</v>
      </c>
      <c r="B106" s="1">
        <v>1.05372444687772E-5</v>
      </c>
      <c r="C106">
        <v>0.105352671998135</v>
      </c>
      <c r="D106">
        <v>-3.0506777489962701E-4</v>
      </c>
      <c r="E106">
        <v>6.1312500000000104E-4</v>
      </c>
      <c r="F106">
        <v>-1.0535267199813501E-3</v>
      </c>
      <c r="G106" s="1">
        <v>1.0842021724855E-19</v>
      </c>
      <c r="H106" t="s">
        <v>74</v>
      </c>
      <c r="I106">
        <v>0</v>
      </c>
      <c r="J106" t="s">
        <v>75</v>
      </c>
      <c r="K106">
        <v>3.14159265358979</v>
      </c>
      <c r="L106">
        <v>0.82024695336197295</v>
      </c>
      <c r="M106">
        <v>0</v>
      </c>
      <c r="N106">
        <v>4.8160854640023697E-2</v>
      </c>
      <c r="O106">
        <v>0</v>
      </c>
      <c r="P106">
        <v>1.6E-2</v>
      </c>
      <c r="Q106">
        <v>0</v>
      </c>
      <c r="R106">
        <v>0</v>
      </c>
      <c r="S106">
        <v>0</v>
      </c>
      <c r="T106">
        <v>0</v>
      </c>
      <c r="U106">
        <v>0.82685789122591702</v>
      </c>
      <c r="V106" t="s">
        <v>78</v>
      </c>
      <c r="W106">
        <v>2274771.8917468102</v>
      </c>
      <c r="X106" t="s">
        <v>76</v>
      </c>
      <c r="Y106">
        <v>-1.5707963267949001</v>
      </c>
      <c r="Z106">
        <v>0.812463102359683</v>
      </c>
      <c r="AA106">
        <v>0.17145224998900699</v>
      </c>
      <c r="AB106">
        <v>4.4198929805315902E-2</v>
      </c>
      <c r="AC106">
        <v>9.62782030701872E-3</v>
      </c>
      <c r="AD106">
        <v>2.18846162175983E-2</v>
      </c>
      <c r="AE106">
        <v>1.16677048108453E-2</v>
      </c>
      <c r="AF106">
        <v>0</v>
      </c>
      <c r="AG106">
        <v>0.203313073292439</v>
      </c>
      <c r="AH106">
        <v>5.5837143784859301E-2</v>
      </c>
      <c r="AI106">
        <v>0.67535197286860604</v>
      </c>
      <c r="AJ106" t="s">
        <v>74</v>
      </c>
      <c r="AK106">
        <v>0</v>
      </c>
      <c r="AL106" t="s">
        <v>77</v>
      </c>
      <c r="AM106">
        <v>0</v>
      </c>
      <c r="AN106">
        <v>0.99199999999999999</v>
      </c>
      <c r="AO106">
        <v>0</v>
      </c>
      <c r="AP106">
        <v>5.8245346242475203E-2</v>
      </c>
      <c r="AQ106">
        <v>0</v>
      </c>
      <c r="AR106">
        <v>1.6E-2</v>
      </c>
      <c r="AS106">
        <v>0</v>
      </c>
      <c r="AT106">
        <v>0</v>
      </c>
      <c r="AU106">
        <v>0</v>
      </c>
      <c r="AV106">
        <v>0</v>
      </c>
      <c r="AW106">
        <v>1</v>
      </c>
      <c r="AX106" t="s">
        <v>74</v>
      </c>
      <c r="AY106">
        <v>0</v>
      </c>
      <c r="AZ106" t="s">
        <v>76</v>
      </c>
      <c r="BA106">
        <v>-1.5707963267949001</v>
      </c>
      <c r="BB106">
        <v>0.99199999999999999</v>
      </c>
      <c r="BC106">
        <v>0</v>
      </c>
      <c r="BD106">
        <v>5.8245346242475203E-2</v>
      </c>
      <c r="BE106">
        <v>0</v>
      </c>
      <c r="BF106">
        <v>1.6E-2</v>
      </c>
      <c r="BG106">
        <v>0</v>
      </c>
      <c r="BH106">
        <v>0</v>
      </c>
      <c r="BI106">
        <v>0</v>
      </c>
      <c r="BJ106">
        <v>0</v>
      </c>
      <c r="BK106">
        <v>1</v>
      </c>
      <c r="BL106">
        <v>1.0923914861865401E-4</v>
      </c>
      <c r="BM106">
        <v>1.2957510853864901E-4</v>
      </c>
      <c r="BN106" s="1">
        <v>3.9812788740994001E-7</v>
      </c>
      <c r="BO106" s="1">
        <v>2.0353610453655998E-6</v>
      </c>
      <c r="BP106">
        <v>0</v>
      </c>
      <c r="BQ106">
        <v>0</v>
      </c>
      <c r="BR106" s="1">
        <v>5.9765323612171898E-5</v>
      </c>
      <c r="BS106" s="1">
        <v>7.1447987581317894E-5</v>
      </c>
    </row>
    <row r="107" spans="1:71" x14ac:dyDescent="0.25">
      <c r="A107">
        <v>104</v>
      </c>
      <c r="B107" s="1">
        <v>1.0467814262966E-5</v>
      </c>
      <c r="C107">
        <v>0.105363139812398</v>
      </c>
      <c r="D107">
        <v>-3.0512439568512999E-4</v>
      </c>
      <c r="E107">
        <v>6.1312500000000104E-4</v>
      </c>
      <c r="F107">
        <v>-1.0536313981239799E-3</v>
      </c>
      <c r="G107" s="1">
        <v>1.0842021724855E-19</v>
      </c>
      <c r="H107" t="s">
        <v>74</v>
      </c>
      <c r="I107">
        <v>0</v>
      </c>
      <c r="J107" t="s">
        <v>75</v>
      </c>
      <c r="K107">
        <v>3.14159265358979</v>
      </c>
      <c r="L107">
        <v>0.81856395151144701</v>
      </c>
      <c r="M107">
        <v>0</v>
      </c>
      <c r="N107">
        <v>4.8062037073984799E-2</v>
      </c>
      <c r="O107">
        <v>0</v>
      </c>
      <c r="P107">
        <v>1.6E-2</v>
      </c>
      <c r="Q107">
        <v>0</v>
      </c>
      <c r="R107">
        <v>0</v>
      </c>
      <c r="S107">
        <v>0</v>
      </c>
      <c r="T107">
        <v>0</v>
      </c>
      <c r="U107">
        <v>0.82516208479600395</v>
      </c>
      <c r="V107" t="s">
        <v>78</v>
      </c>
      <c r="W107">
        <v>2275260.5016423501</v>
      </c>
      <c r="X107" t="s">
        <v>76</v>
      </c>
      <c r="Y107">
        <v>-1.5707963267949001</v>
      </c>
      <c r="Z107">
        <v>0.81077627561914301</v>
      </c>
      <c r="AA107">
        <v>0.173639759192496</v>
      </c>
      <c r="AB107">
        <v>4.4100210724868701E-2</v>
      </c>
      <c r="AC107">
        <v>9.7375946298392402E-3</v>
      </c>
      <c r="AD107">
        <v>2.1793001944242E-2</v>
      </c>
      <c r="AE107">
        <v>1.17916313695446E-2</v>
      </c>
      <c r="AF107">
        <v>0</v>
      </c>
      <c r="AG107">
        <v>0.20469482068356801</v>
      </c>
      <c r="AH107">
        <v>5.6994799935283301E-2</v>
      </c>
      <c r="AI107">
        <v>0.67232730337397295</v>
      </c>
      <c r="AJ107" t="s">
        <v>74</v>
      </c>
      <c r="AK107">
        <v>0</v>
      </c>
      <c r="AL107" t="s">
        <v>77</v>
      </c>
      <c r="AM107">
        <v>0</v>
      </c>
      <c r="AN107">
        <v>0.99199999999999999</v>
      </c>
      <c r="AO107">
        <v>0</v>
      </c>
      <c r="AP107">
        <v>5.8245346242475203E-2</v>
      </c>
      <c r="AQ107">
        <v>0</v>
      </c>
      <c r="AR107">
        <v>1.6E-2</v>
      </c>
      <c r="AS107">
        <v>0</v>
      </c>
      <c r="AT107">
        <v>0</v>
      </c>
      <c r="AU107">
        <v>0</v>
      </c>
      <c r="AV107">
        <v>0</v>
      </c>
      <c r="AW107">
        <v>1</v>
      </c>
      <c r="AX107" t="s">
        <v>74</v>
      </c>
      <c r="AY107">
        <v>0</v>
      </c>
      <c r="AZ107" t="s">
        <v>76</v>
      </c>
      <c r="BA107">
        <v>-1.5707963267949001</v>
      </c>
      <c r="BB107">
        <v>0.99199999999999999</v>
      </c>
      <c r="BC107">
        <v>0</v>
      </c>
      <c r="BD107">
        <v>5.8245346242475203E-2</v>
      </c>
      <c r="BE107">
        <v>0</v>
      </c>
      <c r="BF107">
        <v>1.6E-2</v>
      </c>
      <c r="BG107">
        <v>0</v>
      </c>
      <c r="BH107">
        <v>0</v>
      </c>
      <c r="BI107">
        <v>0</v>
      </c>
      <c r="BJ107">
        <v>0</v>
      </c>
      <c r="BK107">
        <v>1</v>
      </c>
      <c r="BL107">
        <v>1.09195267456822E-4</v>
      </c>
      <c r="BM107">
        <v>1.30844810309426E-4</v>
      </c>
      <c r="BN107" s="1">
        <v>3.9794472842525599E-7</v>
      </c>
      <c r="BO107" s="1">
        <v>2.0553054741422098E-6</v>
      </c>
      <c r="BP107">
        <v>0</v>
      </c>
      <c r="BQ107">
        <v>0</v>
      </c>
      <c r="BR107" s="1">
        <v>5.9737267809827999E-5</v>
      </c>
      <c r="BS107" s="1">
        <v>7.2148897857636602E-5</v>
      </c>
    </row>
    <row r="108" spans="1:71" x14ac:dyDescent="0.25">
      <c r="A108">
        <v>105</v>
      </c>
      <c r="B108" s="1">
        <v>1.0399966892149701E-5</v>
      </c>
      <c r="C108">
        <v>0.10537353977929</v>
      </c>
      <c r="D108">
        <v>-3.0518064653748197E-4</v>
      </c>
      <c r="E108">
        <v>6.1312500000000104E-4</v>
      </c>
      <c r="F108">
        <v>-1.0537353977929001E-3</v>
      </c>
      <c r="G108" s="1">
        <v>1.0842021724855E-19</v>
      </c>
      <c r="H108" t="s">
        <v>74</v>
      </c>
      <c r="I108">
        <v>0</v>
      </c>
      <c r="J108" t="s">
        <v>75</v>
      </c>
      <c r="K108">
        <v>3.14159265358979</v>
      </c>
      <c r="L108">
        <v>0.816880971281855</v>
      </c>
      <c r="M108">
        <v>0</v>
      </c>
      <c r="N108">
        <v>4.7963220777420497E-2</v>
      </c>
      <c r="O108">
        <v>0</v>
      </c>
      <c r="P108">
        <v>1.6E-2</v>
      </c>
      <c r="Q108">
        <v>0</v>
      </c>
      <c r="R108">
        <v>0</v>
      </c>
      <c r="S108">
        <v>0</v>
      </c>
      <c r="T108">
        <v>0</v>
      </c>
      <c r="U108">
        <v>0.82346614588563405</v>
      </c>
      <c r="V108" t="s">
        <v>78</v>
      </c>
      <c r="W108">
        <v>2275745.9191943598</v>
      </c>
      <c r="X108" t="s">
        <v>76</v>
      </c>
      <c r="Y108">
        <v>-1.5707963267949001</v>
      </c>
      <c r="Z108">
        <v>0.80908965817990597</v>
      </c>
      <c r="AA108">
        <v>0.173639759192496</v>
      </c>
      <c r="AB108">
        <v>4.4001576579495598E-2</v>
      </c>
      <c r="AC108">
        <v>9.7778221221092709E-3</v>
      </c>
      <c r="AD108">
        <v>2.17010101352582E-2</v>
      </c>
      <c r="AE108">
        <v>1.19156169345706E-2</v>
      </c>
      <c r="AF108">
        <v>0</v>
      </c>
      <c r="AG108">
        <v>0.20606325511164</v>
      </c>
      <c r="AH108">
        <v>5.8165736425940098E-2</v>
      </c>
      <c r="AI108">
        <v>0.66930607151972299</v>
      </c>
      <c r="AJ108" t="s">
        <v>74</v>
      </c>
      <c r="AK108">
        <v>0</v>
      </c>
      <c r="AL108" t="s">
        <v>77</v>
      </c>
      <c r="AM108">
        <v>0</v>
      </c>
      <c r="AN108">
        <v>0.99199999999999999</v>
      </c>
      <c r="AO108">
        <v>0</v>
      </c>
      <c r="AP108">
        <v>5.8245346242475203E-2</v>
      </c>
      <c r="AQ108">
        <v>0</v>
      </c>
      <c r="AR108">
        <v>1.6E-2</v>
      </c>
      <c r="AS108">
        <v>0</v>
      </c>
      <c r="AT108">
        <v>0</v>
      </c>
      <c r="AU108">
        <v>0</v>
      </c>
      <c r="AV108">
        <v>0</v>
      </c>
      <c r="AW108">
        <v>1</v>
      </c>
      <c r="AX108" t="s">
        <v>74</v>
      </c>
      <c r="AY108">
        <v>0</v>
      </c>
      <c r="AZ108" t="s">
        <v>76</v>
      </c>
      <c r="BA108">
        <v>-1.5707963267949001</v>
      </c>
      <c r="BB108">
        <v>0.99199999999999999</v>
      </c>
      <c r="BC108">
        <v>0</v>
      </c>
      <c r="BD108">
        <v>5.8245346242475203E-2</v>
      </c>
      <c r="BE108">
        <v>0</v>
      </c>
      <c r="BF108">
        <v>1.6E-2</v>
      </c>
      <c r="BG108">
        <v>0</v>
      </c>
      <c r="BH108">
        <v>0</v>
      </c>
      <c r="BI108">
        <v>0</v>
      </c>
      <c r="BJ108">
        <v>0</v>
      </c>
      <c r="BK108">
        <v>1</v>
      </c>
      <c r="BL108">
        <v>1.09116655981988E-4</v>
      </c>
      <c r="BM108">
        <v>1.3211449576879E-4</v>
      </c>
      <c r="BN108" s="1">
        <v>3.9769233734658202E-7</v>
      </c>
      <c r="BO108" s="1">
        <v>2.0752496466997499E-6</v>
      </c>
      <c r="BP108">
        <v>0</v>
      </c>
      <c r="BQ108">
        <v>0</v>
      </c>
      <c r="BR108" s="1">
        <v>5.9690056021185703E-5</v>
      </c>
      <c r="BS108" s="1">
        <v>7.2849809342129794E-5</v>
      </c>
    </row>
    <row r="109" spans="1:71" x14ac:dyDescent="0.25">
      <c r="A109">
        <v>106</v>
      </c>
      <c r="B109" s="1">
        <v>1.03336606576305E-5</v>
      </c>
      <c r="C109">
        <v>0.105383873439947</v>
      </c>
      <c r="D109">
        <v>-3.0523653584940198E-4</v>
      </c>
      <c r="E109">
        <v>6.1312500000000104E-4</v>
      </c>
      <c r="F109">
        <v>-1.0538387343994699E-3</v>
      </c>
      <c r="G109" s="1">
        <v>1.0842021724855E-19</v>
      </c>
      <c r="H109" t="s">
        <v>74</v>
      </c>
      <c r="I109">
        <v>0</v>
      </c>
      <c r="J109" t="s">
        <v>75</v>
      </c>
      <c r="K109">
        <v>3.14159265358979</v>
      </c>
      <c r="L109">
        <v>0.81519801288210103</v>
      </c>
      <c r="M109">
        <v>0</v>
      </c>
      <c r="N109">
        <v>4.7864405762596499E-2</v>
      </c>
      <c r="O109">
        <v>0</v>
      </c>
      <c r="P109">
        <v>1.6E-2</v>
      </c>
      <c r="Q109">
        <v>0</v>
      </c>
      <c r="R109">
        <v>0</v>
      </c>
      <c r="S109">
        <v>0</v>
      </c>
      <c r="T109">
        <v>0</v>
      </c>
      <c r="U109">
        <v>0.82177010675717699</v>
      </c>
      <c r="V109" t="s">
        <v>78</v>
      </c>
      <c r="W109">
        <v>2276228.21682793</v>
      </c>
      <c r="X109" t="s">
        <v>76</v>
      </c>
      <c r="Y109">
        <v>-1.5707963267949001</v>
      </c>
      <c r="Z109">
        <v>0.80740324707941302</v>
      </c>
      <c r="AA109">
        <v>0.17580856535869299</v>
      </c>
      <c r="AB109">
        <v>4.3903025905977403E-2</v>
      </c>
      <c r="AC109">
        <v>9.8869931600363403E-3</v>
      </c>
      <c r="AD109">
        <v>2.1608647972520399E-2</v>
      </c>
      <c r="AE109">
        <v>1.20396601277149E-2</v>
      </c>
      <c r="AF109">
        <v>0</v>
      </c>
      <c r="AG109">
        <v>0.20741832528197099</v>
      </c>
      <c r="AH109">
        <v>5.9350004236305501E-2</v>
      </c>
      <c r="AI109">
        <v>0.66628829412933099</v>
      </c>
      <c r="AJ109" t="s">
        <v>74</v>
      </c>
      <c r="AK109">
        <v>0</v>
      </c>
      <c r="AL109" t="s">
        <v>77</v>
      </c>
      <c r="AM109">
        <v>0</v>
      </c>
      <c r="AN109">
        <v>0.99199999999999999</v>
      </c>
      <c r="AO109">
        <v>0</v>
      </c>
      <c r="AP109">
        <v>5.8245346242475203E-2</v>
      </c>
      <c r="AQ109">
        <v>0</v>
      </c>
      <c r="AR109">
        <v>1.6E-2</v>
      </c>
      <c r="AS109">
        <v>0</v>
      </c>
      <c r="AT109">
        <v>0</v>
      </c>
      <c r="AU109">
        <v>0</v>
      </c>
      <c r="AV109">
        <v>0</v>
      </c>
      <c r="AW109">
        <v>1</v>
      </c>
      <c r="AX109" t="s">
        <v>74</v>
      </c>
      <c r="AY109">
        <v>0</v>
      </c>
      <c r="AZ109" t="s">
        <v>76</v>
      </c>
      <c r="BA109">
        <v>-1.5707963267949001</v>
      </c>
      <c r="BB109">
        <v>0.99199999999999999</v>
      </c>
      <c r="BC109">
        <v>0</v>
      </c>
      <c r="BD109">
        <v>5.8245346242475203E-2</v>
      </c>
      <c r="BE109">
        <v>0</v>
      </c>
      <c r="BF109">
        <v>1.6E-2</v>
      </c>
      <c r="BG109">
        <v>0</v>
      </c>
      <c r="BH109">
        <v>0</v>
      </c>
      <c r="BI109">
        <v>0</v>
      </c>
      <c r="BJ109">
        <v>0</v>
      </c>
      <c r="BK109">
        <v>1</v>
      </c>
      <c r="BL109">
        <v>1.0907255865678E-4</v>
      </c>
      <c r="BM109">
        <v>1.3338416475913801E-4</v>
      </c>
      <c r="BN109" s="1">
        <v>3.9750920075628801E-7</v>
      </c>
      <c r="BO109" s="1">
        <v>2.0951935605625999E-6</v>
      </c>
      <c r="BP109">
        <v>0</v>
      </c>
      <c r="BQ109">
        <v>0</v>
      </c>
      <c r="BR109" s="1">
        <v>5.9661870518781697E-5</v>
      </c>
      <c r="BS109" s="1">
        <v>7.3550721916836707E-5</v>
      </c>
    </row>
    <row r="110" spans="1:71" x14ac:dyDescent="0.25">
      <c r="A110">
        <v>107</v>
      </c>
      <c r="B110" s="1">
        <v>1.0268855490391E-5</v>
      </c>
      <c r="C110">
        <v>0.105394142295438</v>
      </c>
      <c r="D110">
        <v>-3.0529207179480798E-4</v>
      </c>
      <c r="E110">
        <v>6.1312500000000104E-4</v>
      </c>
      <c r="F110">
        <v>-1.0539414229543799E-3</v>
      </c>
      <c r="G110">
        <v>0</v>
      </c>
      <c r="H110" t="s">
        <v>74</v>
      </c>
      <c r="I110">
        <v>0</v>
      </c>
      <c r="J110" t="s">
        <v>75</v>
      </c>
      <c r="K110">
        <v>3.14159265358979</v>
      </c>
      <c r="L110">
        <v>0.81351507652390598</v>
      </c>
      <c r="M110">
        <v>0</v>
      </c>
      <c r="N110">
        <v>4.7765592041944201E-2</v>
      </c>
      <c r="O110">
        <v>0</v>
      </c>
      <c r="P110">
        <v>1.6E-2</v>
      </c>
      <c r="Q110">
        <v>0</v>
      </c>
      <c r="R110">
        <v>0</v>
      </c>
      <c r="S110">
        <v>0</v>
      </c>
      <c r="T110">
        <v>0</v>
      </c>
      <c r="U110">
        <v>0.820073992807554</v>
      </c>
      <c r="V110" t="s">
        <v>78</v>
      </c>
      <c r="W110">
        <v>2276707.46508</v>
      </c>
      <c r="X110" t="s">
        <v>76</v>
      </c>
      <c r="Y110">
        <v>-1.5707963267949001</v>
      </c>
      <c r="Z110">
        <v>0.80571703943967898</v>
      </c>
      <c r="AA110">
        <v>0.17796796427512701</v>
      </c>
      <c r="AB110">
        <v>4.3804557280793799E-2</v>
      </c>
      <c r="AC110">
        <v>9.9958646885007808E-3</v>
      </c>
      <c r="AD110">
        <v>2.1515922465053201E-2</v>
      </c>
      <c r="AE110">
        <v>1.21637595875049E-2</v>
      </c>
      <c r="AF110">
        <v>0</v>
      </c>
      <c r="AG110">
        <v>0.208759979445405</v>
      </c>
      <c r="AH110">
        <v>6.0547654796081603E-2</v>
      </c>
      <c r="AI110">
        <v>0.66327398791885295</v>
      </c>
      <c r="AJ110" t="s">
        <v>74</v>
      </c>
      <c r="AK110">
        <v>0</v>
      </c>
      <c r="AL110" t="s">
        <v>77</v>
      </c>
      <c r="AM110">
        <v>0</v>
      </c>
      <c r="AN110">
        <v>0.99199999999999999</v>
      </c>
      <c r="AO110">
        <v>0</v>
      </c>
      <c r="AP110">
        <v>5.8245346242475203E-2</v>
      </c>
      <c r="AQ110">
        <v>0</v>
      </c>
      <c r="AR110">
        <v>1.6E-2</v>
      </c>
      <c r="AS110">
        <v>0</v>
      </c>
      <c r="AT110">
        <v>0</v>
      </c>
      <c r="AU110">
        <v>0</v>
      </c>
      <c r="AV110">
        <v>0</v>
      </c>
      <c r="AW110">
        <v>1</v>
      </c>
      <c r="AX110" t="s">
        <v>74</v>
      </c>
      <c r="AY110">
        <v>0</v>
      </c>
      <c r="AZ110" t="s">
        <v>76</v>
      </c>
      <c r="BA110">
        <v>-1.5707963267949001</v>
      </c>
      <c r="BB110">
        <v>0.99199999999999999</v>
      </c>
      <c r="BC110">
        <v>0</v>
      </c>
      <c r="BD110">
        <v>5.8245346242475203E-2</v>
      </c>
      <c r="BE110">
        <v>0</v>
      </c>
      <c r="BF110">
        <v>1.6E-2</v>
      </c>
      <c r="BG110">
        <v>0</v>
      </c>
      <c r="BH110">
        <v>0</v>
      </c>
      <c r="BI110">
        <v>0</v>
      </c>
      <c r="BJ110">
        <v>0</v>
      </c>
      <c r="BK110">
        <v>1</v>
      </c>
      <c r="BL110">
        <v>1.09028353248095E-4</v>
      </c>
      <c r="BM110">
        <v>1.3465381712074299E-4</v>
      </c>
      <c r="BN110" s="1">
        <v>3.9732607310399899E-7</v>
      </c>
      <c r="BO110" s="1">
        <v>2.1151372132217499E-6</v>
      </c>
      <c r="BP110">
        <v>0</v>
      </c>
      <c r="BQ110">
        <v>0</v>
      </c>
      <c r="BR110" s="1">
        <v>5.9633620417416697E-5</v>
      </c>
      <c r="BS110" s="1">
        <v>7.4251635464035496E-5</v>
      </c>
    </row>
    <row r="111" spans="1:71" x14ac:dyDescent="0.25">
      <c r="A111">
        <v>108</v>
      </c>
      <c r="B111" s="1">
        <v>1.02055128763796E-5</v>
      </c>
      <c r="C111">
        <v>0.10540434780831399</v>
      </c>
      <c r="D111">
        <v>-3.0534726233731098E-4</v>
      </c>
      <c r="E111">
        <v>6.1312500000000104E-4</v>
      </c>
      <c r="F111">
        <v>-1.0540434780831401E-3</v>
      </c>
      <c r="G111" s="1">
        <v>1.0842021724855E-19</v>
      </c>
      <c r="H111" t="s">
        <v>74</v>
      </c>
      <c r="I111">
        <v>0</v>
      </c>
      <c r="J111" t="s">
        <v>75</v>
      </c>
      <c r="K111">
        <v>3.14159265358979</v>
      </c>
      <c r="L111">
        <v>0.81183216242188205</v>
      </c>
      <c r="M111">
        <v>0</v>
      </c>
      <c r="N111">
        <v>4.7666779628064398E-2</v>
      </c>
      <c r="O111">
        <v>0</v>
      </c>
      <c r="P111">
        <v>1.6E-2</v>
      </c>
      <c r="Q111">
        <v>0</v>
      </c>
      <c r="R111">
        <v>0</v>
      </c>
      <c r="S111">
        <v>0</v>
      </c>
      <c r="T111">
        <v>0</v>
      </c>
      <c r="U111">
        <v>0.81837782407960602</v>
      </c>
      <c r="V111" t="s">
        <v>78</v>
      </c>
      <c r="W111">
        <v>2277183.7326726899</v>
      </c>
      <c r="X111" t="s">
        <v>76</v>
      </c>
      <c r="Y111">
        <v>-1.5707963267949001</v>
      </c>
      <c r="Z111">
        <v>0.80403103246436702</v>
      </c>
      <c r="AA111">
        <v>0.17796796427512701</v>
      </c>
      <c r="AB111">
        <v>4.3706169318656903E-2</v>
      </c>
      <c r="AC111">
        <v>1.00360711010298E-2</v>
      </c>
      <c r="AD111">
        <v>2.1422840455295401E-2</v>
      </c>
      <c r="AE111">
        <v>1.2287913968664301E-2</v>
      </c>
      <c r="AF111">
        <v>0</v>
      </c>
      <c r="AG111">
        <v>0.210088165392396</v>
      </c>
      <c r="AH111">
        <v>6.1758739990993697E-2</v>
      </c>
      <c r="AI111">
        <v>0.66026316950385899</v>
      </c>
      <c r="AJ111" t="s">
        <v>74</v>
      </c>
      <c r="AK111">
        <v>0</v>
      </c>
      <c r="AL111" t="s">
        <v>77</v>
      </c>
      <c r="AM111">
        <v>0</v>
      </c>
      <c r="AN111">
        <v>0.99199999999999999</v>
      </c>
      <c r="AO111">
        <v>0</v>
      </c>
      <c r="AP111">
        <v>5.8245346242475203E-2</v>
      </c>
      <c r="AQ111">
        <v>0</v>
      </c>
      <c r="AR111">
        <v>1.6E-2</v>
      </c>
      <c r="AS111">
        <v>0</v>
      </c>
      <c r="AT111">
        <v>0</v>
      </c>
      <c r="AU111">
        <v>0</v>
      </c>
      <c r="AV111">
        <v>0</v>
      </c>
      <c r="AW111">
        <v>1</v>
      </c>
      <c r="AX111" t="s">
        <v>74</v>
      </c>
      <c r="AY111">
        <v>0</v>
      </c>
      <c r="AZ111" t="s">
        <v>76</v>
      </c>
      <c r="BA111">
        <v>-1.5707963267949001</v>
      </c>
      <c r="BB111">
        <v>0.99199999999999999</v>
      </c>
      <c r="BC111">
        <v>0</v>
      </c>
      <c r="BD111">
        <v>5.8245346242475203E-2</v>
      </c>
      <c r="BE111">
        <v>0</v>
      </c>
      <c r="BF111">
        <v>1.6E-2</v>
      </c>
      <c r="BG111">
        <v>0</v>
      </c>
      <c r="BH111">
        <v>0</v>
      </c>
      <c r="BI111">
        <v>0</v>
      </c>
      <c r="BJ111">
        <v>0</v>
      </c>
      <c r="BK111">
        <v>1</v>
      </c>
      <c r="BL111">
        <v>1.08949856266351E-4</v>
      </c>
      <c r="BM111">
        <v>1.3592345269169501E-4</v>
      </c>
      <c r="BN111" s="1">
        <v>3.9707458053382201E-7</v>
      </c>
      <c r="BO111" s="1">
        <v>2.13508060213395E-6</v>
      </c>
      <c r="BP111">
        <v>0</v>
      </c>
      <c r="BQ111">
        <v>0</v>
      </c>
      <c r="BR111" s="1">
        <v>5.9586455939493302E-5</v>
      </c>
      <c r="BS111" s="1">
        <v>7.4952549866185906E-5</v>
      </c>
    </row>
    <row r="112" spans="1:71" x14ac:dyDescent="0.25">
      <c r="A112">
        <v>109</v>
      </c>
      <c r="B112" s="1">
        <v>1.01435957860587E-5</v>
      </c>
      <c r="C112">
        <v>0.1054144914041</v>
      </c>
      <c r="D112">
        <v>-3.0540211523832298E-4</v>
      </c>
      <c r="E112">
        <v>6.1312500000000104E-4</v>
      </c>
      <c r="F112">
        <v>-1.0541449140409999E-3</v>
      </c>
      <c r="G112">
        <v>0</v>
      </c>
      <c r="H112" t="s">
        <v>74</v>
      </c>
      <c r="I112">
        <v>0</v>
      </c>
      <c r="J112" t="s">
        <v>75</v>
      </c>
      <c r="K112">
        <v>3.14159265358979</v>
      </c>
      <c r="L112">
        <v>0.81014927079357202</v>
      </c>
      <c r="M112">
        <v>0</v>
      </c>
      <c r="N112">
        <v>4.7567968533730201E-2</v>
      </c>
      <c r="O112">
        <v>0</v>
      </c>
      <c r="P112">
        <v>1.6E-2</v>
      </c>
      <c r="Q112">
        <v>0</v>
      </c>
      <c r="R112">
        <v>0</v>
      </c>
      <c r="S112">
        <v>0</v>
      </c>
      <c r="T112">
        <v>0</v>
      </c>
      <c r="U112">
        <v>0.81668161643400405</v>
      </c>
      <c r="V112" t="s">
        <v>78</v>
      </c>
      <c r="W112">
        <v>2277657.0865831799</v>
      </c>
      <c r="X112" t="s">
        <v>76</v>
      </c>
      <c r="Y112">
        <v>-1.5707963267949001</v>
      </c>
      <c r="Z112">
        <v>0.80234522343596104</v>
      </c>
      <c r="AA112">
        <v>0.18010844072255999</v>
      </c>
      <c r="AB112">
        <v>4.3607860671107702E-2</v>
      </c>
      <c r="AC112">
        <v>1.0144333490441099E-2</v>
      </c>
      <c r="AD112">
        <v>2.1329408625083798E-2</v>
      </c>
      <c r="AE112">
        <v>1.2412121941594601E-2</v>
      </c>
      <c r="AF112">
        <v>0</v>
      </c>
      <c r="AG112">
        <v>0.211402830447012</v>
      </c>
      <c r="AH112">
        <v>6.2983312168735206E-2</v>
      </c>
      <c r="AI112">
        <v>0.65725585540599896</v>
      </c>
      <c r="AJ112" t="s">
        <v>74</v>
      </c>
      <c r="AK112">
        <v>0</v>
      </c>
      <c r="AL112" t="s">
        <v>77</v>
      </c>
      <c r="AM112">
        <v>0</v>
      </c>
      <c r="AN112">
        <v>0.99199999999999999</v>
      </c>
      <c r="AO112">
        <v>0</v>
      </c>
      <c r="AP112">
        <v>5.8245346242475203E-2</v>
      </c>
      <c r="AQ112">
        <v>0</v>
      </c>
      <c r="AR112">
        <v>1.6E-2</v>
      </c>
      <c r="AS112">
        <v>0</v>
      </c>
      <c r="AT112">
        <v>0</v>
      </c>
      <c r="AU112">
        <v>0</v>
      </c>
      <c r="AV112">
        <v>0</v>
      </c>
      <c r="AW112">
        <v>1</v>
      </c>
      <c r="AX112" t="s">
        <v>74</v>
      </c>
      <c r="AY112">
        <v>0</v>
      </c>
      <c r="AZ112" t="s">
        <v>76</v>
      </c>
      <c r="BA112">
        <v>-1.5707963267949001</v>
      </c>
      <c r="BB112">
        <v>0.99199999999999999</v>
      </c>
      <c r="BC112">
        <v>0</v>
      </c>
      <c r="BD112">
        <v>5.8245346242475203E-2</v>
      </c>
      <c r="BE112">
        <v>0</v>
      </c>
      <c r="BF112">
        <v>1.6E-2</v>
      </c>
      <c r="BG112">
        <v>0</v>
      </c>
      <c r="BH112">
        <v>0</v>
      </c>
      <c r="BI112">
        <v>0</v>
      </c>
      <c r="BJ112">
        <v>0</v>
      </c>
      <c r="BK112">
        <v>1</v>
      </c>
      <c r="BL112">
        <v>1.08905427590115E-4</v>
      </c>
      <c r="BM112">
        <v>1.3719307130787399E-4</v>
      </c>
      <c r="BN112" s="1">
        <v>3.9689143956044701E-7</v>
      </c>
      <c r="BO112" s="1">
        <v>2.1550237247211801E-6</v>
      </c>
      <c r="BP112">
        <v>0</v>
      </c>
      <c r="BQ112">
        <v>0</v>
      </c>
      <c r="BR112" s="1">
        <v>5.9558072804907598E-5</v>
      </c>
      <c r="BS112" s="1">
        <v>7.5653465005889496E-5</v>
      </c>
    </row>
    <row r="113" spans="1:71" x14ac:dyDescent="0.25">
      <c r="A113">
        <v>110</v>
      </c>
      <c r="B113" s="1">
        <v>1.00830686077397E-5</v>
      </c>
      <c r="C113">
        <v>0.105424574472708</v>
      </c>
      <c r="D113">
        <v>-3.0545663806479502E-4</v>
      </c>
      <c r="E113">
        <v>6.1312500000000104E-4</v>
      </c>
      <c r="F113">
        <v>-1.05424574472708E-3</v>
      </c>
      <c r="G113">
        <v>0</v>
      </c>
      <c r="H113" t="s">
        <v>74</v>
      </c>
      <c r="I113">
        <v>0</v>
      </c>
      <c r="J113" t="s">
        <v>75</v>
      </c>
      <c r="K113">
        <v>3.14159265358979</v>
      </c>
      <c r="L113">
        <v>0.808466401859532</v>
      </c>
      <c r="M113">
        <v>0</v>
      </c>
      <c r="N113">
        <v>4.7469158771891701E-2</v>
      </c>
      <c r="O113">
        <v>0</v>
      </c>
      <c r="P113">
        <v>1.6E-2</v>
      </c>
      <c r="Q113">
        <v>0</v>
      </c>
      <c r="R113">
        <v>0</v>
      </c>
      <c r="S113">
        <v>0</v>
      </c>
      <c r="T113">
        <v>0</v>
      </c>
      <c r="U113">
        <v>0.81498538245900198</v>
      </c>
      <c r="V113" t="s">
        <v>78</v>
      </c>
      <c r="W113">
        <v>2278127.5921106199</v>
      </c>
      <c r="X113" t="s">
        <v>76</v>
      </c>
      <c r="Y113">
        <v>-1.5707963267949001</v>
      </c>
      <c r="Z113">
        <v>0.80065960971311301</v>
      </c>
      <c r="AA113">
        <v>0.18223940329885699</v>
      </c>
      <c r="AB113">
        <v>4.3509630025180199E-2</v>
      </c>
      <c r="AC113">
        <v>1.02522927923575E-2</v>
      </c>
      <c r="AD113">
        <v>2.1235633501377301E-2</v>
      </c>
      <c r="AE113">
        <v>1.25363821918709E-2</v>
      </c>
      <c r="AF113">
        <v>0</v>
      </c>
      <c r="AG113">
        <v>0.212703921460766</v>
      </c>
      <c r="AH113">
        <v>6.4221424145005299E-2</v>
      </c>
      <c r="AI113">
        <v>0.65425206205937703</v>
      </c>
      <c r="AJ113" t="s">
        <v>74</v>
      </c>
      <c r="AK113">
        <v>0</v>
      </c>
      <c r="AL113" t="s">
        <v>77</v>
      </c>
      <c r="AM113">
        <v>0</v>
      </c>
      <c r="AN113">
        <v>0.99199999999999999</v>
      </c>
      <c r="AO113">
        <v>0</v>
      </c>
      <c r="AP113">
        <v>5.8245346242475203E-2</v>
      </c>
      <c r="AQ113">
        <v>0</v>
      </c>
      <c r="AR113">
        <v>1.6E-2</v>
      </c>
      <c r="AS113">
        <v>0</v>
      </c>
      <c r="AT113">
        <v>0</v>
      </c>
      <c r="AU113">
        <v>0</v>
      </c>
      <c r="AV113">
        <v>0</v>
      </c>
      <c r="AW113">
        <v>1</v>
      </c>
      <c r="AX113" t="s">
        <v>74</v>
      </c>
      <c r="AY113">
        <v>0</v>
      </c>
      <c r="AZ113" t="s">
        <v>76</v>
      </c>
      <c r="BA113">
        <v>-1.5707963267949001</v>
      </c>
      <c r="BB113">
        <v>0.99199999999999999</v>
      </c>
      <c r="BC113">
        <v>0</v>
      </c>
      <c r="BD113">
        <v>5.8245346242475203E-2</v>
      </c>
      <c r="BE113">
        <v>0</v>
      </c>
      <c r="BF113">
        <v>1.6E-2</v>
      </c>
      <c r="BG113">
        <v>0</v>
      </c>
      <c r="BH113">
        <v>0</v>
      </c>
      <c r="BI113">
        <v>0</v>
      </c>
      <c r="BJ113">
        <v>0</v>
      </c>
      <c r="BK113">
        <v>1</v>
      </c>
      <c r="BL113">
        <v>1.0886088703719E-4</v>
      </c>
      <c r="BM113">
        <v>1.38462672802885E-4</v>
      </c>
      <c r="BN113" s="1">
        <v>3.9670828900451902E-7</v>
      </c>
      <c r="BO113" s="1">
        <v>2.17496657836976E-6</v>
      </c>
      <c r="BP113">
        <v>0</v>
      </c>
      <c r="BQ113">
        <v>0</v>
      </c>
      <c r="BR113" s="1">
        <v>5.9529623257165101E-5</v>
      </c>
      <c r="BS113" s="1">
        <v>7.6354380765832405E-5</v>
      </c>
    </row>
    <row r="114" spans="1:71" x14ac:dyDescent="0.25">
      <c r="A114">
        <v>111</v>
      </c>
      <c r="B114" s="1">
        <v>1.00238970847662E-5</v>
      </c>
      <c r="C114">
        <v>0.10543459836979301</v>
      </c>
      <c r="D114">
        <v>-3.05510838196623E-4</v>
      </c>
      <c r="E114">
        <v>6.1312500000000104E-4</v>
      </c>
      <c r="F114">
        <v>-1.0543459836979299E-3</v>
      </c>
      <c r="G114">
        <v>0</v>
      </c>
      <c r="H114" t="s">
        <v>74</v>
      </c>
      <c r="I114">
        <v>0</v>
      </c>
      <c r="J114" t="s">
        <v>75</v>
      </c>
      <c r="K114">
        <v>3.14159265358979</v>
      </c>
      <c r="L114">
        <v>0.80678355584337103</v>
      </c>
      <c r="M114">
        <v>0</v>
      </c>
      <c r="N114">
        <v>4.7370350355677902E-2</v>
      </c>
      <c r="O114">
        <v>0</v>
      </c>
      <c r="P114">
        <v>1.6E-2</v>
      </c>
      <c r="Q114">
        <v>0</v>
      </c>
      <c r="R114">
        <v>0</v>
      </c>
      <c r="S114">
        <v>0</v>
      </c>
      <c r="T114">
        <v>0</v>
      </c>
      <c r="U114">
        <v>0.81328913217753196</v>
      </c>
      <c r="V114" t="s">
        <v>78</v>
      </c>
      <c r="W114">
        <v>2278595.31293992</v>
      </c>
      <c r="X114" t="s">
        <v>76</v>
      </c>
      <c r="Y114">
        <v>-1.5707963267949001</v>
      </c>
      <c r="Z114">
        <v>0.79897418872805803</v>
      </c>
      <c r="AA114">
        <v>0.18650835285919501</v>
      </c>
      <c r="AB114">
        <v>4.3411476102121101E-2</v>
      </c>
      <c r="AC114">
        <v>1.0427412481039899E-2</v>
      </c>
      <c r="AD114">
        <v>2.11415214617292E-2</v>
      </c>
      <c r="AE114">
        <v>1.2660693419758701E-2</v>
      </c>
      <c r="AF114">
        <v>0</v>
      </c>
      <c r="AG114">
        <v>0.21399138480636401</v>
      </c>
      <c r="AH114">
        <v>6.5473129209705397E-2</v>
      </c>
      <c r="AI114">
        <v>0.65125180581658504</v>
      </c>
      <c r="AJ114" t="s">
        <v>74</v>
      </c>
      <c r="AK114">
        <v>0</v>
      </c>
      <c r="AL114" t="s">
        <v>77</v>
      </c>
      <c r="AM114">
        <v>0</v>
      </c>
      <c r="AN114">
        <v>0.99199999999999999</v>
      </c>
      <c r="AO114">
        <v>0</v>
      </c>
      <c r="AP114">
        <v>5.8245346242475203E-2</v>
      </c>
      <c r="AQ114">
        <v>0</v>
      </c>
      <c r="AR114">
        <v>1.6E-2</v>
      </c>
      <c r="AS114">
        <v>0</v>
      </c>
      <c r="AT114">
        <v>0</v>
      </c>
      <c r="AU114">
        <v>0</v>
      </c>
      <c r="AV114">
        <v>0</v>
      </c>
      <c r="AW114">
        <v>1</v>
      </c>
      <c r="AX114" t="s">
        <v>74</v>
      </c>
      <c r="AY114">
        <v>0</v>
      </c>
      <c r="AZ114" t="s">
        <v>76</v>
      </c>
      <c r="BA114">
        <v>-1.5707963267949001</v>
      </c>
      <c r="BB114">
        <v>0.99199999999999999</v>
      </c>
      <c r="BC114">
        <v>0</v>
      </c>
      <c r="BD114">
        <v>5.8245346242475203E-2</v>
      </c>
      <c r="BE114">
        <v>0</v>
      </c>
      <c r="BF114">
        <v>1.6E-2</v>
      </c>
      <c r="BG114">
        <v>0</v>
      </c>
      <c r="BH114">
        <v>0</v>
      </c>
      <c r="BI114">
        <v>0</v>
      </c>
      <c r="BJ114">
        <v>0</v>
      </c>
      <c r="BK114">
        <v>1</v>
      </c>
      <c r="BL114">
        <v>1.08849965711895E-4</v>
      </c>
      <c r="BM114">
        <v>1.3973225700803499E-4</v>
      </c>
      <c r="BN114" s="1">
        <v>3.9659258567137598E-7</v>
      </c>
      <c r="BO114" s="1">
        <v>2.1949091604298198E-6</v>
      </c>
      <c r="BP114">
        <v>0</v>
      </c>
      <c r="BQ114">
        <v>0</v>
      </c>
      <c r="BR114" s="1">
        <v>5.9519708387581603E-5</v>
      </c>
      <c r="BS114" s="1">
        <v>7.7055297028748697E-5</v>
      </c>
    </row>
    <row r="115" spans="1:71" x14ac:dyDescent="0.25">
      <c r="A115">
        <v>112</v>
      </c>
      <c r="B115" s="1">
        <v>9.9660482558818504E-6</v>
      </c>
      <c r="C115">
        <v>0.105444564418049</v>
      </c>
      <c r="D115">
        <v>-3.0556472283371701E-4</v>
      </c>
      <c r="E115">
        <v>6.1312500000000104E-4</v>
      </c>
      <c r="F115">
        <v>-1.05444564418049E-3</v>
      </c>
      <c r="G115">
        <v>0</v>
      </c>
      <c r="H115" t="s">
        <v>74</v>
      </c>
      <c r="I115">
        <v>0</v>
      </c>
      <c r="J115" t="s">
        <v>75</v>
      </c>
      <c r="K115">
        <v>3.14159265358979</v>
      </c>
      <c r="L115">
        <v>0.80510073297183804</v>
      </c>
      <c r="M115">
        <v>0</v>
      </c>
      <c r="N115">
        <v>4.7271543298402503E-2</v>
      </c>
      <c r="O115">
        <v>0</v>
      </c>
      <c r="P115">
        <v>1.6E-2</v>
      </c>
      <c r="Q115">
        <v>0</v>
      </c>
      <c r="R115">
        <v>0</v>
      </c>
      <c r="S115">
        <v>0</v>
      </c>
      <c r="T115">
        <v>0</v>
      </c>
      <c r="U115">
        <v>0.81159287359769094</v>
      </c>
      <c r="V115" t="s">
        <v>78</v>
      </c>
      <c r="W115">
        <v>2279060.3112027901</v>
      </c>
      <c r="X115" t="s">
        <v>76</v>
      </c>
      <c r="Y115">
        <v>-1.5707963267949001</v>
      </c>
      <c r="Z115">
        <v>0.79728895798420096</v>
      </c>
      <c r="AA115">
        <v>0.18650835285919501</v>
      </c>
      <c r="AB115">
        <v>4.3313397656170198E-2</v>
      </c>
      <c r="AC115">
        <v>1.0467592888500601E-2</v>
      </c>
      <c r="AD115">
        <v>2.1047078739527599E-2</v>
      </c>
      <c r="AE115">
        <v>1.2785054339742599E-2</v>
      </c>
      <c r="AF115">
        <v>0</v>
      </c>
      <c r="AG115">
        <v>0.21526516637128501</v>
      </c>
      <c r="AH115">
        <v>6.6738481133225697E-2</v>
      </c>
      <c r="AI115">
        <v>0.64825510295459099</v>
      </c>
      <c r="AJ115" t="s">
        <v>74</v>
      </c>
      <c r="AK115">
        <v>0</v>
      </c>
      <c r="AL115" t="s">
        <v>77</v>
      </c>
      <c r="AM115">
        <v>0</v>
      </c>
      <c r="AN115">
        <v>0.99199999999999999</v>
      </c>
      <c r="AO115">
        <v>0</v>
      </c>
      <c r="AP115">
        <v>5.8245346242475203E-2</v>
      </c>
      <c r="AQ115">
        <v>0</v>
      </c>
      <c r="AR115">
        <v>1.6E-2</v>
      </c>
      <c r="AS115">
        <v>0</v>
      </c>
      <c r="AT115">
        <v>0</v>
      </c>
      <c r="AU115">
        <v>0</v>
      </c>
      <c r="AV115">
        <v>0</v>
      </c>
      <c r="AW115">
        <v>1</v>
      </c>
      <c r="AX115" t="s">
        <v>74</v>
      </c>
      <c r="AY115">
        <v>0</v>
      </c>
      <c r="AZ115" t="s">
        <v>76</v>
      </c>
      <c r="BA115">
        <v>-1.5707963267949001</v>
      </c>
      <c r="BB115">
        <v>0.99199999999999999</v>
      </c>
      <c r="BC115">
        <v>0</v>
      </c>
      <c r="BD115">
        <v>5.8245346242475203E-2</v>
      </c>
      <c r="BE115">
        <v>0</v>
      </c>
      <c r="BF115">
        <v>1.6E-2</v>
      </c>
      <c r="BG115">
        <v>0</v>
      </c>
      <c r="BH115">
        <v>0</v>
      </c>
      <c r="BI115">
        <v>0</v>
      </c>
      <c r="BJ115">
        <v>0</v>
      </c>
      <c r="BK115">
        <v>1</v>
      </c>
      <c r="BL115">
        <v>1.08771613164012E-4</v>
      </c>
      <c r="BM115">
        <v>1.4100182375225499E-4</v>
      </c>
      <c r="BN115" s="1">
        <v>3.9634222683273502E-7</v>
      </c>
      <c r="BO115" s="1">
        <v>2.2148514682142399E-6</v>
      </c>
      <c r="BP115">
        <v>0</v>
      </c>
      <c r="BQ115">
        <v>0</v>
      </c>
      <c r="BR115" s="1">
        <v>5.9472604051970297E-5</v>
      </c>
      <c r="BS115" s="1">
        <v>7.7756213677360804E-5</v>
      </c>
    </row>
    <row r="116" spans="1:71" x14ac:dyDescent="0.25">
      <c r="A116">
        <v>113</v>
      </c>
      <c r="B116" s="1">
        <v>9.9094903991034203E-6</v>
      </c>
      <c r="C116">
        <v>0.105454473908448</v>
      </c>
      <c r="D116">
        <v>-3.05618299002767E-4</v>
      </c>
      <c r="E116">
        <v>6.1312500000000104E-4</v>
      </c>
      <c r="F116">
        <v>-1.05454473908448E-3</v>
      </c>
      <c r="G116" s="1">
        <v>1.0842021724855E-19</v>
      </c>
      <c r="H116" t="s">
        <v>74</v>
      </c>
      <c r="I116">
        <v>0</v>
      </c>
      <c r="J116" t="s">
        <v>75</v>
      </c>
      <c r="K116">
        <v>3.14159265358979</v>
      </c>
      <c r="L116">
        <v>0.803417933474872</v>
      </c>
      <c r="M116">
        <v>0</v>
      </c>
      <c r="N116">
        <v>4.7172737613566398E-2</v>
      </c>
      <c r="O116">
        <v>0</v>
      </c>
      <c r="P116">
        <v>1.6E-2</v>
      </c>
      <c r="Q116">
        <v>0</v>
      </c>
      <c r="R116">
        <v>0</v>
      </c>
      <c r="S116">
        <v>0</v>
      </c>
      <c r="T116">
        <v>0</v>
      </c>
      <c r="U116">
        <v>0.80989661314194605</v>
      </c>
      <c r="V116" t="s">
        <v>78</v>
      </c>
      <c r="W116">
        <v>2279522.64753618</v>
      </c>
      <c r="X116" t="s">
        <v>76</v>
      </c>
      <c r="Y116">
        <v>-1.5707963267949001</v>
      </c>
      <c r="Z116">
        <v>0.79560391505376704</v>
      </c>
      <c r="AA116">
        <v>0.18861057104276399</v>
      </c>
      <c r="AB116">
        <v>4.3215393473390901E-2</v>
      </c>
      <c r="AC116">
        <v>1.0574630760794901E-2</v>
      </c>
      <c r="AD116">
        <v>2.0952311429009801E-2</v>
      </c>
      <c r="AE116">
        <v>1.29094636800737E-2</v>
      </c>
      <c r="AF116">
        <v>0</v>
      </c>
      <c r="AG116">
        <v>0.21652521155125301</v>
      </c>
      <c r="AH116">
        <v>6.8017534172897798E-2</v>
      </c>
      <c r="AI116">
        <v>0.64526196968030602</v>
      </c>
      <c r="AJ116" t="s">
        <v>74</v>
      </c>
      <c r="AK116">
        <v>0</v>
      </c>
      <c r="AL116" t="s">
        <v>77</v>
      </c>
      <c r="AM116">
        <v>0</v>
      </c>
      <c r="AN116">
        <v>0.99199999999999999</v>
      </c>
      <c r="AO116">
        <v>0</v>
      </c>
      <c r="AP116">
        <v>5.8245346242475203E-2</v>
      </c>
      <c r="AQ116">
        <v>0</v>
      </c>
      <c r="AR116">
        <v>1.6E-2</v>
      </c>
      <c r="AS116">
        <v>0</v>
      </c>
      <c r="AT116">
        <v>0</v>
      </c>
      <c r="AU116">
        <v>0</v>
      </c>
      <c r="AV116">
        <v>0</v>
      </c>
      <c r="AW116">
        <v>1</v>
      </c>
      <c r="AX116" t="s">
        <v>74</v>
      </c>
      <c r="AY116">
        <v>0</v>
      </c>
      <c r="AZ116" t="s">
        <v>76</v>
      </c>
      <c r="BA116">
        <v>-1.5707963267949001</v>
      </c>
      <c r="BB116">
        <v>0.99199999999999999</v>
      </c>
      <c r="BC116">
        <v>0</v>
      </c>
      <c r="BD116">
        <v>5.8245346242475203E-2</v>
      </c>
      <c r="BE116">
        <v>0</v>
      </c>
      <c r="BF116">
        <v>1.6E-2</v>
      </c>
      <c r="BG116">
        <v>0</v>
      </c>
      <c r="BH116">
        <v>0</v>
      </c>
      <c r="BI116">
        <v>0</v>
      </c>
      <c r="BJ116">
        <v>0</v>
      </c>
      <c r="BK116">
        <v>1</v>
      </c>
      <c r="BL116">
        <v>1.0872672716635099E-4</v>
      </c>
      <c r="BM116">
        <v>1.4227137286207601E-4</v>
      </c>
      <c r="BN116" s="1">
        <v>3.96159002827735E-7</v>
      </c>
      <c r="BO116" s="1">
        <v>2.2347934989981598E-6</v>
      </c>
      <c r="BP116">
        <v>0</v>
      </c>
      <c r="BQ116">
        <v>0</v>
      </c>
      <c r="BR116" s="1">
        <v>5.94439503687781E-5</v>
      </c>
      <c r="BS116" s="1">
        <v>7.8457130594342602E-5</v>
      </c>
    </row>
    <row r="117" spans="1:71" x14ac:dyDescent="0.25">
      <c r="A117">
        <v>114</v>
      </c>
      <c r="B117" s="1">
        <v>9.8541929784528596E-6</v>
      </c>
      <c r="C117">
        <v>0.105464328101426</v>
      </c>
      <c r="D117">
        <v>-3.0567157356372102E-4</v>
      </c>
      <c r="E117">
        <v>6.1312500000000104E-4</v>
      </c>
      <c r="F117">
        <v>-1.0546432810142599E-3</v>
      </c>
      <c r="G117" s="1">
        <v>1.0842021724855E-19</v>
      </c>
      <c r="H117" t="s">
        <v>74</v>
      </c>
      <c r="I117">
        <v>0</v>
      </c>
      <c r="J117" t="s">
        <v>75</v>
      </c>
      <c r="K117">
        <v>3.14159265358979</v>
      </c>
      <c r="L117">
        <v>0.80173515758566705</v>
      </c>
      <c r="M117">
        <v>0</v>
      </c>
      <c r="N117">
        <v>4.7073933314861503E-2</v>
      </c>
      <c r="O117">
        <v>0</v>
      </c>
      <c r="P117">
        <v>1.6E-2</v>
      </c>
      <c r="Q117">
        <v>0</v>
      </c>
      <c r="R117">
        <v>0</v>
      </c>
      <c r="S117">
        <v>0</v>
      </c>
      <c r="T117">
        <v>0</v>
      </c>
      <c r="U117">
        <v>0.808200355982441</v>
      </c>
      <c r="V117" t="s">
        <v>78</v>
      </c>
      <c r="W117">
        <v>2279982.3811380998</v>
      </c>
      <c r="X117" t="s">
        <v>76</v>
      </c>
      <c r="Y117">
        <v>-1.5707963267949001</v>
      </c>
      <c r="Z117">
        <v>0.79391905757556702</v>
      </c>
      <c r="AA117">
        <v>0.190703142242241</v>
      </c>
      <c r="AB117">
        <v>4.3117462370553E-2</v>
      </c>
      <c r="AC117">
        <v>1.0681361314026999E-2</v>
      </c>
      <c r="AD117">
        <v>2.0857225490066699E-2</v>
      </c>
      <c r="AE117">
        <v>1.30339201823309E-2</v>
      </c>
      <c r="AF117">
        <v>0</v>
      </c>
      <c r="AG117">
        <v>0.217771465243569</v>
      </c>
      <c r="AH117">
        <v>6.9310343079564601E-2</v>
      </c>
      <c r="AI117">
        <v>0.64227242213598801</v>
      </c>
      <c r="AJ117" t="s">
        <v>74</v>
      </c>
      <c r="AK117">
        <v>0</v>
      </c>
      <c r="AL117" t="s">
        <v>77</v>
      </c>
      <c r="AM117">
        <v>0</v>
      </c>
      <c r="AN117">
        <v>0.99199999999999999</v>
      </c>
      <c r="AO117">
        <v>0</v>
      </c>
      <c r="AP117">
        <v>5.8245346242475203E-2</v>
      </c>
      <c r="AQ117">
        <v>0</v>
      </c>
      <c r="AR117">
        <v>1.6E-2</v>
      </c>
      <c r="AS117">
        <v>0</v>
      </c>
      <c r="AT117">
        <v>0</v>
      </c>
      <c r="AU117">
        <v>0</v>
      </c>
      <c r="AV117">
        <v>0</v>
      </c>
      <c r="AW117">
        <v>1</v>
      </c>
      <c r="AX117" t="s">
        <v>74</v>
      </c>
      <c r="AY117">
        <v>0</v>
      </c>
      <c r="AZ117" t="s">
        <v>76</v>
      </c>
      <c r="BA117">
        <v>-1.5707963267949001</v>
      </c>
      <c r="BB117">
        <v>0.99199999999999999</v>
      </c>
      <c r="BC117">
        <v>0</v>
      </c>
      <c r="BD117">
        <v>5.8245346242475203E-2</v>
      </c>
      <c r="BE117">
        <v>0</v>
      </c>
      <c r="BF117">
        <v>1.6E-2</v>
      </c>
      <c r="BG117">
        <v>0</v>
      </c>
      <c r="BH117">
        <v>0</v>
      </c>
      <c r="BI117">
        <v>0</v>
      </c>
      <c r="BJ117">
        <v>0</v>
      </c>
      <c r="BK117">
        <v>1</v>
      </c>
      <c r="BL117">
        <v>1.08681724742196E-4</v>
      </c>
      <c r="BM117">
        <v>1.4354090416156701E-4</v>
      </c>
      <c r="BN117" s="1">
        <v>3.9597574717196898E-7</v>
      </c>
      <c r="BO117" s="1">
        <v>2.2547352500180701E-6</v>
      </c>
      <c r="BP117">
        <v>0</v>
      </c>
      <c r="BQ117">
        <v>0</v>
      </c>
      <c r="BR117" s="1">
        <v>5.9415228099948197E-5</v>
      </c>
      <c r="BS117" s="1">
        <v>7.9158047662271404E-5</v>
      </c>
    </row>
    <row r="118" spans="1:71" x14ac:dyDescent="0.25">
      <c r="A118">
        <v>115</v>
      </c>
      <c r="B118" s="1">
        <v>9.8001265935213706E-6</v>
      </c>
      <c r="C118">
        <v>0.10547412822802001</v>
      </c>
      <c r="D118">
        <v>-3.0572455321598301E-4</v>
      </c>
      <c r="E118">
        <v>6.1312500000000104E-4</v>
      </c>
      <c r="F118">
        <v>-1.0547412822802E-3</v>
      </c>
      <c r="G118" s="1">
        <v>1.0842021724855E-19</v>
      </c>
      <c r="H118" t="s">
        <v>74</v>
      </c>
      <c r="I118">
        <v>0</v>
      </c>
      <c r="J118" t="s">
        <v>75</v>
      </c>
      <c r="K118">
        <v>3.14159265358979</v>
      </c>
      <c r="L118">
        <v>0.80005240554075097</v>
      </c>
      <c r="M118">
        <v>0</v>
      </c>
      <c r="N118">
        <v>4.6975130416175702E-2</v>
      </c>
      <c r="O118">
        <v>0</v>
      </c>
      <c r="P118">
        <v>1.6E-2</v>
      </c>
      <c r="Q118">
        <v>0</v>
      </c>
      <c r="R118">
        <v>0</v>
      </c>
      <c r="S118">
        <v>0</v>
      </c>
      <c r="T118">
        <v>0</v>
      </c>
      <c r="U118">
        <v>0.80650410630344305</v>
      </c>
      <c r="V118" t="s">
        <v>78</v>
      </c>
      <c r="W118">
        <v>2280439.56982115</v>
      </c>
      <c r="X118" t="s">
        <v>76</v>
      </c>
      <c r="Y118">
        <v>-1.5707963267949001</v>
      </c>
      <c r="Z118">
        <v>0.79223438325287798</v>
      </c>
      <c r="AA118">
        <v>0.190703142242241</v>
      </c>
      <c r="AB118">
        <v>4.3019603194063998E-2</v>
      </c>
      <c r="AC118">
        <v>1.07215214300294E-2</v>
      </c>
      <c r="AD118">
        <v>2.0761826752846699E-2</v>
      </c>
      <c r="AE118">
        <v>1.3158422600995E-2</v>
      </c>
      <c r="AF118">
        <v>0</v>
      </c>
      <c r="AG118">
        <v>0.21900387184028899</v>
      </c>
      <c r="AH118">
        <v>7.0616963104283295E-2</v>
      </c>
      <c r="AI118">
        <v>0.63928647640443803</v>
      </c>
      <c r="AJ118" t="s">
        <v>74</v>
      </c>
      <c r="AK118">
        <v>0</v>
      </c>
      <c r="AL118" t="s">
        <v>77</v>
      </c>
      <c r="AM118">
        <v>0</v>
      </c>
      <c r="AN118">
        <v>0.99199999999999999</v>
      </c>
      <c r="AO118">
        <v>0</v>
      </c>
      <c r="AP118">
        <v>5.8245346242475203E-2</v>
      </c>
      <c r="AQ118">
        <v>0</v>
      </c>
      <c r="AR118">
        <v>1.6E-2</v>
      </c>
      <c r="AS118">
        <v>0</v>
      </c>
      <c r="AT118">
        <v>0</v>
      </c>
      <c r="AU118">
        <v>0</v>
      </c>
      <c r="AV118">
        <v>0</v>
      </c>
      <c r="AW118">
        <v>1</v>
      </c>
      <c r="AX118" t="s">
        <v>74</v>
      </c>
      <c r="AY118">
        <v>0</v>
      </c>
      <c r="AZ118" t="s">
        <v>76</v>
      </c>
      <c r="BA118">
        <v>-1.5707963267949001</v>
      </c>
      <c r="BB118">
        <v>0.99199999999999999</v>
      </c>
      <c r="BC118">
        <v>0</v>
      </c>
      <c r="BD118">
        <v>5.8245346242475203E-2</v>
      </c>
      <c r="BE118">
        <v>0</v>
      </c>
      <c r="BF118">
        <v>1.6E-2</v>
      </c>
      <c r="BG118">
        <v>0</v>
      </c>
      <c r="BH118">
        <v>0</v>
      </c>
      <c r="BI118">
        <v>0</v>
      </c>
      <c r="BJ118">
        <v>0</v>
      </c>
      <c r="BK118">
        <v>1</v>
      </c>
      <c r="BL118">
        <v>1.0860347376261E-4</v>
      </c>
      <c r="BM118">
        <v>1.4481041747228601E-4</v>
      </c>
      <c r="BN118" s="1">
        <v>3.9572619056612401E-7</v>
      </c>
      <c r="BO118" s="1">
        <v>2.2746767184710198E-6</v>
      </c>
      <c r="BP118">
        <v>0</v>
      </c>
      <c r="BQ118">
        <v>0</v>
      </c>
      <c r="BR118" s="1">
        <v>5.9368165866102799E-5</v>
      </c>
      <c r="BS118" s="1">
        <v>7.9858964763579999E-5</v>
      </c>
    </row>
    <row r="119" spans="1:71" x14ac:dyDescent="0.25">
      <c r="A119">
        <v>116</v>
      </c>
      <c r="B119" s="1">
        <v>9.7472629318270592E-6</v>
      </c>
      <c r="C119">
        <v>0.10548387549095201</v>
      </c>
      <c r="D119">
        <v>-3.0577724450435201E-4</v>
      </c>
      <c r="E119">
        <v>6.1312499999999995E-4</v>
      </c>
      <c r="F119">
        <v>-1.0548387549095201E-3</v>
      </c>
      <c r="G119" s="1">
        <v>1.0842021724855E-19</v>
      </c>
      <c r="H119" t="s">
        <v>74</v>
      </c>
      <c r="I119">
        <v>0</v>
      </c>
      <c r="J119" t="s">
        <v>75</v>
      </c>
      <c r="K119">
        <v>3.14159265358979</v>
      </c>
      <c r="L119">
        <v>0.79836967758004895</v>
      </c>
      <c r="M119">
        <v>0</v>
      </c>
      <c r="N119">
        <v>4.6876328931595997E-2</v>
      </c>
      <c r="O119">
        <v>0</v>
      </c>
      <c r="P119">
        <v>1.6E-2</v>
      </c>
      <c r="Q119">
        <v>0</v>
      </c>
      <c r="R119">
        <v>0</v>
      </c>
      <c r="S119">
        <v>0</v>
      </c>
      <c r="T119">
        <v>0</v>
      </c>
      <c r="U119">
        <v>0.80480786750716204</v>
      </c>
      <c r="V119" t="s">
        <v>78</v>
      </c>
      <c r="W119">
        <v>2280894.27006377</v>
      </c>
      <c r="X119" t="s">
        <v>76</v>
      </c>
      <c r="Y119">
        <v>-1.5707963267949001</v>
      </c>
      <c r="Z119">
        <v>0.79054988985139196</v>
      </c>
      <c r="AA119">
        <v>0.19277632478322801</v>
      </c>
      <c r="AB119">
        <v>4.2921814818945199E-2</v>
      </c>
      <c r="AC119">
        <v>1.08276326396916E-2</v>
      </c>
      <c r="AD119">
        <v>2.06661209221684E-2</v>
      </c>
      <c r="AE119">
        <v>1.3282969703038E-2</v>
      </c>
      <c r="AF119">
        <v>0</v>
      </c>
      <c r="AG119">
        <v>0.22022237522127799</v>
      </c>
      <c r="AH119">
        <v>7.1937450005179898E-2</v>
      </c>
      <c r="AI119">
        <v>0.63630414851398498</v>
      </c>
      <c r="AJ119" t="s">
        <v>74</v>
      </c>
      <c r="AK119">
        <v>0</v>
      </c>
      <c r="AL119" t="s">
        <v>77</v>
      </c>
      <c r="AM119">
        <v>0</v>
      </c>
      <c r="AN119">
        <v>0.99199999999999999</v>
      </c>
      <c r="AO119">
        <v>0</v>
      </c>
      <c r="AP119">
        <v>5.8245346242475203E-2</v>
      </c>
      <c r="AQ119">
        <v>0</v>
      </c>
      <c r="AR119">
        <v>1.6E-2</v>
      </c>
      <c r="AS119">
        <v>0</v>
      </c>
      <c r="AT119">
        <v>0</v>
      </c>
      <c r="AU119">
        <v>0</v>
      </c>
      <c r="AV119">
        <v>0</v>
      </c>
      <c r="AW119">
        <v>1</v>
      </c>
      <c r="AX119" t="s">
        <v>74</v>
      </c>
      <c r="AY119">
        <v>0</v>
      </c>
      <c r="AZ119" t="s">
        <v>76</v>
      </c>
      <c r="BA119">
        <v>-1.5707963267949001</v>
      </c>
      <c r="BB119">
        <v>0.99199999999999999</v>
      </c>
      <c r="BC119">
        <v>0</v>
      </c>
      <c r="BD119">
        <v>5.8245346242475203E-2</v>
      </c>
      <c r="BE119">
        <v>0</v>
      </c>
      <c r="BF119">
        <v>1.6E-2</v>
      </c>
      <c r="BG119">
        <v>0</v>
      </c>
      <c r="BH119">
        <v>0</v>
      </c>
      <c r="BI119">
        <v>0</v>
      </c>
      <c r="BJ119">
        <v>0</v>
      </c>
      <c r="BK119">
        <v>1</v>
      </c>
      <c r="BL119">
        <v>1.0855823443759201E-4</v>
      </c>
      <c r="BM119">
        <v>1.4607991261322899E-4</v>
      </c>
      <c r="BN119" s="1">
        <v>3.9554285302299999E-7</v>
      </c>
      <c r="BO119" s="1">
        <v>2.2946179015137899E-6</v>
      </c>
      <c r="BP119">
        <v>0</v>
      </c>
      <c r="BQ119">
        <v>0</v>
      </c>
      <c r="BR119" s="1">
        <v>5.9339304241636999E-5</v>
      </c>
      <c r="BS119" s="1">
        <v>8.0559881780514002E-5</v>
      </c>
    </row>
    <row r="120" spans="1:71" x14ac:dyDescent="0.25">
      <c r="A120">
        <v>117</v>
      </c>
      <c r="B120" s="1">
        <v>9.6955747235293192E-6</v>
      </c>
      <c r="C120">
        <v>0.105493571065675</v>
      </c>
      <c r="D120">
        <v>-3.0582965382471098E-4</v>
      </c>
      <c r="E120">
        <v>6.1312499999999995E-4</v>
      </c>
      <c r="F120">
        <v>-1.0549357106567499E-3</v>
      </c>
      <c r="G120">
        <v>0</v>
      </c>
      <c r="H120" t="s">
        <v>74</v>
      </c>
      <c r="I120">
        <v>0</v>
      </c>
      <c r="J120" t="s">
        <v>75</v>
      </c>
      <c r="K120">
        <v>3.14159265358979</v>
      </c>
      <c r="L120">
        <v>0.79668697394695598</v>
      </c>
      <c r="M120">
        <v>0</v>
      </c>
      <c r="N120">
        <v>4.6777528875413601E-2</v>
      </c>
      <c r="O120">
        <v>0</v>
      </c>
      <c r="P120">
        <v>1.6E-2</v>
      </c>
      <c r="Q120">
        <v>0</v>
      </c>
      <c r="R120">
        <v>0</v>
      </c>
      <c r="S120">
        <v>0</v>
      </c>
      <c r="T120">
        <v>0</v>
      </c>
      <c r="U120">
        <v>0.80311164237551302</v>
      </c>
      <c r="V120" t="s">
        <v>78</v>
      </c>
      <c r="W120">
        <v>2281346.5370593299</v>
      </c>
      <c r="X120" t="s">
        <v>76</v>
      </c>
      <c r="Y120">
        <v>-1.5707963267949001</v>
      </c>
      <c r="Z120">
        <v>0.78886557519727696</v>
      </c>
      <c r="AA120">
        <v>0.19483976680142201</v>
      </c>
      <c r="AB120">
        <v>4.28240961478513E-2</v>
      </c>
      <c r="AC120">
        <v>1.0933431848358899E-2</v>
      </c>
      <c r="AD120">
        <v>2.05701135817534E-2</v>
      </c>
      <c r="AE120">
        <v>1.3407560267523801E-2</v>
      </c>
      <c r="AF120">
        <v>0</v>
      </c>
      <c r="AG120">
        <v>0.22142691874710399</v>
      </c>
      <c r="AH120">
        <v>7.3271860054433993E-2</v>
      </c>
      <c r="AI120">
        <v>0.63332545444331101</v>
      </c>
      <c r="AJ120" t="s">
        <v>74</v>
      </c>
      <c r="AK120">
        <v>0</v>
      </c>
      <c r="AL120" t="s">
        <v>77</v>
      </c>
      <c r="AM120">
        <v>0</v>
      </c>
      <c r="AN120">
        <v>0.99199999999999999</v>
      </c>
      <c r="AO120">
        <v>0</v>
      </c>
      <c r="AP120">
        <v>5.8245346242475203E-2</v>
      </c>
      <c r="AQ120">
        <v>0</v>
      </c>
      <c r="AR120">
        <v>1.6E-2</v>
      </c>
      <c r="AS120">
        <v>0</v>
      </c>
      <c r="AT120">
        <v>0</v>
      </c>
      <c r="AU120">
        <v>0</v>
      </c>
      <c r="AV120">
        <v>0</v>
      </c>
      <c r="AW120">
        <v>1</v>
      </c>
      <c r="AX120" t="s">
        <v>74</v>
      </c>
      <c r="AY120">
        <v>0</v>
      </c>
      <c r="AZ120" t="s">
        <v>76</v>
      </c>
      <c r="BA120">
        <v>-1.5707963267949001</v>
      </c>
      <c r="BB120">
        <v>0.99199999999999999</v>
      </c>
      <c r="BC120">
        <v>0</v>
      </c>
      <c r="BD120">
        <v>5.8245346242475203E-2</v>
      </c>
      <c r="BE120">
        <v>0</v>
      </c>
      <c r="BF120">
        <v>1.6E-2</v>
      </c>
      <c r="BG120">
        <v>0</v>
      </c>
      <c r="BH120">
        <v>0</v>
      </c>
      <c r="BI120">
        <v>0</v>
      </c>
      <c r="BJ120">
        <v>0</v>
      </c>
      <c r="BK120">
        <v>1</v>
      </c>
      <c r="BL120">
        <v>1.08512874678287E-4</v>
      </c>
      <c r="BM120">
        <v>1.47349389400769E-4</v>
      </c>
      <c r="BN120" s="1">
        <v>3.9535946547526598E-7</v>
      </c>
      <c r="BO120" s="1">
        <v>2.3145587962619901E-6</v>
      </c>
      <c r="BP120">
        <v>0</v>
      </c>
      <c r="BQ120">
        <v>0</v>
      </c>
      <c r="BR120" s="1">
        <v>5.9310372053688998E-5</v>
      </c>
      <c r="BS120" s="1">
        <v>8.1260798595083499E-5</v>
      </c>
    </row>
    <row r="121" spans="1:71" x14ac:dyDescent="0.25">
      <c r="A121">
        <v>118</v>
      </c>
      <c r="B121" s="1">
        <v>9.6450356986712208E-6</v>
      </c>
      <c r="C121">
        <v>0.105503216101374</v>
      </c>
      <c r="D121">
        <v>-3.0588178742948997E-4</v>
      </c>
      <c r="E121">
        <v>6.1312499999999995E-4</v>
      </c>
      <c r="F121">
        <v>-1.0550321610137399E-3</v>
      </c>
      <c r="G121">
        <v>0</v>
      </c>
      <c r="H121" t="s">
        <v>74</v>
      </c>
      <c r="I121">
        <v>0</v>
      </c>
      <c r="J121" t="s">
        <v>75</v>
      </c>
      <c r="K121">
        <v>3.14159265358979</v>
      </c>
      <c r="L121">
        <v>0.79500429488840896</v>
      </c>
      <c r="M121">
        <v>0</v>
      </c>
      <c r="N121">
        <v>4.6678730262127197E-2</v>
      </c>
      <c r="O121">
        <v>0</v>
      </c>
      <c r="P121">
        <v>1.6E-2</v>
      </c>
      <c r="Q121">
        <v>0</v>
      </c>
      <c r="R121">
        <v>0</v>
      </c>
      <c r="S121">
        <v>0</v>
      </c>
      <c r="T121">
        <v>0</v>
      </c>
      <c r="U121">
        <v>0.80141543319751496</v>
      </c>
      <c r="V121" t="s">
        <v>78</v>
      </c>
      <c r="W121">
        <v>2281796.4247632702</v>
      </c>
      <c r="X121" t="s">
        <v>76</v>
      </c>
      <c r="Y121">
        <v>-1.5707963267949001</v>
      </c>
      <c r="Z121">
        <v>0.78718143717529299</v>
      </c>
      <c r="AA121">
        <v>0.196893438248641</v>
      </c>
      <c r="AB121">
        <v>4.27264461101311E-2</v>
      </c>
      <c r="AC121">
        <v>1.10389196022756E-2</v>
      </c>
      <c r="AD121">
        <v>2.0473810198286601E-2</v>
      </c>
      <c r="AE121">
        <v>1.35321930852229E-2</v>
      </c>
      <c r="AF121">
        <v>0</v>
      </c>
      <c r="AG121">
        <v>0.22261744525179999</v>
      </c>
      <c r="AH121">
        <v>7.4620250045426398E-2</v>
      </c>
      <c r="AI121">
        <v>0.63035041012607296</v>
      </c>
      <c r="AJ121" t="s">
        <v>74</v>
      </c>
      <c r="AK121">
        <v>0</v>
      </c>
      <c r="AL121" t="s">
        <v>77</v>
      </c>
      <c r="AM121">
        <v>0</v>
      </c>
      <c r="AN121">
        <v>0.99199999999999999</v>
      </c>
      <c r="AO121">
        <v>0</v>
      </c>
      <c r="AP121">
        <v>5.8245346242475203E-2</v>
      </c>
      <c r="AQ121">
        <v>0</v>
      </c>
      <c r="AR121">
        <v>1.6E-2</v>
      </c>
      <c r="AS121">
        <v>0</v>
      </c>
      <c r="AT121">
        <v>0</v>
      </c>
      <c r="AU121">
        <v>0</v>
      </c>
      <c r="AV121">
        <v>0</v>
      </c>
      <c r="AW121">
        <v>1</v>
      </c>
      <c r="AX121" t="s">
        <v>74</v>
      </c>
      <c r="AY121">
        <v>0</v>
      </c>
      <c r="AZ121" t="s">
        <v>76</v>
      </c>
      <c r="BA121">
        <v>-1.5707963267949001</v>
      </c>
      <c r="BB121">
        <v>0.99199999999999999</v>
      </c>
      <c r="BC121">
        <v>0</v>
      </c>
      <c r="BD121">
        <v>5.8245346242475203E-2</v>
      </c>
      <c r="BE121">
        <v>0</v>
      </c>
      <c r="BF121">
        <v>1.6E-2</v>
      </c>
      <c r="BG121">
        <v>0</v>
      </c>
      <c r="BH121">
        <v>0</v>
      </c>
      <c r="BI121">
        <v>0</v>
      </c>
      <c r="BJ121">
        <v>0</v>
      </c>
      <c r="BK121">
        <v>1</v>
      </c>
      <c r="BL121">
        <v>1.0846739422974199E-4</v>
      </c>
      <c r="BM121">
        <v>1.48618847648613E-4</v>
      </c>
      <c r="BN121" s="1">
        <v>3.9517602599487599E-7</v>
      </c>
      <c r="BO121" s="1">
        <v>2.3344993997893198E-6</v>
      </c>
      <c r="BP121">
        <v>0</v>
      </c>
      <c r="BQ121">
        <v>0</v>
      </c>
      <c r="BR121" s="1">
        <v>5.9281369235110603E-5</v>
      </c>
      <c r="BS121" s="1">
        <v>8.1961715089023406E-5</v>
      </c>
    </row>
    <row r="122" spans="1:71" x14ac:dyDescent="0.25">
      <c r="A122">
        <v>119</v>
      </c>
      <c r="B122" s="1">
        <v>9.5956205465126403E-6</v>
      </c>
      <c r="C122">
        <v>0.10551281172191999</v>
      </c>
      <c r="D122">
        <v>-3.05933651432896E-4</v>
      </c>
      <c r="E122">
        <v>6.1312499999999995E-4</v>
      </c>
      <c r="F122">
        <v>-1.0551281172192001E-3</v>
      </c>
      <c r="G122" s="1">
        <v>1.0842021724855E-19</v>
      </c>
      <c r="H122" t="s">
        <v>74</v>
      </c>
      <c r="I122">
        <v>0</v>
      </c>
      <c r="J122" t="s">
        <v>75</v>
      </c>
      <c r="K122">
        <v>3.14159265358979</v>
      </c>
      <c r="L122">
        <v>0.79332164065495703</v>
      </c>
      <c r="M122">
        <v>0</v>
      </c>
      <c r="N122">
        <v>4.6579933106448097E-2</v>
      </c>
      <c r="O122">
        <v>0</v>
      </c>
      <c r="P122">
        <v>1.6E-2</v>
      </c>
      <c r="Q122">
        <v>0</v>
      </c>
      <c r="R122">
        <v>0</v>
      </c>
      <c r="S122">
        <v>0</v>
      </c>
      <c r="T122">
        <v>0</v>
      </c>
      <c r="U122">
        <v>0.79971924186985499</v>
      </c>
      <c r="V122" t="s">
        <v>78</v>
      </c>
      <c r="W122">
        <v>2282243.9859382198</v>
      </c>
      <c r="X122" t="s">
        <v>76</v>
      </c>
      <c r="Y122">
        <v>-1.5707963267949001</v>
      </c>
      <c r="Z122">
        <v>0.78549747372701495</v>
      </c>
      <c r="AA122">
        <v>0.196893438248641</v>
      </c>
      <c r="AB122">
        <v>4.2628863660926698E-2</v>
      </c>
      <c r="AC122">
        <v>1.10790568285447E-2</v>
      </c>
      <c r="AD122">
        <v>2.0377216125313499E-2</v>
      </c>
      <c r="AE122">
        <v>1.36568669582373E-2</v>
      </c>
      <c r="AF122">
        <v>0</v>
      </c>
      <c r="AG122">
        <v>0.22379389703545599</v>
      </c>
      <c r="AH122">
        <v>7.5982677300021506E-2</v>
      </c>
      <c r="AI122">
        <v>0.62737903145538898</v>
      </c>
      <c r="AJ122" t="s">
        <v>74</v>
      </c>
      <c r="AK122">
        <v>0</v>
      </c>
      <c r="AL122" t="s">
        <v>77</v>
      </c>
      <c r="AM122">
        <v>0</v>
      </c>
      <c r="AN122">
        <v>0.99199999999999999</v>
      </c>
      <c r="AO122">
        <v>0</v>
      </c>
      <c r="AP122">
        <v>5.8245346242475203E-2</v>
      </c>
      <c r="AQ122">
        <v>0</v>
      </c>
      <c r="AR122">
        <v>1.6E-2</v>
      </c>
      <c r="AS122">
        <v>0</v>
      </c>
      <c r="AT122">
        <v>0</v>
      </c>
      <c r="AU122">
        <v>0</v>
      </c>
      <c r="AV122">
        <v>0</v>
      </c>
      <c r="AW122">
        <v>1</v>
      </c>
      <c r="AX122" t="s">
        <v>74</v>
      </c>
      <c r="AY122">
        <v>0</v>
      </c>
      <c r="AZ122" t="s">
        <v>76</v>
      </c>
      <c r="BA122">
        <v>-1.5707963267949001</v>
      </c>
      <c r="BB122">
        <v>0.99199999999999999</v>
      </c>
      <c r="BC122">
        <v>0</v>
      </c>
      <c r="BD122">
        <v>5.8245346242475203E-2</v>
      </c>
      <c r="BE122">
        <v>0</v>
      </c>
      <c r="BF122">
        <v>1.6E-2</v>
      </c>
      <c r="BG122">
        <v>0</v>
      </c>
      <c r="BH122">
        <v>0</v>
      </c>
      <c r="BI122">
        <v>0</v>
      </c>
      <c r="BJ122">
        <v>0</v>
      </c>
      <c r="BK122">
        <v>1</v>
      </c>
      <c r="BL122">
        <v>1.08389273040435E-4</v>
      </c>
      <c r="BM122">
        <v>1.4988828716773901E-4</v>
      </c>
      <c r="BN122" s="1">
        <v>3.9492749086554697E-7</v>
      </c>
      <c r="BO122" s="1">
        <v>2.3544397091266202E-6</v>
      </c>
      <c r="BP122">
        <v>0</v>
      </c>
      <c r="BQ122">
        <v>0</v>
      </c>
      <c r="BR122" s="1">
        <v>5.9234361213970297E-5</v>
      </c>
      <c r="BS122" s="1">
        <v>8.2662631143745396E-5</v>
      </c>
    </row>
    <row r="123" spans="1:71" x14ac:dyDescent="0.25">
      <c r="A123">
        <v>120</v>
      </c>
      <c r="B123" s="1">
        <v>9.5473048770054099E-6</v>
      </c>
      <c r="C123">
        <v>0.10552235902679701</v>
      </c>
      <c r="D123">
        <v>-3.0598525181594E-4</v>
      </c>
      <c r="E123">
        <v>6.1312499999999995E-4</v>
      </c>
      <c r="F123">
        <v>-1.05522359026797E-3</v>
      </c>
      <c r="G123">
        <v>0</v>
      </c>
      <c r="H123" t="s">
        <v>74</v>
      </c>
      <c r="I123">
        <v>0</v>
      </c>
      <c r="J123" t="s">
        <v>75</v>
      </c>
      <c r="K123">
        <v>3.14159265358979</v>
      </c>
      <c r="L123">
        <v>0.79163901150084903</v>
      </c>
      <c r="M123">
        <v>0</v>
      </c>
      <c r="N123">
        <v>4.6481137423304203E-2</v>
      </c>
      <c r="O123">
        <v>0</v>
      </c>
      <c r="P123">
        <v>1.6E-2</v>
      </c>
      <c r="Q123">
        <v>0</v>
      </c>
      <c r="R123">
        <v>0</v>
      </c>
      <c r="S123">
        <v>0</v>
      </c>
      <c r="T123">
        <v>0</v>
      </c>
      <c r="U123">
        <v>0.79802306997644401</v>
      </c>
      <c r="V123" t="s">
        <v>78</v>
      </c>
      <c r="W123">
        <v>2282689.27219741</v>
      </c>
      <c r="X123" t="s">
        <v>76</v>
      </c>
      <c r="Y123">
        <v>-1.5707963267949001</v>
      </c>
      <c r="Z123">
        <v>0.78381368284912101</v>
      </c>
      <c r="AA123">
        <v>0.198927480582514</v>
      </c>
      <c r="AB123">
        <v>4.2531347780310903E-2</v>
      </c>
      <c r="AC123">
        <v>1.11839182912196E-2</v>
      </c>
      <c r="AD123">
        <v>2.0280336606983501E-2</v>
      </c>
      <c r="AE123">
        <v>1.37815806996372E-2</v>
      </c>
      <c r="AF123">
        <v>0</v>
      </c>
      <c r="AG123">
        <v>0.22495621585666101</v>
      </c>
      <c r="AH123">
        <v>7.7359199676007601E-2</v>
      </c>
      <c r="AI123">
        <v>0.62441133428816498</v>
      </c>
      <c r="AJ123" t="s">
        <v>74</v>
      </c>
      <c r="AK123">
        <v>0</v>
      </c>
      <c r="AL123" t="s">
        <v>77</v>
      </c>
      <c r="AM123">
        <v>0</v>
      </c>
      <c r="AN123">
        <v>0.99199999999999999</v>
      </c>
      <c r="AO123">
        <v>0</v>
      </c>
      <c r="AP123">
        <v>5.8245346242475203E-2</v>
      </c>
      <c r="AQ123">
        <v>0</v>
      </c>
      <c r="AR123">
        <v>1.6E-2</v>
      </c>
      <c r="AS123">
        <v>0</v>
      </c>
      <c r="AT123">
        <v>0</v>
      </c>
      <c r="AU123">
        <v>0</v>
      </c>
      <c r="AV123">
        <v>0</v>
      </c>
      <c r="AW123">
        <v>1</v>
      </c>
      <c r="AX123" t="s">
        <v>74</v>
      </c>
      <c r="AY123">
        <v>0</v>
      </c>
      <c r="AZ123" t="s">
        <v>76</v>
      </c>
      <c r="BA123">
        <v>-1.5707963267949001</v>
      </c>
      <c r="BB123">
        <v>0.99199999999999999</v>
      </c>
      <c r="BC123">
        <v>0</v>
      </c>
      <c r="BD123">
        <v>5.8245346242475203E-2</v>
      </c>
      <c r="BE123">
        <v>0</v>
      </c>
      <c r="BF123">
        <v>1.6E-2</v>
      </c>
      <c r="BG123">
        <v>0</v>
      </c>
      <c r="BH123">
        <v>0</v>
      </c>
      <c r="BI123">
        <v>0</v>
      </c>
      <c r="BJ123">
        <v>0</v>
      </c>
      <c r="BK123">
        <v>1</v>
      </c>
      <c r="BL123">
        <v>1.0834354798989299E-4</v>
      </c>
      <c r="BM123">
        <v>1.51157707766334E-4</v>
      </c>
      <c r="BN123" s="1">
        <v>3.9474393253040999E-7</v>
      </c>
      <c r="BO123" s="1">
        <v>2.37437972126094E-6</v>
      </c>
      <c r="BP123">
        <v>0</v>
      </c>
      <c r="BQ123">
        <v>0</v>
      </c>
      <c r="BR123" s="1">
        <v>5.9205215390045101E-5</v>
      </c>
      <c r="BS123" s="1">
        <v>8.3363546640293802E-5</v>
      </c>
    </row>
    <row r="124" spans="1:71" x14ac:dyDescent="0.25">
      <c r="A124">
        <v>121</v>
      </c>
      <c r="B124" s="1">
        <v>9.5000651842624699E-6</v>
      </c>
      <c r="C124">
        <v>0.105531859091982</v>
      </c>
      <c r="D124">
        <v>-3.0603659443126401E-4</v>
      </c>
      <c r="E124">
        <v>6.1312499999999995E-4</v>
      </c>
      <c r="F124">
        <v>-1.05531859091982E-3</v>
      </c>
      <c r="G124">
        <v>0</v>
      </c>
      <c r="H124" t="s">
        <v>74</v>
      </c>
      <c r="I124">
        <v>0</v>
      </c>
      <c r="J124" t="s">
        <v>75</v>
      </c>
      <c r="K124">
        <v>3.14159265358979</v>
      </c>
      <c r="L124">
        <v>0.78995640768410202</v>
      </c>
      <c r="M124">
        <v>0</v>
      </c>
      <c r="N124">
        <v>4.6382343227845201E-2</v>
      </c>
      <c r="O124">
        <v>0</v>
      </c>
      <c r="P124">
        <v>1.6E-2</v>
      </c>
      <c r="Q124">
        <v>0</v>
      </c>
      <c r="R124">
        <v>0</v>
      </c>
      <c r="S124">
        <v>0</v>
      </c>
      <c r="T124">
        <v>0</v>
      </c>
      <c r="U124">
        <v>0.79632691885148399</v>
      </c>
      <c r="V124" t="s">
        <v>78</v>
      </c>
      <c r="W124">
        <v>2283132.3340462898</v>
      </c>
      <c r="X124" t="s">
        <v>76</v>
      </c>
      <c r="Y124">
        <v>-1.5707963267949001</v>
      </c>
      <c r="Z124">
        <v>0.78213006259175</v>
      </c>
      <c r="AA124">
        <v>0.20095166543301399</v>
      </c>
      <c r="AB124">
        <v>4.24338974724583E-2</v>
      </c>
      <c r="AC124">
        <v>1.1288464929391E-2</v>
      </c>
      <c r="AD124">
        <v>2.0183176781643799E-2</v>
      </c>
      <c r="AE124">
        <v>1.39063331331091E-2</v>
      </c>
      <c r="AF124">
        <v>0</v>
      </c>
      <c r="AG124">
        <v>0.22610434292479201</v>
      </c>
      <c r="AH124">
        <v>7.8749875574696898E-2</v>
      </c>
      <c r="AI124">
        <v>0.62144733444926503</v>
      </c>
      <c r="AJ124" t="s">
        <v>74</v>
      </c>
      <c r="AK124">
        <v>0</v>
      </c>
      <c r="AL124" t="s">
        <v>77</v>
      </c>
      <c r="AM124">
        <v>0</v>
      </c>
      <c r="AN124">
        <v>0.99199999999999999</v>
      </c>
      <c r="AO124">
        <v>0</v>
      </c>
      <c r="AP124">
        <v>5.8245346242475203E-2</v>
      </c>
      <c r="AQ124">
        <v>0</v>
      </c>
      <c r="AR124">
        <v>1.6E-2</v>
      </c>
      <c r="AS124">
        <v>0</v>
      </c>
      <c r="AT124">
        <v>0</v>
      </c>
      <c r="AU124">
        <v>0</v>
      </c>
      <c r="AV124">
        <v>0</v>
      </c>
      <c r="AW124">
        <v>1</v>
      </c>
      <c r="AX124" t="s">
        <v>74</v>
      </c>
      <c r="AY124">
        <v>0</v>
      </c>
      <c r="AZ124" t="s">
        <v>76</v>
      </c>
      <c r="BA124">
        <v>-1.5707963267949001</v>
      </c>
      <c r="BB124">
        <v>0.99199999999999999</v>
      </c>
      <c r="BC124">
        <v>0</v>
      </c>
      <c r="BD124">
        <v>5.8245346242475203E-2</v>
      </c>
      <c r="BE124">
        <v>0</v>
      </c>
      <c r="BF124">
        <v>1.6E-2</v>
      </c>
      <c r="BG124">
        <v>0</v>
      </c>
      <c r="BH124">
        <v>0</v>
      </c>
      <c r="BI124">
        <v>0</v>
      </c>
      <c r="BJ124">
        <v>0</v>
      </c>
      <c r="BK124">
        <v>1</v>
      </c>
      <c r="BL124">
        <v>1.0829769905732199E-4</v>
      </c>
      <c r="BM124">
        <v>1.52427109249745E-4</v>
      </c>
      <c r="BN124" s="1">
        <v>3.9456030746077402E-7</v>
      </c>
      <c r="BO124" s="1">
        <v>2.3943194331346301E-6</v>
      </c>
      <c r="BP124">
        <v>0</v>
      </c>
      <c r="BQ124">
        <v>0</v>
      </c>
      <c r="BR124" s="1">
        <v>5.9175997385935901E-5</v>
      </c>
      <c r="BS124" s="1">
        <v>8.4064461459301706E-5</v>
      </c>
    </row>
    <row r="125" spans="1:71" x14ac:dyDescent="0.25">
      <c r="A125">
        <v>122</v>
      </c>
      <c r="B125" s="1">
        <v>9.4538788118724496E-6</v>
      </c>
      <c r="C125">
        <v>0.105541312970793</v>
      </c>
      <c r="D125">
        <v>-3.0608768500777102E-4</v>
      </c>
      <c r="E125">
        <v>6.1312499999999995E-4</v>
      </c>
      <c r="F125">
        <v>-1.05541312970793E-3</v>
      </c>
      <c r="G125">
        <v>0</v>
      </c>
      <c r="H125" t="s">
        <v>74</v>
      </c>
      <c r="I125">
        <v>0</v>
      </c>
      <c r="J125" t="s">
        <v>75</v>
      </c>
      <c r="K125">
        <v>3.14159265358979</v>
      </c>
      <c r="L125">
        <v>0.78827382946658697</v>
      </c>
      <c r="M125">
        <v>0</v>
      </c>
      <c r="N125">
        <v>4.6283550535446798E-2</v>
      </c>
      <c r="O125">
        <v>0</v>
      </c>
      <c r="P125">
        <v>1.6E-2</v>
      </c>
      <c r="Q125">
        <v>0</v>
      </c>
      <c r="R125">
        <v>0</v>
      </c>
      <c r="S125">
        <v>0</v>
      </c>
      <c r="T125">
        <v>0</v>
      </c>
      <c r="U125">
        <v>0.794630789629585</v>
      </c>
      <c r="V125" t="s">
        <v>78</v>
      </c>
      <c r="W125">
        <v>2283573.2209225302</v>
      </c>
      <c r="X125" t="s">
        <v>76</v>
      </c>
      <c r="Y125">
        <v>-1.5707963267949001</v>
      </c>
      <c r="Z125">
        <v>0.78044661105693203</v>
      </c>
      <c r="AA125">
        <v>0.202965964870682</v>
      </c>
      <c r="AB125">
        <v>4.2336511764851099E-2</v>
      </c>
      <c r="AC125">
        <v>1.13926972636983E-2</v>
      </c>
      <c r="AD125">
        <v>2.0085741685294901E-2</v>
      </c>
      <c r="AE125">
        <v>1.40311230926132E-2</v>
      </c>
      <c r="AF125">
        <v>0</v>
      </c>
      <c r="AG125">
        <v>0.227238218892131</v>
      </c>
      <c r="AH125">
        <v>8.0154763948682303E-2</v>
      </c>
      <c r="AI125">
        <v>0.61848704773555396</v>
      </c>
      <c r="AJ125" t="s">
        <v>74</v>
      </c>
      <c r="AK125">
        <v>0</v>
      </c>
      <c r="AL125" t="s">
        <v>77</v>
      </c>
      <c r="AM125">
        <v>0</v>
      </c>
      <c r="AN125">
        <v>0.99199999999999999</v>
      </c>
      <c r="AO125">
        <v>0</v>
      </c>
      <c r="AP125">
        <v>5.8245346242475203E-2</v>
      </c>
      <c r="AQ125">
        <v>0</v>
      </c>
      <c r="AR125">
        <v>1.6E-2</v>
      </c>
      <c r="AS125">
        <v>0</v>
      </c>
      <c r="AT125">
        <v>0</v>
      </c>
      <c r="AU125">
        <v>0</v>
      </c>
      <c r="AV125">
        <v>0</v>
      </c>
      <c r="AW125">
        <v>1</v>
      </c>
      <c r="AX125" t="s">
        <v>74</v>
      </c>
      <c r="AY125">
        <v>0</v>
      </c>
      <c r="AZ125" t="s">
        <v>76</v>
      </c>
      <c r="BA125">
        <v>-1.5707963267949001</v>
      </c>
      <c r="BB125">
        <v>0.99199999999999999</v>
      </c>
      <c r="BC125">
        <v>0</v>
      </c>
      <c r="BD125">
        <v>5.8245346242475203E-2</v>
      </c>
      <c r="BE125">
        <v>0</v>
      </c>
      <c r="BF125">
        <v>1.6E-2</v>
      </c>
      <c r="BG125">
        <v>0</v>
      </c>
      <c r="BH125">
        <v>0</v>
      </c>
      <c r="BI125">
        <v>0</v>
      </c>
      <c r="BJ125">
        <v>0</v>
      </c>
      <c r="BK125">
        <v>1</v>
      </c>
      <c r="BL125">
        <v>1.0825172602447299E-4</v>
      </c>
      <c r="BM125">
        <v>1.5369649142040701E-4</v>
      </c>
      <c r="BN125" s="1">
        <v>3.94376614007814E-7</v>
      </c>
      <c r="BO125" s="1">
        <v>2.4142588416443799E-6</v>
      </c>
      <c r="BP125">
        <v>0</v>
      </c>
      <c r="BQ125">
        <v>0</v>
      </c>
      <c r="BR125" s="1">
        <v>5.9146707148226998E-5</v>
      </c>
      <c r="BS125" s="1">
        <v>8.4765375480945604E-5</v>
      </c>
    </row>
    <row r="126" spans="1:71" x14ac:dyDescent="0.25">
      <c r="A126">
        <v>123</v>
      </c>
      <c r="B126" s="1">
        <v>9.4087239199713099E-6</v>
      </c>
      <c r="C126">
        <v>0.105550721694713</v>
      </c>
      <c r="D126">
        <v>-3.0613852915508598E-4</v>
      </c>
      <c r="E126">
        <v>6.1312499999999995E-4</v>
      </c>
      <c r="F126">
        <v>-1.05550721694713E-3</v>
      </c>
      <c r="G126">
        <v>0</v>
      </c>
      <c r="H126" t="s">
        <v>74</v>
      </c>
      <c r="I126">
        <v>0</v>
      </c>
      <c r="J126" t="s">
        <v>75</v>
      </c>
      <c r="K126">
        <v>3.14159265358979</v>
      </c>
      <c r="L126">
        <v>0.78659127711410604</v>
      </c>
      <c r="M126">
        <v>0</v>
      </c>
      <c r="N126">
        <v>4.6184759361715601E-2</v>
      </c>
      <c r="O126">
        <v>0</v>
      </c>
      <c r="P126">
        <v>1.6E-2</v>
      </c>
      <c r="Q126">
        <v>0</v>
      </c>
      <c r="R126">
        <v>0</v>
      </c>
      <c r="S126">
        <v>0</v>
      </c>
      <c r="T126">
        <v>0</v>
      </c>
      <c r="U126">
        <v>0.79293468328566896</v>
      </c>
      <c r="V126" t="s">
        <v>78</v>
      </c>
      <c r="W126">
        <v>2284011.9812344401</v>
      </c>
      <c r="X126" t="s">
        <v>76</v>
      </c>
      <c r="Y126">
        <v>-1.5707963267949001</v>
      </c>
      <c r="Z126">
        <v>0.77876332639708101</v>
      </c>
      <c r="AA126">
        <v>0.202965964870682</v>
      </c>
      <c r="AB126">
        <v>4.2239189707515397E-2</v>
      </c>
      <c r="AC126">
        <v>1.14328124489049E-2</v>
      </c>
      <c r="AD126">
        <v>1.99880362549105E-2</v>
      </c>
      <c r="AE126">
        <v>1.4155949422052E-2</v>
      </c>
      <c r="AF126">
        <v>0</v>
      </c>
      <c r="AG126">
        <v>0.22835778384582101</v>
      </c>
      <c r="AH126">
        <v>8.1573924309766399E-2</v>
      </c>
      <c r="AI126">
        <v>0.61553048991978898</v>
      </c>
      <c r="AJ126" t="s">
        <v>74</v>
      </c>
      <c r="AK126">
        <v>0</v>
      </c>
      <c r="AL126" t="s">
        <v>77</v>
      </c>
      <c r="AM126">
        <v>0</v>
      </c>
      <c r="AN126">
        <v>0.99199999999999999</v>
      </c>
      <c r="AO126">
        <v>0</v>
      </c>
      <c r="AP126">
        <v>5.8245346242475203E-2</v>
      </c>
      <c r="AQ126">
        <v>0</v>
      </c>
      <c r="AR126">
        <v>1.6E-2</v>
      </c>
      <c r="AS126">
        <v>0</v>
      </c>
      <c r="AT126">
        <v>0</v>
      </c>
      <c r="AU126">
        <v>0</v>
      </c>
      <c r="AV126">
        <v>0</v>
      </c>
      <c r="AW126">
        <v>1</v>
      </c>
      <c r="AX126" t="s">
        <v>74</v>
      </c>
      <c r="AY126">
        <v>0</v>
      </c>
      <c r="AZ126" t="s">
        <v>76</v>
      </c>
      <c r="BA126">
        <v>-1.5707963267949001</v>
      </c>
      <c r="BB126">
        <v>0.99199999999999999</v>
      </c>
      <c r="BC126">
        <v>0</v>
      </c>
      <c r="BD126">
        <v>5.8245346242475203E-2</v>
      </c>
      <c r="BE126">
        <v>0</v>
      </c>
      <c r="BF126">
        <v>1.6E-2</v>
      </c>
      <c r="BG126">
        <v>0</v>
      </c>
      <c r="BH126">
        <v>0</v>
      </c>
      <c r="BI126">
        <v>0</v>
      </c>
      <c r="BJ126">
        <v>0</v>
      </c>
      <c r="BK126">
        <v>1</v>
      </c>
      <c r="BL126">
        <v>1.08173727001543E-4</v>
      </c>
      <c r="BM126">
        <v>1.5496585407779399E-4</v>
      </c>
      <c r="BN126" s="1">
        <v>3.9412904392230301E-7</v>
      </c>
      <c r="BO126" s="1">
        <v>2.4341979436403198E-6</v>
      </c>
      <c r="BP126">
        <v>0</v>
      </c>
      <c r="BQ126">
        <v>0</v>
      </c>
      <c r="BR126" s="1">
        <v>5.90997503107963E-5</v>
      </c>
      <c r="BS126" s="1">
        <v>8.5466288584904194E-5</v>
      </c>
    </row>
    <row r="127" spans="1:71" x14ac:dyDescent="0.25">
      <c r="A127">
        <v>124</v>
      </c>
      <c r="B127" s="1">
        <v>9.3645794539823202E-6</v>
      </c>
      <c r="C127">
        <v>0.10556008627416701</v>
      </c>
      <c r="D127">
        <v>-3.0618913236783599E-4</v>
      </c>
      <c r="E127">
        <v>6.1312499999999995E-4</v>
      </c>
      <c r="F127">
        <v>-1.0556008627416701E-3</v>
      </c>
      <c r="G127">
        <v>0</v>
      </c>
      <c r="H127" t="s">
        <v>74</v>
      </c>
      <c r="I127">
        <v>0</v>
      </c>
      <c r="J127" t="s">
        <v>75</v>
      </c>
      <c r="K127">
        <v>3.14159265358979</v>
      </c>
      <c r="L127">
        <v>0.78490875089647905</v>
      </c>
      <c r="M127">
        <v>0</v>
      </c>
      <c r="N127">
        <v>4.6085969722494097E-2</v>
      </c>
      <c r="O127">
        <v>0</v>
      </c>
      <c r="P127">
        <v>1.6E-2</v>
      </c>
      <c r="Q127">
        <v>0</v>
      </c>
      <c r="R127">
        <v>0</v>
      </c>
      <c r="S127">
        <v>0</v>
      </c>
      <c r="T127">
        <v>0</v>
      </c>
      <c r="U127">
        <v>0.79123860066683604</v>
      </c>
      <c r="V127" t="s">
        <v>78</v>
      </c>
      <c r="W127">
        <v>2284448.66239801</v>
      </c>
      <c r="X127" t="s">
        <v>76</v>
      </c>
      <c r="Y127">
        <v>-1.5707963267949001</v>
      </c>
      <c r="Z127">
        <v>0.77708020681355605</v>
      </c>
      <c r="AA127">
        <v>0.20496041169863299</v>
      </c>
      <c r="AB127">
        <v>4.2141930372288798E-2</v>
      </c>
      <c r="AC127">
        <v>1.15364128077878E-2</v>
      </c>
      <c r="AD127">
        <v>1.9890065331632099E-2</v>
      </c>
      <c r="AE127">
        <v>1.4280810974947E-2</v>
      </c>
      <c r="AF127">
        <v>0</v>
      </c>
      <c r="AG127">
        <v>0.22946297729964299</v>
      </c>
      <c r="AH127">
        <v>8.3007416737046605E-2</v>
      </c>
      <c r="AI127">
        <v>0.61257767675441899</v>
      </c>
      <c r="AJ127" t="s">
        <v>74</v>
      </c>
      <c r="AK127">
        <v>0</v>
      </c>
      <c r="AL127" t="s">
        <v>77</v>
      </c>
      <c r="AM127">
        <v>0</v>
      </c>
      <c r="AN127">
        <v>0.99199999999999999</v>
      </c>
      <c r="AO127">
        <v>0</v>
      </c>
      <c r="AP127">
        <v>5.8245346242475203E-2</v>
      </c>
      <c r="AQ127">
        <v>0</v>
      </c>
      <c r="AR127">
        <v>1.6E-2</v>
      </c>
      <c r="AS127">
        <v>0</v>
      </c>
      <c r="AT127">
        <v>0</v>
      </c>
      <c r="AU127">
        <v>0</v>
      </c>
      <c r="AV127">
        <v>0</v>
      </c>
      <c r="AW127">
        <v>1</v>
      </c>
      <c r="AX127" t="s">
        <v>74</v>
      </c>
      <c r="AY127">
        <v>0</v>
      </c>
      <c r="AZ127" t="s">
        <v>76</v>
      </c>
      <c r="BA127">
        <v>-1.5707963267949001</v>
      </c>
      <c r="BB127">
        <v>0.99199999999999999</v>
      </c>
      <c r="BC127">
        <v>0</v>
      </c>
      <c r="BD127">
        <v>5.8245346242475203E-2</v>
      </c>
      <c r="BE127">
        <v>0</v>
      </c>
      <c r="BF127">
        <v>1.6E-2</v>
      </c>
      <c r="BG127">
        <v>0</v>
      </c>
      <c r="BH127">
        <v>0</v>
      </c>
      <c r="BI127">
        <v>0</v>
      </c>
      <c r="BJ127">
        <v>0</v>
      </c>
      <c r="BK127">
        <v>1</v>
      </c>
      <c r="BL127">
        <v>1.08127502693761E-4</v>
      </c>
      <c r="BM127">
        <v>1.5623519701834501E-4</v>
      </c>
      <c r="BN127" s="1">
        <v>3.9394519968182198E-7</v>
      </c>
      <c r="BO127" s="1">
        <v>2.4541367359249298E-6</v>
      </c>
      <c r="BP127">
        <v>0</v>
      </c>
      <c r="BQ127">
        <v>0</v>
      </c>
      <c r="BR127" s="1">
        <v>5.9070313932173797E-5</v>
      </c>
      <c r="BS127" s="1">
        <v>8.6167200650310295E-5</v>
      </c>
    </row>
    <row r="128" spans="1:71" x14ac:dyDescent="0.25">
      <c r="A128">
        <v>125</v>
      </c>
      <c r="B128" s="1">
        <v>9.3214251148956896E-6</v>
      </c>
      <c r="C128">
        <v>0.105569407699282</v>
      </c>
      <c r="D128">
        <v>-3.0623950002977597E-4</v>
      </c>
      <c r="E128">
        <v>6.1312499999999995E-4</v>
      </c>
      <c r="F128">
        <v>-1.0556940769928199E-3</v>
      </c>
      <c r="G128">
        <v>0</v>
      </c>
      <c r="H128" t="s">
        <v>74</v>
      </c>
      <c r="I128">
        <v>0</v>
      </c>
      <c r="J128" t="s">
        <v>75</v>
      </c>
      <c r="K128">
        <v>3.14159265358979</v>
      </c>
      <c r="L128">
        <v>0.783226251087628</v>
      </c>
      <c r="M128">
        <v>0</v>
      </c>
      <c r="N128">
        <v>4.5987181633865601E-2</v>
      </c>
      <c r="O128">
        <v>0</v>
      </c>
      <c r="P128">
        <v>1.6E-2</v>
      </c>
      <c r="Q128">
        <v>0</v>
      </c>
      <c r="R128">
        <v>0</v>
      </c>
      <c r="S128">
        <v>0</v>
      </c>
      <c r="T128">
        <v>0</v>
      </c>
      <c r="U128">
        <v>0.78954254251783895</v>
      </c>
      <c r="V128" t="s">
        <v>78</v>
      </c>
      <c r="W128">
        <v>2284883.3108724202</v>
      </c>
      <c r="X128" t="s">
        <v>76</v>
      </c>
      <c r="Y128">
        <v>-1.5707963267949001</v>
      </c>
      <c r="Z128">
        <v>0.77539725055527298</v>
      </c>
      <c r="AA128">
        <v>0.208955840413205</v>
      </c>
      <c r="AB128">
        <v>4.2044732852116302E-2</v>
      </c>
      <c r="AC128">
        <v>1.17028688944087E-2</v>
      </c>
      <c r="AD128">
        <v>1.9791833663841098E-2</v>
      </c>
      <c r="AE128">
        <v>1.44057066141256E-2</v>
      </c>
      <c r="AF128">
        <v>0</v>
      </c>
      <c r="AG128">
        <v>0.23055373818562599</v>
      </c>
      <c r="AH128">
        <v>8.4455301885186601E-2</v>
      </c>
      <c r="AI128">
        <v>0.60962862397523498</v>
      </c>
      <c r="AJ128" t="s">
        <v>74</v>
      </c>
      <c r="AK128">
        <v>0</v>
      </c>
      <c r="AL128" t="s">
        <v>77</v>
      </c>
      <c r="AM128">
        <v>0</v>
      </c>
      <c r="AN128">
        <v>0.99199999999999999</v>
      </c>
      <c r="AO128">
        <v>0</v>
      </c>
      <c r="AP128">
        <v>5.8245346242475203E-2</v>
      </c>
      <c r="AQ128">
        <v>0</v>
      </c>
      <c r="AR128">
        <v>1.6E-2</v>
      </c>
      <c r="AS128">
        <v>0</v>
      </c>
      <c r="AT128">
        <v>0</v>
      </c>
      <c r="AU128">
        <v>0</v>
      </c>
      <c r="AV128">
        <v>0</v>
      </c>
      <c r="AW128">
        <v>1</v>
      </c>
      <c r="AX128" t="s">
        <v>74</v>
      </c>
      <c r="AY128">
        <v>0</v>
      </c>
      <c r="AZ128" t="s">
        <v>76</v>
      </c>
      <c r="BA128">
        <v>-1.5707963267949001</v>
      </c>
      <c r="BB128">
        <v>0.99199999999999999</v>
      </c>
      <c r="BC128">
        <v>0</v>
      </c>
      <c r="BD128">
        <v>5.8245346242475203E-2</v>
      </c>
      <c r="BE128">
        <v>0</v>
      </c>
      <c r="BF128">
        <v>1.6E-2</v>
      </c>
      <c r="BG128">
        <v>0</v>
      </c>
      <c r="BH128">
        <v>0</v>
      </c>
      <c r="BI128">
        <v>0</v>
      </c>
      <c r="BJ128">
        <v>0</v>
      </c>
      <c r="BK128">
        <v>1</v>
      </c>
      <c r="BL128">
        <v>1.0811273793267099E-4</v>
      </c>
      <c r="BM128">
        <v>1.57504520035406E-4</v>
      </c>
      <c r="BN128" s="1">
        <v>3.9382444442315102E-7</v>
      </c>
      <c r="BO128" s="1">
        <v>2.4740752152521E-6</v>
      </c>
      <c r="BP128">
        <v>0</v>
      </c>
      <c r="BQ128">
        <v>0</v>
      </c>
      <c r="BR128" s="1">
        <v>5.90582247703022E-5</v>
      </c>
      <c r="BS128" s="1">
        <v>8.6868111555709896E-5</v>
      </c>
    </row>
    <row r="129" spans="1:71" x14ac:dyDescent="0.25">
      <c r="A129">
        <v>126</v>
      </c>
      <c r="B129" s="1">
        <v>9.2792413310491103E-6</v>
      </c>
      <c r="C129">
        <v>0.105578686940613</v>
      </c>
      <c r="D129">
        <v>-3.0628963741775102E-4</v>
      </c>
      <c r="E129">
        <v>6.1312499999999995E-4</v>
      </c>
      <c r="F129">
        <v>-1.05578686940613E-3</v>
      </c>
      <c r="G129">
        <v>0</v>
      </c>
      <c r="H129" t="s">
        <v>74</v>
      </c>
      <c r="I129">
        <v>0</v>
      </c>
      <c r="J129" t="s">
        <v>75</v>
      </c>
      <c r="K129">
        <v>3.14159265358979</v>
      </c>
      <c r="L129">
        <v>0.78154377796567098</v>
      </c>
      <c r="M129">
        <v>0</v>
      </c>
      <c r="N129">
        <v>4.5888395112159898E-2</v>
      </c>
      <c r="O129">
        <v>0</v>
      </c>
      <c r="P129">
        <v>1.6E-2</v>
      </c>
      <c r="Q129">
        <v>0</v>
      </c>
      <c r="R129">
        <v>0</v>
      </c>
      <c r="S129">
        <v>0</v>
      </c>
      <c r="T129">
        <v>0</v>
      </c>
      <c r="U129">
        <v>0.78784650950152202</v>
      </c>
      <c r="V129" t="s">
        <v>78</v>
      </c>
      <c r="W129">
        <v>2285315.9721943</v>
      </c>
      <c r="X129" t="s">
        <v>76</v>
      </c>
      <c r="Y129">
        <v>-1.5707963267949001</v>
      </c>
      <c r="Z129">
        <v>0.77371445591738897</v>
      </c>
      <c r="AA129">
        <v>0.21093032883062801</v>
      </c>
      <c r="AB129">
        <v>4.19475962603739E-2</v>
      </c>
      <c r="AC129">
        <v>1.18058344186874E-2</v>
      </c>
      <c r="AD129">
        <v>1.9693345910116299E-2</v>
      </c>
      <c r="AE129">
        <v>1.4530635211416201E-2</v>
      </c>
      <c r="AF129">
        <v>0</v>
      </c>
      <c r="AG129">
        <v>0.231630004845469</v>
      </c>
      <c r="AH129">
        <v>8.5917640992850097E-2</v>
      </c>
      <c r="AI129">
        <v>0.60668334730493401</v>
      </c>
      <c r="AJ129" t="s">
        <v>74</v>
      </c>
      <c r="AK129">
        <v>0</v>
      </c>
      <c r="AL129" t="s">
        <v>77</v>
      </c>
      <c r="AM129">
        <v>0</v>
      </c>
      <c r="AN129">
        <v>0.99199999999999999</v>
      </c>
      <c r="AO129">
        <v>0</v>
      </c>
      <c r="AP129">
        <v>5.8245346242475203E-2</v>
      </c>
      <c r="AQ129">
        <v>0</v>
      </c>
      <c r="AR129">
        <v>1.6E-2</v>
      </c>
      <c r="AS129">
        <v>0</v>
      </c>
      <c r="AT129">
        <v>0</v>
      </c>
      <c r="AU129">
        <v>0</v>
      </c>
      <c r="AV129">
        <v>0</v>
      </c>
      <c r="AW129">
        <v>1</v>
      </c>
      <c r="AX129" t="s">
        <v>74</v>
      </c>
      <c r="AY129">
        <v>0</v>
      </c>
      <c r="AZ129" t="s">
        <v>76</v>
      </c>
      <c r="BA129">
        <v>-1.5707963267949001</v>
      </c>
      <c r="BB129">
        <v>0.99199999999999999</v>
      </c>
      <c r="BC129">
        <v>0</v>
      </c>
      <c r="BD129">
        <v>5.8245346242475203E-2</v>
      </c>
      <c r="BE129">
        <v>0</v>
      </c>
      <c r="BF129">
        <v>1.6E-2</v>
      </c>
      <c r="BG129">
        <v>0</v>
      </c>
      <c r="BH129">
        <v>0</v>
      </c>
      <c r="BI129">
        <v>0</v>
      </c>
      <c r="BJ129">
        <v>0</v>
      </c>
      <c r="BK129">
        <v>1</v>
      </c>
      <c r="BL129">
        <v>1.0806625913808599E-4</v>
      </c>
      <c r="BM129">
        <v>1.58773822919159E-4</v>
      </c>
      <c r="BN129" s="1">
        <v>3.9364043427725602E-7</v>
      </c>
      <c r="BO129" s="1">
        <v>2.4940133783259902E-6</v>
      </c>
      <c r="BP129">
        <v>0</v>
      </c>
      <c r="BQ129">
        <v>0</v>
      </c>
      <c r="BR129" s="1">
        <v>5.9028641074612901E-5</v>
      </c>
      <c r="BS129" s="1">
        <v>8.7569021179013202E-5</v>
      </c>
    </row>
    <row r="130" spans="1:71" x14ac:dyDescent="0.25">
      <c r="A130">
        <v>127</v>
      </c>
      <c r="B130" s="1">
        <v>9.2380092313501596E-6</v>
      </c>
      <c r="C130">
        <v>0.10558792494984499</v>
      </c>
      <c r="D130">
        <v>-3.06339549705525E-4</v>
      </c>
      <c r="E130">
        <v>6.1312499999999995E-4</v>
      </c>
      <c r="F130">
        <v>-1.0558792494984499E-3</v>
      </c>
      <c r="G130" s="1">
        <v>1.0842021724855E-19</v>
      </c>
      <c r="H130" t="s">
        <v>74</v>
      </c>
      <c r="I130">
        <v>0</v>
      </c>
      <c r="J130" t="s">
        <v>75</v>
      </c>
      <c r="K130">
        <v>3.14159265358979</v>
      </c>
      <c r="L130">
        <v>0.77986133181300699</v>
      </c>
      <c r="M130">
        <v>0</v>
      </c>
      <c r="N130">
        <v>4.5789610173958099E-2</v>
      </c>
      <c r="O130">
        <v>0</v>
      </c>
      <c r="P130">
        <v>1.6E-2</v>
      </c>
      <c r="Q130">
        <v>0</v>
      </c>
      <c r="R130">
        <v>0</v>
      </c>
      <c r="S130">
        <v>0</v>
      </c>
      <c r="T130">
        <v>0</v>
      </c>
      <c r="U130">
        <v>0.78615050221523897</v>
      </c>
      <c r="V130" t="s">
        <v>78</v>
      </c>
      <c r="W130">
        <v>2285746.6910107001</v>
      </c>
      <c r="X130" t="s">
        <v>76</v>
      </c>
      <c r="Y130">
        <v>-1.5707963267949001</v>
      </c>
      <c r="Z130">
        <v>0.77203182124002401</v>
      </c>
      <c r="AA130">
        <v>0.21289479954982701</v>
      </c>
      <c r="AB130">
        <v>4.1850519730217799E-2</v>
      </c>
      <c r="AC130">
        <v>1.19084808507999E-2</v>
      </c>
      <c r="AD130">
        <v>1.9594606642080601E-2</v>
      </c>
      <c r="AE130">
        <v>1.46555956473513E-2</v>
      </c>
      <c r="AF130">
        <v>0</v>
      </c>
      <c r="AG130">
        <v>0.23269171502177899</v>
      </c>
      <c r="AH130">
        <v>8.7394495891327598E-2</v>
      </c>
      <c r="AI130">
        <v>0.60374186245656503</v>
      </c>
      <c r="AJ130" t="s">
        <v>74</v>
      </c>
      <c r="AK130">
        <v>0</v>
      </c>
      <c r="AL130" t="s">
        <v>77</v>
      </c>
      <c r="AM130">
        <v>0</v>
      </c>
      <c r="AN130">
        <v>0.99199999999999999</v>
      </c>
      <c r="AO130">
        <v>0</v>
      </c>
      <c r="AP130">
        <v>5.8245346242475203E-2</v>
      </c>
      <c r="AQ130">
        <v>0</v>
      </c>
      <c r="AR130">
        <v>1.6E-2</v>
      </c>
      <c r="AS130">
        <v>0</v>
      </c>
      <c r="AT130">
        <v>0</v>
      </c>
      <c r="AU130">
        <v>0</v>
      </c>
      <c r="AV130">
        <v>0</v>
      </c>
      <c r="AW130">
        <v>1</v>
      </c>
      <c r="AX130" t="s">
        <v>74</v>
      </c>
      <c r="AY130">
        <v>0</v>
      </c>
      <c r="AZ130" t="s">
        <v>76</v>
      </c>
      <c r="BA130">
        <v>-1.5707963267949001</v>
      </c>
      <c r="BB130">
        <v>0.99199999999999999</v>
      </c>
      <c r="BC130">
        <v>0</v>
      </c>
      <c r="BD130">
        <v>5.8245346242475203E-2</v>
      </c>
      <c r="BE130">
        <v>0</v>
      </c>
      <c r="BF130">
        <v>1.6E-2</v>
      </c>
      <c r="BG130">
        <v>0</v>
      </c>
      <c r="BH130">
        <v>0</v>
      </c>
      <c r="BI130">
        <v>0</v>
      </c>
      <c r="BJ130">
        <v>0</v>
      </c>
      <c r="BK130">
        <v>1</v>
      </c>
      <c r="BL130">
        <v>1.08019651619963E-4</v>
      </c>
      <c r="BM130">
        <v>1.6004310545655301E-4</v>
      </c>
      <c r="BN130" s="1">
        <v>3.9345633453320901E-7</v>
      </c>
      <c r="BO130" s="1">
        <v>2.51395122180002E-6</v>
      </c>
      <c r="BP130">
        <v>0</v>
      </c>
      <c r="BQ130">
        <v>0</v>
      </c>
      <c r="BR130" s="1">
        <v>5.8998982909016799E-5</v>
      </c>
      <c r="BS130" s="1">
        <v>8.8269929397452503E-5</v>
      </c>
    </row>
    <row r="131" spans="1:71" x14ac:dyDescent="0.25">
      <c r="A131">
        <v>128</v>
      </c>
      <c r="B131" s="1">
        <v>9.1977106197418803E-6</v>
      </c>
      <c r="C131">
        <v>0.105597122660464</v>
      </c>
      <c r="D131">
        <v>-3.0638924196745601E-4</v>
      </c>
      <c r="E131">
        <v>6.1312499999999995E-4</v>
      </c>
      <c r="F131">
        <v>-1.0559712266046399E-3</v>
      </c>
      <c r="G131" s="1">
        <v>1.0842021724855E-19</v>
      </c>
      <c r="H131" t="s">
        <v>74</v>
      </c>
      <c r="I131">
        <v>0</v>
      </c>
      <c r="J131" t="s">
        <v>75</v>
      </c>
      <c r="K131">
        <v>3.14159265358979</v>
      </c>
      <c r="L131">
        <v>0.77817891291640795</v>
      </c>
      <c r="M131">
        <v>0</v>
      </c>
      <c r="N131">
        <v>4.5690826836097903E-2</v>
      </c>
      <c r="O131">
        <v>0</v>
      </c>
      <c r="P131">
        <v>1.6E-2</v>
      </c>
      <c r="Q131">
        <v>0</v>
      </c>
      <c r="R131">
        <v>0</v>
      </c>
      <c r="S131">
        <v>0</v>
      </c>
      <c r="T131">
        <v>0</v>
      </c>
      <c r="U131">
        <v>0.784454521204072</v>
      </c>
      <c r="V131" t="s">
        <v>78</v>
      </c>
      <c r="W131">
        <v>2286175.5111108702</v>
      </c>
      <c r="X131" t="s">
        <v>76</v>
      </c>
      <c r="Y131">
        <v>-1.5707963267949001</v>
      </c>
      <c r="Z131">
        <v>0.77034934490704199</v>
      </c>
      <c r="AA131">
        <v>0.21289479954982701</v>
      </c>
      <c r="AB131">
        <v>4.1753502413958699E-2</v>
      </c>
      <c r="AC131">
        <v>1.1948571278993399E-2</v>
      </c>
      <c r="AD131">
        <v>1.9495620347143298E-2</v>
      </c>
      <c r="AE131">
        <v>1.47805868108802E-2</v>
      </c>
      <c r="AF131">
        <v>0</v>
      </c>
      <c r="AG131">
        <v>0.23373880584913201</v>
      </c>
      <c r="AH131">
        <v>8.8885929013349102E-2</v>
      </c>
      <c r="AI131">
        <v>0.60080418513686196</v>
      </c>
      <c r="AJ131" t="s">
        <v>74</v>
      </c>
      <c r="AK131">
        <v>0</v>
      </c>
      <c r="AL131" t="s">
        <v>77</v>
      </c>
      <c r="AM131">
        <v>0</v>
      </c>
      <c r="AN131">
        <v>0.99199999999999999</v>
      </c>
      <c r="AO131">
        <v>0</v>
      </c>
      <c r="AP131">
        <v>5.8245346242475203E-2</v>
      </c>
      <c r="AQ131">
        <v>0</v>
      </c>
      <c r="AR131">
        <v>1.6E-2</v>
      </c>
      <c r="AS131">
        <v>0</v>
      </c>
      <c r="AT131">
        <v>0</v>
      </c>
      <c r="AU131">
        <v>0</v>
      </c>
      <c r="AV131">
        <v>0</v>
      </c>
      <c r="AW131">
        <v>1</v>
      </c>
      <c r="AX131" t="s">
        <v>74</v>
      </c>
      <c r="AY131">
        <v>0</v>
      </c>
      <c r="AZ131" t="s">
        <v>76</v>
      </c>
      <c r="BA131">
        <v>-1.5707963267949001</v>
      </c>
      <c r="BB131">
        <v>0.99199999999999999</v>
      </c>
      <c r="BC131">
        <v>0</v>
      </c>
      <c r="BD131">
        <v>5.8245346242475203E-2</v>
      </c>
      <c r="BE131">
        <v>0</v>
      </c>
      <c r="BF131">
        <v>1.6E-2</v>
      </c>
      <c r="BG131">
        <v>0</v>
      </c>
      <c r="BH131">
        <v>0</v>
      </c>
      <c r="BI131">
        <v>0</v>
      </c>
      <c r="BJ131">
        <v>0</v>
      </c>
      <c r="BK131">
        <v>1</v>
      </c>
      <c r="BL131">
        <v>1.0794179650700001E-4</v>
      </c>
      <c r="BM131">
        <v>1.6131236743123999E-4</v>
      </c>
      <c r="BN131" s="1">
        <v>3.9320990327652399E-7</v>
      </c>
      <c r="BO131" s="1">
        <v>2.5338887422758101E-6</v>
      </c>
      <c r="BP131">
        <v>0</v>
      </c>
      <c r="BQ131">
        <v>0</v>
      </c>
      <c r="BR131" s="1">
        <v>5.8952086911772003E-5</v>
      </c>
      <c r="BS131" s="1">
        <v>8.8970836087538203E-5</v>
      </c>
    </row>
    <row r="132" spans="1:71" x14ac:dyDescent="0.25">
      <c r="A132">
        <v>129</v>
      </c>
      <c r="B132" s="1">
        <v>9.1583279509823507E-6</v>
      </c>
      <c r="C132">
        <v>0.105606280988415</v>
      </c>
      <c r="D132">
        <v>-3.0643871918204798E-4</v>
      </c>
      <c r="E132">
        <v>6.1312499999999995E-4</v>
      </c>
      <c r="F132">
        <v>-1.05606280988415E-3</v>
      </c>
      <c r="G132">
        <v>0</v>
      </c>
      <c r="H132" t="s">
        <v>74</v>
      </c>
      <c r="I132">
        <v>0</v>
      </c>
      <c r="J132" t="s">
        <v>75</v>
      </c>
      <c r="K132">
        <v>3.14159265358979</v>
      </c>
      <c r="L132">
        <v>0.77649652156712001</v>
      </c>
      <c r="M132">
        <v>0</v>
      </c>
      <c r="N132">
        <v>4.5592045115679998E-2</v>
      </c>
      <c r="O132">
        <v>0</v>
      </c>
      <c r="P132">
        <v>1.6E-2</v>
      </c>
      <c r="Q132">
        <v>0</v>
      </c>
      <c r="R132">
        <v>0</v>
      </c>
      <c r="S132">
        <v>0</v>
      </c>
      <c r="T132">
        <v>0</v>
      </c>
      <c r="U132">
        <v>0.78275856697151902</v>
      </c>
      <c r="V132" t="s">
        <v>78</v>
      </c>
      <c r="W132">
        <v>2286602.4754568902</v>
      </c>
      <c r="X132" t="s">
        <v>76</v>
      </c>
      <c r="Y132">
        <v>-1.5707963267949001</v>
      </c>
      <c r="Z132">
        <v>0.76866702534488596</v>
      </c>
      <c r="AA132">
        <v>0.214839160175189</v>
      </c>
      <c r="AB132">
        <v>4.165654348246E-2</v>
      </c>
      <c r="AC132">
        <v>1.20505785562675E-2</v>
      </c>
      <c r="AD132">
        <v>1.9396391431142201E-2</v>
      </c>
      <c r="AE132">
        <v>1.4905607599086899E-2</v>
      </c>
      <c r="AF132">
        <v>0</v>
      </c>
      <c r="AG132">
        <v>0.234771213844917</v>
      </c>
      <c r="AH132">
        <v>9.0392003402075705E-2</v>
      </c>
      <c r="AI132">
        <v>0.59787033104951703</v>
      </c>
      <c r="AJ132" t="s">
        <v>74</v>
      </c>
      <c r="AK132">
        <v>0</v>
      </c>
      <c r="AL132" t="s">
        <v>77</v>
      </c>
      <c r="AM132">
        <v>0</v>
      </c>
      <c r="AN132">
        <v>0.99199999999999999</v>
      </c>
      <c r="AO132">
        <v>0</v>
      </c>
      <c r="AP132">
        <v>5.8245346242475203E-2</v>
      </c>
      <c r="AQ132">
        <v>0</v>
      </c>
      <c r="AR132">
        <v>1.6E-2</v>
      </c>
      <c r="AS132">
        <v>0</v>
      </c>
      <c r="AT132">
        <v>0</v>
      </c>
      <c r="AU132">
        <v>0</v>
      </c>
      <c r="AV132">
        <v>0</v>
      </c>
      <c r="AW132">
        <v>1</v>
      </c>
      <c r="AX132" t="s">
        <v>74</v>
      </c>
      <c r="AY132">
        <v>0</v>
      </c>
      <c r="AZ132" t="s">
        <v>76</v>
      </c>
      <c r="BA132">
        <v>-1.5707963267949001</v>
      </c>
      <c r="BB132">
        <v>0.99199999999999999</v>
      </c>
      <c r="BC132">
        <v>0</v>
      </c>
      <c r="BD132">
        <v>5.8245346242475203E-2</v>
      </c>
      <c r="BE132">
        <v>0</v>
      </c>
      <c r="BF132">
        <v>1.6E-2</v>
      </c>
      <c r="BG132">
        <v>0</v>
      </c>
      <c r="BH132">
        <v>0</v>
      </c>
      <c r="BI132">
        <v>0</v>
      </c>
      <c r="BJ132">
        <v>0</v>
      </c>
      <c r="BK132">
        <v>1</v>
      </c>
      <c r="BL132">
        <v>1.07894929819679E-4</v>
      </c>
      <c r="BM132">
        <v>1.62581608623496E-4</v>
      </c>
      <c r="BN132" s="1">
        <v>3.93025615886406E-7</v>
      </c>
      <c r="BO132" s="1">
        <v>2.55382593630193E-6</v>
      </c>
      <c r="BP132">
        <v>0</v>
      </c>
      <c r="BQ132">
        <v>0</v>
      </c>
      <c r="BR132" s="1">
        <v>5.8922278866510697E-5</v>
      </c>
      <c r="BS132" s="1">
        <v>8.9671741125009794E-5</v>
      </c>
    </row>
    <row r="133" spans="1:71" x14ac:dyDescent="0.25">
      <c r="A133">
        <v>130</v>
      </c>
      <c r="B133" s="1">
        <v>9.1198443076290908E-6</v>
      </c>
      <c r="C133">
        <v>0.105615400832723</v>
      </c>
      <c r="D133">
        <v>-3.0648798623537498E-4</v>
      </c>
      <c r="E133">
        <v>6.1312499999999995E-4</v>
      </c>
      <c r="F133">
        <v>-1.0561540083272301E-3</v>
      </c>
      <c r="G133" s="1">
        <v>1.0842021724855E-19</v>
      </c>
      <c r="H133" t="s">
        <v>74</v>
      </c>
      <c r="I133">
        <v>0</v>
      </c>
      <c r="J133" t="s">
        <v>75</v>
      </c>
      <c r="K133">
        <v>3.14159265358979</v>
      </c>
      <c r="L133">
        <v>0.77481415806095599</v>
      </c>
      <c r="M133">
        <v>0</v>
      </c>
      <c r="N133">
        <v>4.5493265030072803E-2</v>
      </c>
      <c r="O133">
        <v>0</v>
      </c>
      <c r="P133">
        <v>1.6E-2</v>
      </c>
      <c r="Q133">
        <v>0</v>
      </c>
      <c r="R133">
        <v>0</v>
      </c>
      <c r="S133">
        <v>0</v>
      </c>
      <c r="T133">
        <v>0</v>
      </c>
      <c r="U133">
        <v>0.78106263998812397</v>
      </c>
      <c r="V133" t="s">
        <v>78</v>
      </c>
      <c r="W133">
        <v>2287027.6262131999</v>
      </c>
      <c r="X133" t="s">
        <v>76</v>
      </c>
      <c r="Y133">
        <v>-1.5707963267949001</v>
      </c>
      <c r="Z133">
        <v>0.76698486102145103</v>
      </c>
      <c r="AA133">
        <v>0.21677342929554699</v>
      </c>
      <c r="AB133">
        <v>4.1559642124558399E-2</v>
      </c>
      <c r="AC133">
        <v>1.21522634001381E-2</v>
      </c>
      <c r="AD133">
        <v>1.92969242208899E-2</v>
      </c>
      <c r="AE133">
        <v>1.5030656916918199E-2</v>
      </c>
      <c r="AF133">
        <v>0</v>
      </c>
      <c r="AG133">
        <v>0.235788874900003</v>
      </c>
      <c r="AH133">
        <v>9.1912782720302497E-2</v>
      </c>
      <c r="AI133">
        <v>0.59494031589832597</v>
      </c>
      <c r="AJ133" t="s">
        <v>74</v>
      </c>
      <c r="AK133">
        <v>0</v>
      </c>
      <c r="AL133" t="s">
        <v>77</v>
      </c>
      <c r="AM133">
        <v>0</v>
      </c>
      <c r="AN133">
        <v>0.99199999999999999</v>
      </c>
      <c r="AO133">
        <v>0</v>
      </c>
      <c r="AP133">
        <v>5.8245346242475203E-2</v>
      </c>
      <c r="AQ133">
        <v>0</v>
      </c>
      <c r="AR133">
        <v>1.6E-2</v>
      </c>
      <c r="AS133">
        <v>0</v>
      </c>
      <c r="AT133">
        <v>0</v>
      </c>
      <c r="AU133">
        <v>0</v>
      </c>
      <c r="AV133">
        <v>0</v>
      </c>
      <c r="AW133">
        <v>1</v>
      </c>
      <c r="AX133" t="s">
        <v>74</v>
      </c>
      <c r="AY133">
        <v>0</v>
      </c>
      <c r="AZ133" t="s">
        <v>76</v>
      </c>
      <c r="BA133">
        <v>-1.5707963267949001</v>
      </c>
      <c r="BB133">
        <v>0.99199999999999999</v>
      </c>
      <c r="BC133">
        <v>0</v>
      </c>
      <c r="BD133">
        <v>5.8245346242475203E-2</v>
      </c>
      <c r="BE133">
        <v>0</v>
      </c>
      <c r="BF133">
        <v>1.6E-2</v>
      </c>
      <c r="BG133">
        <v>0</v>
      </c>
      <c r="BH133">
        <v>0</v>
      </c>
      <c r="BI133">
        <v>0</v>
      </c>
      <c r="BJ133">
        <v>0</v>
      </c>
      <c r="BK133">
        <v>1</v>
      </c>
      <c r="BL133">
        <v>1.0784793151986E-4</v>
      </c>
      <c r="BM133">
        <v>1.6385082881015299E-4</v>
      </c>
      <c r="BN133" s="1">
        <v>3.9284122606414402E-7</v>
      </c>
      <c r="BO133" s="1">
        <v>2.5737628003728698E-6</v>
      </c>
      <c r="BP133">
        <v>0</v>
      </c>
      <c r="BQ133">
        <v>0</v>
      </c>
      <c r="BR133" s="1">
        <v>5.8892394931408599E-5</v>
      </c>
      <c r="BS133" s="1">
        <v>9.0372644384793796E-5</v>
      </c>
    </row>
    <row r="134" spans="1:71" x14ac:dyDescent="0.25">
      <c r="A134">
        <v>131</v>
      </c>
      <c r="B134" s="1">
        <v>9.0822433780695004E-6</v>
      </c>
      <c r="C134">
        <v>0.10562448307610101</v>
      </c>
      <c r="D134">
        <v>-3.06537047924383E-4</v>
      </c>
      <c r="E134">
        <v>6.1312499999999995E-4</v>
      </c>
      <c r="F134">
        <v>-1.0562448307610099E-3</v>
      </c>
      <c r="G134" s="1">
        <v>1.0842021724855E-19</v>
      </c>
      <c r="H134" t="s">
        <v>74</v>
      </c>
      <c r="I134">
        <v>0</v>
      </c>
      <c r="J134" t="s">
        <v>75</v>
      </c>
      <c r="K134">
        <v>3.14159265358979</v>
      </c>
      <c r="L134">
        <v>0.77313182269839398</v>
      </c>
      <c r="M134">
        <v>0</v>
      </c>
      <c r="N134">
        <v>4.5394486596919303E-2</v>
      </c>
      <c r="O134">
        <v>0</v>
      </c>
      <c r="P134">
        <v>1.6E-2</v>
      </c>
      <c r="Q134">
        <v>0</v>
      </c>
      <c r="R134">
        <v>0</v>
      </c>
      <c r="S134">
        <v>0</v>
      </c>
      <c r="T134">
        <v>0</v>
      </c>
      <c r="U134">
        <v>0.77936674069849599</v>
      </c>
      <c r="V134" t="s">
        <v>78</v>
      </c>
      <c r="W134">
        <v>2287451.0047751199</v>
      </c>
      <c r="X134" t="s">
        <v>76</v>
      </c>
      <c r="Y134">
        <v>-1.5707963267949001</v>
      </c>
      <c r="Z134">
        <v>0.765302850445015</v>
      </c>
      <c r="AA134">
        <v>0.21869758318607799</v>
      </c>
      <c r="AB134">
        <v>4.14627975465056E-2</v>
      </c>
      <c r="AC134">
        <v>1.22536286048196E-2</v>
      </c>
      <c r="AD134">
        <v>1.9197222966629301E-2</v>
      </c>
      <c r="AE134">
        <v>1.51557336769163E-2</v>
      </c>
      <c r="AF134">
        <v>0</v>
      </c>
      <c r="AG134">
        <v>0.23679172426919001</v>
      </c>
      <c r="AH134">
        <v>9.3448331259849707E-2</v>
      </c>
      <c r="AI134">
        <v>0.59201415539027202</v>
      </c>
      <c r="AJ134" t="s">
        <v>74</v>
      </c>
      <c r="AK134">
        <v>0</v>
      </c>
      <c r="AL134" t="s">
        <v>77</v>
      </c>
      <c r="AM134">
        <v>0</v>
      </c>
      <c r="AN134">
        <v>0.99199999999999999</v>
      </c>
      <c r="AO134">
        <v>0</v>
      </c>
      <c r="AP134">
        <v>5.8245346242475203E-2</v>
      </c>
      <c r="AQ134">
        <v>0</v>
      </c>
      <c r="AR134">
        <v>1.6E-2</v>
      </c>
      <c r="AS134">
        <v>0</v>
      </c>
      <c r="AT134">
        <v>0</v>
      </c>
      <c r="AU134">
        <v>0</v>
      </c>
      <c r="AV134">
        <v>0</v>
      </c>
      <c r="AW134">
        <v>1</v>
      </c>
      <c r="AX134" t="s">
        <v>74</v>
      </c>
      <c r="AY134">
        <v>0</v>
      </c>
      <c r="AZ134" t="s">
        <v>76</v>
      </c>
      <c r="BA134">
        <v>-1.5707963267949001</v>
      </c>
      <c r="BB134">
        <v>0.99199999999999999</v>
      </c>
      <c r="BC134">
        <v>0</v>
      </c>
      <c r="BD134">
        <v>5.8245346242475203E-2</v>
      </c>
      <c r="BE134">
        <v>0</v>
      </c>
      <c r="BF134">
        <v>1.6E-2</v>
      </c>
      <c r="BG134">
        <v>0</v>
      </c>
      <c r="BH134">
        <v>0</v>
      </c>
      <c r="BI134">
        <v>0</v>
      </c>
      <c r="BJ134">
        <v>0</v>
      </c>
      <c r="BK134">
        <v>1</v>
      </c>
      <c r="BL134">
        <v>1.07800802616597E-4</v>
      </c>
      <c r="BM134">
        <v>1.6512002776452E-4</v>
      </c>
      <c r="BN134" s="1">
        <v>3.9265673707736798E-7</v>
      </c>
      <c r="BO134" s="1">
        <v>2.5936993309277901E-6</v>
      </c>
      <c r="BP134">
        <v>0</v>
      </c>
      <c r="BQ134">
        <v>0</v>
      </c>
      <c r="BR134" s="1">
        <v>5.8862435718280602E-5</v>
      </c>
      <c r="BS134" s="1">
        <v>9.1073545740955695E-5</v>
      </c>
    </row>
    <row r="135" spans="1:71" x14ac:dyDescent="0.25">
      <c r="A135">
        <v>132</v>
      </c>
      <c r="B135" s="1">
        <v>9.0455094357377205E-6</v>
      </c>
      <c r="C135">
        <v>0.105633528585537</v>
      </c>
      <c r="D135">
        <v>-3.0658590896007898E-4</v>
      </c>
      <c r="E135">
        <v>6.1312499999999995E-4</v>
      </c>
      <c r="F135">
        <v>-1.05633528585537E-3</v>
      </c>
      <c r="G135">
        <v>0</v>
      </c>
      <c r="H135" t="s">
        <v>74</v>
      </c>
      <c r="I135">
        <v>0</v>
      </c>
      <c r="J135" t="s">
        <v>75</v>
      </c>
      <c r="K135">
        <v>3.14159265358979</v>
      </c>
      <c r="L135">
        <v>0.77144951578469001</v>
      </c>
      <c r="M135">
        <v>0</v>
      </c>
      <c r="N135">
        <v>4.52957098341423E-2</v>
      </c>
      <c r="O135">
        <v>0</v>
      </c>
      <c r="P135">
        <v>1.6E-2</v>
      </c>
      <c r="Q135">
        <v>0</v>
      </c>
      <c r="R135">
        <v>0</v>
      </c>
      <c r="S135">
        <v>0</v>
      </c>
      <c r="T135">
        <v>0</v>
      </c>
      <c r="U135">
        <v>0.77767086952700804</v>
      </c>
      <c r="V135" t="s">
        <v>78</v>
      </c>
      <c r="W135">
        <v>2287872.65179636</v>
      </c>
      <c r="X135" t="s">
        <v>76</v>
      </c>
      <c r="Y135">
        <v>-1.5707963267949001</v>
      </c>
      <c r="Z135">
        <v>0.763620992163205</v>
      </c>
      <c r="AA135">
        <v>0.21869758318607799</v>
      </c>
      <c r="AB135">
        <v>4.1366008971431403E-2</v>
      </c>
      <c r="AC135">
        <v>1.22937040844288E-2</v>
      </c>
      <c r="AD135">
        <v>1.90972918444017E-2</v>
      </c>
      <c r="AE135">
        <v>1.528083679896E-2</v>
      </c>
      <c r="AF135">
        <v>0</v>
      </c>
      <c r="AG135">
        <v>0.23777969656144801</v>
      </c>
      <c r="AH135">
        <v>9.4998713951161606E-2</v>
      </c>
      <c r="AI135">
        <v>0.58909186523853196</v>
      </c>
      <c r="AJ135" t="s">
        <v>74</v>
      </c>
      <c r="AK135">
        <v>0</v>
      </c>
      <c r="AL135" t="s">
        <v>77</v>
      </c>
      <c r="AM135">
        <v>0</v>
      </c>
      <c r="AN135">
        <v>0.99199999999999999</v>
      </c>
      <c r="AO135">
        <v>0</v>
      </c>
      <c r="AP135">
        <v>5.8245346242475203E-2</v>
      </c>
      <c r="AQ135">
        <v>0</v>
      </c>
      <c r="AR135">
        <v>1.6E-2</v>
      </c>
      <c r="AS135">
        <v>0</v>
      </c>
      <c r="AT135">
        <v>0</v>
      </c>
      <c r="AU135">
        <v>0</v>
      </c>
      <c r="AV135">
        <v>0</v>
      </c>
      <c r="AW135">
        <v>1</v>
      </c>
      <c r="AX135" t="s">
        <v>74</v>
      </c>
      <c r="AY135">
        <v>0</v>
      </c>
      <c r="AZ135" t="s">
        <v>76</v>
      </c>
      <c r="BA135">
        <v>-1.5707963267949001</v>
      </c>
      <c r="BB135">
        <v>0.99199999999999999</v>
      </c>
      <c r="BC135">
        <v>0</v>
      </c>
      <c r="BD135">
        <v>5.8245346242475203E-2</v>
      </c>
      <c r="BE135">
        <v>0</v>
      </c>
      <c r="BF135">
        <v>1.6E-2</v>
      </c>
      <c r="BG135">
        <v>0</v>
      </c>
      <c r="BH135">
        <v>0</v>
      </c>
      <c r="BI135">
        <v>0</v>
      </c>
      <c r="BJ135">
        <v>0</v>
      </c>
      <c r="BK135">
        <v>1</v>
      </c>
      <c r="BL135">
        <v>1.07723057687476E-4</v>
      </c>
      <c r="BM135">
        <v>1.66389205256305E-4</v>
      </c>
      <c r="BN135" s="1">
        <v>3.9241117407755098E-7</v>
      </c>
      <c r="BO135" s="1">
        <v>2.6136355243492499E-6</v>
      </c>
      <c r="BP135">
        <v>0</v>
      </c>
      <c r="BQ135">
        <v>0</v>
      </c>
      <c r="BR135" s="1">
        <v>5.88155865924158E-5</v>
      </c>
      <c r="BS135" s="1">
        <v>9.1774445066652199E-5</v>
      </c>
    </row>
    <row r="136" spans="1:71" x14ac:dyDescent="0.25">
      <c r="A136">
        <v>133</v>
      </c>
      <c r="B136" s="1">
        <v>9.0096273192189993E-6</v>
      </c>
      <c r="C136">
        <v>0.105642538212856</v>
      </c>
      <c r="D136">
        <v>-3.0663457397061601E-4</v>
      </c>
      <c r="E136">
        <v>6.1312499999999995E-4</v>
      </c>
      <c r="F136">
        <v>-1.0564253821285601E-3</v>
      </c>
      <c r="G136" s="1">
        <v>1.0842021724855E-19</v>
      </c>
      <c r="H136" t="s">
        <v>74</v>
      </c>
      <c r="I136">
        <v>0</v>
      </c>
      <c r="J136" t="s">
        <v>75</v>
      </c>
      <c r="K136">
        <v>3.14159265358979</v>
      </c>
      <c r="L136">
        <v>0.76976723762997901</v>
      </c>
      <c r="M136">
        <v>0</v>
      </c>
      <c r="N136">
        <v>4.5196934759951402E-2</v>
      </c>
      <c r="O136">
        <v>0</v>
      </c>
      <c r="P136">
        <v>1.6E-2</v>
      </c>
      <c r="Q136">
        <v>0</v>
      </c>
      <c r="R136">
        <v>0</v>
      </c>
      <c r="S136">
        <v>0</v>
      </c>
      <c r="T136">
        <v>0</v>
      </c>
      <c r="U136">
        <v>0.77597502688245301</v>
      </c>
      <c r="V136" t="s">
        <v>78</v>
      </c>
      <c r="W136">
        <v>2288292.6072156201</v>
      </c>
      <c r="X136" t="s">
        <v>76</v>
      </c>
      <c r="Y136">
        <v>-1.5707963267949001</v>
      </c>
      <c r="Z136">
        <v>0.76193928476200801</v>
      </c>
      <c r="AA136">
        <v>0.220601437138811</v>
      </c>
      <c r="AB136">
        <v>4.1269275638826299E-2</v>
      </c>
      <c r="AC136">
        <v>1.2394423111045201E-2</v>
      </c>
      <c r="AD136">
        <v>1.8997134958332499E-2</v>
      </c>
      <c r="AE136">
        <v>1.54059652100114E-2</v>
      </c>
      <c r="AF136">
        <v>0</v>
      </c>
      <c r="AG136">
        <v>0.23875272572994799</v>
      </c>
      <c r="AH136">
        <v>9.6563996373119507E-2</v>
      </c>
      <c r="AI136">
        <v>0.58617346116539204</v>
      </c>
      <c r="AJ136" t="s">
        <v>74</v>
      </c>
      <c r="AK136">
        <v>0</v>
      </c>
      <c r="AL136" t="s">
        <v>77</v>
      </c>
      <c r="AM136">
        <v>0</v>
      </c>
      <c r="AN136">
        <v>0.99199999999999999</v>
      </c>
      <c r="AO136">
        <v>0</v>
      </c>
      <c r="AP136">
        <v>5.8245346242475203E-2</v>
      </c>
      <c r="AQ136">
        <v>0</v>
      </c>
      <c r="AR136">
        <v>1.6E-2</v>
      </c>
      <c r="AS136">
        <v>0</v>
      </c>
      <c r="AT136">
        <v>0</v>
      </c>
      <c r="AU136">
        <v>0</v>
      </c>
      <c r="AV136">
        <v>0</v>
      </c>
      <c r="AW136">
        <v>1</v>
      </c>
      <c r="AX136" t="s">
        <v>74</v>
      </c>
      <c r="AY136">
        <v>0</v>
      </c>
      <c r="AZ136" t="s">
        <v>76</v>
      </c>
      <c r="BA136">
        <v>-1.5707963267949001</v>
      </c>
      <c r="BB136">
        <v>0.99199999999999999</v>
      </c>
      <c r="BC136">
        <v>0</v>
      </c>
      <c r="BD136">
        <v>5.8245346242475203E-2</v>
      </c>
      <c r="BE136">
        <v>0</v>
      </c>
      <c r="BF136">
        <v>1.6E-2</v>
      </c>
      <c r="BG136">
        <v>0</v>
      </c>
      <c r="BH136">
        <v>0</v>
      </c>
      <c r="BI136">
        <v>0</v>
      </c>
      <c r="BJ136">
        <v>0</v>
      </c>
      <c r="BK136">
        <v>1</v>
      </c>
      <c r="BL136">
        <v>1.07675662997387E-4</v>
      </c>
      <c r="BM136">
        <v>1.6765836105153399E-4</v>
      </c>
      <c r="BN136" s="1">
        <v>3.9222646774436399E-7</v>
      </c>
      <c r="BO136" s="1">
        <v>2.6335713769620198E-6</v>
      </c>
      <c r="BP136">
        <v>0</v>
      </c>
      <c r="BQ136">
        <v>0</v>
      </c>
      <c r="BR136" s="1">
        <v>5.8785474299471098E-5</v>
      </c>
      <c r="BS136" s="1">
        <v>9.2475342234084304E-5</v>
      </c>
    </row>
    <row r="137" spans="1:71" x14ac:dyDescent="0.25">
      <c r="A137">
        <v>134</v>
      </c>
      <c r="B137" s="1">
        <v>8.9745824135020704E-6</v>
      </c>
      <c r="C137">
        <v>0.10565151279527001</v>
      </c>
      <c r="D137">
        <v>-3.0668304750426498E-4</v>
      </c>
      <c r="E137">
        <v>6.1312499999999995E-4</v>
      </c>
      <c r="F137">
        <v>-1.0565151279526999E-3</v>
      </c>
      <c r="G137" s="1">
        <v>1.0842021724855E-19</v>
      </c>
      <c r="H137" t="s">
        <v>74</v>
      </c>
      <c r="I137">
        <v>0</v>
      </c>
      <c r="J137" t="s">
        <v>75</v>
      </c>
      <c r="K137">
        <v>3.14159265358979</v>
      </c>
      <c r="L137">
        <v>0.76808498854936902</v>
      </c>
      <c r="M137">
        <v>0</v>
      </c>
      <c r="N137">
        <v>4.5098161392848397E-2</v>
      </c>
      <c r="O137">
        <v>0</v>
      </c>
      <c r="P137">
        <v>1.6E-2</v>
      </c>
      <c r="Q137">
        <v>0</v>
      </c>
      <c r="R137">
        <v>0</v>
      </c>
      <c r="S137">
        <v>0</v>
      </c>
      <c r="T137">
        <v>0</v>
      </c>
      <c r="U137">
        <v>0.77427921316183301</v>
      </c>
      <c r="V137" t="s">
        <v>78</v>
      </c>
      <c r="W137">
        <v>2288710.9102822798</v>
      </c>
      <c r="X137" t="s">
        <v>76</v>
      </c>
      <c r="Y137">
        <v>-1.5707963267949001</v>
      </c>
      <c r="Z137">
        <v>0.76025772686480997</v>
      </c>
      <c r="AA137">
        <v>0.22249510721365301</v>
      </c>
      <c r="AB137">
        <v>4.1172596804041103E-2</v>
      </c>
      <c r="AC137">
        <v>1.2494820242637801E-2</v>
      </c>
      <c r="AD137">
        <v>1.88967563428355E-2</v>
      </c>
      <c r="AE137">
        <v>1.553111784387E-2</v>
      </c>
      <c r="AF137">
        <v>0</v>
      </c>
      <c r="AG137">
        <v>0.23971074506187601</v>
      </c>
      <c r="AH137">
        <v>9.8144244763083699E-2</v>
      </c>
      <c r="AI137">
        <v>0.58325895890507595</v>
      </c>
      <c r="AJ137" t="s">
        <v>74</v>
      </c>
      <c r="AK137">
        <v>0</v>
      </c>
      <c r="AL137" t="s">
        <v>77</v>
      </c>
      <c r="AM137">
        <v>0</v>
      </c>
      <c r="AN137">
        <v>0.99199999999999999</v>
      </c>
      <c r="AO137">
        <v>0</v>
      </c>
      <c r="AP137">
        <v>5.8245346242475203E-2</v>
      </c>
      <c r="AQ137">
        <v>0</v>
      </c>
      <c r="AR137">
        <v>1.6E-2</v>
      </c>
      <c r="AS137">
        <v>0</v>
      </c>
      <c r="AT137">
        <v>0</v>
      </c>
      <c r="AU137">
        <v>0</v>
      </c>
      <c r="AV137">
        <v>0</v>
      </c>
      <c r="AW137">
        <v>1</v>
      </c>
      <c r="AX137" t="s">
        <v>74</v>
      </c>
      <c r="AY137">
        <v>0</v>
      </c>
      <c r="AZ137" t="s">
        <v>76</v>
      </c>
      <c r="BA137">
        <v>-1.5707963267949001</v>
      </c>
      <c r="BB137">
        <v>0.99199999999999999</v>
      </c>
      <c r="BC137">
        <v>0</v>
      </c>
      <c r="BD137">
        <v>5.8245346242475203E-2</v>
      </c>
      <c r="BE137">
        <v>0</v>
      </c>
      <c r="BF137">
        <v>1.6E-2</v>
      </c>
      <c r="BG137">
        <v>0</v>
      </c>
      <c r="BH137">
        <v>0</v>
      </c>
      <c r="BI137">
        <v>0</v>
      </c>
      <c r="BJ137">
        <v>0</v>
      </c>
      <c r="BK137">
        <v>1</v>
      </c>
      <c r="BL137">
        <v>1.0762813546223899E-4</v>
      </c>
      <c r="BM137">
        <v>1.6892749491248001E-4</v>
      </c>
      <c r="BN137" s="1">
        <v>3.9204165216104301E-7</v>
      </c>
      <c r="BO137" s="1">
        <v>2.65350688503187E-6</v>
      </c>
      <c r="BP137">
        <v>0</v>
      </c>
      <c r="BQ137">
        <v>0</v>
      </c>
      <c r="BR137" s="1">
        <v>5.87552856521743E-5</v>
      </c>
      <c r="BS137" s="1">
        <v>9.3176237114455895E-5</v>
      </c>
    </row>
    <row r="138" spans="1:71" x14ac:dyDescent="0.25">
      <c r="A138">
        <v>135</v>
      </c>
      <c r="B138" s="1">
        <v>8.9403606318704992E-6</v>
      </c>
      <c r="C138">
        <v>0.105660453155901</v>
      </c>
      <c r="D138">
        <v>-3.0673133403229897E-4</v>
      </c>
      <c r="E138">
        <v>6.1312499999999995E-4</v>
      </c>
      <c r="F138">
        <v>-1.05660453155901E-3</v>
      </c>
      <c r="G138">
        <v>0</v>
      </c>
      <c r="H138" t="s">
        <v>74</v>
      </c>
      <c r="I138">
        <v>0</v>
      </c>
      <c r="J138" t="s">
        <v>75</v>
      </c>
      <c r="K138">
        <v>3.14159265358979</v>
      </c>
      <c r="L138">
        <v>0.76640276886307601</v>
      </c>
      <c r="M138">
        <v>0</v>
      </c>
      <c r="N138">
        <v>4.49993897516347E-2</v>
      </c>
      <c r="O138">
        <v>0</v>
      </c>
      <c r="P138">
        <v>1.6E-2</v>
      </c>
      <c r="Q138">
        <v>0</v>
      </c>
      <c r="R138">
        <v>0</v>
      </c>
      <c r="S138">
        <v>0</v>
      </c>
      <c r="T138">
        <v>0</v>
      </c>
      <c r="U138">
        <v>0.77258342875349695</v>
      </c>
      <c r="V138" t="s">
        <v>78</v>
      </c>
      <c r="W138">
        <v>2289127.5995812598</v>
      </c>
      <c r="X138" t="s">
        <v>76</v>
      </c>
      <c r="Y138">
        <v>-1.5707963267949001</v>
      </c>
      <c r="Z138">
        <v>0.75857631713150298</v>
      </c>
      <c r="AA138">
        <v>0.224378571346383</v>
      </c>
      <c r="AB138">
        <v>4.10759717378072E-2</v>
      </c>
      <c r="AC138">
        <v>1.2594893566589299E-2</v>
      </c>
      <c r="AD138">
        <v>1.8796159964744399E-2</v>
      </c>
      <c r="AE138">
        <v>1.5656293640931601E-2</v>
      </c>
      <c r="AF138">
        <v>0</v>
      </c>
      <c r="AG138">
        <v>0.240653687168004</v>
      </c>
      <c r="AH138">
        <v>9.9739526027126699E-2</v>
      </c>
      <c r="AI138">
        <v>0.58034837420655605</v>
      </c>
      <c r="AJ138" t="s">
        <v>74</v>
      </c>
      <c r="AK138">
        <v>0</v>
      </c>
      <c r="AL138" t="s">
        <v>77</v>
      </c>
      <c r="AM138">
        <v>0</v>
      </c>
      <c r="AN138">
        <v>0.99199999999999999</v>
      </c>
      <c r="AO138">
        <v>0</v>
      </c>
      <c r="AP138">
        <v>5.8245346242475203E-2</v>
      </c>
      <c r="AQ138">
        <v>0</v>
      </c>
      <c r="AR138">
        <v>1.6E-2</v>
      </c>
      <c r="AS138">
        <v>0</v>
      </c>
      <c r="AT138">
        <v>0</v>
      </c>
      <c r="AU138">
        <v>0</v>
      </c>
      <c r="AV138">
        <v>0</v>
      </c>
      <c r="AW138">
        <v>1</v>
      </c>
      <c r="AX138" t="s">
        <v>74</v>
      </c>
      <c r="AY138">
        <v>0</v>
      </c>
      <c r="AZ138" t="s">
        <v>76</v>
      </c>
      <c r="BA138">
        <v>-1.5707963267949001</v>
      </c>
      <c r="BB138">
        <v>0.99199999999999999</v>
      </c>
      <c r="BC138">
        <v>0</v>
      </c>
      <c r="BD138">
        <v>5.8245346242475203E-2</v>
      </c>
      <c r="BE138">
        <v>0</v>
      </c>
      <c r="BF138">
        <v>1.6E-2</v>
      </c>
      <c r="BG138">
        <v>0</v>
      </c>
      <c r="BH138">
        <v>0</v>
      </c>
      <c r="BI138">
        <v>0</v>
      </c>
      <c r="BJ138">
        <v>0</v>
      </c>
      <c r="BK138">
        <v>1</v>
      </c>
      <c r="BL138">
        <v>1.07580473770491E-4</v>
      </c>
      <c r="BM138">
        <v>1.7019660659756499E-4</v>
      </c>
      <c r="BN138" s="1">
        <v>3.9185672186619599E-7</v>
      </c>
      <c r="BO138" s="1">
        <v>2.6734420447641098E-6</v>
      </c>
      <c r="BP138">
        <v>0</v>
      </c>
      <c r="BQ138">
        <v>0</v>
      </c>
      <c r="BR138" s="1">
        <v>5.87250199782404E-5</v>
      </c>
      <c r="BS138" s="1">
        <v>9.3877129577916901E-5</v>
      </c>
    </row>
    <row r="139" spans="1:71" x14ac:dyDescent="0.25">
      <c r="A139">
        <v>136</v>
      </c>
      <c r="B139" s="1">
        <v>8.9069483989731407E-6</v>
      </c>
      <c r="C139">
        <v>0.1056693601043</v>
      </c>
      <c r="D139">
        <v>-3.0677943795178099E-4</v>
      </c>
      <c r="E139">
        <v>6.1312499999999995E-4</v>
      </c>
      <c r="F139">
        <v>-1.0566936010429999E-3</v>
      </c>
      <c r="G139">
        <v>0</v>
      </c>
      <c r="H139" t="s">
        <v>74</v>
      </c>
      <c r="I139">
        <v>0</v>
      </c>
      <c r="J139" t="s">
        <v>75</v>
      </c>
      <c r="K139">
        <v>3.14159265358979</v>
      </c>
      <c r="L139">
        <v>0.764720578896526</v>
      </c>
      <c r="M139">
        <v>0</v>
      </c>
      <c r="N139">
        <v>4.4900619855417601E-2</v>
      </c>
      <c r="O139">
        <v>0</v>
      </c>
      <c r="P139">
        <v>1.6E-2</v>
      </c>
      <c r="Q139">
        <v>0</v>
      </c>
      <c r="R139">
        <v>0</v>
      </c>
      <c r="S139">
        <v>0</v>
      </c>
      <c r="T139">
        <v>0</v>
      </c>
      <c r="U139">
        <v>0.77088767403971004</v>
      </c>
      <c r="V139" t="s">
        <v>78</v>
      </c>
      <c r="W139">
        <v>2289542.7130570598</v>
      </c>
      <c r="X139" t="s">
        <v>76</v>
      </c>
      <c r="Y139">
        <v>-1.5707963267949001</v>
      </c>
      <c r="Z139">
        <v>0.75689505425759895</v>
      </c>
      <c r="AA139">
        <v>0.22625180787072299</v>
      </c>
      <c r="AB139">
        <v>4.0979399725771699E-2</v>
      </c>
      <c r="AC139">
        <v>1.26946434592487E-2</v>
      </c>
      <c r="AD139">
        <v>1.8695349725369102E-2</v>
      </c>
      <c r="AE139">
        <v>1.5781491547953001E-2</v>
      </c>
      <c r="AF139">
        <v>0</v>
      </c>
      <c r="AG139">
        <v>0.24158148397203699</v>
      </c>
      <c r="AH139">
        <v>0.10134990775052</v>
      </c>
      <c r="AI139">
        <v>0.57744172283625905</v>
      </c>
      <c r="AJ139" t="s">
        <v>74</v>
      </c>
      <c r="AK139">
        <v>0</v>
      </c>
      <c r="AL139" t="s">
        <v>77</v>
      </c>
      <c r="AM139">
        <v>0</v>
      </c>
      <c r="AN139">
        <v>0.99199999999999999</v>
      </c>
      <c r="AO139">
        <v>0</v>
      </c>
      <c r="AP139">
        <v>5.8245346242475203E-2</v>
      </c>
      <c r="AQ139">
        <v>0</v>
      </c>
      <c r="AR139">
        <v>1.6E-2</v>
      </c>
      <c r="AS139">
        <v>0</v>
      </c>
      <c r="AT139">
        <v>0</v>
      </c>
      <c r="AU139">
        <v>0</v>
      </c>
      <c r="AV139">
        <v>0</v>
      </c>
      <c r="AW139">
        <v>1</v>
      </c>
      <c r="AX139" t="s">
        <v>74</v>
      </c>
      <c r="AY139">
        <v>0</v>
      </c>
      <c r="AZ139" t="s">
        <v>76</v>
      </c>
      <c r="BA139">
        <v>-1.5707963267949001</v>
      </c>
      <c r="BB139">
        <v>0.99199999999999999</v>
      </c>
      <c r="BC139">
        <v>0</v>
      </c>
      <c r="BD139">
        <v>5.8245346242475203E-2</v>
      </c>
      <c r="BE139">
        <v>0</v>
      </c>
      <c r="BF139">
        <v>1.6E-2</v>
      </c>
      <c r="BG139">
        <v>0</v>
      </c>
      <c r="BH139">
        <v>0</v>
      </c>
      <c r="BI139">
        <v>0</v>
      </c>
      <c r="BJ139">
        <v>0</v>
      </c>
      <c r="BK139">
        <v>1</v>
      </c>
      <c r="BL139">
        <v>1.07532677762694E-4</v>
      </c>
      <c r="BM139">
        <v>1.7146569586127901E-4</v>
      </c>
      <c r="BN139" s="1">
        <v>3.9167167579635502E-7</v>
      </c>
      <c r="BO139" s="1">
        <v>2.6933768523022699E-6</v>
      </c>
      <c r="BP139">
        <v>0</v>
      </c>
      <c r="BQ139">
        <v>0</v>
      </c>
      <c r="BR139" s="1">
        <v>5.8694677239897501E-5</v>
      </c>
      <c r="BS139" s="1">
        <v>9.4578019493517506E-5</v>
      </c>
    </row>
    <row r="140" spans="1:71" x14ac:dyDescent="0.25">
      <c r="A140">
        <v>137</v>
      </c>
      <c r="B140" s="1">
        <v>8.8743326345348796E-6</v>
      </c>
      <c r="C140">
        <v>0.105678234436935</v>
      </c>
      <c r="D140">
        <v>-3.0682736358825398E-4</v>
      </c>
      <c r="E140">
        <v>6.1312499999999995E-4</v>
      </c>
      <c r="F140">
        <v>-1.0567823443693499E-3</v>
      </c>
      <c r="G140">
        <v>0</v>
      </c>
      <c r="H140" t="s">
        <v>74</v>
      </c>
      <c r="I140">
        <v>0</v>
      </c>
      <c r="J140" t="s">
        <v>75</v>
      </c>
      <c r="K140">
        <v>3.14159265358979</v>
      </c>
      <c r="L140">
        <v>0.76303841898046698</v>
      </c>
      <c r="M140">
        <v>0</v>
      </c>
      <c r="N140">
        <v>4.48018517236171E-2</v>
      </c>
      <c r="O140">
        <v>0</v>
      </c>
      <c r="P140">
        <v>1.6E-2</v>
      </c>
      <c r="Q140">
        <v>0</v>
      </c>
      <c r="R140">
        <v>0</v>
      </c>
      <c r="S140">
        <v>0</v>
      </c>
      <c r="T140">
        <v>0</v>
      </c>
      <c r="U140">
        <v>0.76919194939876501</v>
      </c>
      <c r="V140" t="s">
        <v>78</v>
      </c>
      <c r="W140">
        <v>2289956.2880370398</v>
      </c>
      <c r="X140" t="s">
        <v>76</v>
      </c>
      <c r="Y140">
        <v>-1.5707963267949001</v>
      </c>
      <c r="Z140">
        <v>0.75521393697339101</v>
      </c>
      <c r="AA140">
        <v>0.22625180787072299</v>
      </c>
      <c r="AB140">
        <v>4.0882880068049798E-2</v>
      </c>
      <c r="AC140">
        <v>1.27346996287547E-2</v>
      </c>
      <c r="AD140">
        <v>1.85943294624831E-2</v>
      </c>
      <c r="AE140">
        <v>1.5906710517824201E-2</v>
      </c>
      <c r="AF140">
        <v>0</v>
      </c>
      <c r="AG140">
        <v>0.242494066699734</v>
      </c>
      <c r="AH140">
        <v>0.102975458208455</v>
      </c>
      <c r="AI140">
        <v>0.57453902058070705</v>
      </c>
      <c r="AJ140" t="s">
        <v>74</v>
      </c>
      <c r="AK140">
        <v>0</v>
      </c>
      <c r="AL140" t="s">
        <v>77</v>
      </c>
      <c r="AM140">
        <v>0</v>
      </c>
      <c r="AN140">
        <v>0.99199999999999999</v>
      </c>
      <c r="AO140">
        <v>0</v>
      </c>
      <c r="AP140">
        <v>5.8245346242475203E-2</v>
      </c>
      <c r="AQ140">
        <v>0</v>
      </c>
      <c r="AR140">
        <v>1.6E-2</v>
      </c>
      <c r="AS140">
        <v>0</v>
      </c>
      <c r="AT140">
        <v>0</v>
      </c>
      <c r="AU140">
        <v>0</v>
      </c>
      <c r="AV140">
        <v>0</v>
      </c>
      <c r="AW140">
        <v>1</v>
      </c>
      <c r="AX140" t="s">
        <v>74</v>
      </c>
      <c r="AY140">
        <v>0</v>
      </c>
      <c r="AZ140" t="s">
        <v>76</v>
      </c>
      <c r="BA140">
        <v>-1.5707963267949001</v>
      </c>
      <c r="BB140">
        <v>0.99199999999999999</v>
      </c>
      <c r="BC140">
        <v>0</v>
      </c>
      <c r="BD140">
        <v>5.8245346242475203E-2</v>
      </c>
      <c r="BE140">
        <v>0</v>
      </c>
      <c r="BF140">
        <v>1.6E-2</v>
      </c>
      <c r="BG140">
        <v>0</v>
      </c>
      <c r="BH140">
        <v>0</v>
      </c>
      <c r="BI140">
        <v>0</v>
      </c>
      <c r="BJ140">
        <v>0</v>
      </c>
      <c r="BK140">
        <v>1</v>
      </c>
      <c r="BL140">
        <v>1.07455061952686E-4</v>
      </c>
      <c r="BM140">
        <v>1.7273476245409399E-4</v>
      </c>
      <c r="BN140" s="1">
        <v>3.9142713919086098E-7</v>
      </c>
      <c r="BO140" s="1">
        <v>2.7133113037268101E-6</v>
      </c>
      <c r="BP140">
        <v>0</v>
      </c>
      <c r="BQ140">
        <v>0</v>
      </c>
      <c r="BR140" s="1">
        <v>5.86478832451948E-5</v>
      </c>
      <c r="BS140" s="1">
        <v>9.5278906729162502E-5</v>
      </c>
    </row>
    <row r="141" spans="1:71" x14ac:dyDescent="0.25">
      <c r="A141">
        <v>138</v>
      </c>
      <c r="B141" s="1">
        <v>8.8425007379177603E-6</v>
      </c>
      <c r="C141">
        <v>0.105687076937673</v>
      </c>
      <c r="D141">
        <v>-3.06875115198364E-4</v>
      </c>
      <c r="E141">
        <v>6.1312499999999995E-4</v>
      </c>
      <c r="F141">
        <v>-1.05687076937673E-3</v>
      </c>
      <c r="G141">
        <v>0</v>
      </c>
      <c r="H141" t="s">
        <v>74</v>
      </c>
      <c r="I141">
        <v>0</v>
      </c>
      <c r="J141" t="s">
        <v>75</v>
      </c>
      <c r="K141">
        <v>3.14159265358979</v>
      </c>
      <c r="L141">
        <v>0.76135628945110401</v>
      </c>
      <c r="M141">
        <v>0</v>
      </c>
      <c r="N141">
        <v>4.4703085375973499E-2</v>
      </c>
      <c r="O141">
        <v>0</v>
      </c>
      <c r="P141">
        <v>1.6E-2</v>
      </c>
      <c r="Q141">
        <v>0</v>
      </c>
      <c r="R141">
        <v>0</v>
      </c>
      <c r="S141">
        <v>0</v>
      </c>
      <c r="T141">
        <v>0</v>
      </c>
      <c r="U141">
        <v>0.76749625520676101</v>
      </c>
      <c r="V141" t="s">
        <v>78</v>
      </c>
      <c r="W141">
        <v>2290368.3612539698</v>
      </c>
      <c r="X141" t="s">
        <v>76</v>
      </c>
      <c r="Y141">
        <v>-1.5707963267949001</v>
      </c>
      <c r="Z141">
        <v>0.75353296404315595</v>
      </c>
      <c r="AA141">
        <v>0.22998399474304701</v>
      </c>
      <c r="AB141">
        <v>4.0786412078792501E-2</v>
      </c>
      <c r="AC141">
        <v>1.28928444496398E-2</v>
      </c>
      <c r="AD141">
        <v>1.8493102952246099E-2</v>
      </c>
      <c r="AE141">
        <v>1.6031949509342901E-2</v>
      </c>
      <c r="AF141">
        <v>0</v>
      </c>
      <c r="AG141">
        <v>0.243391365867756</v>
      </c>
      <c r="AH141">
        <v>0.10461624637698801</v>
      </c>
      <c r="AI141">
        <v>0.57164028324913496</v>
      </c>
      <c r="AJ141" t="s">
        <v>74</v>
      </c>
      <c r="AK141">
        <v>0</v>
      </c>
      <c r="AL141" t="s">
        <v>77</v>
      </c>
      <c r="AM141">
        <v>0</v>
      </c>
      <c r="AN141">
        <v>0.99199999999999999</v>
      </c>
      <c r="AO141">
        <v>0</v>
      </c>
      <c r="AP141">
        <v>5.8245346242475203E-2</v>
      </c>
      <c r="AQ141">
        <v>0</v>
      </c>
      <c r="AR141">
        <v>1.6E-2</v>
      </c>
      <c r="AS141">
        <v>0</v>
      </c>
      <c r="AT141">
        <v>0</v>
      </c>
      <c r="AU141">
        <v>0</v>
      </c>
      <c r="AV141">
        <v>0</v>
      </c>
      <c r="AW141">
        <v>1</v>
      </c>
      <c r="AX141" t="s">
        <v>74</v>
      </c>
      <c r="AY141">
        <v>0</v>
      </c>
      <c r="AZ141" t="s">
        <v>76</v>
      </c>
      <c r="BA141">
        <v>-1.5707963267949001</v>
      </c>
      <c r="BB141">
        <v>0.99199999999999999</v>
      </c>
      <c r="BC141">
        <v>0</v>
      </c>
      <c r="BD141">
        <v>5.8245346242475203E-2</v>
      </c>
      <c r="BE141">
        <v>0</v>
      </c>
      <c r="BF141">
        <v>1.6E-2</v>
      </c>
      <c r="BG141">
        <v>0</v>
      </c>
      <c r="BH141">
        <v>0</v>
      </c>
      <c r="BI141">
        <v>0</v>
      </c>
      <c r="BJ141">
        <v>0</v>
      </c>
      <c r="BK141">
        <v>1</v>
      </c>
      <c r="BL141">
        <v>1.07436517194678E-4</v>
      </c>
      <c r="BM141">
        <v>1.74003806122372E-4</v>
      </c>
      <c r="BN141" s="1">
        <v>3.9130089509675899E-7</v>
      </c>
      <c r="BO141" s="1">
        <v>2.7332453950535299E-6</v>
      </c>
      <c r="BP141">
        <v>0</v>
      </c>
      <c r="BQ141">
        <v>0</v>
      </c>
      <c r="BR141" s="1">
        <v>5.8633669419536201E-5</v>
      </c>
      <c r="BS141" s="1">
        <v>9.5979791151556103E-5</v>
      </c>
    </row>
    <row r="142" spans="1:71" x14ac:dyDescent="0.25">
      <c r="A142">
        <v>139</v>
      </c>
      <c r="B142" s="1">
        <v>8.8114405733832694E-6</v>
      </c>
      <c r="C142">
        <v>0.10569588837824601</v>
      </c>
      <c r="D142">
        <v>-3.0692269697238502E-4</v>
      </c>
      <c r="E142">
        <v>6.1312499999999995E-4</v>
      </c>
      <c r="F142">
        <v>-1.05695888378246E-3</v>
      </c>
      <c r="G142" s="1">
        <v>1.0842021724855E-19</v>
      </c>
      <c r="H142" t="s">
        <v>74</v>
      </c>
      <c r="I142">
        <v>0</v>
      </c>
      <c r="J142" t="s">
        <v>75</v>
      </c>
      <c r="K142">
        <v>3.14159265358979</v>
      </c>
      <c r="L142">
        <v>0.75967419065021102</v>
      </c>
      <c r="M142">
        <v>0</v>
      </c>
      <c r="N142">
        <v>4.4604320832554098E-2</v>
      </c>
      <c r="O142">
        <v>0</v>
      </c>
      <c r="P142">
        <v>1.6E-2</v>
      </c>
      <c r="Q142">
        <v>0</v>
      </c>
      <c r="R142">
        <v>0</v>
      </c>
      <c r="S142">
        <v>0</v>
      </c>
      <c r="T142">
        <v>0</v>
      </c>
      <c r="U142">
        <v>0.76580059183906501</v>
      </c>
      <c r="V142" t="s">
        <v>78</v>
      </c>
      <c r="W142">
        <v>2290778.9688678999</v>
      </c>
      <c r="X142" t="s">
        <v>76</v>
      </c>
      <c r="Y142">
        <v>-1.5707963267949001</v>
      </c>
      <c r="Z142">
        <v>0.75185213426437703</v>
      </c>
      <c r="AA142">
        <v>0.23182642232821701</v>
      </c>
      <c r="AB142">
        <v>4.0689995085769301E-2</v>
      </c>
      <c r="AC142">
        <v>1.29916159914232E-2</v>
      </c>
      <c r="AD142">
        <v>1.83916739110613E-2</v>
      </c>
      <c r="AE142">
        <v>1.61572074869967E-2</v>
      </c>
      <c r="AF142">
        <v>0</v>
      </c>
      <c r="AG142">
        <v>0.24427331127228299</v>
      </c>
      <c r="AH142">
        <v>0.10627234194425</v>
      </c>
      <c r="AI142">
        <v>0.56874552667602196</v>
      </c>
      <c r="AJ142" t="s">
        <v>74</v>
      </c>
      <c r="AK142">
        <v>0</v>
      </c>
      <c r="AL142" t="s">
        <v>77</v>
      </c>
      <c r="AM142">
        <v>0</v>
      </c>
      <c r="AN142">
        <v>0.99199999999999999</v>
      </c>
      <c r="AO142">
        <v>0</v>
      </c>
      <c r="AP142">
        <v>5.8245346242475203E-2</v>
      </c>
      <c r="AQ142">
        <v>0</v>
      </c>
      <c r="AR142">
        <v>1.6E-2</v>
      </c>
      <c r="AS142">
        <v>0</v>
      </c>
      <c r="AT142">
        <v>0</v>
      </c>
      <c r="AU142">
        <v>0</v>
      </c>
      <c r="AV142">
        <v>0</v>
      </c>
      <c r="AW142">
        <v>1</v>
      </c>
      <c r="AX142" t="s">
        <v>74</v>
      </c>
      <c r="AY142">
        <v>0</v>
      </c>
      <c r="AZ142" t="s">
        <v>76</v>
      </c>
      <c r="BA142">
        <v>-1.5707963267949001</v>
      </c>
      <c r="BB142">
        <v>0.99199999999999999</v>
      </c>
      <c r="BC142">
        <v>0</v>
      </c>
      <c r="BD142">
        <v>5.8245346242475203E-2</v>
      </c>
      <c r="BE142">
        <v>0</v>
      </c>
      <c r="BF142">
        <v>1.6E-2</v>
      </c>
      <c r="BG142">
        <v>0</v>
      </c>
      <c r="BH142">
        <v>0</v>
      </c>
      <c r="BI142">
        <v>0</v>
      </c>
      <c r="BJ142">
        <v>0</v>
      </c>
      <c r="BK142">
        <v>1</v>
      </c>
      <c r="BL142">
        <v>1.0738831219734801E-4</v>
      </c>
      <c r="BM142">
        <v>1.7527282660826599E-4</v>
      </c>
      <c r="BN142" s="1">
        <v>3.9111547620134701E-7</v>
      </c>
      <c r="BO142" s="1">
        <v>2.7531791222322399E-6</v>
      </c>
      <c r="BP142">
        <v>0</v>
      </c>
      <c r="BQ142">
        <v>0</v>
      </c>
      <c r="BR142" s="1">
        <v>5.8603092446818702E-5</v>
      </c>
      <c r="BS142" s="1">
        <v>9.6680672626152695E-5</v>
      </c>
    </row>
    <row r="143" spans="1:71" x14ac:dyDescent="0.25">
      <c r="A143">
        <v>140</v>
      </c>
      <c r="B143" s="1">
        <v>8.7811404561862201E-6</v>
      </c>
      <c r="C143">
        <v>0.105704669518702</v>
      </c>
      <c r="D143">
        <v>-3.0697011303667903E-4</v>
      </c>
      <c r="E143">
        <v>6.1312499999999995E-4</v>
      </c>
      <c r="F143">
        <v>-1.05704669518702E-3</v>
      </c>
      <c r="G143" s="1">
        <v>1.0842021724855E-19</v>
      </c>
      <c r="H143" t="s">
        <v>74</v>
      </c>
      <c r="I143">
        <v>0</v>
      </c>
      <c r="J143" t="s">
        <v>75</v>
      </c>
      <c r="K143">
        <v>3.14159265358979</v>
      </c>
      <c r="L143">
        <v>0.75799212292526696</v>
      </c>
      <c r="M143">
        <v>0</v>
      </c>
      <c r="N143">
        <v>4.4505558113761098E-2</v>
      </c>
      <c r="O143">
        <v>0</v>
      </c>
      <c r="P143">
        <v>1.6E-2</v>
      </c>
      <c r="Q143">
        <v>0</v>
      </c>
      <c r="R143">
        <v>0</v>
      </c>
      <c r="S143">
        <v>0</v>
      </c>
      <c r="T143">
        <v>0</v>
      </c>
      <c r="U143">
        <v>0.76410495967154701</v>
      </c>
      <c r="V143" t="s">
        <v>78</v>
      </c>
      <c r="W143">
        <v>2291188.1464873198</v>
      </c>
      <c r="X143" t="s">
        <v>76</v>
      </c>
      <c r="Y143">
        <v>-1.5707963267949001</v>
      </c>
      <c r="Z143">
        <v>0.75017144646700695</v>
      </c>
      <c r="AA143">
        <v>0.23365853949298099</v>
      </c>
      <c r="AB143">
        <v>4.0593628429965202E-2</v>
      </c>
      <c r="AC143">
        <v>1.30900631973904E-2</v>
      </c>
      <c r="AD143">
        <v>1.82900459973728E-2</v>
      </c>
      <c r="AE143">
        <v>1.6282483420748801E-2</v>
      </c>
      <c r="AF143">
        <v>0</v>
      </c>
      <c r="AG143">
        <v>0.245139831977365</v>
      </c>
      <c r="AH143">
        <v>0.10794381532189599</v>
      </c>
      <c r="AI143">
        <v>0.56585476672358603</v>
      </c>
      <c r="AJ143" t="s">
        <v>74</v>
      </c>
      <c r="AK143">
        <v>0</v>
      </c>
      <c r="AL143" t="s">
        <v>77</v>
      </c>
      <c r="AM143">
        <v>0</v>
      </c>
      <c r="AN143">
        <v>0.99199999999999999</v>
      </c>
      <c r="AO143">
        <v>0</v>
      </c>
      <c r="AP143">
        <v>5.8245346242475203E-2</v>
      </c>
      <c r="AQ143">
        <v>0</v>
      </c>
      <c r="AR143">
        <v>1.6E-2</v>
      </c>
      <c r="AS143">
        <v>0</v>
      </c>
      <c r="AT143">
        <v>0</v>
      </c>
      <c r="AU143">
        <v>0</v>
      </c>
      <c r="AV143">
        <v>0</v>
      </c>
      <c r="AW143">
        <v>1</v>
      </c>
      <c r="AX143" t="s">
        <v>74</v>
      </c>
      <c r="AY143">
        <v>0</v>
      </c>
      <c r="AZ143" t="s">
        <v>76</v>
      </c>
      <c r="BA143">
        <v>-1.5707963267949001</v>
      </c>
      <c r="BB143">
        <v>0.99199999999999999</v>
      </c>
      <c r="BC143">
        <v>0</v>
      </c>
      <c r="BD143">
        <v>5.8245346242475203E-2</v>
      </c>
      <c r="BE143">
        <v>0</v>
      </c>
      <c r="BF143">
        <v>1.6E-2</v>
      </c>
      <c r="BG143">
        <v>0</v>
      </c>
      <c r="BH143">
        <v>0</v>
      </c>
      <c r="BI143">
        <v>0</v>
      </c>
      <c r="BJ143">
        <v>0</v>
      </c>
      <c r="BK143">
        <v>1</v>
      </c>
      <c r="BL143">
        <v>1.0733997111303401E-4</v>
      </c>
      <c r="BM143">
        <v>1.76541823649631E-4</v>
      </c>
      <c r="BN143" s="1">
        <v>3.9092993316920001E-7</v>
      </c>
      <c r="BO143" s="1">
        <v>2.7731124811451201E-6</v>
      </c>
      <c r="BP143">
        <v>0</v>
      </c>
      <c r="BQ143">
        <v>0</v>
      </c>
      <c r="BR143" s="1">
        <v>5.8572437624705599E-5</v>
      </c>
      <c r="BS143" s="1">
        <v>9.7381551017105297E-5</v>
      </c>
    </row>
    <row r="144" spans="1:71" x14ac:dyDescent="0.25">
      <c r="A144">
        <v>141</v>
      </c>
      <c r="B144" s="1">
        <v>8.7515891392606505E-6</v>
      </c>
      <c r="C144">
        <v>0.105713421107842</v>
      </c>
      <c r="D144">
        <v>-3.0701736745607997E-4</v>
      </c>
      <c r="E144">
        <v>6.1312499999999995E-4</v>
      </c>
      <c r="F144">
        <v>-1.0571342110784201E-3</v>
      </c>
      <c r="G144">
        <v>0</v>
      </c>
      <c r="H144" t="s">
        <v>74</v>
      </c>
      <c r="I144">
        <v>0</v>
      </c>
      <c r="J144" t="s">
        <v>75</v>
      </c>
      <c r="K144">
        <v>3.14159265358979</v>
      </c>
      <c r="L144">
        <v>0.75631008662957799</v>
      </c>
      <c r="M144">
        <v>0</v>
      </c>
      <c r="N144">
        <v>4.4406797240338899E-2</v>
      </c>
      <c r="O144">
        <v>0</v>
      </c>
      <c r="P144">
        <v>1.6E-2</v>
      </c>
      <c r="Q144">
        <v>0</v>
      </c>
      <c r="R144">
        <v>0</v>
      </c>
      <c r="S144">
        <v>0</v>
      </c>
      <c r="T144">
        <v>0</v>
      </c>
      <c r="U144">
        <v>0.762409359081618</v>
      </c>
      <c r="V144" t="s">
        <v>78</v>
      </c>
      <c r="W144">
        <v>2291595.92918977</v>
      </c>
      <c r="X144" t="s">
        <v>76</v>
      </c>
      <c r="Y144">
        <v>-1.5707963267949001</v>
      </c>
      <c r="Z144">
        <v>0.74849089951275205</v>
      </c>
      <c r="AA144">
        <v>0.23548032646768899</v>
      </c>
      <c r="AB144">
        <v>4.0497311465190498E-2</v>
      </c>
      <c r="AC144">
        <v>1.31881830261203E-2</v>
      </c>
      <c r="AD144">
        <v>1.8188222813404601E-2</v>
      </c>
      <c r="AE144">
        <v>1.64077762858293E-2</v>
      </c>
      <c r="AF144">
        <v>0</v>
      </c>
      <c r="AG144">
        <v>0.24599085630300799</v>
      </c>
      <c r="AH144">
        <v>0.109630737656835</v>
      </c>
      <c r="AI144">
        <v>0.56296801928421603</v>
      </c>
      <c r="AJ144" t="s">
        <v>74</v>
      </c>
      <c r="AK144">
        <v>0</v>
      </c>
      <c r="AL144" t="s">
        <v>77</v>
      </c>
      <c r="AM144">
        <v>0</v>
      </c>
      <c r="AN144">
        <v>0.99199999999999999</v>
      </c>
      <c r="AO144">
        <v>0</v>
      </c>
      <c r="AP144">
        <v>5.8245346242475203E-2</v>
      </c>
      <c r="AQ144">
        <v>0</v>
      </c>
      <c r="AR144">
        <v>1.6E-2</v>
      </c>
      <c r="AS144">
        <v>0</v>
      </c>
      <c r="AT144">
        <v>0</v>
      </c>
      <c r="AU144">
        <v>0</v>
      </c>
      <c r="AV144">
        <v>0</v>
      </c>
      <c r="AW144">
        <v>1</v>
      </c>
      <c r="AX144" t="s">
        <v>74</v>
      </c>
      <c r="AY144">
        <v>0</v>
      </c>
      <c r="AZ144" t="s">
        <v>76</v>
      </c>
      <c r="BA144">
        <v>-1.5707963267949001</v>
      </c>
      <c r="BB144">
        <v>0.99199999999999999</v>
      </c>
      <c r="BC144">
        <v>0</v>
      </c>
      <c r="BD144">
        <v>5.8245346242475203E-2</v>
      </c>
      <c r="BE144">
        <v>0</v>
      </c>
      <c r="BF144">
        <v>1.6E-2</v>
      </c>
      <c r="BG144">
        <v>0</v>
      </c>
      <c r="BH144">
        <v>0</v>
      </c>
      <c r="BI144">
        <v>0</v>
      </c>
      <c r="BJ144">
        <v>0</v>
      </c>
      <c r="BK144">
        <v>1</v>
      </c>
      <c r="BL144">
        <v>1.0729149210830001E-4</v>
      </c>
      <c r="BM144">
        <v>1.7781079697992201E-4</v>
      </c>
      <c r="BN144" s="1">
        <v>3.9074425867252902E-7</v>
      </c>
      <c r="BO144" s="1">
        <v>2.7930454676053402E-6</v>
      </c>
      <c r="BP144">
        <v>0</v>
      </c>
      <c r="BQ144">
        <v>0</v>
      </c>
      <c r="BR144" s="1">
        <v>5.8541703987763403E-5</v>
      </c>
      <c r="BS144" s="1">
        <v>9.8082426187214602E-5</v>
      </c>
    </row>
    <row r="145" spans="1:71" x14ac:dyDescent="0.25">
      <c r="A145">
        <v>142</v>
      </c>
      <c r="B145" s="1">
        <v>8.7227758006082002E-6</v>
      </c>
      <c r="C145">
        <v>0.105722143883642</v>
      </c>
      <c r="D145">
        <v>-3.0706446423620602E-4</v>
      </c>
      <c r="E145">
        <v>6.1312499999999995E-4</v>
      </c>
      <c r="F145">
        <v>-1.05722143883642E-3</v>
      </c>
      <c r="G145" s="1">
        <v>1.0842021724855E-19</v>
      </c>
      <c r="H145" t="s">
        <v>74</v>
      </c>
      <c r="I145">
        <v>0</v>
      </c>
      <c r="J145" t="s">
        <v>75</v>
      </c>
      <c r="K145">
        <v>3.14159265358979</v>
      </c>
      <c r="L145">
        <v>0.75462808212241805</v>
      </c>
      <c r="M145">
        <v>0</v>
      </c>
      <c r="N145">
        <v>4.4308038233382301E-2</v>
      </c>
      <c r="O145">
        <v>0</v>
      </c>
      <c r="P145">
        <v>1.6E-2</v>
      </c>
      <c r="Q145">
        <v>0</v>
      </c>
      <c r="R145">
        <v>0</v>
      </c>
      <c r="S145">
        <v>0</v>
      </c>
      <c r="T145">
        <v>0</v>
      </c>
      <c r="U145">
        <v>0.76071379044911303</v>
      </c>
      <c r="V145" t="s">
        <v>78</v>
      </c>
      <c r="W145">
        <v>2292002.3515417902</v>
      </c>
      <c r="X145" t="s">
        <v>76</v>
      </c>
      <c r="Y145">
        <v>-1.5707963267949001</v>
      </c>
      <c r="Z145">
        <v>0.746810492294399</v>
      </c>
      <c r="AA145">
        <v>0.237291763844691</v>
      </c>
      <c r="AB145">
        <v>4.0401043557705303E-2</v>
      </c>
      <c r="AC145">
        <v>1.32859757706923E-2</v>
      </c>
      <c r="AD145">
        <v>1.8086207906844499E-2</v>
      </c>
      <c r="AE145">
        <v>1.6533085062530501E-2</v>
      </c>
      <c r="AF145">
        <v>0</v>
      </c>
      <c r="AG145">
        <v>0.24682631181298001</v>
      </c>
      <c r="AH145">
        <v>0.111333180843205</v>
      </c>
      <c r="AI145">
        <v>0.56008530028288395</v>
      </c>
      <c r="AJ145" t="s">
        <v>74</v>
      </c>
      <c r="AK145">
        <v>0</v>
      </c>
      <c r="AL145" t="s">
        <v>77</v>
      </c>
      <c r="AM145">
        <v>0</v>
      </c>
      <c r="AN145">
        <v>0.99199999999999999</v>
      </c>
      <c r="AO145">
        <v>0</v>
      </c>
      <c r="AP145">
        <v>5.8245346242475203E-2</v>
      </c>
      <c r="AQ145">
        <v>0</v>
      </c>
      <c r="AR145">
        <v>1.6E-2</v>
      </c>
      <c r="AS145">
        <v>0</v>
      </c>
      <c r="AT145">
        <v>0</v>
      </c>
      <c r="AU145">
        <v>0</v>
      </c>
      <c r="AV145">
        <v>0</v>
      </c>
      <c r="AW145">
        <v>1</v>
      </c>
      <c r="AX145" t="s">
        <v>74</v>
      </c>
      <c r="AY145">
        <v>0</v>
      </c>
      <c r="AZ145" t="s">
        <v>76</v>
      </c>
      <c r="BA145">
        <v>-1.5707963267949001</v>
      </c>
      <c r="BB145">
        <v>0.99199999999999999</v>
      </c>
      <c r="BC145">
        <v>0</v>
      </c>
      <c r="BD145">
        <v>5.8245346242475203E-2</v>
      </c>
      <c r="BE145">
        <v>0</v>
      </c>
      <c r="BF145">
        <v>1.6E-2</v>
      </c>
      <c r="BG145">
        <v>0</v>
      </c>
      <c r="BH145">
        <v>0</v>
      </c>
      <c r="BI145">
        <v>0</v>
      </c>
      <c r="BJ145">
        <v>0</v>
      </c>
      <c r="BK145">
        <v>1</v>
      </c>
      <c r="BL145">
        <v>1.0724287502336501E-4</v>
      </c>
      <c r="BM145">
        <v>1.7907974632809301E-4</v>
      </c>
      <c r="BN145" s="1">
        <v>3.90558451760378E-7</v>
      </c>
      <c r="BO145" s="1">
        <v>2.8129780773552998E-6</v>
      </c>
      <c r="BP145">
        <v>0</v>
      </c>
      <c r="BQ145">
        <v>0</v>
      </c>
      <c r="BR145" s="1">
        <v>5.85108914929703E-5</v>
      </c>
      <c r="BS145" s="1">
        <v>9.8783297997872803E-5</v>
      </c>
    </row>
    <row r="146" spans="1:71" x14ac:dyDescent="0.25">
      <c r="A146">
        <v>143</v>
      </c>
      <c r="B146" s="1">
        <v>8.6946900312295297E-6</v>
      </c>
      <c r="C146">
        <v>0.10573083857367301</v>
      </c>
      <c r="D146">
        <v>-3.0711140732571102E-4</v>
      </c>
      <c r="E146">
        <v>6.1312499999999995E-4</v>
      </c>
      <c r="F146">
        <v>-1.05730838573673E-3</v>
      </c>
      <c r="G146" s="1">
        <v>1.0842021724855E-19</v>
      </c>
      <c r="H146" t="s">
        <v>74</v>
      </c>
      <c r="I146">
        <v>0</v>
      </c>
      <c r="J146" t="s">
        <v>75</v>
      </c>
      <c r="K146">
        <v>3.14159265358979</v>
      </c>
      <c r="L146">
        <v>0.75294610976917098</v>
      </c>
      <c r="M146">
        <v>0</v>
      </c>
      <c r="N146">
        <v>4.4209281114344898E-2</v>
      </c>
      <c r="O146">
        <v>0</v>
      </c>
      <c r="P146">
        <v>1.6E-2</v>
      </c>
      <c r="Q146">
        <v>0</v>
      </c>
      <c r="R146">
        <v>0</v>
      </c>
      <c r="S146">
        <v>0</v>
      </c>
      <c r="T146">
        <v>0</v>
      </c>
      <c r="U146">
        <v>0.75901825415704904</v>
      </c>
      <c r="V146" t="s">
        <v>78</v>
      </c>
      <c r="W146">
        <v>2292407.4476183602</v>
      </c>
      <c r="X146" t="s">
        <v>76</v>
      </c>
      <c r="Y146">
        <v>-1.5707963267949001</v>
      </c>
      <c r="Z146">
        <v>0.74513022373516602</v>
      </c>
      <c r="AA146">
        <v>0.237291763844691</v>
      </c>
      <c r="AB146">
        <v>4.0304824085854597E-2</v>
      </c>
      <c r="AC146">
        <v>1.33260148136031E-2</v>
      </c>
      <c r="AD146">
        <v>1.7984004772473899E-2</v>
      </c>
      <c r="AE146">
        <v>1.66584087360062E-2</v>
      </c>
      <c r="AF146">
        <v>0</v>
      </c>
      <c r="AG146">
        <v>0.24764612530233901</v>
      </c>
      <c r="AH146">
        <v>0.113051217534638</v>
      </c>
      <c r="AI146">
        <v>0.55720662567949397</v>
      </c>
      <c r="AJ146" t="s">
        <v>74</v>
      </c>
      <c r="AK146">
        <v>0</v>
      </c>
      <c r="AL146" t="s">
        <v>77</v>
      </c>
      <c r="AM146">
        <v>0</v>
      </c>
      <c r="AN146">
        <v>0.99199999999999999</v>
      </c>
      <c r="AO146">
        <v>0</v>
      </c>
      <c r="AP146">
        <v>5.8245346242475203E-2</v>
      </c>
      <c r="AQ146">
        <v>0</v>
      </c>
      <c r="AR146">
        <v>1.6E-2</v>
      </c>
      <c r="AS146">
        <v>0</v>
      </c>
      <c r="AT146">
        <v>0</v>
      </c>
      <c r="AU146">
        <v>0</v>
      </c>
      <c r="AV146">
        <v>0</v>
      </c>
      <c r="AW146">
        <v>1</v>
      </c>
      <c r="AX146" t="s">
        <v>74</v>
      </c>
      <c r="AY146">
        <v>0</v>
      </c>
      <c r="AZ146" t="s">
        <v>76</v>
      </c>
      <c r="BA146">
        <v>-1.5707963267949001</v>
      </c>
      <c r="BB146">
        <v>0.99199999999999999</v>
      </c>
      <c r="BC146">
        <v>0</v>
      </c>
      <c r="BD146">
        <v>5.8245346242475203E-2</v>
      </c>
      <c r="BE146">
        <v>0</v>
      </c>
      <c r="BF146">
        <v>1.6E-2</v>
      </c>
      <c r="BG146">
        <v>0</v>
      </c>
      <c r="BH146">
        <v>0</v>
      </c>
      <c r="BI146">
        <v>0</v>
      </c>
      <c r="BJ146">
        <v>0</v>
      </c>
      <c r="BK146">
        <v>1</v>
      </c>
      <c r="BL146">
        <v>1.07165406249377E-4</v>
      </c>
      <c r="BM146">
        <v>1.8034867141848899E-4</v>
      </c>
      <c r="BN146" s="1">
        <v>3.9031508360292501E-7</v>
      </c>
      <c r="BO146" s="1">
        <v>2.8329103060650199E-6</v>
      </c>
      <c r="BP146">
        <v>0</v>
      </c>
      <c r="BQ146">
        <v>0</v>
      </c>
      <c r="BR146" s="1">
        <v>5.8464161146821901E-5</v>
      </c>
      <c r="BS146" s="1">
        <v>9.9484166309009002E-5</v>
      </c>
    </row>
    <row r="147" spans="1:71" x14ac:dyDescent="0.25">
      <c r="A147">
        <v>144</v>
      </c>
      <c r="B147" s="1">
        <v>8.6673218238388507E-6</v>
      </c>
      <c r="C147">
        <v>0.10573950589549699</v>
      </c>
      <c r="D147">
        <v>-3.0715820061846799E-4</v>
      </c>
      <c r="E147">
        <v>6.1312499999999995E-4</v>
      </c>
      <c r="F147">
        <v>-1.0573950589549701E-3</v>
      </c>
      <c r="G147" s="1">
        <v>1.0842021724855E-19</v>
      </c>
      <c r="H147" t="s">
        <v>74</v>
      </c>
      <c r="I147">
        <v>0</v>
      </c>
      <c r="J147" t="s">
        <v>75</v>
      </c>
      <c r="K147">
        <v>3.14159265358979</v>
      </c>
      <c r="L147">
        <v>0.75126416994146294</v>
      </c>
      <c r="M147">
        <v>0</v>
      </c>
      <c r="N147">
        <v>4.4110525905046598E-2</v>
      </c>
      <c r="O147">
        <v>0</v>
      </c>
      <c r="P147">
        <v>1.6E-2</v>
      </c>
      <c r="Q147">
        <v>0</v>
      </c>
      <c r="R147">
        <v>0</v>
      </c>
      <c r="S147">
        <v>0</v>
      </c>
      <c r="T147">
        <v>0</v>
      </c>
      <c r="U147">
        <v>0.75732275059227105</v>
      </c>
      <c r="V147" t="s">
        <v>78</v>
      </c>
      <c r="W147">
        <v>2292811.2510217</v>
      </c>
      <c r="X147" t="s">
        <v>76</v>
      </c>
      <c r="Y147">
        <v>-1.5707963267949001</v>
      </c>
      <c r="Z147">
        <v>0.74345009278806595</v>
      </c>
      <c r="AA147">
        <v>0.23908244522467101</v>
      </c>
      <c r="AB147">
        <v>4.0208652439716497E-2</v>
      </c>
      <c r="AC147">
        <v>1.3423149811778501E-2</v>
      </c>
      <c r="AD147">
        <v>1.7881616853747302E-2</v>
      </c>
      <c r="AE147">
        <v>1.6783746296076499E-2</v>
      </c>
      <c r="AF147">
        <v>0</v>
      </c>
      <c r="AG147">
        <v>0.24845022278467899</v>
      </c>
      <c r="AH147">
        <v>0.11478492115681101</v>
      </c>
      <c r="AI147">
        <v>0.55433201147118305</v>
      </c>
      <c r="AJ147" t="s">
        <v>74</v>
      </c>
      <c r="AK147">
        <v>0</v>
      </c>
      <c r="AL147" t="s">
        <v>77</v>
      </c>
      <c r="AM147">
        <v>0</v>
      </c>
      <c r="AN147">
        <v>0.99199999999999999</v>
      </c>
      <c r="AO147">
        <v>0</v>
      </c>
      <c r="AP147">
        <v>5.8245346242475203E-2</v>
      </c>
      <c r="AQ147">
        <v>0</v>
      </c>
      <c r="AR147">
        <v>1.6E-2</v>
      </c>
      <c r="AS147">
        <v>0</v>
      </c>
      <c r="AT147">
        <v>0</v>
      </c>
      <c r="AU147">
        <v>0</v>
      </c>
      <c r="AV147">
        <v>0</v>
      </c>
      <c r="AW147">
        <v>1</v>
      </c>
      <c r="AX147" t="s">
        <v>74</v>
      </c>
      <c r="AY147">
        <v>0</v>
      </c>
      <c r="AZ147" t="s">
        <v>76</v>
      </c>
      <c r="BA147">
        <v>-1.5707963267949001</v>
      </c>
      <c r="BB147">
        <v>0.99199999999999999</v>
      </c>
      <c r="BC147">
        <v>0</v>
      </c>
      <c r="BD147">
        <v>5.8245346242475203E-2</v>
      </c>
      <c r="BE147">
        <v>0</v>
      </c>
      <c r="BF147">
        <v>1.6E-2</v>
      </c>
      <c r="BG147">
        <v>0</v>
      </c>
      <c r="BH147">
        <v>0</v>
      </c>
      <c r="BI147">
        <v>0</v>
      </c>
      <c r="BJ147">
        <v>0</v>
      </c>
      <c r="BK147">
        <v>1</v>
      </c>
      <c r="BL147">
        <v>1.07116510320746E-4</v>
      </c>
      <c r="BM147">
        <v>1.8161757197074501E-4</v>
      </c>
      <c r="BN147" s="1">
        <v>3.9012900069955899E-7</v>
      </c>
      <c r="BO147" s="1">
        <v>2.8528421493305499E-6</v>
      </c>
      <c r="BP147">
        <v>0</v>
      </c>
      <c r="BQ147">
        <v>0</v>
      </c>
      <c r="BR147" s="1">
        <v>5.8433189444365097E-5</v>
      </c>
      <c r="BS147">
        <v>1.0018503097903699E-4</v>
      </c>
    </row>
    <row r="148" spans="1:71" x14ac:dyDescent="0.25">
      <c r="A148">
        <v>145</v>
      </c>
      <c r="B148" s="1">
        <v>8.6406615619423605E-6</v>
      </c>
      <c r="C148">
        <v>0.105748146557059</v>
      </c>
      <c r="D148">
        <v>-3.0720484795569898E-4</v>
      </c>
      <c r="E148">
        <v>6.1312499999999995E-4</v>
      </c>
      <c r="F148">
        <v>-1.05748146557059E-3</v>
      </c>
      <c r="G148" s="1">
        <v>1.0842021724855E-19</v>
      </c>
      <c r="H148" t="s">
        <v>74</v>
      </c>
      <c r="I148">
        <v>0</v>
      </c>
      <c r="J148" t="s">
        <v>75</v>
      </c>
      <c r="K148">
        <v>3.14159265358979</v>
      </c>
      <c r="L148">
        <v>0.74958226301731901</v>
      </c>
      <c r="M148">
        <v>0</v>
      </c>
      <c r="N148">
        <v>4.4011772627683299E-2</v>
      </c>
      <c r="O148">
        <v>0</v>
      </c>
      <c r="P148">
        <v>1.6E-2</v>
      </c>
      <c r="Q148">
        <v>0</v>
      </c>
      <c r="R148">
        <v>0</v>
      </c>
      <c r="S148">
        <v>0</v>
      </c>
      <c r="T148">
        <v>0</v>
      </c>
      <c r="U148">
        <v>0.75562728014602398</v>
      </c>
      <c r="V148" t="s">
        <v>78</v>
      </c>
      <c r="W148">
        <v>2293213.79489969</v>
      </c>
      <c r="X148" t="s">
        <v>76</v>
      </c>
      <c r="Y148">
        <v>-1.5707963267949001</v>
      </c>
      <c r="Z148">
        <v>0.74177009843532205</v>
      </c>
      <c r="AA148">
        <v>0.24086272090314001</v>
      </c>
      <c r="AB148">
        <v>4.0112528020761401E-2</v>
      </c>
      <c r="AC148">
        <v>1.3519958478607E-2</v>
      </c>
      <c r="AD148">
        <v>1.7779047544322499E-2</v>
      </c>
      <c r="AE148">
        <v>1.6909096737035299E-2</v>
      </c>
      <c r="AF148">
        <v>0</v>
      </c>
      <c r="AG148">
        <v>0.249238529479064</v>
      </c>
      <c r="AH148">
        <v>0.11653436592027699</v>
      </c>
      <c r="AI148">
        <v>0.55146147369461496</v>
      </c>
      <c r="AJ148" t="s">
        <v>74</v>
      </c>
      <c r="AK148">
        <v>0</v>
      </c>
      <c r="AL148" t="s">
        <v>77</v>
      </c>
      <c r="AM148">
        <v>0</v>
      </c>
      <c r="AN148">
        <v>0.99199999999999999</v>
      </c>
      <c r="AO148">
        <v>0</v>
      </c>
      <c r="AP148">
        <v>5.8245346242475203E-2</v>
      </c>
      <c r="AQ148">
        <v>0</v>
      </c>
      <c r="AR148">
        <v>1.6E-2</v>
      </c>
      <c r="AS148">
        <v>0</v>
      </c>
      <c r="AT148">
        <v>0</v>
      </c>
      <c r="AU148">
        <v>0</v>
      </c>
      <c r="AV148">
        <v>0</v>
      </c>
      <c r="AW148">
        <v>1</v>
      </c>
      <c r="AX148" t="s">
        <v>74</v>
      </c>
      <c r="AY148">
        <v>0</v>
      </c>
      <c r="AZ148" t="s">
        <v>76</v>
      </c>
      <c r="BA148">
        <v>-1.5707963267949001</v>
      </c>
      <c r="BB148">
        <v>0.99199999999999999</v>
      </c>
      <c r="BC148">
        <v>0</v>
      </c>
      <c r="BD148">
        <v>5.8245346242475203E-2</v>
      </c>
      <c r="BE148">
        <v>0</v>
      </c>
      <c r="BF148">
        <v>1.6E-2</v>
      </c>
      <c r="BG148">
        <v>0</v>
      </c>
      <c r="BH148">
        <v>0</v>
      </c>
      <c r="BI148">
        <v>0</v>
      </c>
      <c r="BJ148">
        <v>0</v>
      </c>
      <c r="BK148">
        <v>1</v>
      </c>
      <c r="BL148">
        <v>1.07067475806001E-4</v>
      </c>
      <c r="BM148">
        <v>1.8288644769967E-4</v>
      </c>
      <c r="BN148" s="1">
        <v>3.8994278252769998E-7</v>
      </c>
      <c r="BO148" s="1">
        <v>2.8727736026720902E-6</v>
      </c>
      <c r="BP148">
        <v>0</v>
      </c>
      <c r="BQ148">
        <v>0</v>
      </c>
      <c r="BR148" s="1">
        <v>5.8402138736415003E-5</v>
      </c>
      <c r="BS148">
        <v>1.00885891864793E-4</v>
      </c>
    </row>
    <row r="149" spans="1:71" x14ac:dyDescent="0.25">
      <c r="A149">
        <v>146</v>
      </c>
      <c r="B149" s="1">
        <v>8.6147000096205298E-6</v>
      </c>
      <c r="C149">
        <v>0.105756761257069</v>
      </c>
      <c r="D149">
        <v>-3.0725135312804501E-4</v>
      </c>
      <c r="E149">
        <v>6.1312499999999995E-4</v>
      </c>
      <c r="F149">
        <v>-1.0575676125706901E-3</v>
      </c>
      <c r="G149">
        <v>0</v>
      </c>
      <c r="H149" t="s">
        <v>74</v>
      </c>
      <c r="I149">
        <v>0</v>
      </c>
      <c r="J149" t="s">
        <v>75</v>
      </c>
      <c r="K149">
        <v>3.14159265358979</v>
      </c>
      <c r="L149">
        <v>0.74790038938130299</v>
      </c>
      <c r="M149">
        <v>0</v>
      </c>
      <c r="N149">
        <v>4.3913021304834703E-2</v>
      </c>
      <c r="O149">
        <v>0</v>
      </c>
      <c r="P149">
        <v>1.6E-2</v>
      </c>
      <c r="Q149">
        <v>0</v>
      </c>
      <c r="R149">
        <v>0</v>
      </c>
      <c r="S149">
        <v>0</v>
      </c>
      <c r="T149">
        <v>0</v>
      </c>
      <c r="U149">
        <v>0.75393184321444495</v>
      </c>
      <c r="V149" t="s">
        <v>78</v>
      </c>
      <c r="W149">
        <v>2293615.1119637401</v>
      </c>
      <c r="X149" t="s">
        <v>76</v>
      </c>
      <c r="Y149">
        <v>-1.5707963267949001</v>
      </c>
      <c r="Z149">
        <v>0.74009023968778098</v>
      </c>
      <c r="AA149">
        <v>0.242632572868374</v>
      </c>
      <c r="AB149">
        <v>4.00164502415217E-2</v>
      </c>
      <c r="AC149">
        <v>1.3616436698374401E-2</v>
      </c>
      <c r="AD149">
        <v>1.7676300189544001E-2</v>
      </c>
      <c r="AE149">
        <v>1.70344590574627E-2</v>
      </c>
      <c r="AF149">
        <v>0</v>
      </c>
      <c r="AG149">
        <v>0.25001096979666398</v>
      </c>
      <c r="AH149">
        <v>0.118299626833612</v>
      </c>
      <c r="AI149">
        <v>0.54859502842819896</v>
      </c>
      <c r="AJ149" t="s">
        <v>74</v>
      </c>
      <c r="AK149">
        <v>0</v>
      </c>
      <c r="AL149" t="s">
        <v>77</v>
      </c>
      <c r="AM149">
        <v>0</v>
      </c>
      <c r="AN149">
        <v>0.99199999999999999</v>
      </c>
      <c r="AO149">
        <v>0</v>
      </c>
      <c r="AP149">
        <v>5.8245346242475203E-2</v>
      </c>
      <c r="AQ149">
        <v>0</v>
      </c>
      <c r="AR149">
        <v>1.6E-2</v>
      </c>
      <c r="AS149">
        <v>0</v>
      </c>
      <c r="AT149">
        <v>0</v>
      </c>
      <c r="AU149">
        <v>0</v>
      </c>
      <c r="AV149">
        <v>0</v>
      </c>
      <c r="AW149">
        <v>1</v>
      </c>
      <c r="AX149" t="s">
        <v>74</v>
      </c>
      <c r="AY149">
        <v>0</v>
      </c>
      <c r="AZ149" t="s">
        <v>76</v>
      </c>
      <c r="BA149">
        <v>-1.5707963267949001</v>
      </c>
      <c r="BB149">
        <v>0.99199999999999999</v>
      </c>
      <c r="BC149">
        <v>0</v>
      </c>
      <c r="BD149">
        <v>5.8245346242475203E-2</v>
      </c>
      <c r="BE149">
        <v>0</v>
      </c>
      <c r="BF149">
        <v>1.6E-2</v>
      </c>
      <c r="BG149">
        <v>0</v>
      </c>
      <c r="BH149">
        <v>0</v>
      </c>
      <c r="BI149">
        <v>0</v>
      </c>
      <c r="BJ149">
        <v>0</v>
      </c>
      <c r="BK149">
        <v>1</v>
      </c>
      <c r="BL149">
        <v>1.07018300364841E-4</v>
      </c>
      <c r="BM149">
        <v>1.84155298315138E-4</v>
      </c>
      <c r="BN149" s="1">
        <v>3.89756419915736E-7</v>
      </c>
      <c r="BO149" s="1">
        <v>2.8927046615323701E-6</v>
      </c>
      <c r="BP149">
        <v>0</v>
      </c>
      <c r="BQ149">
        <v>0</v>
      </c>
      <c r="BR149" s="1">
        <v>5.8371007774268697E-5</v>
      </c>
      <c r="BS149">
        <v>1.0158674882148699E-4</v>
      </c>
    </row>
    <row r="150" spans="1:71" x14ac:dyDescent="0.25">
      <c r="A150">
        <v>147</v>
      </c>
      <c r="B150" s="1">
        <v>8.5894283017648703E-6</v>
      </c>
      <c r="C150">
        <v>0.105765350685371</v>
      </c>
      <c r="D150">
        <v>-3.07297719877583E-4</v>
      </c>
      <c r="E150">
        <v>6.1312499999999995E-4</v>
      </c>
      <c r="F150">
        <v>-1.05765350685371E-3</v>
      </c>
      <c r="G150" s="1">
        <v>1.0842021724855E-19</v>
      </c>
      <c r="H150" t="s">
        <v>74</v>
      </c>
      <c r="I150">
        <v>0</v>
      </c>
      <c r="J150" t="s">
        <v>75</v>
      </c>
      <c r="K150">
        <v>3.14159265358979</v>
      </c>
      <c r="L150">
        <v>0.74621854942468502</v>
      </c>
      <c r="M150">
        <v>0</v>
      </c>
      <c r="N150">
        <v>4.3814271959474203E-2</v>
      </c>
      <c r="O150">
        <v>0</v>
      </c>
      <c r="P150">
        <v>1.6E-2</v>
      </c>
      <c r="Q150">
        <v>0</v>
      </c>
      <c r="R150">
        <v>0</v>
      </c>
      <c r="S150">
        <v>0</v>
      </c>
      <c r="T150">
        <v>0</v>
      </c>
      <c r="U150">
        <v>0.75223644019901503</v>
      </c>
      <c r="V150" t="s">
        <v>78</v>
      </c>
      <c r="W150">
        <v>2294015.23450614</v>
      </c>
      <c r="X150" t="s">
        <v>76</v>
      </c>
      <c r="Y150">
        <v>-1.5707963267949001</v>
      </c>
      <c r="Z150">
        <v>0.73841051558438098</v>
      </c>
      <c r="AA150">
        <v>0.24439198344538801</v>
      </c>
      <c r="AB150">
        <v>3.9920418525273199E-2</v>
      </c>
      <c r="AC150">
        <v>1.37125857589366E-2</v>
      </c>
      <c r="AD150">
        <v>1.7573378087882102E-2</v>
      </c>
      <c r="AE150">
        <v>1.715983226004E-2</v>
      </c>
      <c r="AF150">
        <v>0</v>
      </c>
      <c r="AG150">
        <v>0.250767467327077</v>
      </c>
      <c r="AH150">
        <v>0.120080779716849</v>
      </c>
      <c r="AI150">
        <v>0.54573269179431105</v>
      </c>
      <c r="AJ150" t="s">
        <v>74</v>
      </c>
      <c r="AK150">
        <v>0</v>
      </c>
      <c r="AL150" t="s">
        <v>77</v>
      </c>
      <c r="AM150">
        <v>0</v>
      </c>
      <c r="AN150">
        <v>0.99199999999999999</v>
      </c>
      <c r="AO150">
        <v>0</v>
      </c>
      <c r="AP150">
        <v>5.8245346242475203E-2</v>
      </c>
      <c r="AQ150">
        <v>0</v>
      </c>
      <c r="AR150">
        <v>1.6E-2</v>
      </c>
      <c r="AS150">
        <v>0</v>
      </c>
      <c r="AT150">
        <v>0</v>
      </c>
      <c r="AU150">
        <v>0</v>
      </c>
      <c r="AV150">
        <v>0</v>
      </c>
      <c r="AW150">
        <v>1</v>
      </c>
      <c r="AX150" t="s">
        <v>74</v>
      </c>
      <c r="AY150">
        <v>0</v>
      </c>
      <c r="AZ150" t="s">
        <v>76</v>
      </c>
      <c r="BA150">
        <v>-1.5707963267949001</v>
      </c>
      <c r="BB150">
        <v>0.99199999999999999</v>
      </c>
      <c r="BC150">
        <v>0</v>
      </c>
      <c r="BD150">
        <v>5.8245346242475203E-2</v>
      </c>
      <c r="BE150">
        <v>0</v>
      </c>
      <c r="BF150">
        <v>1.6E-2</v>
      </c>
      <c r="BG150">
        <v>0</v>
      </c>
      <c r="BH150">
        <v>0</v>
      </c>
      <c r="BI150">
        <v>0</v>
      </c>
      <c r="BJ150">
        <v>0</v>
      </c>
      <c r="BK150">
        <v>1</v>
      </c>
      <c r="BL150">
        <v>1.06968984364317E-4</v>
      </c>
      <c r="BM150">
        <v>1.8542412352196301E-4</v>
      </c>
      <c r="BN150" s="1">
        <v>3.8956991399735701E-7</v>
      </c>
      <c r="BO150" s="1">
        <v>2.9126353212746199E-6</v>
      </c>
      <c r="BP150">
        <v>0</v>
      </c>
      <c r="BQ150">
        <v>0</v>
      </c>
      <c r="BR150" s="1">
        <v>5.8339796802023598E-5</v>
      </c>
      <c r="BS150">
        <v>1.0228760170263201E-4</v>
      </c>
    </row>
    <row r="151" spans="1:71" x14ac:dyDescent="0.25">
      <c r="A151">
        <v>148</v>
      </c>
      <c r="B151" s="1">
        <v>8.5648379348493804E-6</v>
      </c>
      <c r="C151">
        <v>0.10577391552330601</v>
      </c>
      <c r="D151">
        <v>-3.0734395189979501E-4</v>
      </c>
      <c r="E151">
        <v>6.1312499999999995E-4</v>
      </c>
      <c r="F151">
        <v>-1.05773915523305E-3</v>
      </c>
      <c r="G151" s="1">
        <v>1.0842021724855E-19</v>
      </c>
      <c r="H151" t="s">
        <v>74</v>
      </c>
      <c r="I151">
        <v>0</v>
      </c>
      <c r="J151" t="s">
        <v>75</v>
      </c>
      <c r="K151">
        <v>3.14159265358979</v>
      </c>
      <c r="L151">
        <v>0.74453674354559896</v>
      </c>
      <c r="M151">
        <v>0</v>
      </c>
      <c r="N151">
        <v>4.3715524614978199E-2</v>
      </c>
      <c r="O151">
        <v>0</v>
      </c>
      <c r="P151">
        <v>1.6E-2</v>
      </c>
      <c r="Q151">
        <v>0</v>
      </c>
      <c r="R151">
        <v>0</v>
      </c>
      <c r="S151">
        <v>0</v>
      </c>
      <c r="T151">
        <v>0</v>
      </c>
      <c r="U151">
        <v>0.75054107150695604</v>
      </c>
      <c r="V151" t="s">
        <v>78</v>
      </c>
      <c r="W151">
        <v>2294414.19441712</v>
      </c>
      <c r="X151" t="s">
        <v>76</v>
      </c>
      <c r="Y151">
        <v>-1.5707963267949001</v>
      </c>
      <c r="Z151">
        <v>0.73673092519161998</v>
      </c>
      <c r="AA151">
        <v>0.246140935291326</v>
      </c>
      <c r="AB151">
        <v>3.9824432305724897E-2</v>
      </c>
      <c r="AC151">
        <v>1.3808403708774E-2</v>
      </c>
      <c r="AD151">
        <v>1.7470284492328399E-2</v>
      </c>
      <c r="AE151">
        <v>1.7285215351369499E-2</v>
      </c>
      <c r="AF151">
        <v>0</v>
      </c>
      <c r="AG151">
        <v>0.25150794482431899</v>
      </c>
      <c r="AH151">
        <v>0.121877901215248</v>
      </c>
      <c r="AI151">
        <v>0.54287447996146598</v>
      </c>
      <c r="AJ151" t="s">
        <v>74</v>
      </c>
      <c r="AK151">
        <v>0</v>
      </c>
      <c r="AL151" t="s">
        <v>77</v>
      </c>
      <c r="AM151">
        <v>0</v>
      </c>
      <c r="AN151">
        <v>0.99199999999999999</v>
      </c>
      <c r="AO151">
        <v>0</v>
      </c>
      <c r="AP151">
        <v>5.8245346242475203E-2</v>
      </c>
      <c r="AQ151">
        <v>0</v>
      </c>
      <c r="AR151">
        <v>1.6E-2</v>
      </c>
      <c r="AS151">
        <v>0</v>
      </c>
      <c r="AT151">
        <v>0</v>
      </c>
      <c r="AU151">
        <v>0</v>
      </c>
      <c r="AV151">
        <v>0</v>
      </c>
      <c r="AW151">
        <v>1</v>
      </c>
      <c r="AX151" t="s">
        <v>74</v>
      </c>
      <c r="AY151">
        <v>0</v>
      </c>
      <c r="AZ151" t="s">
        <v>76</v>
      </c>
      <c r="BA151">
        <v>-1.5707963267949001</v>
      </c>
      <c r="BB151">
        <v>0.99199999999999999</v>
      </c>
      <c r="BC151">
        <v>0</v>
      </c>
      <c r="BD151">
        <v>5.8245346242475203E-2</v>
      </c>
      <c r="BE151">
        <v>0</v>
      </c>
      <c r="BF151">
        <v>1.6E-2</v>
      </c>
      <c r="BG151">
        <v>0</v>
      </c>
      <c r="BH151">
        <v>0</v>
      </c>
      <c r="BI151">
        <v>0</v>
      </c>
      <c r="BJ151">
        <v>0</v>
      </c>
      <c r="BK151">
        <v>1</v>
      </c>
      <c r="BL151">
        <v>1.0691952655721399E-4</v>
      </c>
      <c r="BM151">
        <v>1.86692923019784E-4</v>
      </c>
      <c r="BN151" s="1">
        <v>3.8938325978548401E-7</v>
      </c>
      <c r="BO151" s="1">
        <v>2.9325655771807899E-6</v>
      </c>
      <c r="BP151">
        <v>0</v>
      </c>
      <c r="BQ151">
        <v>0</v>
      </c>
      <c r="BR151" s="1">
        <v>5.8308505172660002E-5</v>
      </c>
      <c r="BS151">
        <v>1.02988450359993E-4</v>
      </c>
    </row>
    <row r="152" spans="1:71" x14ac:dyDescent="0.25">
      <c r="A152">
        <v>149</v>
      </c>
      <c r="B152" s="1">
        <v>8.5409207581869901E-6</v>
      </c>
      <c r="C152">
        <v>0.105782456444064</v>
      </c>
      <c r="D152">
        <v>-3.0739005284548401E-4</v>
      </c>
      <c r="E152">
        <v>6.1312499999999995E-4</v>
      </c>
      <c r="F152">
        <v>-1.05782456444064E-3</v>
      </c>
      <c r="G152" s="1">
        <v>1.0842021724855E-19</v>
      </c>
      <c r="H152" t="s">
        <v>74</v>
      </c>
      <c r="I152">
        <v>0</v>
      </c>
      <c r="J152" t="s">
        <v>75</v>
      </c>
      <c r="K152">
        <v>3.14159265358979</v>
      </c>
      <c r="L152">
        <v>0.74285497214919505</v>
      </c>
      <c r="M152">
        <v>0</v>
      </c>
      <c r="N152">
        <v>4.3616779295135202E-2</v>
      </c>
      <c r="O152">
        <v>0</v>
      </c>
      <c r="P152">
        <v>1.6E-2</v>
      </c>
      <c r="Q152">
        <v>0</v>
      </c>
      <c r="R152">
        <v>0</v>
      </c>
      <c r="S152">
        <v>0</v>
      </c>
      <c r="T152">
        <v>0</v>
      </c>
      <c r="U152">
        <v>0.74884573755158401</v>
      </c>
      <c r="V152" t="s">
        <v>78</v>
      </c>
      <c r="W152">
        <v>2294812.0232013199</v>
      </c>
      <c r="X152" t="s">
        <v>76</v>
      </c>
      <c r="Y152">
        <v>-1.5707963267949001</v>
      </c>
      <c r="Z152">
        <v>0.73505146760304896</v>
      </c>
      <c r="AA152">
        <v>0.24964485148409099</v>
      </c>
      <c r="AB152">
        <v>3.9728491026719201E-2</v>
      </c>
      <c r="AC152">
        <v>1.39593547179899E-2</v>
      </c>
      <c r="AD152">
        <v>1.7367022611750198E-2</v>
      </c>
      <c r="AE152">
        <v>1.74106073417973E-2</v>
      </c>
      <c r="AF152">
        <v>0</v>
      </c>
      <c r="AG152">
        <v>0.25223232419248998</v>
      </c>
      <c r="AH152">
        <v>0.123691068813397</v>
      </c>
      <c r="AI152">
        <v>0.540020409146448</v>
      </c>
      <c r="AJ152" t="s">
        <v>74</v>
      </c>
      <c r="AK152">
        <v>0</v>
      </c>
      <c r="AL152" t="s">
        <v>77</v>
      </c>
      <c r="AM152">
        <v>0</v>
      </c>
      <c r="AN152">
        <v>0.99199999999999999</v>
      </c>
      <c r="AO152">
        <v>0</v>
      </c>
      <c r="AP152">
        <v>5.8245346242475203E-2</v>
      </c>
      <c r="AQ152">
        <v>0</v>
      </c>
      <c r="AR152">
        <v>1.6E-2</v>
      </c>
      <c r="AS152">
        <v>0</v>
      </c>
      <c r="AT152">
        <v>0</v>
      </c>
      <c r="AU152">
        <v>0</v>
      </c>
      <c r="AV152">
        <v>0</v>
      </c>
      <c r="AW152">
        <v>1</v>
      </c>
      <c r="AX152" t="s">
        <v>74</v>
      </c>
      <c r="AY152">
        <v>0</v>
      </c>
      <c r="AZ152" t="s">
        <v>76</v>
      </c>
      <c r="BA152">
        <v>-1.5707963267949001</v>
      </c>
      <c r="BB152">
        <v>0.99199999999999999</v>
      </c>
      <c r="BC152">
        <v>0</v>
      </c>
      <c r="BD152">
        <v>5.8245346242475203E-2</v>
      </c>
      <c r="BE152">
        <v>0</v>
      </c>
      <c r="BF152">
        <v>1.6E-2</v>
      </c>
      <c r="BG152">
        <v>0</v>
      </c>
      <c r="BH152">
        <v>0</v>
      </c>
      <c r="BI152">
        <v>0</v>
      </c>
      <c r="BJ152">
        <v>0</v>
      </c>
      <c r="BK152">
        <v>1</v>
      </c>
      <c r="BL152">
        <v>1.06897658762397E-4</v>
      </c>
      <c r="BM152">
        <v>1.87961696502944E-4</v>
      </c>
      <c r="BN152" s="1">
        <v>3.8925192131652499E-7</v>
      </c>
      <c r="BO152" s="1">
        <v>2.9524954244496102E-6</v>
      </c>
      <c r="BP152">
        <v>0</v>
      </c>
      <c r="BQ152">
        <v>0</v>
      </c>
      <c r="BR152" s="1">
        <v>5.8292431217605701E-5</v>
      </c>
      <c r="BS152">
        <v>1.03689294643521E-4</v>
      </c>
    </row>
    <row r="153" spans="1:71" x14ac:dyDescent="0.25">
      <c r="A153">
        <v>150</v>
      </c>
      <c r="B153" s="1">
        <v>8.5176689656712403E-6</v>
      </c>
      <c r="C153">
        <v>0.105790974113029</v>
      </c>
      <c r="D153">
        <v>-3.07436026322651E-4</v>
      </c>
      <c r="E153">
        <v>6.1312499999999995E-4</v>
      </c>
      <c r="F153">
        <v>-1.0579097411302901E-3</v>
      </c>
      <c r="G153" s="1">
        <v>1.0842021724855E-19</v>
      </c>
      <c r="H153" t="s">
        <v>74</v>
      </c>
      <c r="I153">
        <v>0</v>
      </c>
      <c r="J153" t="s">
        <v>75</v>
      </c>
      <c r="K153">
        <v>3.14159265358979</v>
      </c>
      <c r="L153">
        <v>0.741173235647821</v>
      </c>
      <c r="M153">
        <v>0</v>
      </c>
      <c r="N153">
        <v>4.3518036024156298E-2</v>
      </c>
      <c r="O153">
        <v>0</v>
      </c>
      <c r="P153">
        <v>1.6E-2</v>
      </c>
      <c r="Q153">
        <v>0</v>
      </c>
      <c r="R153">
        <v>0</v>
      </c>
      <c r="S153">
        <v>0</v>
      </c>
      <c r="T153">
        <v>0</v>
      </c>
      <c r="U153">
        <v>0.74715043875265397</v>
      </c>
      <c r="V153" t="s">
        <v>78</v>
      </c>
      <c r="W153">
        <v>2295208.7519940501</v>
      </c>
      <c r="X153" t="s">
        <v>76</v>
      </c>
      <c r="Y153">
        <v>-1.5707963267949001</v>
      </c>
      <c r="Z153">
        <v>0.73337214193880096</v>
      </c>
      <c r="AA153">
        <v>0.251372835145662</v>
      </c>
      <c r="AB153">
        <v>3.9632594141941403E-2</v>
      </c>
      <c r="AC153">
        <v>1.40545120009123E-2</v>
      </c>
      <c r="AD153">
        <v>1.7263595612205598E-2</v>
      </c>
      <c r="AE153">
        <v>1.7536007245238801E-2</v>
      </c>
      <c r="AF153">
        <v>0</v>
      </c>
      <c r="AG153">
        <v>0.252940526471088</v>
      </c>
      <c r="AH153">
        <v>0.12552036084962401</v>
      </c>
      <c r="AI153">
        <v>0.53717049561644004</v>
      </c>
      <c r="AJ153" t="s">
        <v>74</v>
      </c>
      <c r="AK153">
        <v>0</v>
      </c>
      <c r="AL153" t="s">
        <v>77</v>
      </c>
      <c r="AM153">
        <v>0</v>
      </c>
      <c r="AN153">
        <v>0.99199999999999999</v>
      </c>
      <c r="AO153">
        <v>0</v>
      </c>
      <c r="AP153">
        <v>5.8245346242475203E-2</v>
      </c>
      <c r="AQ153">
        <v>0</v>
      </c>
      <c r="AR153">
        <v>1.6E-2</v>
      </c>
      <c r="AS153">
        <v>0</v>
      </c>
      <c r="AT153">
        <v>0</v>
      </c>
      <c r="AU153">
        <v>0</v>
      </c>
      <c r="AV153">
        <v>0</v>
      </c>
      <c r="AW153">
        <v>1</v>
      </c>
      <c r="AX153" t="s">
        <v>74</v>
      </c>
      <c r="AY153">
        <v>0</v>
      </c>
      <c r="AZ153" t="s">
        <v>76</v>
      </c>
      <c r="BA153">
        <v>-1.5707963267949001</v>
      </c>
      <c r="BB153">
        <v>0.99199999999999999</v>
      </c>
      <c r="BC153">
        <v>0</v>
      </c>
      <c r="BD153">
        <v>5.8245346242475203E-2</v>
      </c>
      <c r="BE153">
        <v>0</v>
      </c>
      <c r="BF153">
        <v>1.6E-2</v>
      </c>
      <c r="BG153">
        <v>0</v>
      </c>
      <c r="BH153">
        <v>0</v>
      </c>
      <c r="BI153">
        <v>0</v>
      </c>
      <c r="BJ153">
        <v>0</v>
      </c>
      <c r="BK153">
        <v>1</v>
      </c>
      <c r="BL153">
        <v>1.0684791732598E-4</v>
      </c>
      <c r="BM153">
        <v>1.8923044366035599E-4</v>
      </c>
      <c r="BN153" s="1">
        <v>3.89064969773773E-7</v>
      </c>
      <c r="BO153" s="1">
        <v>2.97242485819456E-6</v>
      </c>
      <c r="BP153">
        <v>0</v>
      </c>
      <c r="BQ153">
        <v>0</v>
      </c>
      <c r="BR153" s="1">
        <v>5.8260978522540497E-5</v>
      </c>
      <c r="BS153">
        <v>1.0439013440129501E-4</v>
      </c>
    </row>
    <row r="154" spans="1:71" x14ac:dyDescent="0.25">
      <c r="A154">
        <v>151</v>
      </c>
      <c r="B154" s="1">
        <v>8.4950750879336304E-6</v>
      </c>
      <c r="C154">
        <v>0.105799469188117</v>
      </c>
      <c r="D154">
        <v>-3.0748187589832199E-4</v>
      </c>
      <c r="E154">
        <v>6.1312499999999995E-4</v>
      </c>
      <c r="F154">
        <v>-1.05799469188117E-3</v>
      </c>
      <c r="G154">
        <v>0</v>
      </c>
      <c r="H154" t="s">
        <v>74</v>
      </c>
      <c r="I154">
        <v>0</v>
      </c>
      <c r="J154" t="s">
        <v>75</v>
      </c>
      <c r="K154">
        <v>3.14159265358979</v>
      </c>
      <c r="L154">
        <v>0.73949153446119398</v>
      </c>
      <c r="M154">
        <v>0</v>
      </c>
      <c r="N154">
        <v>4.3419294826685002E-2</v>
      </c>
      <c r="O154">
        <v>0</v>
      </c>
      <c r="P154">
        <v>1.6E-2</v>
      </c>
      <c r="Q154">
        <v>0</v>
      </c>
      <c r="R154">
        <v>0</v>
      </c>
      <c r="S154">
        <v>0</v>
      </c>
      <c r="T154">
        <v>0</v>
      </c>
      <c r="U154">
        <v>0.74545517553666996</v>
      </c>
      <c r="V154" t="s">
        <v>78</v>
      </c>
      <c r="W154">
        <v>2295604.4115770101</v>
      </c>
      <c r="X154" t="s">
        <v>76</v>
      </c>
      <c r="Y154">
        <v>-1.5707963267949001</v>
      </c>
      <c r="Z154">
        <v>0.73169294734513701</v>
      </c>
      <c r="AA154">
        <v>0.251372835145662</v>
      </c>
      <c r="AB154">
        <v>3.9536741114637501E-2</v>
      </c>
      <c r="AC154">
        <v>1.4094533275595801E-2</v>
      </c>
      <c r="AD154">
        <v>1.7160006618221299E-2</v>
      </c>
      <c r="AE154">
        <v>1.7661414079008401E-2</v>
      </c>
      <c r="AF154">
        <v>0</v>
      </c>
      <c r="AG154">
        <v>0.253632471819974</v>
      </c>
      <c r="AH154">
        <v>0.127365856530778</v>
      </c>
      <c r="AI154">
        <v>0.53432475569111404</v>
      </c>
      <c r="AJ154" t="s">
        <v>74</v>
      </c>
      <c r="AK154">
        <v>0</v>
      </c>
      <c r="AL154" t="s">
        <v>77</v>
      </c>
      <c r="AM154">
        <v>0</v>
      </c>
      <c r="AN154">
        <v>0.99199999999999999</v>
      </c>
      <c r="AO154">
        <v>0</v>
      </c>
      <c r="AP154">
        <v>5.8245346242475203E-2</v>
      </c>
      <c r="AQ154">
        <v>0</v>
      </c>
      <c r="AR154">
        <v>1.6E-2</v>
      </c>
      <c r="AS154">
        <v>0</v>
      </c>
      <c r="AT154">
        <v>0</v>
      </c>
      <c r="AU154">
        <v>0</v>
      </c>
      <c r="AV154">
        <v>0</v>
      </c>
      <c r="AW154">
        <v>1</v>
      </c>
      <c r="AX154" t="s">
        <v>74</v>
      </c>
      <c r="AY154">
        <v>0</v>
      </c>
      <c r="AZ154" t="s">
        <v>76</v>
      </c>
      <c r="BA154">
        <v>-1.5707963267949001</v>
      </c>
      <c r="BB154">
        <v>0.99199999999999999</v>
      </c>
      <c r="BC154">
        <v>0</v>
      </c>
      <c r="BD154">
        <v>5.8245346242475203E-2</v>
      </c>
      <c r="BE154">
        <v>0</v>
      </c>
      <c r="BF154">
        <v>1.6E-2</v>
      </c>
      <c r="BG154">
        <v>0</v>
      </c>
      <c r="BH154">
        <v>0</v>
      </c>
      <c r="BI154">
        <v>0</v>
      </c>
      <c r="BJ154">
        <v>0</v>
      </c>
      <c r="BK154">
        <v>1</v>
      </c>
      <c r="BL154">
        <v>1.06770630850934E-4</v>
      </c>
      <c r="BM154">
        <v>1.9049916417537599E-4</v>
      </c>
      <c r="BN154" s="1">
        <v>3.8882306086728502E-7</v>
      </c>
      <c r="BO154" s="1">
        <v>2.99235387344178E-6</v>
      </c>
      <c r="BP154">
        <v>0</v>
      </c>
      <c r="BQ154">
        <v>0</v>
      </c>
      <c r="BR154" s="1">
        <v>5.8214327993605497E-5</v>
      </c>
      <c r="BS154">
        <v>1.0509096947945001E-4</v>
      </c>
    </row>
    <row r="155" spans="1:71" x14ac:dyDescent="0.25">
      <c r="A155">
        <v>152</v>
      </c>
      <c r="B155" s="1">
        <v>8.4731319849466502E-6</v>
      </c>
      <c r="C155">
        <v>0.105807942320102</v>
      </c>
      <c r="D155">
        <v>-3.0752760510034303E-4</v>
      </c>
      <c r="E155">
        <v>6.1312499999999995E-4</v>
      </c>
      <c r="F155">
        <v>-1.05807942320102E-3</v>
      </c>
      <c r="G155" s="1">
        <v>1.0842021724855E-19</v>
      </c>
      <c r="H155" t="s">
        <v>74</v>
      </c>
      <c r="I155">
        <v>0</v>
      </c>
      <c r="J155" t="s">
        <v>75</v>
      </c>
      <c r="K155">
        <v>3.14159265358979</v>
      </c>
      <c r="L155">
        <v>0.73780986901657997</v>
      </c>
      <c r="M155">
        <v>0</v>
      </c>
      <c r="N155">
        <v>4.3320555727808498E-2</v>
      </c>
      <c r="O155">
        <v>0</v>
      </c>
      <c r="P155">
        <v>1.6E-2</v>
      </c>
      <c r="Q155">
        <v>0</v>
      </c>
      <c r="R155">
        <v>0</v>
      </c>
      <c r="S155">
        <v>0</v>
      </c>
      <c r="T155">
        <v>0</v>
      </c>
      <c r="U155">
        <v>0.74375994833717796</v>
      </c>
      <c r="V155" t="s">
        <v>78</v>
      </c>
      <c r="W155">
        <v>2295999.0323938001</v>
      </c>
      <c r="X155" t="s">
        <v>76</v>
      </c>
      <c r="Y155">
        <v>-1.5707963267949001</v>
      </c>
      <c r="Z155">
        <v>0.73001388299400505</v>
      </c>
      <c r="AA155">
        <v>0.253079785128004</v>
      </c>
      <c r="AB155">
        <v>3.9440931417340702E-2</v>
      </c>
      <c r="AC155">
        <v>1.4189027244250099E-2</v>
      </c>
      <c r="AD155">
        <v>1.7056258714033001E-2</v>
      </c>
      <c r="AE155">
        <v>1.7786826863651298E-2</v>
      </c>
      <c r="AF155">
        <v>0</v>
      </c>
      <c r="AG155">
        <v>0.254308079503966</v>
      </c>
      <c r="AH155">
        <v>0.12922763594735601</v>
      </c>
      <c r="AI155">
        <v>0.53148320574469898</v>
      </c>
      <c r="AJ155" t="s">
        <v>74</v>
      </c>
      <c r="AK155">
        <v>0</v>
      </c>
      <c r="AL155" t="s">
        <v>77</v>
      </c>
      <c r="AM155">
        <v>0</v>
      </c>
      <c r="AN155">
        <v>0.99199999999999999</v>
      </c>
      <c r="AO155">
        <v>0</v>
      </c>
      <c r="AP155">
        <v>5.8245346242475203E-2</v>
      </c>
      <c r="AQ155">
        <v>0</v>
      </c>
      <c r="AR155">
        <v>1.6E-2</v>
      </c>
      <c r="AS155">
        <v>0</v>
      </c>
      <c r="AT155">
        <v>0</v>
      </c>
      <c r="AU155">
        <v>0</v>
      </c>
      <c r="AV155">
        <v>0</v>
      </c>
      <c r="AW155">
        <v>1</v>
      </c>
      <c r="AX155" t="s">
        <v>74</v>
      </c>
      <c r="AY155">
        <v>0</v>
      </c>
      <c r="AZ155" t="s">
        <v>76</v>
      </c>
      <c r="BA155">
        <v>-1.5707963267949001</v>
      </c>
      <c r="BB155">
        <v>0.99199999999999999</v>
      </c>
      <c r="BC155">
        <v>0</v>
      </c>
      <c r="BD155">
        <v>5.8245346242475203E-2</v>
      </c>
      <c r="BE155">
        <v>0</v>
      </c>
      <c r="BF155">
        <v>1.6E-2</v>
      </c>
      <c r="BG155">
        <v>0</v>
      </c>
      <c r="BH155">
        <v>0</v>
      </c>
      <c r="BI155">
        <v>0</v>
      </c>
      <c r="BJ155">
        <v>0</v>
      </c>
      <c r="BK155">
        <v>1</v>
      </c>
      <c r="BL155">
        <v>1.0672060343717501E-4</v>
      </c>
      <c r="BM155">
        <v>1.91767857725661E-4</v>
      </c>
      <c r="BN155" s="1">
        <v>3.8863580225615498E-7</v>
      </c>
      <c r="BO155" s="1">
        <v>3.01228246512795E-6</v>
      </c>
      <c r="BP155">
        <v>0</v>
      </c>
      <c r="BQ155">
        <v>0</v>
      </c>
      <c r="BR155" s="1">
        <v>5.8182712822455799E-5</v>
      </c>
      <c r="BS155">
        <v>1.05791799722117E-4</v>
      </c>
    </row>
    <row r="156" spans="1:71" x14ac:dyDescent="0.25">
      <c r="A156">
        <v>153</v>
      </c>
      <c r="B156" s="1">
        <v>8.4518328391630101E-6</v>
      </c>
      <c r="C156">
        <v>0.105816394152941</v>
      </c>
      <c r="D156">
        <v>-3.0757321741912801E-4</v>
      </c>
      <c r="E156">
        <v>6.1312499999999995E-4</v>
      </c>
      <c r="F156">
        <v>-1.05816394152941E-3</v>
      </c>
      <c r="G156">
        <v>0</v>
      </c>
      <c r="H156" t="s">
        <v>74</v>
      </c>
      <c r="I156">
        <v>0</v>
      </c>
      <c r="J156" t="s">
        <v>75</v>
      </c>
      <c r="K156">
        <v>3.14159265358979</v>
      </c>
      <c r="L156">
        <v>0.73612823974898001</v>
      </c>
      <c r="M156">
        <v>0</v>
      </c>
      <c r="N156">
        <v>4.3221818753067701E-2</v>
      </c>
      <c r="O156">
        <v>0</v>
      </c>
      <c r="P156">
        <v>1.6E-2</v>
      </c>
      <c r="Q156">
        <v>0</v>
      </c>
      <c r="R156">
        <v>0</v>
      </c>
      <c r="S156">
        <v>0</v>
      </c>
      <c r="T156">
        <v>0</v>
      </c>
      <c r="U156">
        <v>0.74206475759504698</v>
      </c>
      <c r="V156" t="s">
        <v>78</v>
      </c>
      <c r="W156">
        <v>2296392.64456501</v>
      </c>
      <c r="X156" t="s">
        <v>76</v>
      </c>
      <c r="Y156">
        <v>-1.5707963267949001</v>
      </c>
      <c r="Z156">
        <v>0.728334948082628</v>
      </c>
      <c r="AA156">
        <v>0.25477619449543398</v>
      </c>
      <c r="AB156">
        <v>3.93451645316059E-2</v>
      </c>
      <c r="AC156">
        <v>1.42831886596387E-2</v>
      </c>
      <c r="AD156">
        <v>1.6952354944792199E-2</v>
      </c>
      <c r="AE156">
        <v>1.79122446227786E-2</v>
      </c>
      <c r="AF156">
        <v>0</v>
      </c>
      <c r="AG156">
        <v>0.25496726787706903</v>
      </c>
      <c r="AH156">
        <v>0.131105780089003</v>
      </c>
      <c r="AI156">
        <v>0.528645862208029</v>
      </c>
      <c r="AJ156" t="s">
        <v>74</v>
      </c>
      <c r="AK156">
        <v>0</v>
      </c>
      <c r="AL156" t="s">
        <v>77</v>
      </c>
      <c r="AM156">
        <v>0</v>
      </c>
      <c r="AN156">
        <v>0.99199999999999999</v>
      </c>
      <c r="AO156">
        <v>0</v>
      </c>
      <c r="AP156">
        <v>5.8245346242475203E-2</v>
      </c>
      <c r="AQ156">
        <v>0</v>
      </c>
      <c r="AR156">
        <v>1.6E-2</v>
      </c>
      <c r="AS156">
        <v>0</v>
      </c>
      <c r="AT156">
        <v>0</v>
      </c>
      <c r="AU156">
        <v>0</v>
      </c>
      <c r="AV156">
        <v>0</v>
      </c>
      <c r="AW156">
        <v>1</v>
      </c>
      <c r="AX156" t="s">
        <v>74</v>
      </c>
      <c r="AY156">
        <v>0</v>
      </c>
      <c r="AZ156" t="s">
        <v>76</v>
      </c>
      <c r="BA156">
        <v>-1.5707963267949001</v>
      </c>
      <c r="BB156">
        <v>0.99199999999999999</v>
      </c>
      <c r="BC156">
        <v>0</v>
      </c>
      <c r="BD156">
        <v>5.8245346242475203E-2</v>
      </c>
      <c r="BE156">
        <v>0</v>
      </c>
      <c r="BF156">
        <v>1.6E-2</v>
      </c>
      <c r="BG156">
        <v>0</v>
      </c>
      <c r="BH156">
        <v>0</v>
      </c>
      <c r="BI156">
        <v>0</v>
      </c>
      <c r="BJ156">
        <v>0</v>
      </c>
      <c r="BK156">
        <v>1</v>
      </c>
      <c r="BL156">
        <v>1.06670432214631E-4</v>
      </c>
      <c r="BM156">
        <v>1.93036523983036E-4</v>
      </c>
      <c r="BN156" s="1">
        <v>3.88448386722278E-7</v>
      </c>
      <c r="BO156" s="1">
        <v>3.03221062809808E-6</v>
      </c>
      <c r="BP156">
        <v>0</v>
      </c>
      <c r="BQ156">
        <v>0</v>
      </c>
      <c r="BR156" s="1">
        <v>5.8151016085991398E-5</v>
      </c>
      <c r="BS156">
        <v>1.06492624971353E-4</v>
      </c>
    </row>
    <row r="157" spans="1:71" x14ac:dyDescent="0.25">
      <c r="A157">
        <v>154</v>
      </c>
      <c r="B157" s="1">
        <v>8.4311711488110804E-6</v>
      </c>
      <c r="C157">
        <v>0.10582482532409</v>
      </c>
      <c r="D157">
        <v>-3.0761871630937901E-4</v>
      </c>
      <c r="E157">
        <v>6.1312499999999995E-4</v>
      </c>
      <c r="F157">
        <v>-1.0582482532409E-3</v>
      </c>
      <c r="G157" s="1">
        <v>1.0842021724855E-19</v>
      </c>
      <c r="H157" t="s">
        <v>74</v>
      </c>
      <c r="I157">
        <v>0</v>
      </c>
      <c r="J157" t="s">
        <v>75</v>
      </c>
      <c r="K157">
        <v>3.14159265358979</v>
      </c>
      <c r="L157">
        <v>0.73444664710131802</v>
      </c>
      <c r="M157">
        <v>0</v>
      </c>
      <c r="N157">
        <v>4.3123083928469003E-2</v>
      </c>
      <c r="O157">
        <v>0</v>
      </c>
      <c r="P157">
        <v>1.6E-2</v>
      </c>
      <c r="Q157">
        <v>0</v>
      </c>
      <c r="R157">
        <v>0</v>
      </c>
      <c r="S157">
        <v>0</v>
      </c>
      <c r="T157">
        <v>0</v>
      </c>
      <c r="U157">
        <v>0.74036960375874095</v>
      </c>
      <c r="V157" t="s">
        <v>78</v>
      </c>
      <c r="W157">
        <v>2296785.2779030101</v>
      </c>
      <c r="X157" t="s">
        <v>76</v>
      </c>
      <c r="Y157">
        <v>-1.5707963267949001</v>
      </c>
      <c r="Z157">
        <v>0.72665614183311</v>
      </c>
      <c r="AA157">
        <v>0.25646204780878001</v>
      </c>
      <c r="AB157">
        <v>3.9249439947751701E-2</v>
      </c>
      <c r="AC157">
        <v>1.43770196444557E-2</v>
      </c>
      <c r="AD157">
        <v>1.68482983177386E-2</v>
      </c>
      <c r="AE157">
        <v>1.8037666382906201E-2</v>
      </c>
      <c r="AF157">
        <v>0</v>
      </c>
      <c r="AG157">
        <v>0.25560995436630801</v>
      </c>
      <c r="AH157">
        <v>0.13300037086038599</v>
      </c>
      <c r="AI157">
        <v>0.52581274157056501</v>
      </c>
      <c r="AJ157" t="s">
        <v>74</v>
      </c>
      <c r="AK157">
        <v>0</v>
      </c>
      <c r="AL157" t="s">
        <v>77</v>
      </c>
      <c r="AM157">
        <v>0</v>
      </c>
      <c r="AN157">
        <v>0.99199999999999999</v>
      </c>
      <c r="AO157">
        <v>0</v>
      </c>
      <c r="AP157">
        <v>5.8245346242475203E-2</v>
      </c>
      <c r="AQ157">
        <v>0</v>
      </c>
      <c r="AR157">
        <v>1.6E-2</v>
      </c>
      <c r="AS157">
        <v>0</v>
      </c>
      <c r="AT157">
        <v>0</v>
      </c>
      <c r="AU157">
        <v>0</v>
      </c>
      <c r="AV157">
        <v>0</v>
      </c>
      <c r="AW157">
        <v>1</v>
      </c>
      <c r="AX157" t="s">
        <v>74</v>
      </c>
      <c r="AY157">
        <v>0</v>
      </c>
      <c r="AZ157" t="s">
        <v>76</v>
      </c>
      <c r="BA157">
        <v>-1.5707963267949001</v>
      </c>
      <c r="BB157">
        <v>0.99199999999999999</v>
      </c>
      <c r="BC157">
        <v>0</v>
      </c>
      <c r="BD157">
        <v>5.8245346242475203E-2</v>
      </c>
      <c r="BE157">
        <v>0</v>
      </c>
      <c r="BF157">
        <v>1.6E-2</v>
      </c>
      <c r="BG157">
        <v>0</v>
      </c>
      <c r="BH157">
        <v>0</v>
      </c>
      <c r="BI157">
        <v>0</v>
      </c>
      <c r="BJ157">
        <v>0</v>
      </c>
      <c r="BK157">
        <v>1</v>
      </c>
      <c r="BL157">
        <v>1.06620118002813E-4</v>
      </c>
      <c r="BM157">
        <v>1.94305162613347E-4</v>
      </c>
      <c r="BN157" s="1">
        <v>3.8826081721771898E-7</v>
      </c>
      <c r="BO157" s="1">
        <v>3.0521383571033102E-6</v>
      </c>
      <c r="BP157">
        <v>0</v>
      </c>
      <c r="BQ157">
        <v>0</v>
      </c>
      <c r="BR157" s="1">
        <v>5.8119238273999602E-5</v>
      </c>
      <c r="BS157">
        <v>1.07193445067072E-4</v>
      </c>
    </row>
    <row r="158" spans="1:71" x14ac:dyDescent="0.25">
      <c r="A158">
        <v>155</v>
      </c>
      <c r="B158" s="1">
        <v>8.4111407218969304E-6</v>
      </c>
      <c r="C158">
        <v>0.10583323646481201</v>
      </c>
      <c r="D158">
        <v>-3.0766410519176402E-4</v>
      </c>
      <c r="E158">
        <v>6.1312499999999995E-4</v>
      </c>
      <c r="F158">
        <v>-1.05833236464812E-3</v>
      </c>
      <c r="G158" s="1">
        <v>1.0842021724855E-19</v>
      </c>
      <c r="H158" t="s">
        <v>74</v>
      </c>
      <c r="I158">
        <v>0</v>
      </c>
      <c r="J158" t="s">
        <v>75</v>
      </c>
      <c r="K158">
        <v>3.14159265358979</v>
      </c>
      <c r="L158">
        <v>0.73276509152463898</v>
      </c>
      <c r="M158">
        <v>0</v>
      </c>
      <c r="N158">
        <v>4.3024351280495601E-2</v>
      </c>
      <c r="O158">
        <v>0</v>
      </c>
      <c r="P158">
        <v>1.6E-2</v>
      </c>
      <c r="Q158">
        <v>0</v>
      </c>
      <c r="R158">
        <v>0</v>
      </c>
      <c r="S158">
        <v>0</v>
      </c>
      <c r="T158">
        <v>0</v>
      </c>
      <c r="U158">
        <v>0.73867448728457896</v>
      </c>
      <c r="V158" t="s">
        <v>78</v>
      </c>
      <c r="W158">
        <v>2297176.9619265399</v>
      </c>
      <c r="X158" t="s">
        <v>76</v>
      </c>
      <c r="Y158">
        <v>-1.5707963267949001</v>
      </c>
      <c r="Z158">
        <v>0.72497746349205805</v>
      </c>
      <c r="AA158">
        <v>0.25813732993248001</v>
      </c>
      <c r="AB158">
        <v>3.9153757164609601E-2</v>
      </c>
      <c r="AC158">
        <v>1.44705171552544E-2</v>
      </c>
      <c r="AD158">
        <v>1.6744091803341899E-2</v>
      </c>
      <c r="AE158">
        <v>1.8163091173294201E-2</v>
      </c>
      <c r="AF158">
        <v>0</v>
      </c>
      <c r="AG158">
        <v>0.25623605545516898</v>
      </c>
      <c r="AH158">
        <v>0.13491149109745801</v>
      </c>
      <c r="AI158">
        <v>0.52298386038240596</v>
      </c>
      <c r="AJ158" t="s">
        <v>74</v>
      </c>
      <c r="AK158">
        <v>0</v>
      </c>
      <c r="AL158" t="s">
        <v>77</v>
      </c>
      <c r="AM158">
        <v>0</v>
      </c>
      <c r="AN158">
        <v>0.99199999999999999</v>
      </c>
      <c r="AO158">
        <v>0</v>
      </c>
      <c r="AP158">
        <v>5.8245346242475203E-2</v>
      </c>
      <c r="AQ158">
        <v>0</v>
      </c>
      <c r="AR158">
        <v>1.6E-2</v>
      </c>
      <c r="AS158">
        <v>0</v>
      </c>
      <c r="AT158">
        <v>0</v>
      </c>
      <c r="AU158">
        <v>0</v>
      </c>
      <c r="AV158">
        <v>0</v>
      </c>
      <c r="AW158">
        <v>1</v>
      </c>
      <c r="AX158" t="s">
        <v>74</v>
      </c>
      <c r="AY158">
        <v>0</v>
      </c>
      <c r="AZ158" t="s">
        <v>76</v>
      </c>
      <c r="BA158">
        <v>-1.5707963267949001</v>
      </c>
      <c r="BB158">
        <v>0.99199999999999999</v>
      </c>
      <c r="BC158">
        <v>0</v>
      </c>
      <c r="BD158">
        <v>5.8245346242475203E-2</v>
      </c>
      <c r="BE158">
        <v>0</v>
      </c>
      <c r="BF158">
        <v>1.6E-2</v>
      </c>
      <c r="BG158">
        <v>0</v>
      </c>
      <c r="BH158">
        <v>0</v>
      </c>
      <c r="BI158">
        <v>0</v>
      </c>
      <c r="BJ158">
        <v>0</v>
      </c>
      <c r="BK158">
        <v>1</v>
      </c>
      <c r="BL158">
        <v>1.0656965904265501E-4</v>
      </c>
      <c r="BM158">
        <v>1.9557377327631301E-4</v>
      </c>
      <c r="BN158" s="1">
        <v>3.8807308690835599E-7</v>
      </c>
      <c r="BO158" s="1">
        <v>3.0720656467985101E-6</v>
      </c>
      <c r="BP158">
        <v>0</v>
      </c>
      <c r="BQ158">
        <v>0</v>
      </c>
      <c r="BR158" s="1">
        <v>5.8087378453257002E-5</v>
      </c>
      <c r="BS158">
        <v>1.07894259846976E-4</v>
      </c>
    </row>
    <row r="159" spans="1:71" x14ac:dyDescent="0.25">
      <c r="A159">
        <v>156</v>
      </c>
      <c r="B159" s="1">
        <v>8.3917356703430895E-6</v>
      </c>
      <c r="C159">
        <v>0.105841628200482</v>
      </c>
      <c r="D159">
        <v>-3.0770938745457301E-4</v>
      </c>
      <c r="E159">
        <v>6.1312499999999995E-4</v>
      </c>
      <c r="F159">
        <v>-1.0584162820048201E-3</v>
      </c>
      <c r="G159">
        <v>0</v>
      </c>
      <c r="H159" t="s">
        <v>74</v>
      </c>
      <c r="I159">
        <v>0</v>
      </c>
      <c r="J159" t="s">
        <v>75</v>
      </c>
      <c r="K159">
        <v>3.14159265358979</v>
      </c>
      <c r="L159">
        <v>0.73108357347831499</v>
      </c>
      <c r="M159">
        <v>0</v>
      </c>
      <c r="N159">
        <v>4.2925620836119498E-2</v>
      </c>
      <c r="O159">
        <v>0</v>
      </c>
      <c r="P159">
        <v>1.6E-2</v>
      </c>
      <c r="Q159">
        <v>0</v>
      </c>
      <c r="R159">
        <v>0</v>
      </c>
      <c r="S159">
        <v>0</v>
      </c>
      <c r="T159">
        <v>0</v>
      </c>
      <c r="U159">
        <v>0.73697940863699996</v>
      </c>
      <c r="V159" t="s">
        <v>78</v>
      </c>
      <c r="W159">
        <v>2297567.7258748701</v>
      </c>
      <c r="X159" t="s">
        <v>76</v>
      </c>
      <c r="Y159">
        <v>-1.5707963267949001</v>
      </c>
      <c r="Z159">
        <v>0.72329891233023202</v>
      </c>
      <c r="AA159">
        <v>0.259802026030994</v>
      </c>
      <c r="AB159">
        <v>3.9058115689281102E-2</v>
      </c>
      <c r="AC159">
        <v>1.4563680205303299E-2</v>
      </c>
      <c r="AD159">
        <v>1.6639738336411702E-2</v>
      </c>
      <c r="AE159">
        <v>1.8288518025791199E-2</v>
      </c>
      <c r="AF159">
        <v>0</v>
      </c>
      <c r="AG159">
        <v>0.25684548666662299</v>
      </c>
      <c r="AH159">
        <v>0.13683922458412301</v>
      </c>
      <c r="AI159">
        <v>0.52015923525628405</v>
      </c>
      <c r="AJ159" t="s">
        <v>74</v>
      </c>
      <c r="AK159">
        <v>0</v>
      </c>
      <c r="AL159" t="s">
        <v>77</v>
      </c>
      <c r="AM159">
        <v>0</v>
      </c>
      <c r="AN159">
        <v>0.99199999999999999</v>
      </c>
      <c r="AO159">
        <v>0</v>
      </c>
      <c r="AP159">
        <v>5.8245346242475203E-2</v>
      </c>
      <c r="AQ159">
        <v>0</v>
      </c>
      <c r="AR159">
        <v>1.6E-2</v>
      </c>
      <c r="AS159">
        <v>0</v>
      </c>
      <c r="AT159">
        <v>0</v>
      </c>
      <c r="AU159">
        <v>0</v>
      </c>
      <c r="AV159">
        <v>0</v>
      </c>
      <c r="AW159">
        <v>1</v>
      </c>
      <c r="AX159" t="s">
        <v>74</v>
      </c>
      <c r="AY159">
        <v>0</v>
      </c>
      <c r="AZ159" t="s">
        <v>76</v>
      </c>
      <c r="BA159">
        <v>-1.5707963267949001</v>
      </c>
      <c r="BB159">
        <v>0.99199999999999999</v>
      </c>
      <c r="BC159">
        <v>0</v>
      </c>
      <c r="BD159">
        <v>5.8245346242475203E-2</v>
      </c>
      <c r="BE159">
        <v>0</v>
      </c>
      <c r="BF159">
        <v>1.6E-2</v>
      </c>
      <c r="BG159">
        <v>0</v>
      </c>
      <c r="BH159">
        <v>0</v>
      </c>
      <c r="BI159">
        <v>0</v>
      </c>
      <c r="BJ159">
        <v>0</v>
      </c>
      <c r="BK159">
        <v>1</v>
      </c>
      <c r="BL159">
        <v>1.06519054607827E-4</v>
      </c>
      <c r="BM159">
        <v>1.9684235562537301E-4</v>
      </c>
      <c r="BN159" s="1">
        <v>3.8788519289687802E-7</v>
      </c>
      <c r="BO159" s="1">
        <v>3.0919924917399101E-6</v>
      </c>
      <c r="BP159">
        <v>0</v>
      </c>
      <c r="BQ159">
        <v>0</v>
      </c>
      <c r="BR159" s="1">
        <v>5.8055436259794002E-5</v>
      </c>
      <c r="BS159">
        <v>1.0859506914648E-4</v>
      </c>
    </row>
    <row r="160" spans="1:71" x14ac:dyDescent="0.25">
      <c r="A160">
        <v>157</v>
      </c>
      <c r="B160" s="1">
        <v>8.3729504046242906E-6</v>
      </c>
      <c r="C160">
        <v>0.105850001150887</v>
      </c>
      <c r="D160">
        <v>-3.0775456645533498E-4</v>
      </c>
      <c r="E160">
        <v>6.1312499999999995E-4</v>
      </c>
      <c r="F160">
        <v>-1.05850001150887E-3</v>
      </c>
      <c r="G160">
        <v>0</v>
      </c>
      <c r="H160" t="s">
        <v>74</v>
      </c>
      <c r="I160">
        <v>0</v>
      </c>
      <c r="J160" t="s">
        <v>75</v>
      </c>
      <c r="K160">
        <v>3.14159265358979</v>
      </c>
      <c r="L160">
        <v>0.72940209343024498</v>
      </c>
      <c r="M160">
        <v>0</v>
      </c>
      <c r="N160">
        <v>4.2826892622813403E-2</v>
      </c>
      <c r="O160">
        <v>0</v>
      </c>
      <c r="P160">
        <v>1.6E-2</v>
      </c>
      <c r="Q160">
        <v>0</v>
      </c>
      <c r="R160">
        <v>0</v>
      </c>
      <c r="S160">
        <v>0</v>
      </c>
      <c r="T160">
        <v>0</v>
      </c>
      <c r="U160">
        <v>0.73528436828880905</v>
      </c>
      <c r="V160" t="s">
        <v>78</v>
      </c>
      <c r="W160">
        <v>2297957.5987218502</v>
      </c>
      <c r="X160" t="s">
        <v>76</v>
      </c>
      <c r="Y160">
        <v>-1.5707963267949001</v>
      </c>
      <c r="Z160">
        <v>0.72162048764219799</v>
      </c>
      <c r="AA160">
        <v>0.26145612156532899</v>
      </c>
      <c r="AB160">
        <v>3.89625150369005E-2</v>
      </c>
      <c r="AC160">
        <v>1.46565118302704E-2</v>
      </c>
      <c r="AD160">
        <v>1.6535240817178699E-2</v>
      </c>
      <c r="AE160">
        <v>1.8413945974679501E-2</v>
      </c>
      <c r="AF160">
        <v>0</v>
      </c>
      <c r="AG160">
        <v>0.25743816254573498</v>
      </c>
      <c r="AH160">
        <v>0.138783656069323</v>
      </c>
      <c r="AI160">
        <v>0.517338882869535</v>
      </c>
      <c r="AJ160" t="s">
        <v>74</v>
      </c>
      <c r="AK160">
        <v>0</v>
      </c>
      <c r="AL160" t="s">
        <v>77</v>
      </c>
      <c r="AM160">
        <v>0</v>
      </c>
      <c r="AN160">
        <v>0.99199999999999999</v>
      </c>
      <c r="AO160">
        <v>0</v>
      </c>
      <c r="AP160">
        <v>5.8245346242475203E-2</v>
      </c>
      <c r="AQ160">
        <v>0</v>
      </c>
      <c r="AR160">
        <v>1.6E-2</v>
      </c>
      <c r="AS160">
        <v>0</v>
      </c>
      <c r="AT160">
        <v>0</v>
      </c>
      <c r="AU160">
        <v>0</v>
      </c>
      <c r="AV160">
        <v>0</v>
      </c>
      <c r="AW160">
        <v>1</v>
      </c>
      <c r="AX160" t="s">
        <v>74</v>
      </c>
      <c r="AY160">
        <v>0</v>
      </c>
      <c r="AZ160" t="s">
        <v>76</v>
      </c>
      <c r="BA160">
        <v>-1.5707963267949001</v>
      </c>
      <c r="BB160">
        <v>0.99199999999999999</v>
      </c>
      <c r="BC160">
        <v>0</v>
      </c>
      <c r="BD160">
        <v>5.8245346242475203E-2</v>
      </c>
      <c r="BE160">
        <v>0</v>
      </c>
      <c r="BF160">
        <v>1.6E-2</v>
      </c>
      <c r="BG160">
        <v>0</v>
      </c>
      <c r="BH160">
        <v>0</v>
      </c>
      <c r="BI160">
        <v>0</v>
      </c>
      <c r="BJ160">
        <v>0</v>
      </c>
      <c r="BK160">
        <v>1</v>
      </c>
      <c r="BL160">
        <v>1.06468305987467E-4</v>
      </c>
      <c r="BM160">
        <v>1.98110909307529E-4</v>
      </c>
      <c r="BN160" s="1">
        <v>3.8769713995810301E-7</v>
      </c>
      <c r="BO160" s="1">
        <v>3.1119188863826301E-6</v>
      </c>
      <c r="BP160">
        <v>0</v>
      </c>
      <c r="BQ160">
        <v>0</v>
      </c>
      <c r="BR160" s="1">
        <v>5.8023412441100102E-5</v>
      </c>
      <c r="BS160">
        <v>1.09295872798638E-4</v>
      </c>
    </row>
    <row r="161" spans="1:71" x14ac:dyDescent="0.25">
      <c r="A161">
        <v>158</v>
      </c>
      <c r="B161" s="1">
        <v>8.3547796287203298E-6</v>
      </c>
      <c r="C161">
        <v>0.105858355930516</v>
      </c>
      <c r="D161">
        <v>-3.0779964552240998E-4</v>
      </c>
      <c r="E161">
        <v>6.1312499999999995E-4</v>
      </c>
      <c r="F161">
        <v>-1.05858355930516E-3</v>
      </c>
      <c r="G161">
        <v>0</v>
      </c>
      <c r="H161" t="s">
        <v>74</v>
      </c>
      <c r="I161">
        <v>0</v>
      </c>
      <c r="J161" t="s">
        <v>75</v>
      </c>
      <c r="K161">
        <v>3.14159265358979</v>
      </c>
      <c r="L161">
        <v>0.72772065185708601</v>
      </c>
      <c r="M161">
        <v>0</v>
      </c>
      <c r="N161">
        <v>4.2728166668564299E-2</v>
      </c>
      <c r="O161">
        <v>0</v>
      </c>
      <c r="P161">
        <v>1.6E-2</v>
      </c>
      <c r="Q161">
        <v>0</v>
      </c>
      <c r="R161">
        <v>0</v>
      </c>
      <c r="S161">
        <v>0</v>
      </c>
      <c r="T161">
        <v>0</v>
      </c>
      <c r="U161">
        <v>0.73358936672144903</v>
      </c>
      <c r="V161" t="s">
        <v>78</v>
      </c>
      <c r="W161">
        <v>2298346.6091896398</v>
      </c>
      <c r="X161" t="s">
        <v>76</v>
      </c>
      <c r="Y161">
        <v>-1.5707963267949001</v>
      </c>
      <c r="Z161">
        <v>0.719942188746023</v>
      </c>
      <c r="AA161">
        <v>0.263099602289672</v>
      </c>
      <c r="AB161">
        <v>3.8866954730404801E-2</v>
      </c>
      <c r="AC161">
        <v>1.4749007972539099E-2</v>
      </c>
      <c r="AD161">
        <v>1.64306021123484E-2</v>
      </c>
      <c r="AE161">
        <v>1.8539374056523499E-2</v>
      </c>
      <c r="AF161">
        <v>0</v>
      </c>
      <c r="AG161">
        <v>0.258013996641833</v>
      </c>
      <c r="AH161">
        <v>0.14074487128452601</v>
      </c>
      <c r="AI161">
        <v>0.51452281996607296</v>
      </c>
      <c r="AJ161" t="s">
        <v>74</v>
      </c>
      <c r="AK161">
        <v>0</v>
      </c>
      <c r="AL161" t="s">
        <v>77</v>
      </c>
      <c r="AM161">
        <v>0</v>
      </c>
      <c r="AN161">
        <v>0.99199999999999999</v>
      </c>
      <c r="AO161">
        <v>0</v>
      </c>
      <c r="AP161">
        <v>5.8245346242475203E-2</v>
      </c>
      <c r="AQ161">
        <v>0</v>
      </c>
      <c r="AR161">
        <v>1.6E-2</v>
      </c>
      <c r="AS161">
        <v>0</v>
      </c>
      <c r="AT161">
        <v>0</v>
      </c>
      <c r="AU161">
        <v>0</v>
      </c>
      <c r="AV161">
        <v>0</v>
      </c>
      <c r="AW161">
        <v>1</v>
      </c>
      <c r="AX161" t="s">
        <v>74</v>
      </c>
      <c r="AY161">
        <v>0</v>
      </c>
      <c r="AZ161" t="s">
        <v>76</v>
      </c>
      <c r="BA161">
        <v>-1.5707963267949001</v>
      </c>
      <c r="BB161">
        <v>0.99199999999999999</v>
      </c>
      <c r="BC161">
        <v>0</v>
      </c>
      <c r="BD161">
        <v>5.8245346242475203E-2</v>
      </c>
      <c r="BE161">
        <v>0</v>
      </c>
      <c r="BF161">
        <v>1.6E-2</v>
      </c>
      <c r="BG161">
        <v>0</v>
      </c>
      <c r="BH161">
        <v>0</v>
      </c>
      <c r="BI161">
        <v>0</v>
      </c>
      <c r="BJ161">
        <v>0</v>
      </c>
      <c r="BK161">
        <v>1</v>
      </c>
      <c r="BL161">
        <v>1.0641741092822901E-4</v>
      </c>
      <c r="BM161">
        <v>1.9937943396318E-4</v>
      </c>
      <c r="BN161" s="1">
        <v>3.8750891941669299E-7</v>
      </c>
      <c r="BO161" s="1">
        <v>3.13184482507808E-6</v>
      </c>
      <c r="BP161">
        <v>0</v>
      </c>
      <c r="BQ161">
        <v>0</v>
      </c>
      <c r="BR161" s="1">
        <v>5.7991305789896403E-5</v>
      </c>
      <c r="BS161">
        <v>1.09996670634064E-4</v>
      </c>
    </row>
    <row r="162" spans="1:71" x14ac:dyDescent="0.25">
      <c r="A162">
        <v>159</v>
      </c>
      <c r="B162" s="1">
        <v>8.3372183354863601E-6</v>
      </c>
      <c r="C162">
        <v>0.105866693148851</v>
      </c>
      <c r="D162">
        <v>-3.0784462795656402E-4</v>
      </c>
      <c r="E162">
        <v>6.1312499999999995E-4</v>
      </c>
      <c r="F162">
        <v>-1.05866693148851E-3</v>
      </c>
      <c r="G162" s="1">
        <v>1.0842021724855E-19</v>
      </c>
      <c r="H162" t="s">
        <v>74</v>
      </c>
      <c r="I162">
        <v>0</v>
      </c>
      <c r="J162" t="s">
        <v>75</v>
      </c>
      <c r="K162">
        <v>3.14159265358979</v>
      </c>
      <c r="L162">
        <v>0.72603924924446095</v>
      </c>
      <c r="M162">
        <v>0</v>
      </c>
      <c r="N162">
        <v>4.2629443001885502E-2</v>
      </c>
      <c r="O162">
        <v>0</v>
      </c>
      <c r="P162">
        <v>1.6E-2</v>
      </c>
      <c r="Q162">
        <v>0</v>
      </c>
      <c r="R162">
        <v>0</v>
      </c>
      <c r="S162">
        <v>0</v>
      </c>
      <c r="T162">
        <v>0</v>
      </c>
      <c r="U162">
        <v>0.73189440442523901</v>
      </c>
      <c r="V162" t="s">
        <v>78</v>
      </c>
      <c r="W162">
        <v>2298734.7857622099</v>
      </c>
      <c r="X162" t="s">
        <v>76</v>
      </c>
      <c r="Y162">
        <v>-1.5707963267949001</v>
      </c>
      <c r="Z162">
        <v>0.71826401498296299</v>
      </c>
      <c r="AA162">
        <v>0.26473245424813002</v>
      </c>
      <c r="AB162">
        <v>3.8771434300309403E-2</v>
      </c>
      <c r="AC162">
        <v>1.4841170593495099E-2</v>
      </c>
      <c r="AD162">
        <v>1.6325825056126599E-2</v>
      </c>
      <c r="AE162">
        <v>1.8664801310020001E-2</v>
      </c>
      <c r="AF162">
        <v>0</v>
      </c>
      <c r="AG162">
        <v>0.25857290149022399</v>
      </c>
      <c r="AH162">
        <v>0.14272295696169099</v>
      </c>
      <c r="AI162">
        <v>0.51171106335832806</v>
      </c>
      <c r="AJ162" t="s">
        <v>74</v>
      </c>
      <c r="AK162">
        <v>0</v>
      </c>
      <c r="AL162" t="s">
        <v>77</v>
      </c>
      <c r="AM162">
        <v>0</v>
      </c>
      <c r="AN162">
        <v>0.99199999999999999</v>
      </c>
      <c r="AO162">
        <v>0</v>
      </c>
      <c r="AP162">
        <v>5.8245346242475203E-2</v>
      </c>
      <c r="AQ162">
        <v>0</v>
      </c>
      <c r="AR162">
        <v>1.6E-2</v>
      </c>
      <c r="AS162">
        <v>0</v>
      </c>
      <c r="AT162">
        <v>0</v>
      </c>
      <c r="AU162">
        <v>0</v>
      </c>
      <c r="AV162">
        <v>0</v>
      </c>
      <c r="AW162">
        <v>1</v>
      </c>
      <c r="AX162" t="s">
        <v>74</v>
      </c>
      <c r="AY162">
        <v>0</v>
      </c>
      <c r="AZ162" t="s">
        <v>76</v>
      </c>
      <c r="BA162">
        <v>-1.5707963267949001</v>
      </c>
      <c r="BB162">
        <v>0.99199999999999999</v>
      </c>
      <c r="BC162">
        <v>0</v>
      </c>
      <c r="BD162">
        <v>5.8245346242475203E-2</v>
      </c>
      <c r="BE162">
        <v>0</v>
      </c>
      <c r="BF162">
        <v>1.6E-2</v>
      </c>
      <c r="BG162">
        <v>0</v>
      </c>
      <c r="BH162">
        <v>0</v>
      </c>
      <c r="BI162">
        <v>0</v>
      </c>
      <c r="BJ162">
        <v>0</v>
      </c>
      <c r="BK162">
        <v>1</v>
      </c>
      <c r="BL162">
        <v>1.0636637019032E-4</v>
      </c>
      <c r="BM162">
        <v>2.0064792922595801E-4</v>
      </c>
      <c r="BN162" s="1">
        <v>3.8732053406256898E-7</v>
      </c>
      <c r="BO162" s="1">
        <v>3.1517703020713698E-6</v>
      </c>
      <c r="BP162">
        <v>0</v>
      </c>
      <c r="BQ162">
        <v>0</v>
      </c>
      <c r="BR162" s="1">
        <v>5.7959116761032699E-5</v>
      </c>
      <c r="BS162">
        <v>1.1069746248086001E-4</v>
      </c>
    </row>
    <row r="163" spans="1:71" x14ac:dyDescent="0.25">
      <c r="A163">
        <v>160</v>
      </c>
      <c r="B163" s="1">
        <v>8.3202618022706701E-6</v>
      </c>
      <c r="C163">
        <v>0.105875013410654</v>
      </c>
      <c r="D163">
        <v>-3.0788951703250399E-4</v>
      </c>
      <c r="E163">
        <v>6.1312499999999995E-4</v>
      </c>
      <c r="F163">
        <v>-1.0587501341065399E-3</v>
      </c>
      <c r="G163" s="1">
        <v>1.0842021724855E-19</v>
      </c>
      <c r="H163" t="s">
        <v>74</v>
      </c>
      <c r="I163">
        <v>0</v>
      </c>
      <c r="J163" t="s">
        <v>75</v>
      </c>
      <c r="K163">
        <v>3.14159265358979</v>
      </c>
      <c r="L163">
        <v>0.72435788608719398</v>
      </c>
      <c r="M163">
        <v>0</v>
      </c>
      <c r="N163">
        <v>4.2530721651830701E-2</v>
      </c>
      <c r="O163">
        <v>0</v>
      </c>
      <c r="P163">
        <v>1.6E-2</v>
      </c>
      <c r="Q163">
        <v>0</v>
      </c>
      <c r="R163">
        <v>0</v>
      </c>
      <c r="S163">
        <v>0</v>
      </c>
      <c r="T163">
        <v>0</v>
      </c>
      <c r="U163">
        <v>0.73019948189964301</v>
      </c>
      <c r="V163" t="s">
        <v>78</v>
      </c>
      <c r="W163">
        <v>2299122.1566987098</v>
      </c>
      <c r="X163" t="s">
        <v>76</v>
      </c>
      <c r="Y163">
        <v>-1.5707963267949001</v>
      </c>
      <c r="Z163">
        <v>0.71658596571718003</v>
      </c>
      <c r="AA163">
        <v>0.26800402544249002</v>
      </c>
      <c r="AB163">
        <v>3.8675953284490201E-2</v>
      </c>
      <c r="AC163">
        <v>1.49848158347791E-2</v>
      </c>
      <c r="AD163">
        <v>1.6220912451219701E-2</v>
      </c>
      <c r="AE163">
        <v>1.8790226775851199E-2</v>
      </c>
      <c r="AF163">
        <v>0</v>
      </c>
      <c r="AG163">
        <v>0.25911478859345299</v>
      </c>
      <c r="AH163">
        <v>0.14471800085165701</v>
      </c>
      <c r="AI163">
        <v>0.50890362992919702</v>
      </c>
      <c r="AJ163" t="s">
        <v>74</v>
      </c>
      <c r="AK163">
        <v>0</v>
      </c>
      <c r="AL163" t="s">
        <v>77</v>
      </c>
      <c r="AM163">
        <v>0</v>
      </c>
      <c r="AN163">
        <v>0.99199999999999999</v>
      </c>
      <c r="AO163">
        <v>0</v>
      </c>
      <c r="AP163">
        <v>5.8245346242475203E-2</v>
      </c>
      <c r="AQ163">
        <v>0</v>
      </c>
      <c r="AR163">
        <v>1.6E-2</v>
      </c>
      <c r="AS163">
        <v>0</v>
      </c>
      <c r="AT163">
        <v>0</v>
      </c>
      <c r="AU163">
        <v>0</v>
      </c>
      <c r="AV163">
        <v>0</v>
      </c>
      <c r="AW163">
        <v>1</v>
      </c>
      <c r="AX163" t="s">
        <v>74</v>
      </c>
      <c r="AY163">
        <v>0</v>
      </c>
      <c r="AZ163" t="s">
        <v>76</v>
      </c>
      <c r="BA163">
        <v>-1.5707963267949001</v>
      </c>
      <c r="BB163">
        <v>0.99199999999999999</v>
      </c>
      <c r="BC163">
        <v>0</v>
      </c>
      <c r="BD163">
        <v>5.8245346242475203E-2</v>
      </c>
      <c r="BE163">
        <v>0</v>
      </c>
      <c r="BF163">
        <v>1.6E-2</v>
      </c>
      <c r="BG163">
        <v>0</v>
      </c>
      <c r="BH163">
        <v>0</v>
      </c>
      <c r="BI163">
        <v>0</v>
      </c>
      <c r="BJ163">
        <v>0</v>
      </c>
      <c r="BK163">
        <v>1</v>
      </c>
      <c r="BL163">
        <v>1.06341091628025E-4</v>
      </c>
      <c r="BM163">
        <v>2.01916394722555E-4</v>
      </c>
      <c r="BN163" s="1">
        <v>3.8718379905076E-7</v>
      </c>
      <c r="BO163" s="1">
        <v>3.1716953114985802E-6</v>
      </c>
      <c r="BP163">
        <v>0</v>
      </c>
      <c r="BQ163">
        <v>0</v>
      </c>
      <c r="BR163" s="1">
        <v>5.7941138877655503E-5</v>
      </c>
      <c r="BS163">
        <v>1.11398248164529E-4</v>
      </c>
    </row>
    <row r="164" spans="1:71" x14ac:dyDescent="0.25">
      <c r="A164">
        <v>161</v>
      </c>
      <c r="B164" s="1">
        <v>8.3039055869401498E-6</v>
      </c>
      <c r="C164">
        <v>0.10588331731624</v>
      </c>
      <c r="D164">
        <v>-3.0793431600040498E-4</v>
      </c>
      <c r="E164">
        <v>6.1312499999999995E-4</v>
      </c>
      <c r="F164">
        <v>-1.0588331731623999E-3</v>
      </c>
      <c r="G164" s="1">
        <v>1.0842021724855E-19</v>
      </c>
      <c r="H164" t="s">
        <v>74</v>
      </c>
      <c r="I164">
        <v>0</v>
      </c>
      <c r="J164" t="s">
        <v>75</v>
      </c>
      <c r="K164">
        <v>3.14159265358979</v>
      </c>
      <c r="L164">
        <v>0.72267656288954796</v>
      </c>
      <c r="M164">
        <v>0</v>
      </c>
      <c r="N164">
        <v>4.2432002648007699E-2</v>
      </c>
      <c r="O164">
        <v>0</v>
      </c>
      <c r="P164">
        <v>1.6E-2</v>
      </c>
      <c r="Q164">
        <v>0</v>
      </c>
      <c r="R164">
        <v>0</v>
      </c>
      <c r="S164">
        <v>0</v>
      </c>
      <c r="T164">
        <v>0</v>
      </c>
      <c r="U164">
        <v>0.72850459965352798</v>
      </c>
      <c r="V164" t="s">
        <v>78</v>
      </c>
      <c r="W164">
        <v>2299508.7500465801</v>
      </c>
      <c r="X164" t="s">
        <v>76</v>
      </c>
      <c r="Y164">
        <v>-1.5707963267949001</v>
      </c>
      <c r="Z164">
        <v>0.71490804033548305</v>
      </c>
      <c r="AA164">
        <v>0.2696155791455</v>
      </c>
      <c r="AB164">
        <v>3.8580511227970501E-2</v>
      </c>
      <c r="AC164">
        <v>1.50763091756761E-2</v>
      </c>
      <c r="AD164">
        <v>1.6115867069810899E-2</v>
      </c>
      <c r="AE164">
        <v>1.89156494965389E-2</v>
      </c>
      <c r="AF164">
        <v>0</v>
      </c>
      <c r="AG164">
        <v>0.25963956840208002</v>
      </c>
      <c r="AH164">
        <v>0.146730091743003</v>
      </c>
      <c r="AI164">
        <v>0.50610053663397403</v>
      </c>
      <c r="AJ164" t="s">
        <v>74</v>
      </c>
      <c r="AK164">
        <v>0</v>
      </c>
      <c r="AL164" t="s">
        <v>77</v>
      </c>
      <c r="AM164">
        <v>0</v>
      </c>
      <c r="AN164">
        <v>0.99199999999999999</v>
      </c>
      <c r="AO164">
        <v>0</v>
      </c>
      <c r="AP164">
        <v>5.8245346242475203E-2</v>
      </c>
      <c r="AQ164">
        <v>0</v>
      </c>
      <c r="AR164">
        <v>1.6E-2</v>
      </c>
      <c r="AS164">
        <v>0</v>
      </c>
      <c r="AT164">
        <v>0</v>
      </c>
      <c r="AU164">
        <v>0</v>
      </c>
      <c r="AV164">
        <v>0</v>
      </c>
      <c r="AW164">
        <v>1</v>
      </c>
      <c r="AX164" t="s">
        <v>74</v>
      </c>
      <c r="AY164">
        <v>0</v>
      </c>
      <c r="AZ164" t="s">
        <v>76</v>
      </c>
      <c r="BA164">
        <v>-1.5707963267949001</v>
      </c>
      <c r="BB164">
        <v>0.99199999999999999</v>
      </c>
      <c r="BC164">
        <v>0</v>
      </c>
      <c r="BD164">
        <v>5.8245346242475203E-2</v>
      </c>
      <c r="BE164">
        <v>0</v>
      </c>
      <c r="BF164">
        <v>1.6E-2</v>
      </c>
      <c r="BG164">
        <v>0</v>
      </c>
      <c r="BH164">
        <v>0</v>
      </c>
      <c r="BI164">
        <v>0</v>
      </c>
      <c r="BJ164">
        <v>0</v>
      </c>
      <c r="BK164">
        <v>1</v>
      </c>
      <c r="BL164">
        <v>1.06289757768302E-4</v>
      </c>
      <c r="BM164">
        <v>2.03184830072541E-4</v>
      </c>
      <c r="BN164" s="1">
        <v>3.86995077115332E-7</v>
      </c>
      <c r="BO164" s="1">
        <v>3.1916198473839301E-6</v>
      </c>
      <c r="BP164">
        <v>0</v>
      </c>
      <c r="BQ164">
        <v>0</v>
      </c>
      <c r="BR164" s="1">
        <v>5.7908784349457598E-5</v>
      </c>
      <c r="BS164">
        <v>1.1209902750788999E-4</v>
      </c>
    </row>
    <row r="165" spans="1:71" x14ac:dyDescent="0.25">
      <c r="A165">
        <v>162</v>
      </c>
      <c r="B165" s="1">
        <v>8.2881455242338098E-6</v>
      </c>
      <c r="C165">
        <v>0.105891605461765</v>
      </c>
      <c r="D165">
        <v>-3.0797902808741E-4</v>
      </c>
      <c r="E165">
        <v>6.1312499999999995E-4</v>
      </c>
      <c r="F165">
        <v>-1.0589160546176501E-3</v>
      </c>
      <c r="G165" s="1">
        <v>1.0842021724855E-19</v>
      </c>
      <c r="H165" t="s">
        <v>74</v>
      </c>
      <c r="I165">
        <v>0</v>
      </c>
      <c r="J165" t="s">
        <v>75</v>
      </c>
      <c r="K165">
        <v>3.14159265358979</v>
      </c>
      <c r="L165">
        <v>0.72099528016546699</v>
      </c>
      <c r="M165">
        <v>0</v>
      </c>
      <c r="N165">
        <v>4.2333286020592803E-2</v>
      </c>
      <c r="O165">
        <v>0</v>
      </c>
      <c r="P165">
        <v>1.6E-2</v>
      </c>
      <c r="Q165">
        <v>0</v>
      </c>
      <c r="R165">
        <v>0</v>
      </c>
      <c r="S165">
        <v>0</v>
      </c>
      <c r="T165">
        <v>0</v>
      </c>
      <c r="U165">
        <v>0.72680975820542404</v>
      </c>
      <c r="V165" t="s">
        <v>78</v>
      </c>
      <c r="W165">
        <v>2299894.5936544901</v>
      </c>
      <c r="X165" t="s">
        <v>76</v>
      </c>
      <c r="Y165">
        <v>-1.5707963267949001</v>
      </c>
      <c r="Z165">
        <v>0.71323023824706799</v>
      </c>
      <c r="AA165">
        <v>0.27121646392341398</v>
      </c>
      <c r="AB165">
        <v>3.8485107682714202E-2</v>
      </c>
      <c r="AC165">
        <v>1.5167468677964001E-2</v>
      </c>
      <c r="AD165">
        <v>1.60106916545119E-2</v>
      </c>
      <c r="AE165">
        <v>1.9041068516301801E-2</v>
      </c>
      <c r="AF165">
        <v>0</v>
      </c>
      <c r="AG165">
        <v>0.26014715029496099</v>
      </c>
      <c r="AH165">
        <v>0.148759319481408</v>
      </c>
      <c r="AI165">
        <v>0.50330180050226903</v>
      </c>
      <c r="AJ165" t="s">
        <v>74</v>
      </c>
      <c r="AK165">
        <v>0</v>
      </c>
      <c r="AL165" t="s">
        <v>77</v>
      </c>
      <c r="AM165">
        <v>0</v>
      </c>
      <c r="AN165">
        <v>0.99199999999999999</v>
      </c>
      <c r="AO165">
        <v>0</v>
      </c>
      <c r="AP165">
        <v>5.8245346242475203E-2</v>
      </c>
      <c r="AQ165">
        <v>0</v>
      </c>
      <c r="AR165">
        <v>1.6E-2</v>
      </c>
      <c r="AS165">
        <v>0</v>
      </c>
      <c r="AT165">
        <v>0</v>
      </c>
      <c r="AU165">
        <v>0</v>
      </c>
      <c r="AV165">
        <v>0</v>
      </c>
      <c r="AW165">
        <v>1</v>
      </c>
      <c r="AX165" t="s">
        <v>74</v>
      </c>
      <c r="AY165">
        <v>0</v>
      </c>
      <c r="AZ165" t="s">
        <v>76</v>
      </c>
      <c r="BA165">
        <v>-1.5707963267949001</v>
      </c>
      <c r="BB165">
        <v>0.99199999999999999</v>
      </c>
      <c r="BC165">
        <v>0</v>
      </c>
      <c r="BD165">
        <v>5.8245346242475203E-2</v>
      </c>
      <c r="BE165">
        <v>0</v>
      </c>
      <c r="BF165">
        <v>1.6E-2</v>
      </c>
      <c r="BG165">
        <v>0</v>
      </c>
      <c r="BH165">
        <v>0</v>
      </c>
      <c r="BI165">
        <v>0</v>
      </c>
      <c r="BJ165">
        <v>0</v>
      </c>
      <c r="BK165">
        <v>1</v>
      </c>
      <c r="BL165">
        <v>1.06238277433111E-4</v>
      </c>
      <c r="BM165">
        <v>2.0445323488818399E-4</v>
      </c>
      <c r="BN165" s="1">
        <v>3.8680618711120203E-7</v>
      </c>
      <c r="BO165" s="1">
        <v>3.2115439036369402E-6</v>
      </c>
      <c r="BP165">
        <v>0</v>
      </c>
      <c r="BQ165">
        <v>0</v>
      </c>
      <c r="BR165" s="1">
        <v>5.7876347107842102E-5</v>
      </c>
      <c r="BS165">
        <v>1.12799800331003E-4</v>
      </c>
    </row>
    <row r="166" spans="1:71" x14ac:dyDescent="0.25">
      <c r="A166">
        <v>163</v>
      </c>
      <c r="B166" s="1">
        <v>8.2729777224041403E-6</v>
      </c>
      <c r="C166">
        <v>0.10589987843948701</v>
      </c>
      <c r="D166">
        <v>-3.0802365649911201E-4</v>
      </c>
      <c r="E166">
        <v>6.1312499999999995E-4</v>
      </c>
      <c r="F166">
        <v>-1.05899878439487E-3</v>
      </c>
      <c r="G166" s="1">
        <v>1.0842021724855E-19</v>
      </c>
      <c r="H166" t="s">
        <v>74</v>
      </c>
      <c r="I166">
        <v>0</v>
      </c>
      <c r="J166" t="s">
        <v>75</v>
      </c>
      <c r="K166">
        <v>3.14159265358979</v>
      </c>
      <c r="L166">
        <v>0.71931403843883002</v>
      </c>
      <c r="M166">
        <v>0</v>
      </c>
      <c r="N166">
        <v>4.2234571800345497E-2</v>
      </c>
      <c r="O166">
        <v>0</v>
      </c>
      <c r="P166">
        <v>1.6E-2</v>
      </c>
      <c r="Q166">
        <v>0</v>
      </c>
      <c r="R166">
        <v>0</v>
      </c>
      <c r="S166">
        <v>0</v>
      </c>
      <c r="T166">
        <v>0</v>
      </c>
      <c r="U166">
        <v>0.72511495808380499</v>
      </c>
      <c r="V166" t="s">
        <v>78</v>
      </c>
      <c r="W166">
        <v>2300279.7151851398</v>
      </c>
      <c r="X166" t="s">
        <v>76</v>
      </c>
      <c r="Y166">
        <v>-1.5707963267949001</v>
      </c>
      <c r="Z166">
        <v>0.71155255888329805</v>
      </c>
      <c r="AA166">
        <v>0.27121646392341398</v>
      </c>
      <c r="AB166">
        <v>3.8389742207423701E-2</v>
      </c>
      <c r="AC166">
        <v>1.52074790857192E-2</v>
      </c>
      <c r="AD166">
        <v>1.5905388919292201E-2</v>
      </c>
      <c r="AE166">
        <v>1.91664828809135E-2</v>
      </c>
      <c r="AF166">
        <v>0</v>
      </c>
      <c r="AG166">
        <v>0.26063744255902699</v>
      </c>
      <c r="AH166">
        <v>0.150805774989482</v>
      </c>
      <c r="AI166">
        <v>0.50050743863993996</v>
      </c>
      <c r="AJ166" t="s">
        <v>74</v>
      </c>
      <c r="AK166">
        <v>0</v>
      </c>
      <c r="AL166" t="s">
        <v>77</v>
      </c>
      <c r="AM166">
        <v>0</v>
      </c>
      <c r="AN166">
        <v>0.99199999999999999</v>
      </c>
      <c r="AO166">
        <v>0</v>
      </c>
      <c r="AP166">
        <v>5.8245346242475203E-2</v>
      </c>
      <c r="AQ166">
        <v>0</v>
      </c>
      <c r="AR166">
        <v>1.6E-2</v>
      </c>
      <c r="AS166">
        <v>0</v>
      </c>
      <c r="AT166">
        <v>0</v>
      </c>
      <c r="AU166">
        <v>0</v>
      </c>
      <c r="AV166">
        <v>0</v>
      </c>
      <c r="AW166">
        <v>1</v>
      </c>
      <c r="AX166" t="s">
        <v>74</v>
      </c>
      <c r="AY166">
        <v>0</v>
      </c>
      <c r="AZ166" t="s">
        <v>76</v>
      </c>
      <c r="BA166">
        <v>-1.5707963267949001</v>
      </c>
      <c r="BB166">
        <v>0.99199999999999999</v>
      </c>
      <c r="BC166">
        <v>0</v>
      </c>
      <c r="BD166">
        <v>5.8245346242475203E-2</v>
      </c>
      <c r="BE166">
        <v>0</v>
      </c>
      <c r="BF166">
        <v>1.6E-2</v>
      </c>
      <c r="BG166">
        <v>0</v>
      </c>
      <c r="BH166">
        <v>0</v>
      </c>
      <c r="BI166">
        <v>0</v>
      </c>
      <c r="BJ166">
        <v>0</v>
      </c>
      <c r="BK166">
        <v>1</v>
      </c>
      <c r="BL166">
        <v>1.06161242789219E-4</v>
      </c>
      <c r="BM166">
        <v>2.0572160877425401E-4</v>
      </c>
      <c r="BN166" s="1">
        <v>3.8656631018799601E-7</v>
      </c>
      <c r="BO166" s="1">
        <v>3.2314674740493501E-6</v>
      </c>
      <c r="BP166">
        <v>0</v>
      </c>
      <c r="BQ166">
        <v>0</v>
      </c>
      <c r="BR166" s="1">
        <v>5.7829809196762499E-5</v>
      </c>
      <c r="BS166">
        <v>1.13500566451067E-4</v>
      </c>
    </row>
    <row r="167" spans="1:71" x14ac:dyDescent="0.25">
      <c r="A167">
        <v>164</v>
      </c>
      <c r="B167" s="1">
        <v>8.2583985602169102E-6</v>
      </c>
      <c r="C167">
        <v>0.10590813683804701</v>
      </c>
      <c r="D167">
        <v>-3.0806820442102101E-4</v>
      </c>
      <c r="E167">
        <v>6.1312499999999995E-4</v>
      </c>
      <c r="F167">
        <v>-1.0590813683804699E-3</v>
      </c>
      <c r="G167" s="1">
        <v>1.0842021724855E-19</v>
      </c>
      <c r="H167" t="s">
        <v>74</v>
      </c>
      <c r="I167">
        <v>0</v>
      </c>
      <c r="J167" t="s">
        <v>75</v>
      </c>
      <c r="K167">
        <v>3.14159265358979</v>
      </c>
      <c r="L167">
        <v>0.71763283824370905</v>
      </c>
      <c r="M167">
        <v>0</v>
      </c>
      <c r="N167">
        <v>4.2135860018624002E-2</v>
      </c>
      <c r="O167">
        <v>0</v>
      </c>
      <c r="P167">
        <v>1.6E-2</v>
      </c>
      <c r="Q167">
        <v>0</v>
      </c>
      <c r="R167">
        <v>0</v>
      </c>
      <c r="S167">
        <v>0</v>
      </c>
      <c r="T167">
        <v>0</v>
      </c>
      <c r="U167">
        <v>0.72342019982735095</v>
      </c>
      <c r="V167" t="s">
        <v>78</v>
      </c>
      <c r="W167">
        <v>2300664.1421279502</v>
      </c>
      <c r="X167" t="s">
        <v>76</v>
      </c>
      <c r="Y167">
        <v>-1.5707963267949001</v>
      </c>
      <c r="Z167">
        <v>0.70987500169747098</v>
      </c>
      <c r="AA167">
        <v>0.27279597264597</v>
      </c>
      <c r="AB167">
        <v>3.8294414367342301E-2</v>
      </c>
      <c r="AC167">
        <v>1.5297968465509E-2</v>
      </c>
      <c r="AD167">
        <v>1.5799961550387001E-2</v>
      </c>
      <c r="AE167">
        <v>1.9291891637564298E-2</v>
      </c>
      <c r="AF167">
        <v>0</v>
      </c>
      <c r="AG167">
        <v>0.26111035236853303</v>
      </c>
      <c r="AH167">
        <v>0.152869550287136</v>
      </c>
      <c r="AI167">
        <v>0.497717468230986</v>
      </c>
      <c r="AJ167" t="s">
        <v>74</v>
      </c>
      <c r="AK167">
        <v>0</v>
      </c>
      <c r="AL167" t="s">
        <v>77</v>
      </c>
      <c r="AM167">
        <v>0</v>
      </c>
      <c r="AN167">
        <v>0.99199999999999999</v>
      </c>
      <c r="AO167">
        <v>0</v>
      </c>
      <c r="AP167">
        <v>5.8245346242475203E-2</v>
      </c>
      <c r="AQ167">
        <v>0</v>
      </c>
      <c r="AR167">
        <v>1.6E-2</v>
      </c>
      <c r="AS167">
        <v>0</v>
      </c>
      <c r="AT167">
        <v>0</v>
      </c>
      <c r="AU167">
        <v>0</v>
      </c>
      <c r="AV167">
        <v>0</v>
      </c>
      <c r="AW167">
        <v>1</v>
      </c>
      <c r="AX167" t="s">
        <v>74</v>
      </c>
      <c r="AY167">
        <v>0</v>
      </c>
      <c r="AZ167" t="s">
        <v>76</v>
      </c>
      <c r="BA167">
        <v>-1.5707963267949001</v>
      </c>
      <c r="BB167">
        <v>0.99199999999999999</v>
      </c>
      <c r="BC167">
        <v>0</v>
      </c>
      <c r="BD167">
        <v>5.8245346242475203E-2</v>
      </c>
      <c r="BE167">
        <v>0</v>
      </c>
      <c r="BF167">
        <v>1.6E-2</v>
      </c>
      <c r="BG167">
        <v>0</v>
      </c>
      <c r="BH167">
        <v>0</v>
      </c>
      <c r="BI167">
        <v>0</v>
      </c>
      <c r="BJ167">
        <v>0</v>
      </c>
      <c r="BK167">
        <v>1</v>
      </c>
      <c r="BL167">
        <v>1.06109467668213E-4</v>
      </c>
      <c r="BM167">
        <v>2.0698995132783401E-4</v>
      </c>
      <c r="BN167" s="1">
        <v>3.8637707693072502E-7</v>
      </c>
      <c r="BO167" s="1">
        <v>3.25139055229217E-6</v>
      </c>
      <c r="BP167">
        <v>0</v>
      </c>
      <c r="BQ167">
        <v>0</v>
      </c>
      <c r="BR167" s="1">
        <v>5.7797205496086601E-5</v>
      </c>
      <c r="BS167">
        <v>1.14201325682341E-4</v>
      </c>
    </row>
    <row r="168" spans="1:71" x14ac:dyDescent="0.25">
      <c r="A168">
        <v>165</v>
      </c>
      <c r="B168" s="1">
        <v>8.2444046841991602E-6</v>
      </c>
      <c r="C168">
        <v>0.10591638124273201</v>
      </c>
      <c r="D168">
        <v>-3.0811267502001502E-4</v>
      </c>
      <c r="E168">
        <v>6.1312499999999995E-4</v>
      </c>
      <c r="F168">
        <v>-1.05916381242732E-3</v>
      </c>
      <c r="G168" s="1">
        <v>1.0842021724855E-19</v>
      </c>
      <c r="H168" t="s">
        <v>74</v>
      </c>
      <c r="I168">
        <v>0</v>
      </c>
      <c r="J168" t="s">
        <v>75</v>
      </c>
      <c r="K168">
        <v>3.14159265358979</v>
      </c>
      <c r="L168">
        <v>0.71595168012465005</v>
      </c>
      <c r="M168">
        <v>0</v>
      </c>
      <c r="N168">
        <v>4.20371507074013E-2</v>
      </c>
      <c r="O168">
        <v>0</v>
      </c>
      <c r="P168">
        <v>1.6E-2</v>
      </c>
      <c r="Q168">
        <v>0</v>
      </c>
      <c r="R168">
        <v>0</v>
      </c>
      <c r="S168">
        <v>0</v>
      </c>
      <c r="T168">
        <v>0</v>
      </c>
      <c r="U168">
        <v>0.72172548398524805</v>
      </c>
      <c r="V168" t="s">
        <v>78</v>
      </c>
      <c r="W168">
        <v>2301047.9018115401</v>
      </c>
      <c r="X168" t="s">
        <v>76</v>
      </c>
      <c r="Y168">
        <v>-1.5707963267949001</v>
      </c>
      <c r="Z168">
        <v>0.70819756616464202</v>
      </c>
      <c r="AA168">
        <v>0.27436477478586002</v>
      </c>
      <c r="AB168">
        <v>3.8199123734062999E-2</v>
      </c>
      <c r="AC168">
        <v>1.5388121530733E-2</v>
      </c>
      <c r="AD168">
        <v>1.5694412207184601E-2</v>
      </c>
      <c r="AE168">
        <v>1.94172938347211E-2</v>
      </c>
      <c r="AF168">
        <v>0</v>
      </c>
      <c r="AG168">
        <v>0.261565785763759</v>
      </c>
      <c r="AH168">
        <v>0.15495073851244701</v>
      </c>
      <c r="AI168">
        <v>0.49493190653949298</v>
      </c>
      <c r="AJ168" t="s">
        <v>74</v>
      </c>
      <c r="AK168">
        <v>0</v>
      </c>
      <c r="AL168" t="s">
        <v>77</v>
      </c>
      <c r="AM168">
        <v>0</v>
      </c>
      <c r="AN168">
        <v>0.99199999999999999</v>
      </c>
      <c r="AO168">
        <v>0</v>
      </c>
      <c r="AP168">
        <v>5.8245346242475203E-2</v>
      </c>
      <c r="AQ168">
        <v>0</v>
      </c>
      <c r="AR168">
        <v>1.6E-2</v>
      </c>
      <c r="AS168">
        <v>0</v>
      </c>
      <c r="AT168">
        <v>0</v>
      </c>
      <c r="AU168">
        <v>0</v>
      </c>
      <c r="AV168">
        <v>0</v>
      </c>
      <c r="AW168">
        <v>1</v>
      </c>
      <c r="AX168" t="s">
        <v>74</v>
      </c>
      <c r="AY168">
        <v>0</v>
      </c>
      <c r="AZ168" t="s">
        <v>76</v>
      </c>
      <c r="BA168">
        <v>-1.5707963267949001</v>
      </c>
      <c r="BB168">
        <v>0.99199999999999999</v>
      </c>
      <c r="BC168">
        <v>0</v>
      </c>
      <c r="BD168">
        <v>5.8245346242475203E-2</v>
      </c>
      <c r="BE168">
        <v>0</v>
      </c>
      <c r="BF168">
        <v>1.6E-2</v>
      </c>
      <c r="BG168">
        <v>0</v>
      </c>
      <c r="BH168">
        <v>0</v>
      </c>
      <c r="BI168">
        <v>0</v>
      </c>
      <c r="BJ168">
        <v>0</v>
      </c>
      <c r="BK168">
        <v>1</v>
      </c>
      <c r="BL168">
        <v>1.0605754422857399E-4</v>
      </c>
      <c r="BM168">
        <v>2.0825826213810301E-4</v>
      </c>
      <c r="BN168" s="1">
        <v>3.8618766847995502E-7</v>
      </c>
      <c r="BO168" s="1">
        <v>3.2713131319122098E-6</v>
      </c>
      <c r="BP168">
        <v>0</v>
      </c>
      <c r="BQ168">
        <v>0</v>
      </c>
      <c r="BR168" s="1">
        <v>5.7764518166300298E-5</v>
      </c>
      <c r="BS168">
        <v>1.14902077836041E-4</v>
      </c>
    </row>
    <row r="169" spans="1:71" x14ac:dyDescent="0.25">
      <c r="A169">
        <v>166</v>
      </c>
      <c r="B169" s="1">
        <v>8.2309930063659799E-6</v>
      </c>
      <c r="C169">
        <v>0.105924612235738</v>
      </c>
      <c r="D169">
        <v>-3.0815707144577799E-4</v>
      </c>
      <c r="E169">
        <v>6.1312499999999995E-4</v>
      </c>
      <c r="F169">
        <v>-1.0592461223573801E-3</v>
      </c>
      <c r="G169" s="1">
        <v>1.0842021724855E-19</v>
      </c>
      <c r="H169" t="s">
        <v>74</v>
      </c>
      <c r="I169">
        <v>0</v>
      </c>
      <c r="J169" t="s">
        <v>75</v>
      </c>
      <c r="K169">
        <v>3.14159265358979</v>
      </c>
      <c r="L169">
        <v>0.71427056463693195</v>
      </c>
      <c r="M169">
        <v>0</v>
      </c>
      <c r="N169">
        <v>4.19384438992806E-2</v>
      </c>
      <c r="O169">
        <v>0</v>
      </c>
      <c r="P169">
        <v>1.6E-2</v>
      </c>
      <c r="Q169">
        <v>0</v>
      </c>
      <c r="R169">
        <v>0</v>
      </c>
      <c r="S169">
        <v>0</v>
      </c>
      <c r="T169">
        <v>0</v>
      </c>
      <c r="U169">
        <v>0.72003081111745504</v>
      </c>
      <c r="V169" t="s">
        <v>78</v>
      </c>
      <c r="W169">
        <v>2301431.0214161398</v>
      </c>
      <c r="X169" t="s">
        <v>76</v>
      </c>
      <c r="Y169">
        <v>-1.5707963267949001</v>
      </c>
      <c r="Z169">
        <v>0.70652025178141198</v>
      </c>
      <c r="AA169">
        <v>0.27592285833380298</v>
      </c>
      <c r="AB169">
        <v>3.8103869885339002E-2</v>
      </c>
      <c r="AC169">
        <v>1.5477939008502599E-2</v>
      </c>
      <c r="AD169">
        <v>1.55887435230925E-2</v>
      </c>
      <c r="AE169">
        <v>1.9542688521994301E-2</v>
      </c>
      <c r="AF169">
        <v>0</v>
      </c>
      <c r="AG169">
        <v>0.26200364762917</v>
      </c>
      <c r="AH169">
        <v>0.15704943394311999</v>
      </c>
      <c r="AI169">
        <v>0.492150770911497</v>
      </c>
      <c r="AJ169" t="s">
        <v>74</v>
      </c>
      <c r="AK169">
        <v>0</v>
      </c>
      <c r="AL169" t="s">
        <v>77</v>
      </c>
      <c r="AM169">
        <v>0</v>
      </c>
      <c r="AN169">
        <v>0.99199999999999999</v>
      </c>
      <c r="AO169">
        <v>0</v>
      </c>
      <c r="AP169">
        <v>5.8245346242475203E-2</v>
      </c>
      <c r="AQ169">
        <v>0</v>
      </c>
      <c r="AR169">
        <v>1.6E-2</v>
      </c>
      <c r="AS169">
        <v>0</v>
      </c>
      <c r="AT169">
        <v>0</v>
      </c>
      <c r="AU169">
        <v>0</v>
      </c>
      <c r="AV169">
        <v>0</v>
      </c>
      <c r="AW169">
        <v>1</v>
      </c>
      <c r="AX169" t="s">
        <v>74</v>
      </c>
      <c r="AY169">
        <v>0</v>
      </c>
      <c r="AZ169" t="s">
        <v>76</v>
      </c>
      <c r="BA169">
        <v>-1.5707963267949001</v>
      </c>
      <c r="BB169">
        <v>0.99199999999999999</v>
      </c>
      <c r="BC169">
        <v>0</v>
      </c>
      <c r="BD169">
        <v>5.8245346242475203E-2</v>
      </c>
      <c r="BE169">
        <v>0</v>
      </c>
      <c r="BF169">
        <v>1.6E-2</v>
      </c>
      <c r="BG169">
        <v>0</v>
      </c>
      <c r="BH169">
        <v>0</v>
      </c>
      <c r="BI169">
        <v>0</v>
      </c>
      <c r="BJ169">
        <v>0</v>
      </c>
      <c r="BK169">
        <v>1</v>
      </c>
      <c r="BL169">
        <v>1.0600547263903599E-4</v>
      </c>
      <c r="BM169">
        <v>2.09526540786145E-4</v>
      </c>
      <c r="BN169" s="1">
        <v>3.8599808545879701E-7</v>
      </c>
      <c r="BO169" s="1">
        <v>3.2912352063291798E-6</v>
      </c>
      <c r="BP169">
        <v>0</v>
      </c>
      <c r="BQ169">
        <v>0</v>
      </c>
      <c r="BR169" s="1">
        <v>5.7731747333541602E-5</v>
      </c>
      <c r="BS169">
        <v>1.15602822720253E-4</v>
      </c>
    </row>
    <row r="170" spans="1:71" x14ac:dyDescent="0.25">
      <c r="A170">
        <v>167</v>
      </c>
      <c r="B170" s="1">
        <v>8.2181607019756896E-6</v>
      </c>
      <c r="C170">
        <v>0.10593283039644</v>
      </c>
      <c r="D170">
        <v>-3.08201396832222E-4</v>
      </c>
      <c r="E170">
        <v>6.1312499999999995E-4</v>
      </c>
      <c r="F170">
        <v>-1.0593283039644001E-3</v>
      </c>
      <c r="G170">
        <v>0</v>
      </c>
      <c r="H170" t="s">
        <v>74</v>
      </c>
      <c r="I170">
        <v>0</v>
      </c>
      <c r="J170" t="s">
        <v>75</v>
      </c>
      <c r="K170">
        <v>3.14159265358979</v>
      </c>
      <c r="L170">
        <v>0.71258949234686397</v>
      </c>
      <c r="M170">
        <v>0</v>
      </c>
      <c r="N170">
        <v>4.1839739627512799E-2</v>
      </c>
      <c r="O170">
        <v>0</v>
      </c>
      <c r="P170">
        <v>1.6E-2</v>
      </c>
      <c r="Q170">
        <v>0</v>
      </c>
      <c r="R170">
        <v>0</v>
      </c>
      <c r="S170">
        <v>0</v>
      </c>
      <c r="T170">
        <v>0</v>
      </c>
      <c r="U170">
        <v>0.71833618179502001</v>
      </c>
      <c r="V170" t="s">
        <v>78</v>
      </c>
      <c r="W170">
        <v>2301813.52798591</v>
      </c>
      <c r="X170" t="s">
        <v>76</v>
      </c>
      <c r="Y170">
        <v>-1.5707963267949001</v>
      </c>
      <c r="Z170">
        <v>0.70484305806577796</v>
      </c>
      <c r="AA170">
        <v>0.27747021154790802</v>
      </c>
      <c r="AB170">
        <v>3.80086524049007E-2</v>
      </c>
      <c r="AC170">
        <v>1.5567418747696699E-2</v>
      </c>
      <c r="AD170">
        <v>1.54829581063867E-2</v>
      </c>
      <c r="AE170">
        <v>1.9668074750001301E-2</v>
      </c>
      <c r="AF170">
        <v>0</v>
      </c>
      <c r="AG170">
        <v>0.26242384167097299</v>
      </c>
      <c r="AH170">
        <v>0.15916573201846601</v>
      </c>
      <c r="AI170">
        <v>0.48937407877692202</v>
      </c>
      <c r="AJ170" t="s">
        <v>74</v>
      </c>
      <c r="AK170">
        <v>0</v>
      </c>
      <c r="AL170" t="s">
        <v>77</v>
      </c>
      <c r="AM170">
        <v>0</v>
      </c>
      <c r="AN170">
        <v>0.99199999999999999</v>
      </c>
      <c r="AO170">
        <v>0</v>
      </c>
      <c r="AP170">
        <v>5.8245346242475203E-2</v>
      </c>
      <c r="AQ170">
        <v>0</v>
      </c>
      <c r="AR170">
        <v>1.6E-2</v>
      </c>
      <c r="AS170">
        <v>0</v>
      </c>
      <c r="AT170">
        <v>0</v>
      </c>
      <c r="AU170">
        <v>0</v>
      </c>
      <c r="AV170">
        <v>0</v>
      </c>
      <c r="AW170">
        <v>1</v>
      </c>
      <c r="AX170" t="s">
        <v>74</v>
      </c>
      <c r="AY170">
        <v>0</v>
      </c>
      <c r="AZ170" t="s">
        <v>76</v>
      </c>
      <c r="BA170">
        <v>-1.5707963267949001</v>
      </c>
      <c r="BB170">
        <v>0.99199999999999999</v>
      </c>
      <c r="BC170">
        <v>0</v>
      </c>
      <c r="BD170">
        <v>5.8245346242475203E-2</v>
      </c>
      <c r="BE170">
        <v>0</v>
      </c>
      <c r="BF170">
        <v>1.6E-2</v>
      </c>
      <c r="BG170">
        <v>0</v>
      </c>
      <c r="BH170">
        <v>0</v>
      </c>
      <c r="BI170">
        <v>0</v>
      </c>
      <c r="BJ170">
        <v>0</v>
      </c>
      <c r="BK170">
        <v>1</v>
      </c>
      <c r="BL170">
        <v>1.0595325163253001E-4</v>
      </c>
      <c r="BM170">
        <v>2.1079478684471901E-4</v>
      </c>
      <c r="BN170" s="1">
        <v>3.8580832304516601E-7</v>
      </c>
      <c r="BO170" s="1">
        <v>3.3111567688319901E-6</v>
      </c>
      <c r="BP170">
        <v>0</v>
      </c>
      <c r="BQ170">
        <v>0</v>
      </c>
      <c r="BR170" s="1">
        <v>5.76988923314872E-5</v>
      </c>
      <c r="BS170">
        <v>1.16303560139829E-4</v>
      </c>
    </row>
    <row r="171" spans="1:71" x14ac:dyDescent="0.25">
      <c r="A171">
        <v>168</v>
      </c>
      <c r="B171" s="1">
        <v>8.2059052078741494E-6</v>
      </c>
      <c r="C171">
        <v>0.105941036301648</v>
      </c>
      <c r="D171">
        <v>-3.0824565429891199E-4</v>
      </c>
      <c r="E171">
        <v>6.1312499999999995E-4</v>
      </c>
      <c r="F171">
        <v>-1.0594103630164799E-3</v>
      </c>
      <c r="G171" s="1">
        <v>1.0842021724855E-19</v>
      </c>
      <c r="H171" t="s">
        <v>74</v>
      </c>
      <c r="I171">
        <v>0</v>
      </c>
      <c r="J171" t="s">
        <v>75</v>
      </c>
      <c r="K171">
        <v>3.14159265358979</v>
      </c>
      <c r="L171">
        <v>0.71090846383208794</v>
      </c>
      <c r="M171">
        <v>0</v>
      </c>
      <c r="N171">
        <v>4.1741037926014198E-2</v>
      </c>
      <c r="O171">
        <v>0</v>
      </c>
      <c r="P171">
        <v>1.6E-2</v>
      </c>
      <c r="Q171">
        <v>0</v>
      </c>
      <c r="R171">
        <v>0</v>
      </c>
      <c r="S171">
        <v>0</v>
      </c>
      <c r="T171">
        <v>0</v>
      </c>
      <c r="U171">
        <v>0.71664159660037696</v>
      </c>
      <c r="V171" t="s">
        <v>78</v>
      </c>
      <c r="W171">
        <v>2302195.4484411599</v>
      </c>
      <c r="X171" t="s">
        <v>76</v>
      </c>
      <c r="Y171">
        <v>-1.5707963267949001</v>
      </c>
      <c r="Z171">
        <v>0.70316598455697499</v>
      </c>
      <c r="AA171">
        <v>0.27900682295127699</v>
      </c>
      <c r="AB171">
        <v>3.7913470882276402E-2</v>
      </c>
      <c r="AC171">
        <v>1.56565632953845E-2</v>
      </c>
      <c r="AD171">
        <v>1.53770585410414E-2</v>
      </c>
      <c r="AE171">
        <v>1.9793451570234301E-2</v>
      </c>
      <c r="AF171">
        <v>0</v>
      </c>
      <c r="AG171">
        <v>0.26282627039409601</v>
      </c>
      <c r="AH171">
        <v>0.161299729361982</v>
      </c>
      <c r="AI171">
        <v>0.48660184765148001</v>
      </c>
      <c r="AJ171" t="s">
        <v>74</v>
      </c>
      <c r="AK171">
        <v>0</v>
      </c>
      <c r="AL171" t="s">
        <v>77</v>
      </c>
      <c r="AM171">
        <v>0</v>
      </c>
      <c r="AN171">
        <v>0.99199999999999999</v>
      </c>
      <c r="AO171">
        <v>0</v>
      </c>
      <c r="AP171">
        <v>5.8245346242475203E-2</v>
      </c>
      <c r="AQ171">
        <v>0</v>
      </c>
      <c r="AR171">
        <v>1.6E-2</v>
      </c>
      <c r="AS171">
        <v>0</v>
      </c>
      <c r="AT171">
        <v>0</v>
      </c>
      <c r="AU171">
        <v>0</v>
      </c>
      <c r="AV171">
        <v>0</v>
      </c>
      <c r="AW171">
        <v>1</v>
      </c>
      <c r="AX171" t="s">
        <v>74</v>
      </c>
      <c r="AY171">
        <v>0</v>
      </c>
      <c r="AZ171" t="s">
        <v>76</v>
      </c>
      <c r="BA171">
        <v>-1.5707963267949001</v>
      </c>
      <c r="BB171">
        <v>0.99199999999999999</v>
      </c>
      <c r="BC171">
        <v>0</v>
      </c>
      <c r="BD171">
        <v>5.8245346242475203E-2</v>
      </c>
      <c r="BE171">
        <v>0</v>
      </c>
      <c r="BF171">
        <v>1.6E-2</v>
      </c>
      <c r="BG171">
        <v>0</v>
      </c>
      <c r="BH171">
        <v>0</v>
      </c>
      <c r="BI171">
        <v>0</v>
      </c>
      <c r="BJ171">
        <v>0</v>
      </c>
      <c r="BK171">
        <v>1</v>
      </c>
      <c r="BL171">
        <v>1.0590088229431299E-4</v>
      </c>
      <c r="BM171">
        <v>2.1206299987803901E-4</v>
      </c>
      <c r="BN171" s="1">
        <v>3.8561838536851799E-7</v>
      </c>
      <c r="BO171" s="1">
        <v>3.3310778125752999E-6</v>
      </c>
      <c r="BP171">
        <v>0</v>
      </c>
      <c r="BQ171">
        <v>0</v>
      </c>
      <c r="BR171" s="1">
        <v>5.7665953791408298E-5</v>
      </c>
      <c r="BS171">
        <v>1.1700428989628199E-4</v>
      </c>
    </row>
    <row r="172" spans="1:71" x14ac:dyDescent="0.25">
      <c r="A172">
        <v>169</v>
      </c>
      <c r="B172" s="1">
        <v>8.1942242209478608E-6</v>
      </c>
      <c r="C172">
        <v>0.10594923052586901</v>
      </c>
      <c r="D172">
        <v>-3.0828984695246102E-4</v>
      </c>
      <c r="E172">
        <v>6.1312499999999995E-4</v>
      </c>
      <c r="F172">
        <v>-1.0594923052586901E-3</v>
      </c>
      <c r="G172" s="1">
        <v>1.0842021724855E-19</v>
      </c>
      <c r="H172" t="s">
        <v>74</v>
      </c>
      <c r="I172">
        <v>0</v>
      </c>
      <c r="J172" t="s">
        <v>75</v>
      </c>
      <c r="K172">
        <v>3.14159265358979</v>
      </c>
      <c r="L172">
        <v>0.70922747968187305</v>
      </c>
      <c r="M172">
        <v>0</v>
      </c>
      <c r="N172">
        <v>4.1642338829383799E-2</v>
      </c>
      <c r="O172">
        <v>0</v>
      </c>
      <c r="P172">
        <v>1.6E-2</v>
      </c>
      <c r="Q172">
        <v>0</v>
      </c>
      <c r="R172">
        <v>0</v>
      </c>
      <c r="S172">
        <v>0</v>
      </c>
      <c r="T172">
        <v>0</v>
      </c>
      <c r="U172">
        <v>0.71494705612765697</v>
      </c>
      <c r="V172" t="s">
        <v>78</v>
      </c>
      <c r="W172">
        <v>2302576.80959047</v>
      </c>
      <c r="X172" t="s">
        <v>76</v>
      </c>
      <c r="Y172">
        <v>-1.5707963267949001</v>
      </c>
      <c r="Z172">
        <v>0.70148903081533698</v>
      </c>
      <c r="AA172">
        <v>0.28053268132968701</v>
      </c>
      <c r="AB172">
        <v>3.7818324912615699E-2</v>
      </c>
      <c r="AC172">
        <v>1.57453704570443E-2</v>
      </c>
      <c r="AD172">
        <v>1.5271047387542E-2</v>
      </c>
      <c r="AE172">
        <v>1.99188180349287E-2</v>
      </c>
      <c r="AF172">
        <v>0</v>
      </c>
      <c r="AG172">
        <v>0.26321083507853898</v>
      </c>
      <c r="AH172">
        <v>0.163451523804546</v>
      </c>
      <c r="AI172">
        <v>0.483834095138578</v>
      </c>
      <c r="AJ172" t="s">
        <v>74</v>
      </c>
      <c r="AK172">
        <v>0</v>
      </c>
      <c r="AL172" t="s">
        <v>77</v>
      </c>
      <c r="AM172">
        <v>0</v>
      </c>
      <c r="AN172">
        <v>0.99199999999999999</v>
      </c>
      <c r="AO172">
        <v>0</v>
      </c>
      <c r="AP172">
        <v>5.8245346242475203E-2</v>
      </c>
      <c r="AQ172">
        <v>0</v>
      </c>
      <c r="AR172">
        <v>1.6E-2</v>
      </c>
      <c r="AS172">
        <v>0</v>
      </c>
      <c r="AT172">
        <v>0</v>
      </c>
      <c r="AU172">
        <v>0</v>
      </c>
      <c r="AV172">
        <v>0</v>
      </c>
      <c r="AW172">
        <v>1</v>
      </c>
      <c r="AX172" t="s">
        <v>74</v>
      </c>
      <c r="AY172">
        <v>0</v>
      </c>
      <c r="AZ172" t="s">
        <v>76</v>
      </c>
      <c r="BA172">
        <v>-1.5707963267949001</v>
      </c>
      <c r="BB172">
        <v>0.99199999999999999</v>
      </c>
      <c r="BC172">
        <v>0</v>
      </c>
      <c r="BD172">
        <v>5.8245346242475203E-2</v>
      </c>
      <c r="BE172">
        <v>0</v>
      </c>
      <c r="BF172">
        <v>1.6E-2</v>
      </c>
      <c r="BG172">
        <v>0</v>
      </c>
      <c r="BH172">
        <v>0</v>
      </c>
      <c r="BI172">
        <v>0</v>
      </c>
      <c r="BJ172">
        <v>0</v>
      </c>
      <c r="BK172">
        <v>1</v>
      </c>
      <c r="BL172">
        <v>1.05848363341997E-4</v>
      </c>
      <c r="BM172">
        <v>2.1333117944154301E-4</v>
      </c>
      <c r="BN172" s="1">
        <v>3.8542826757055E-7</v>
      </c>
      <c r="BO172" s="1">
        <v>3.3509983305759801E-6</v>
      </c>
      <c r="BP172">
        <v>0</v>
      </c>
      <c r="BQ172">
        <v>0</v>
      </c>
      <c r="BR172" s="1">
        <v>5.76329310380079E-5</v>
      </c>
      <c r="BS172">
        <v>1.17705011787688E-4</v>
      </c>
    </row>
    <row r="173" spans="1:71" x14ac:dyDescent="0.25">
      <c r="A173">
        <v>170</v>
      </c>
      <c r="B173" s="1">
        <v>8.1831156969662806E-6</v>
      </c>
      <c r="C173">
        <v>0.105957413641566</v>
      </c>
      <c r="D173">
        <v>-3.08333977887944E-4</v>
      </c>
      <c r="E173">
        <v>6.1312499999999995E-4</v>
      </c>
      <c r="F173">
        <v>-1.05957413641566E-3</v>
      </c>
      <c r="G173">
        <v>0</v>
      </c>
      <c r="H173" t="s">
        <v>74</v>
      </c>
      <c r="I173">
        <v>0</v>
      </c>
      <c r="J173" t="s">
        <v>75</v>
      </c>
      <c r="K173">
        <v>3.14159265358979</v>
      </c>
      <c r="L173">
        <v>0.70754654049744303</v>
      </c>
      <c r="M173">
        <v>0</v>
      </c>
      <c r="N173">
        <v>4.1543642372922497E-2</v>
      </c>
      <c r="O173">
        <v>0</v>
      </c>
      <c r="P173">
        <v>1.6E-2</v>
      </c>
      <c r="Q173">
        <v>0</v>
      </c>
      <c r="R173">
        <v>0</v>
      </c>
      <c r="S173">
        <v>0</v>
      </c>
      <c r="T173">
        <v>0</v>
      </c>
      <c r="U173">
        <v>0.71325256098302603</v>
      </c>
      <c r="V173" t="s">
        <v>78</v>
      </c>
      <c r="W173">
        <v>2302957.63814282</v>
      </c>
      <c r="X173" t="s">
        <v>76</v>
      </c>
      <c r="Y173">
        <v>-1.5707963267949001</v>
      </c>
      <c r="Z173">
        <v>0.69981219642217996</v>
      </c>
      <c r="AA173">
        <v>0.28204777572935602</v>
      </c>
      <c r="AB173">
        <v>3.7723214096518201E-2</v>
      </c>
      <c r="AC173">
        <v>1.58338426706701E-2</v>
      </c>
      <c r="AD173">
        <v>1.5164927183681801E-2</v>
      </c>
      <c r="AE173">
        <v>2.0044173196933201E-2</v>
      </c>
      <c r="AF173">
        <v>0</v>
      </c>
      <c r="AG173">
        <v>0.26357743575510101</v>
      </c>
      <c r="AH173">
        <v>0.16562121440820099</v>
      </c>
      <c r="AI173">
        <v>0.48107083893123398</v>
      </c>
      <c r="AJ173" t="s">
        <v>74</v>
      </c>
      <c r="AK173">
        <v>0</v>
      </c>
      <c r="AL173" t="s">
        <v>77</v>
      </c>
      <c r="AM173">
        <v>0</v>
      </c>
      <c r="AN173">
        <v>0.99199999999999999</v>
      </c>
      <c r="AO173">
        <v>0</v>
      </c>
      <c r="AP173">
        <v>5.8245346242475203E-2</v>
      </c>
      <c r="AQ173">
        <v>0</v>
      </c>
      <c r="AR173">
        <v>1.6E-2</v>
      </c>
      <c r="AS173">
        <v>0</v>
      </c>
      <c r="AT173">
        <v>0</v>
      </c>
      <c r="AU173">
        <v>0</v>
      </c>
      <c r="AV173">
        <v>0</v>
      </c>
      <c r="AW173">
        <v>1</v>
      </c>
      <c r="AX173" t="s">
        <v>74</v>
      </c>
      <c r="AY173">
        <v>0</v>
      </c>
      <c r="AZ173" t="s">
        <v>76</v>
      </c>
      <c r="BA173">
        <v>-1.5707963267949001</v>
      </c>
      <c r="BB173">
        <v>0.99199999999999999</v>
      </c>
      <c r="BC173">
        <v>0</v>
      </c>
      <c r="BD173">
        <v>5.8245346242475203E-2</v>
      </c>
      <c r="BE173">
        <v>0</v>
      </c>
      <c r="BF173">
        <v>1.6E-2</v>
      </c>
      <c r="BG173">
        <v>0</v>
      </c>
      <c r="BH173">
        <v>0</v>
      </c>
      <c r="BI173">
        <v>0</v>
      </c>
      <c r="BJ173">
        <v>0</v>
      </c>
      <c r="BK173">
        <v>1</v>
      </c>
      <c r="BL173">
        <v>1.0579569581253101E-4</v>
      </c>
      <c r="BM173">
        <v>2.1459932508165099E-4</v>
      </c>
      <c r="BN173" s="1">
        <v>3.8523797361805202E-7</v>
      </c>
      <c r="BO173" s="1">
        <v>3.3709183157092099E-6</v>
      </c>
      <c r="BP173">
        <v>0</v>
      </c>
      <c r="BQ173">
        <v>0</v>
      </c>
      <c r="BR173" s="1">
        <v>5.75998246754314E-5</v>
      </c>
      <c r="BS173">
        <v>1.1840572560857101E-4</v>
      </c>
    </row>
    <row r="174" spans="1:71" x14ac:dyDescent="0.25">
      <c r="A174">
        <v>171</v>
      </c>
      <c r="B174" s="1">
        <v>8.1725778496834496E-6</v>
      </c>
      <c r="C174">
        <v>0.105965586219415</v>
      </c>
      <c r="D174">
        <v>-3.0837805019027999E-4</v>
      </c>
      <c r="E174">
        <v>6.1312499999999995E-4</v>
      </c>
      <c r="F174">
        <v>-1.0596558621941499E-3</v>
      </c>
      <c r="G174" s="1">
        <v>1.0842021724855E-19</v>
      </c>
      <c r="H174" t="s">
        <v>74</v>
      </c>
      <c r="I174">
        <v>0</v>
      </c>
      <c r="J174" t="s">
        <v>75</v>
      </c>
      <c r="K174">
        <v>3.14159265358979</v>
      </c>
      <c r="L174">
        <v>0.70586564689230502</v>
      </c>
      <c r="M174">
        <v>0</v>
      </c>
      <c r="N174">
        <v>4.1444948592652298E-2</v>
      </c>
      <c r="O174">
        <v>0</v>
      </c>
      <c r="P174">
        <v>1.6E-2</v>
      </c>
      <c r="Q174">
        <v>0</v>
      </c>
      <c r="R174">
        <v>0</v>
      </c>
      <c r="S174">
        <v>0</v>
      </c>
      <c r="T174">
        <v>0</v>
      </c>
      <c r="U174">
        <v>0.71155811178500805</v>
      </c>
      <c r="V174" t="s">
        <v>78</v>
      </c>
      <c r="W174">
        <v>2303337.9607195901</v>
      </c>
      <c r="X174" t="s">
        <v>76</v>
      </c>
      <c r="Y174">
        <v>-1.5707963267949001</v>
      </c>
      <c r="Z174">
        <v>0.69813548097969202</v>
      </c>
      <c r="AA174">
        <v>0.28508372973166701</v>
      </c>
      <c r="AB174">
        <v>3.7628138039864499E-2</v>
      </c>
      <c r="AC174">
        <v>1.5970095411239501E-2</v>
      </c>
      <c r="AD174">
        <v>1.5058700445343E-2</v>
      </c>
      <c r="AE174">
        <v>2.0169516109580701E-2</v>
      </c>
      <c r="AF174">
        <v>0</v>
      </c>
      <c r="AG174">
        <v>0.26392597118042399</v>
      </c>
      <c r="AH174">
        <v>0.167808901490614</v>
      </c>
      <c r="AI174">
        <v>0.478312096813998</v>
      </c>
      <c r="AJ174" t="s">
        <v>74</v>
      </c>
      <c r="AK174">
        <v>0</v>
      </c>
      <c r="AL174" t="s">
        <v>77</v>
      </c>
      <c r="AM174">
        <v>0</v>
      </c>
      <c r="AN174">
        <v>0.99199999999999999</v>
      </c>
      <c r="AO174">
        <v>0</v>
      </c>
      <c r="AP174">
        <v>5.8245346242475203E-2</v>
      </c>
      <c r="AQ174">
        <v>0</v>
      </c>
      <c r="AR174">
        <v>1.6E-2</v>
      </c>
      <c r="AS174">
        <v>0</v>
      </c>
      <c r="AT174">
        <v>0</v>
      </c>
      <c r="AU174">
        <v>0</v>
      </c>
      <c r="AV174">
        <v>0</v>
      </c>
      <c r="AW174">
        <v>1</v>
      </c>
      <c r="AX174" t="s">
        <v>74</v>
      </c>
      <c r="AY174">
        <v>0</v>
      </c>
      <c r="AZ174" t="s">
        <v>76</v>
      </c>
      <c r="BA174">
        <v>-1.5707963267949001</v>
      </c>
      <c r="BB174">
        <v>0.99199999999999999</v>
      </c>
      <c r="BC174">
        <v>0</v>
      </c>
      <c r="BD174">
        <v>5.8245346242475203E-2</v>
      </c>
      <c r="BE174">
        <v>0</v>
      </c>
      <c r="BF174">
        <v>1.6E-2</v>
      </c>
      <c r="BG174">
        <v>0</v>
      </c>
      <c r="BH174">
        <v>0</v>
      </c>
      <c r="BI174">
        <v>0</v>
      </c>
      <c r="BJ174">
        <v>0</v>
      </c>
      <c r="BK174">
        <v>1</v>
      </c>
      <c r="BL174">
        <v>1.0576693726435301E-4</v>
      </c>
      <c r="BM174">
        <v>2.15867436335519E-4</v>
      </c>
      <c r="BN174" s="1">
        <v>3.85095616333001E-7</v>
      </c>
      <c r="BO174" s="1">
        <v>3.3908377607046399E-6</v>
      </c>
      <c r="BP174">
        <v>0</v>
      </c>
      <c r="BQ174">
        <v>0</v>
      </c>
      <c r="BR174" s="1">
        <v>5.7579908668674103E-5</v>
      </c>
      <c r="BS174">
        <v>1.1910643114979099E-4</v>
      </c>
    </row>
    <row r="175" spans="1:71" x14ac:dyDescent="0.25">
      <c r="A175">
        <v>172</v>
      </c>
      <c r="B175" s="1">
        <v>8.1626091503090204E-6</v>
      </c>
      <c r="C175">
        <v>0.105973748828566</v>
      </c>
      <c r="D175">
        <v>-3.0842206693563502E-4</v>
      </c>
      <c r="E175">
        <v>6.1312499999999995E-4</v>
      </c>
      <c r="F175">
        <v>-1.05973748828566E-3</v>
      </c>
      <c r="G175" s="1">
        <v>1.0842021724855E-19</v>
      </c>
      <c r="H175" t="s">
        <v>74</v>
      </c>
      <c r="I175">
        <v>0</v>
      </c>
      <c r="J175" t="s">
        <v>75</v>
      </c>
      <c r="K175">
        <v>3.14159265358979</v>
      </c>
      <c r="L175">
        <v>0.70418479949257495</v>
      </c>
      <c r="M175">
        <v>0</v>
      </c>
      <c r="N175">
        <v>4.1346257525335703E-2</v>
      </c>
      <c r="O175">
        <v>0</v>
      </c>
      <c r="P175">
        <v>1.6E-2</v>
      </c>
      <c r="Q175">
        <v>0</v>
      </c>
      <c r="R175">
        <v>0</v>
      </c>
      <c r="S175">
        <v>0</v>
      </c>
      <c r="T175">
        <v>0</v>
      </c>
      <c r="U175">
        <v>0.70986370916482699</v>
      </c>
      <c r="V175" t="s">
        <v>78</v>
      </c>
      <c r="W175">
        <v>2303717.8038665699</v>
      </c>
      <c r="X175" t="s">
        <v>76</v>
      </c>
      <c r="Y175">
        <v>-1.5707963267949001</v>
      </c>
      <c r="Z175">
        <v>0.696458884110839</v>
      </c>
      <c r="AA175">
        <v>0.28657726434359598</v>
      </c>
      <c r="AB175">
        <v>3.7533096353650201E-2</v>
      </c>
      <c r="AC175">
        <v>1.60578910327367E-2</v>
      </c>
      <c r="AD175">
        <v>1.49523696672616E-2</v>
      </c>
      <c r="AE175">
        <v>2.0294845826561402E-2</v>
      </c>
      <c r="AF175">
        <v>0</v>
      </c>
      <c r="AG175">
        <v>0.26425633881138699</v>
      </c>
      <c r="AH175">
        <v>0.17001468665018599</v>
      </c>
      <c r="AI175">
        <v>0.47555788666485499</v>
      </c>
      <c r="AJ175" t="s">
        <v>74</v>
      </c>
      <c r="AK175">
        <v>0</v>
      </c>
      <c r="AL175" t="s">
        <v>77</v>
      </c>
      <c r="AM175">
        <v>0</v>
      </c>
      <c r="AN175">
        <v>0.99199999999999999</v>
      </c>
      <c r="AO175">
        <v>0</v>
      </c>
      <c r="AP175">
        <v>5.8245346242475203E-2</v>
      </c>
      <c r="AQ175">
        <v>0</v>
      </c>
      <c r="AR175">
        <v>1.6E-2</v>
      </c>
      <c r="AS175">
        <v>0</v>
      </c>
      <c r="AT175">
        <v>0</v>
      </c>
      <c r="AU175">
        <v>0</v>
      </c>
      <c r="AV175">
        <v>0</v>
      </c>
      <c r="AW175">
        <v>1</v>
      </c>
      <c r="AX175" t="s">
        <v>74</v>
      </c>
      <c r="AY175">
        <v>0</v>
      </c>
      <c r="AZ175" t="s">
        <v>76</v>
      </c>
      <c r="BA175">
        <v>-1.5707963267949001</v>
      </c>
      <c r="BB175">
        <v>0.99199999999999999</v>
      </c>
      <c r="BC175">
        <v>0</v>
      </c>
      <c r="BD175">
        <v>5.8245346242475203E-2</v>
      </c>
      <c r="BE175">
        <v>0</v>
      </c>
      <c r="BF175">
        <v>1.6E-2</v>
      </c>
      <c r="BG175">
        <v>0</v>
      </c>
      <c r="BH175">
        <v>0</v>
      </c>
      <c r="BI175">
        <v>0</v>
      </c>
      <c r="BJ175">
        <v>0</v>
      </c>
      <c r="BK175">
        <v>1</v>
      </c>
      <c r="BL175">
        <v>1.0571396869833601E-4</v>
      </c>
      <c r="BM175">
        <v>2.17135512730786E-4</v>
      </c>
      <c r="BN175" s="1">
        <v>3.8490495544497001E-7</v>
      </c>
      <c r="BO175" s="1">
        <v>3.4107566581424601E-6</v>
      </c>
      <c r="BP175">
        <v>0</v>
      </c>
      <c r="BQ175">
        <v>0</v>
      </c>
      <c r="BR175" s="1">
        <v>5.7546633154627598E-5</v>
      </c>
      <c r="BS175">
        <v>1.19807128198436E-4</v>
      </c>
    </row>
    <row r="176" spans="1:71" x14ac:dyDescent="0.25">
      <c r="A176">
        <v>173</v>
      </c>
      <c r="B176" s="1">
        <v>8.1532083271387698E-6</v>
      </c>
      <c r="C176">
        <v>0.10598190203689301</v>
      </c>
      <c r="D176">
        <v>-3.0846603119280699E-4</v>
      </c>
      <c r="E176">
        <v>6.1312499999999995E-4</v>
      </c>
      <c r="F176">
        <v>-1.0598190203689301E-3</v>
      </c>
      <c r="G176" s="1">
        <v>1.0842021724855E-19</v>
      </c>
      <c r="H176" t="s">
        <v>74</v>
      </c>
      <c r="I176">
        <v>0</v>
      </c>
      <c r="J176" t="s">
        <v>75</v>
      </c>
      <c r="K176">
        <v>3.14159265358979</v>
      </c>
      <c r="L176">
        <v>0.70250399893734505</v>
      </c>
      <c r="M176">
        <v>0</v>
      </c>
      <c r="N176">
        <v>4.1247569208497099E-2</v>
      </c>
      <c r="O176">
        <v>0</v>
      </c>
      <c r="P176">
        <v>1.6E-2</v>
      </c>
      <c r="Q176">
        <v>0</v>
      </c>
      <c r="R176">
        <v>0</v>
      </c>
      <c r="S176">
        <v>0</v>
      </c>
      <c r="T176">
        <v>0</v>
      </c>
      <c r="U176">
        <v>0.70816935376677803</v>
      </c>
      <c r="V176" t="s">
        <v>78</v>
      </c>
      <c r="W176">
        <v>2304097.1940660002</v>
      </c>
      <c r="X176" t="s">
        <v>76</v>
      </c>
      <c r="Y176">
        <v>-1.5707963267949001</v>
      </c>
      <c r="Z176">
        <v>0.69478240545929704</v>
      </c>
      <c r="AA176">
        <v>0.28806000365698198</v>
      </c>
      <c r="AB176">
        <v>3.7438088653824898E-2</v>
      </c>
      <c r="AC176">
        <v>1.6145351362319801E-2</v>
      </c>
      <c r="AD176">
        <v>1.48459373237806E-2</v>
      </c>
      <c r="AE176">
        <v>2.04201614017957E-2</v>
      </c>
      <c r="AF176">
        <v>0</v>
      </c>
      <c r="AG176">
        <v>0.26456843477877201</v>
      </c>
      <c r="AH176">
        <v>0.17223867279183699</v>
      </c>
      <c r="AI176">
        <v>0.47280822645718101</v>
      </c>
      <c r="AJ176" t="s">
        <v>74</v>
      </c>
      <c r="AK176">
        <v>0</v>
      </c>
      <c r="AL176" t="s">
        <v>77</v>
      </c>
      <c r="AM176">
        <v>0</v>
      </c>
      <c r="AN176">
        <v>0.99199999999999999</v>
      </c>
      <c r="AO176">
        <v>0</v>
      </c>
      <c r="AP176">
        <v>5.8245346242475203E-2</v>
      </c>
      <c r="AQ176">
        <v>0</v>
      </c>
      <c r="AR176">
        <v>1.6E-2</v>
      </c>
      <c r="AS176">
        <v>0</v>
      </c>
      <c r="AT176">
        <v>0</v>
      </c>
      <c r="AU176">
        <v>0</v>
      </c>
      <c r="AV176">
        <v>0</v>
      </c>
      <c r="AW176">
        <v>1</v>
      </c>
      <c r="AX176" t="s">
        <v>74</v>
      </c>
      <c r="AY176">
        <v>0</v>
      </c>
      <c r="AZ176" t="s">
        <v>76</v>
      </c>
      <c r="BA176">
        <v>-1.5707963267949001</v>
      </c>
      <c r="BB176">
        <v>0.99199999999999999</v>
      </c>
      <c r="BC176">
        <v>0</v>
      </c>
      <c r="BD176">
        <v>5.8245346242475203E-2</v>
      </c>
      <c r="BE176">
        <v>0</v>
      </c>
      <c r="BF176">
        <v>1.6E-2</v>
      </c>
      <c r="BG176">
        <v>0</v>
      </c>
      <c r="BH176">
        <v>0</v>
      </c>
      <c r="BI176">
        <v>0</v>
      </c>
      <c r="BJ176">
        <v>0</v>
      </c>
      <c r="BK176">
        <v>1</v>
      </c>
      <c r="BL176">
        <v>1.05660850854796E-4</v>
      </c>
      <c r="BM176">
        <v>2.1840355378530501E-4</v>
      </c>
      <c r="BN176" s="1">
        <v>3.84714115886585E-7</v>
      </c>
      <c r="BO176" s="1">
        <v>3.4306750004490799E-6</v>
      </c>
      <c r="BP176">
        <v>0</v>
      </c>
      <c r="BQ176">
        <v>0</v>
      </c>
      <c r="BR176" s="1">
        <v>5.7513273739613797E-5</v>
      </c>
      <c r="BS176">
        <v>1.2050781653769099E-4</v>
      </c>
    </row>
    <row r="177" spans="1:71" x14ac:dyDescent="0.25">
      <c r="A177">
        <v>174</v>
      </c>
      <c r="B177" s="1">
        <v>8.1443743656649704E-6</v>
      </c>
      <c r="C177">
        <v>0.105990046411258</v>
      </c>
      <c r="D177">
        <v>-3.0850994602461303E-4</v>
      </c>
      <c r="E177">
        <v>6.1312499999999995E-4</v>
      </c>
      <c r="F177">
        <v>-1.0599004641125901E-3</v>
      </c>
      <c r="G177" s="1">
        <v>1.0842021724855E-19</v>
      </c>
      <c r="H177" t="s">
        <v>74</v>
      </c>
      <c r="I177">
        <v>0</v>
      </c>
      <c r="J177" t="s">
        <v>75</v>
      </c>
      <c r="K177">
        <v>3.14159265358979</v>
      </c>
      <c r="L177">
        <v>0.70082324587904399</v>
      </c>
      <c r="M177">
        <v>0</v>
      </c>
      <c r="N177">
        <v>4.1148883680443803E-2</v>
      </c>
      <c r="O177">
        <v>0</v>
      </c>
      <c r="P177">
        <v>1.6E-2</v>
      </c>
      <c r="Q177">
        <v>0</v>
      </c>
      <c r="R177">
        <v>0</v>
      </c>
      <c r="S177">
        <v>0</v>
      </c>
      <c r="T177">
        <v>0</v>
      </c>
      <c r="U177">
        <v>0.70647504624858504</v>
      </c>
      <c r="V177" t="s">
        <v>78</v>
      </c>
      <c r="W177">
        <v>2304476.1577485199</v>
      </c>
      <c r="X177" t="s">
        <v>76</v>
      </c>
      <c r="Y177">
        <v>-1.5707963267949001</v>
      </c>
      <c r="Z177">
        <v>0.69310604468938897</v>
      </c>
      <c r="AA177">
        <v>0.28953193773910302</v>
      </c>
      <c r="AB177">
        <v>3.7343114561132103E-2</v>
      </c>
      <c r="AC177">
        <v>1.6232474107667001E-2</v>
      </c>
      <c r="AD177">
        <v>1.47394058695872E-2</v>
      </c>
      <c r="AE177">
        <v>2.0545461889309499E-2</v>
      </c>
      <c r="AF177">
        <v>0</v>
      </c>
      <c r="AG177">
        <v>0.264862153860214</v>
      </c>
      <c r="AH177">
        <v>0.17448096415351899</v>
      </c>
      <c r="AI177">
        <v>0.47006313426166202</v>
      </c>
      <c r="AJ177" t="s">
        <v>74</v>
      </c>
      <c r="AK177">
        <v>0</v>
      </c>
      <c r="AL177" t="s">
        <v>77</v>
      </c>
      <c r="AM177">
        <v>0</v>
      </c>
      <c r="AN177">
        <v>0.99199999999999999</v>
      </c>
      <c r="AO177">
        <v>0</v>
      </c>
      <c r="AP177">
        <v>5.8245346242475203E-2</v>
      </c>
      <c r="AQ177">
        <v>0</v>
      </c>
      <c r="AR177">
        <v>1.6E-2</v>
      </c>
      <c r="AS177">
        <v>0</v>
      </c>
      <c r="AT177">
        <v>0</v>
      </c>
      <c r="AU177">
        <v>0</v>
      </c>
      <c r="AV177">
        <v>0</v>
      </c>
      <c r="AW177">
        <v>1</v>
      </c>
      <c r="AX177" t="s">
        <v>74</v>
      </c>
      <c r="AY177">
        <v>0</v>
      </c>
      <c r="AZ177" t="s">
        <v>76</v>
      </c>
      <c r="BA177">
        <v>-1.5707963267949001</v>
      </c>
      <c r="BB177">
        <v>0.99199999999999999</v>
      </c>
      <c r="BC177">
        <v>0</v>
      </c>
      <c r="BD177">
        <v>5.8245346242475203E-2</v>
      </c>
      <c r="BE177">
        <v>0</v>
      </c>
      <c r="BF177">
        <v>1.6E-2</v>
      </c>
      <c r="BG177">
        <v>0</v>
      </c>
      <c r="BH177">
        <v>0</v>
      </c>
      <c r="BI177">
        <v>0</v>
      </c>
      <c r="BJ177">
        <v>0</v>
      </c>
      <c r="BK177">
        <v>1</v>
      </c>
      <c r="BL177">
        <v>1.0560758241709701E-4</v>
      </c>
      <c r="BM177">
        <v>2.19671559006866E-4</v>
      </c>
      <c r="BN177" s="1">
        <v>3.8452309272703898E-7</v>
      </c>
      <c r="BO177" s="1">
        <v>3.4505927798929398E-6</v>
      </c>
      <c r="BP177">
        <v>0</v>
      </c>
      <c r="BQ177">
        <v>0</v>
      </c>
      <c r="BR177" s="1">
        <v>5.7479829728388701E-5</v>
      </c>
      <c r="BS177">
        <v>1.21208495946721E-4</v>
      </c>
    </row>
    <row r="178" spans="1:71" x14ac:dyDescent="0.25">
      <c r="A178">
        <v>175</v>
      </c>
      <c r="B178" s="1">
        <v>8.1361065088265096E-6</v>
      </c>
      <c r="C178">
        <v>0.10599818251776701</v>
      </c>
      <c r="D178">
        <v>-3.0855381448928601E-4</v>
      </c>
      <c r="E178">
        <v>6.1312499999999995E-4</v>
      </c>
      <c r="F178">
        <v>-1.0599818251776701E-3</v>
      </c>
      <c r="G178" s="1">
        <v>1.0842021724855E-19</v>
      </c>
      <c r="H178" t="s">
        <v>74</v>
      </c>
      <c r="I178">
        <v>0</v>
      </c>
      <c r="J178" t="s">
        <v>75</v>
      </c>
      <c r="K178">
        <v>3.14159265358979</v>
      </c>
      <c r="L178">
        <v>0.69914254098380801</v>
      </c>
      <c r="M178">
        <v>0</v>
      </c>
      <c r="N178">
        <v>4.1050200980288103E-2</v>
      </c>
      <c r="O178">
        <v>0</v>
      </c>
      <c r="P178">
        <v>1.6E-2</v>
      </c>
      <c r="Q178">
        <v>0</v>
      </c>
      <c r="R178">
        <v>0</v>
      </c>
      <c r="S178">
        <v>0</v>
      </c>
      <c r="T178">
        <v>0</v>
      </c>
      <c r="U178">
        <v>0.70478078728178795</v>
      </c>
      <c r="V178" t="s">
        <v>78</v>
      </c>
      <c r="W178">
        <v>2304854.7213051901</v>
      </c>
      <c r="X178" t="s">
        <v>76</v>
      </c>
      <c r="Y178">
        <v>-1.5707963267949001</v>
      </c>
      <c r="Z178">
        <v>0.69142980148604005</v>
      </c>
      <c r="AA178">
        <v>0.29099305690772898</v>
      </c>
      <c r="AB178">
        <v>3.7248173700953201E-2</v>
      </c>
      <c r="AC178">
        <v>1.63192596595206E-2</v>
      </c>
      <c r="AD178">
        <v>1.46327777404393E-2</v>
      </c>
      <c r="AE178">
        <v>2.0670746343109701E-2</v>
      </c>
      <c r="AF178">
        <v>0</v>
      </c>
      <c r="AG178">
        <v>0.26513738945239002</v>
      </c>
      <c r="AH178">
        <v>0.17674166633344701</v>
      </c>
      <c r="AI178">
        <v>0.46732262824825299</v>
      </c>
      <c r="AJ178" t="s">
        <v>74</v>
      </c>
      <c r="AK178">
        <v>0</v>
      </c>
      <c r="AL178" t="s">
        <v>77</v>
      </c>
      <c r="AM178">
        <v>0</v>
      </c>
      <c r="AN178">
        <v>0.99199999999999999</v>
      </c>
      <c r="AO178">
        <v>0</v>
      </c>
      <c r="AP178">
        <v>5.8245346242475203E-2</v>
      </c>
      <c r="AQ178">
        <v>0</v>
      </c>
      <c r="AR178">
        <v>1.6E-2</v>
      </c>
      <c r="AS178">
        <v>0</v>
      </c>
      <c r="AT178">
        <v>0</v>
      </c>
      <c r="AU178">
        <v>0</v>
      </c>
      <c r="AV178">
        <v>0</v>
      </c>
      <c r="AW178">
        <v>1</v>
      </c>
      <c r="AX178" t="s">
        <v>74</v>
      </c>
      <c r="AY178">
        <v>0</v>
      </c>
      <c r="AZ178" t="s">
        <v>76</v>
      </c>
      <c r="BA178">
        <v>-1.5707963267949001</v>
      </c>
      <c r="BB178">
        <v>0.99199999999999999</v>
      </c>
      <c r="BC178">
        <v>0</v>
      </c>
      <c r="BD178">
        <v>5.8245346242475203E-2</v>
      </c>
      <c r="BE178">
        <v>0</v>
      </c>
      <c r="BF178">
        <v>1.6E-2</v>
      </c>
      <c r="BG178">
        <v>0</v>
      </c>
      <c r="BH178">
        <v>0</v>
      </c>
      <c r="BI178">
        <v>0</v>
      </c>
      <c r="BJ178">
        <v>0</v>
      </c>
      <c r="BK178">
        <v>1</v>
      </c>
      <c r="BL178">
        <v>1.05554163412856E-4</v>
      </c>
      <c r="BM178">
        <v>2.2093952789291801E-4</v>
      </c>
      <c r="BN178" s="1">
        <v>3.8433188615204502E-7</v>
      </c>
      <c r="BO178" s="1">
        <v>3.4705099885799502E-6</v>
      </c>
      <c r="BP178">
        <v>0</v>
      </c>
      <c r="BQ178">
        <v>0</v>
      </c>
      <c r="BR178" s="1">
        <v>5.7446301167250899E-5</v>
      </c>
      <c r="BS178">
        <v>1.21909166200541E-4</v>
      </c>
    </row>
    <row r="179" spans="1:71" x14ac:dyDescent="0.25">
      <c r="A179">
        <v>176</v>
      </c>
      <c r="B179" s="1">
        <v>8.1284042577189993E-6</v>
      </c>
      <c r="C179">
        <v>0.106006310922025</v>
      </c>
      <c r="D179">
        <v>-3.08597639641863E-4</v>
      </c>
      <c r="E179">
        <v>6.1312499999999995E-4</v>
      </c>
      <c r="F179">
        <v>-1.06006310922025E-3</v>
      </c>
      <c r="G179" s="1">
        <v>1.0842021724855E-19</v>
      </c>
      <c r="H179" t="s">
        <v>74</v>
      </c>
      <c r="I179">
        <v>0</v>
      </c>
      <c r="J179" t="s">
        <v>75</v>
      </c>
      <c r="K179">
        <v>3.14159265358979</v>
      </c>
      <c r="L179">
        <v>0.697461884931867</v>
      </c>
      <c r="M179">
        <v>0</v>
      </c>
      <c r="N179">
        <v>4.0951521147969801E-2</v>
      </c>
      <c r="O179">
        <v>0</v>
      </c>
      <c r="P179">
        <v>1.6E-2</v>
      </c>
      <c r="Q179">
        <v>0</v>
      </c>
      <c r="R179">
        <v>0</v>
      </c>
      <c r="S179">
        <v>0</v>
      </c>
      <c r="T179">
        <v>0</v>
      </c>
      <c r="U179">
        <v>0.703086577552124</v>
      </c>
      <c r="V179" t="s">
        <v>78</v>
      </c>
      <c r="W179">
        <v>2305232.9110994898</v>
      </c>
      <c r="X179" t="s">
        <v>76</v>
      </c>
      <c r="Y179">
        <v>-1.5707963267949001</v>
      </c>
      <c r="Z179">
        <v>0.68975367555474099</v>
      </c>
      <c r="AA179">
        <v>0.29244335172935598</v>
      </c>
      <c r="AB179">
        <v>3.7153265703152402E-2</v>
      </c>
      <c r="AC179">
        <v>1.6405706591661798E-2</v>
      </c>
      <c r="AD179">
        <v>1.45260553538778E-2</v>
      </c>
      <c r="AE179">
        <v>2.0796013817061799E-2</v>
      </c>
      <c r="AF179">
        <v>0</v>
      </c>
      <c r="AG179">
        <v>0.26539403354244301</v>
      </c>
      <c r="AH179">
        <v>0.179020886318111</v>
      </c>
      <c r="AI179">
        <v>0.46458672668811102</v>
      </c>
      <c r="AJ179" t="s">
        <v>74</v>
      </c>
      <c r="AK179">
        <v>0</v>
      </c>
      <c r="AL179" t="s">
        <v>77</v>
      </c>
      <c r="AM179">
        <v>0</v>
      </c>
      <c r="AN179">
        <v>0.99199999999999999</v>
      </c>
      <c r="AO179">
        <v>0</v>
      </c>
      <c r="AP179">
        <v>5.8245346242475203E-2</v>
      </c>
      <c r="AQ179">
        <v>0</v>
      </c>
      <c r="AR179">
        <v>1.6E-2</v>
      </c>
      <c r="AS179">
        <v>0</v>
      </c>
      <c r="AT179">
        <v>0</v>
      </c>
      <c r="AU179">
        <v>0</v>
      </c>
      <c r="AV179">
        <v>0</v>
      </c>
      <c r="AW179">
        <v>1</v>
      </c>
      <c r="AX179" t="s">
        <v>74</v>
      </c>
      <c r="AY179">
        <v>0</v>
      </c>
      <c r="AZ179" t="s">
        <v>76</v>
      </c>
      <c r="BA179">
        <v>-1.5707963267949001</v>
      </c>
      <c r="BB179">
        <v>0.99199999999999999</v>
      </c>
      <c r="BC179">
        <v>0</v>
      </c>
      <c r="BD179">
        <v>5.8245346242475203E-2</v>
      </c>
      <c r="BE179">
        <v>0</v>
      </c>
      <c r="BF179">
        <v>1.6E-2</v>
      </c>
      <c r="BG179">
        <v>0</v>
      </c>
      <c r="BH179">
        <v>0</v>
      </c>
      <c r="BI179">
        <v>0</v>
      </c>
      <c r="BJ179">
        <v>0</v>
      </c>
      <c r="BK179">
        <v>1</v>
      </c>
      <c r="BL179">
        <v>1.05500592963867E-4</v>
      </c>
      <c r="BM179">
        <v>2.2220745993027701E-4</v>
      </c>
      <c r="BN179" s="1">
        <v>3.84140492917169E-7</v>
      </c>
      <c r="BO179" s="1">
        <v>3.4904266184490298E-6</v>
      </c>
      <c r="BP179">
        <v>0</v>
      </c>
      <c r="BQ179">
        <v>0</v>
      </c>
      <c r="BR179" s="1">
        <v>5.7412687602537102E-5</v>
      </c>
      <c r="BS179">
        <v>1.2260982706988901E-4</v>
      </c>
    </row>
    <row r="180" spans="1:71" x14ac:dyDescent="0.25">
      <c r="A180">
        <v>177</v>
      </c>
      <c r="B180" s="1">
        <v>8.1212673724150397E-6</v>
      </c>
      <c r="C180">
        <v>0.106014432189397</v>
      </c>
      <c r="D180">
        <v>-3.0864142453558899E-4</v>
      </c>
      <c r="E180">
        <v>6.1312499999999995E-4</v>
      </c>
      <c r="F180">
        <v>-1.0601443218939701E-3</v>
      </c>
      <c r="G180">
        <v>0</v>
      </c>
      <c r="H180" t="s">
        <v>74</v>
      </c>
      <c r="I180">
        <v>0</v>
      </c>
      <c r="J180" t="s">
        <v>75</v>
      </c>
      <c r="K180">
        <v>3.14159265358979</v>
      </c>
      <c r="L180">
        <v>0.695781278417967</v>
      </c>
      <c r="M180">
        <v>0</v>
      </c>
      <c r="N180">
        <v>4.0852844224280802E-2</v>
      </c>
      <c r="O180">
        <v>0</v>
      </c>
      <c r="P180">
        <v>1.6E-2</v>
      </c>
      <c r="Q180">
        <v>0</v>
      </c>
      <c r="R180">
        <v>0</v>
      </c>
      <c r="S180">
        <v>0</v>
      </c>
      <c r="T180">
        <v>0</v>
      </c>
      <c r="U180">
        <v>0.70139241775995897</v>
      </c>
      <c r="V180" t="s">
        <v>78</v>
      </c>
      <c r="W180">
        <v>2305610.75347945</v>
      </c>
      <c r="X180" t="s">
        <v>76</v>
      </c>
      <c r="Y180">
        <v>-1.5707963267949001</v>
      </c>
      <c r="Z180">
        <v>0.68807766662155101</v>
      </c>
      <c r="AA180">
        <v>0.29534966579474597</v>
      </c>
      <c r="AB180">
        <v>3.7058390201927E-2</v>
      </c>
      <c r="AC180">
        <v>1.6537898645177102E-2</v>
      </c>
      <c r="AD180">
        <v>1.4419241109930101E-2</v>
      </c>
      <c r="AE180">
        <v>2.0921263364766102E-2</v>
      </c>
      <c r="AF180">
        <v>0</v>
      </c>
      <c r="AG180">
        <v>0.26563197667858301</v>
      </c>
      <c r="AH180">
        <v>0.181318732511034</v>
      </c>
      <c r="AI180">
        <v>0.46185544795560302</v>
      </c>
      <c r="AJ180" t="s">
        <v>74</v>
      </c>
      <c r="AK180">
        <v>0</v>
      </c>
      <c r="AL180" t="s">
        <v>77</v>
      </c>
      <c r="AM180">
        <v>0</v>
      </c>
      <c r="AN180">
        <v>0.99199999999999999</v>
      </c>
      <c r="AO180">
        <v>0</v>
      </c>
      <c r="AP180">
        <v>5.8245346242475203E-2</v>
      </c>
      <c r="AQ180">
        <v>0</v>
      </c>
      <c r="AR180">
        <v>1.6E-2</v>
      </c>
      <c r="AS180">
        <v>0</v>
      </c>
      <c r="AT180">
        <v>0</v>
      </c>
      <c r="AU180">
        <v>0</v>
      </c>
      <c r="AV180">
        <v>0</v>
      </c>
      <c r="AW180">
        <v>1</v>
      </c>
      <c r="AX180" t="s">
        <v>74</v>
      </c>
      <c r="AY180">
        <v>0</v>
      </c>
      <c r="AZ180" t="s">
        <v>76</v>
      </c>
      <c r="BA180">
        <v>-1.5707963267949001</v>
      </c>
      <c r="BB180">
        <v>0.99199999999999999</v>
      </c>
      <c r="BC180">
        <v>0</v>
      </c>
      <c r="BD180">
        <v>5.8245346242475203E-2</v>
      </c>
      <c r="BE180">
        <v>0</v>
      </c>
      <c r="BF180">
        <v>1.6E-2</v>
      </c>
      <c r="BG180">
        <v>0</v>
      </c>
      <c r="BH180">
        <v>0</v>
      </c>
      <c r="BI180">
        <v>0</v>
      </c>
      <c r="BJ180">
        <v>0</v>
      </c>
      <c r="BK180">
        <v>1</v>
      </c>
      <c r="BL180">
        <v>1.0546991277816799E-4</v>
      </c>
      <c r="BM180">
        <v>2.23475354594808E-4</v>
      </c>
      <c r="BN180" s="1">
        <v>3.8399499733142801E-7</v>
      </c>
      <c r="BO180" s="1">
        <v>3.51034266126712E-6</v>
      </c>
      <c r="BP180">
        <v>0</v>
      </c>
      <c r="BQ180">
        <v>0</v>
      </c>
      <c r="BR180" s="1">
        <v>5.7391703147270098E-5</v>
      </c>
      <c r="BS180">
        <v>1.2331047832107899E-4</v>
      </c>
    </row>
    <row r="181" spans="1:71" x14ac:dyDescent="0.25">
      <c r="A181">
        <v>178</v>
      </c>
      <c r="B181" s="1">
        <v>8.1146958733348094E-6</v>
      </c>
      <c r="C181">
        <v>0.106022546885271</v>
      </c>
      <c r="D181">
        <v>-3.0868517222331499E-4</v>
      </c>
      <c r="E181">
        <v>6.1312499999999995E-4</v>
      </c>
      <c r="F181">
        <v>-1.0602254688527101E-3</v>
      </c>
      <c r="G181">
        <v>0</v>
      </c>
      <c r="H181" t="s">
        <v>74</v>
      </c>
      <c r="I181">
        <v>0</v>
      </c>
      <c r="J181" t="s">
        <v>75</v>
      </c>
      <c r="K181">
        <v>3.14159265358979</v>
      </c>
      <c r="L181">
        <v>0.69410072215176899</v>
      </c>
      <c r="M181">
        <v>0</v>
      </c>
      <c r="N181">
        <v>4.0754170250888899E-2</v>
      </c>
      <c r="O181">
        <v>0</v>
      </c>
      <c r="P181">
        <v>1.6E-2</v>
      </c>
      <c r="Q181">
        <v>0</v>
      </c>
      <c r="R181">
        <v>0</v>
      </c>
      <c r="S181">
        <v>0</v>
      </c>
      <c r="T181">
        <v>0</v>
      </c>
      <c r="U181">
        <v>0.69969830862068905</v>
      </c>
      <c r="V181" t="s">
        <v>78</v>
      </c>
      <c r="W181">
        <v>2305988.27478969</v>
      </c>
      <c r="X181" t="s">
        <v>76</v>
      </c>
      <c r="Y181">
        <v>-1.5707963267949001</v>
      </c>
      <c r="Z181">
        <v>0.68640177443308503</v>
      </c>
      <c r="AA181">
        <v>0.29677828460845201</v>
      </c>
      <c r="AB181">
        <v>3.6963546835656801E-2</v>
      </c>
      <c r="AC181">
        <v>1.6623671004855099E-2</v>
      </c>
      <c r="AD181">
        <v>1.43123373918006E-2</v>
      </c>
      <c r="AE181">
        <v>2.10464940394379E-2</v>
      </c>
      <c r="AF181">
        <v>0</v>
      </c>
      <c r="AG181">
        <v>0.265851107939864</v>
      </c>
      <c r="AH181">
        <v>0.18363531476238601</v>
      </c>
      <c r="AI181">
        <v>0.45912881053025301</v>
      </c>
      <c r="AJ181" t="s">
        <v>74</v>
      </c>
      <c r="AK181">
        <v>0</v>
      </c>
      <c r="AL181" t="s">
        <v>77</v>
      </c>
      <c r="AM181">
        <v>0</v>
      </c>
      <c r="AN181">
        <v>0.99199999999999999</v>
      </c>
      <c r="AO181">
        <v>0</v>
      </c>
      <c r="AP181">
        <v>5.8245346242475203E-2</v>
      </c>
      <c r="AQ181">
        <v>0</v>
      </c>
      <c r="AR181">
        <v>1.6E-2</v>
      </c>
      <c r="AS181">
        <v>0</v>
      </c>
      <c r="AT181">
        <v>0</v>
      </c>
      <c r="AU181">
        <v>0</v>
      </c>
      <c r="AV181">
        <v>0</v>
      </c>
      <c r="AW181">
        <v>1</v>
      </c>
      <c r="AX181" t="s">
        <v>74</v>
      </c>
      <c r="AY181">
        <v>0</v>
      </c>
      <c r="AZ181" t="s">
        <v>76</v>
      </c>
      <c r="BA181">
        <v>-1.5707963267949001</v>
      </c>
      <c r="BB181">
        <v>0.99199999999999999</v>
      </c>
      <c r="BC181">
        <v>0</v>
      </c>
      <c r="BD181">
        <v>5.8245346242475203E-2</v>
      </c>
      <c r="BE181">
        <v>0</v>
      </c>
      <c r="BF181">
        <v>1.6E-2</v>
      </c>
      <c r="BG181">
        <v>0</v>
      </c>
      <c r="BH181">
        <v>0</v>
      </c>
      <c r="BI181">
        <v>0</v>
      </c>
      <c r="BJ181">
        <v>0</v>
      </c>
      <c r="BK181">
        <v>1</v>
      </c>
      <c r="BL181">
        <v>1.05416040288176E-4</v>
      </c>
      <c r="BM181">
        <v>2.2474321135112501E-4</v>
      </c>
      <c r="BN181" s="1">
        <v>3.8380323432329798E-7</v>
      </c>
      <c r="BO181" s="1">
        <v>3.5302581086243598E-6</v>
      </c>
      <c r="BP181">
        <v>0</v>
      </c>
      <c r="BQ181">
        <v>0</v>
      </c>
      <c r="BR181" s="1">
        <v>5.7357920244090802E-5</v>
      </c>
      <c r="BS181">
        <v>1.2401111971586701E-4</v>
      </c>
    </row>
    <row r="182" spans="1:71" x14ac:dyDescent="0.25">
      <c r="A182">
        <v>179</v>
      </c>
      <c r="B182" s="1">
        <v>8.1086900427469696E-6</v>
      </c>
      <c r="C182">
        <v>0.10603065557531401</v>
      </c>
      <c r="D182">
        <v>-3.0872888575891899E-4</v>
      </c>
      <c r="E182">
        <v>6.1312499999999995E-4</v>
      </c>
      <c r="F182">
        <v>-1.0603065557531399E-3</v>
      </c>
      <c r="G182" s="1">
        <v>1.0842021724855E-19</v>
      </c>
      <c r="H182" t="s">
        <v>74</v>
      </c>
      <c r="I182">
        <v>0</v>
      </c>
      <c r="J182" t="s">
        <v>75</v>
      </c>
      <c r="K182">
        <v>3.14159265358979</v>
      </c>
      <c r="L182">
        <v>0.69242021685828503</v>
      </c>
      <c r="M182">
        <v>0</v>
      </c>
      <c r="N182">
        <v>4.06554992703635E-2</v>
      </c>
      <c r="O182">
        <v>0</v>
      </c>
      <c r="P182">
        <v>1.6E-2</v>
      </c>
      <c r="Q182">
        <v>0</v>
      </c>
      <c r="R182">
        <v>0</v>
      </c>
      <c r="S182">
        <v>0</v>
      </c>
      <c r="T182">
        <v>0</v>
      </c>
      <c r="U182">
        <v>0.69800425086518603</v>
      </c>
      <c r="V182" t="s">
        <v>78</v>
      </c>
      <c r="W182">
        <v>2306365.5013836902</v>
      </c>
      <c r="X182" t="s">
        <v>76</v>
      </c>
      <c r="Y182">
        <v>-1.5707963267949001</v>
      </c>
      <c r="Z182">
        <v>0.68472599875653795</v>
      </c>
      <c r="AA182">
        <v>0.29819605225058399</v>
      </c>
      <c r="AB182">
        <v>3.6868735246757503E-2</v>
      </c>
      <c r="AC182">
        <v>1.6709104693424501E-2</v>
      </c>
      <c r="AD182">
        <v>1.42053465665519E-2</v>
      </c>
      <c r="AE182">
        <v>2.1171704893786301E-2</v>
      </c>
      <c r="AF182">
        <v>0</v>
      </c>
      <c r="AG182">
        <v>0.26605131490510098</v>
      </c>
      <c r="AH182">
        <v>0.185970744399414</v>
      </c>
      <c r="AI182">
        <v>0.45640683299875401</v>
      </c>
      <c r="AJ182" t="s">
        <v>74</v>
      </c>
      <c r="AK182">
        <v>0</v>
      </c>
      <c r="AL182" t="s">
        <v>77</v>
      </c>
      <c r="AM182">
        <v>0</v>
      </c>
      <c r="AN182">
        <v>0.99199999999999999</v>
      </c>
      <c r="AO182">
        <v>0</v>
      </c>
      <c r="AP182">
        <v>5.8245346242475203E-2</v>
      </c>
      <c r="AQ182">
        <v>0</v>
      </c>
      <c r="AR182">
        <v>1.6E-2</v>
      </c>
      <c r="AS182">
        <v>0</v>
      </c>
      <c r="AT182">
        <v>0</v>
      </c>
      <c r="AU182">
        <v>0</v>
      </c>
      <c r="AV182">
        <v>0</v>
      </c>
      <c r="AW182">
        <v>1</v>
      </c>
      <c r="AX182" t="s">
        <v>74</v>
      </c>
      <c r="AY182">
        <v>0</v>
      </c>
      <c r="AZ182" t="s">
        <v>76</v>
      </c>
      <c r="BA182">
        <v>-1.5707963267949001</v>
      </c>
      <c r="BB182">
        <v>0.99199999999999999</v>
      </c>
      <c r="BC182">
        <v>0</v>
      </c>
      <c r="BD182">
        <v>5.8245346242475203E-2</v>
      </c>
      <c r="BE182">
        <v>0</v>
      </c>
      <c r="BF182">
        <v>1.6E-2</v>
      </c>
      <c r="BG182">
        <v>0</v>
      </c>
      <c r="BH182">
        <v>0</v>
      </c>
      <c r="BI182">
        <v>0</v>
      </c>
      <c r="BJ182">
        <v>0</v>
      </c>
      <c r="BK182">
        <v>1</v>
      </c>
      <c r="BL182">
        <v>1.05362015847748E-4</v>
      </c>
      <c r="BM182">
        <v>2.26011029652257E-4</v>
      </c>
      <c r="BN182" s="1">
        <v>3.8361128307828202E-7</v>
      </c>
      <c r="BO182" s="1">
        <v>3.5501729519289801E-6</v>
      </c>
      <c r="BP182">
        <v>0</v>
      </c>
      <c r="BQ182">
        <v>0</v>
      </c>
      <c r="BR182" s="1">
        <v>5.7324052150204398E-5</v>
      </c>
      <c r="BS182">
        <v>1.2471175101130399E-4</v>
      </c>
    </row>
    <row r="183" spans="1:71" x14ac:dyDescent="0.25">
      <c r="A183">
        <v>180</v>
      </c>
      <c r="B183" s="1">
        <v>8.1032504266602304E-6</v>
      </c>
      <c r="C183">
        <v>0.10603875882574</v>
      </c>
      <c r="D183">
        <v>-3.0877256819872003E-4</v>
      </c>
      <c r="E183">
        <v>6.1312499999999995E-4</v>
      </c>
      <c r="F183">
        <v>-1.0603875882573999E-3</v>
      </c>
      <c r="G183" s="1">
        <v>1.0842021724855E-19</v>
      </c>
      <c r="H183" t="s">
        <v>74</v>
      </c>
      <c r="I183">
        <v>0</v>
      </c>
      <c r="J183" t="s">
        <v>75</v>
      </c>
      <c r="K183">
        <v>3.14159265358979</v>
      </c>
      <c r="L183">
        <v>0.69073976327833897</v>
      </c>
      <c r="M183">
        <v>0</v>
      </c>
      <c r="N183">
        <v>4.0556831326201803E-2</v>
      </c>
      <c r="O183">
        <v>0</v>
      </c>
      <c r="P183">
        <v>1.6E-2</v>
      </c>
      <c r="Q183">
        <v>0</v>
      </c>
      <c r="R183">
        <v>0</v>
      </c>
      <c r="S183">
        <v>0</v>
      </c>
      <c r="T183">
        <v>0</v>
      </c>
      <c r="U183">
        <v>0.69631024524025298</v>
      </c>
      <c r="V183" t="s">
        <v>78</v>
      </c>
      <c r="W183">
        <v>2306742.4596360102</v>
      </c>
      <c r="X183" t="s">
        <v>76</v>
      </c>
      <c r="Y183">
        <v>-1.5707963267949001</v>
      </c>
      <c r="Z183">
        <v>0.68305033937971904</v>
      </c>
      <c r="AA183">
        <v>0.30103729493296899</v>
      </c>
      <c r="AB183">
        <v>3.6773955081535602E-2</v>
      </c>
      <c r="AC183">
        <v>1.6839260857938802E-2</v>
      </c>
      <c r="AD183">
        <v>1.40982709857776E-2</v>
      </c>
      <c r="AE183">
        <v>2.1296894979894E-2</v>
      </c>
      <c r="AF183">
        <v>0</v>
      </c>
      <c r="AG183">
        <v>0.26623248362087798</v>
      </c>
      <c r="AH183">
        <v>0.188325134257739</v>
      </c>
      <c r="AI183">
        <v>0.45368953405698098</v>
      </c>
      <c r="AJ183" t="s">
        <v>74</v>
      </c>
      <c r="AK183">
        <v>0</v>
      </c>
      <c r="AL183" t="s">
        <v>77</v>
      </c>
      <c r="AM183">
        <v>0</v>
      </c>
      <c r="AN183">
        <v>0.99199999999999999</v>
      </c>
      <c r="AO183">
        <v>0</v>
      </c>
      <c r="AP183">
        <v>5.8245346242475203E-2</v>
      </c>
      <c r="AQ183">
        <v>0</v>
      </c>
      <c r="AR183">
        <v>1.6E-2</v>
      </c>
      <c r="AS183">
        <v>0</v>
      </c>
      <c r="AT183">
        <v>0</v>
      </c>
      <c r="AU183">
        <v>0</v>
      </c>
      <c r="AV183">
        <v>0</v>
      </c>
      <c r="AW183">
        <v>1</v>
      </c>
      <c r="AX183" t="s">
        <v>74</v>
      </c>
      <c r="AY183">
        <v>0</v>
      </c>
      <c r="AZ183" t="s">
        <v>76</v>
      </c>
      <c r="BA183">
        <v>-1.5707963267949001</v>
      </c>
      <c r="BB183">
        <v>0.99199999999999999</v>
      </c>
      <c r="BC183">
        <v>0</v>
      </c>
      <c r="BD183">
        <v>5.8245346242475203E-2</v>
      </c>
      <c r="BE183">
        <v>0</v>
      </c>
      <c r="BF183">
        <v>1.6E-2</v>
      </c>
      <c r="BG183">
        <v>0</v>
      </c>
      <c r="BH183">
        <v>0</v>
      </c>
      <c r="BI183">
        <v>0</v>
      </c>
      <c r="BJ183">
        <v>0</v>
      </c>
      <c r="BK183">
        <v>1</v>
      </c>
      <c r="BL183">
        <v>1.05330369875313E-4</v>
      </c>
      <c r="BM183">
        <v>2.2727880893930901E-4</v>
      </c>
      <c r="BN183" s="1">
        <v>3.8346420446658299E-7</v>
      </c>
      <c r="BO183" s="1">
        <v>3.57008718240185E-6</v>
      </c>
      <c r="BP183">
        <v>0</v>
      </c>
      <c r="BQ183">
        <v>0</v>
      </c>
      <c r="BR183" s="1">
        <v>5.73025311735477E-5</v>
      </c>
      <c r="BS183">
        <v>1.2541237195958299E-4</v>
      </c>
    </row>
    <row r="184" spans="1:71" x14ac:dyDescent="0.25">
      <c r="A184">
        <v>181</v>
      </c>
      <c r="B184" s="1">
        <v>8.0983778370655995E-6</v>
      </c>
      <c r="C184">
        <v>0.106046857203577</v>
      </c>
      <c r="D184">
        <v>-3.0881622260291901E-4</v>
      </c>
      <c r="E184">
        <v>6.1312499999999995E-4</v>
      </c>
      <c r="F184">
        <v>-1.0604685720357701E-3</v>
      </c>
      <c r="G184">
        <v>0</v>
      </c>
      <c r="H184" t="s">
        <v>74</v>
      </c>
      <c r="I184">
        <v>0</v>
      </c>
      <c r="J184" t="s">
        <v>75</v>
      </c>
      <c r="K184">
        <v>3.14159265358979</v>
      </c>
      <c r="L184">
        <v>0.68905936216902197</v>
      </c>
      <c r="M184">
        <v>0</v>
      </c>
      <c r="N184">
        <v>4.0458166462856701E-2</v>
      </c>
      <c r="O184">
        <v>0</v>
      </c>
      <c r="P184">
        <v>1.6E-2</v>
      </c>
      <c r="Q184">
        <v>0</v>
      </c>
      <c r="R184">
        <v>0</v>
      </c>
      <c r="S184">
        <v>0</v>
      </c>
      <c r="T184">
        <v>0</v>
      </c>
      <c r="U184">
        <v>0.69461629250909196</v>
      </c>
      <c r="V184" t="s">
        <v>78</v>
      </c>
      <c r="W184">
        <v>2307119.1759546902</v>
      </c>
      <c r="X184" t="s">
        <v>76</v>
      </c>
      <c r="Y184">
        <v>-1.5707963267949001</v>
      </c>
      <c r="Z184">
        <v>0.68137479611110097</v>
      </c>
      <c r="AA184">
        <v>0.30243333510901899</v>
      </c>
      <c r="AB184">
        <v>3.6679205990044997E-2</v>
      </c>
      <c r="AC184">
        <v>1.69240185924424E-2</v>
      </c>
      <c r="AD184">
        <v>1.3991112986264501E-2</v>
      </c>
      <c r="AE184">
        <v>2.1422063349098699E-2</v>
      </c>
      <c r="AF184">
        <v>0</v>
      </c>
      <c r="AG184">
        <v>0.266394498568649</v>
      </c>
      <c r="AH184">
        <v>0.19069859871356901</v>
      </c>
      <c r="AI184">
        <v>0.45097693251201898</v>
      </c>
      <c r="AJ184" t="s">
        <v>74</v>
      </c>
      <c r="AK184">
        <v>0</v>
      </c>
      <c r="AL184" t="s">
        <v>77</v>
      </c>
      <c r="AM184">
        <v>0</v>
      </c>
      <c r="AN184">
        <v>0.99199999999999999</v>
      </c>
      <c r="AO184">
        <v>0</v>
      </c>
      <c r="AP184">
        <v>5.8245346242475203E-2</v>
      </c>
      <c r="AQ184">
        <v>0</v>
      </c>
      <c r="AR184">
        <v>1.6E-2</v>
      </c>
      <c r="AS184">
        <v>0</v>
      </c>
      <c r="AT184">
        <v>0</v>
      </c>
      <c r="AU184">
        <v>0</v>
      </c>
      <c r="AV184">
        <v>0</v>
      </c>
      <c r="AW184">
        <v>1</v>
      </c>
      <c r="AX184" t="s">
        <v>74</v>
      </c>
      <c r="AY184">
        <v>0</v>
      </c>
      <c r="AZ184" t="s">
        <v>76</v>
      </c>
      <c r="BA184">
        <v>-1.5707963267949001</v>
      </c>
      <c r="BB184">
        <v>0.99199999999999999</v>
      </c>
      <c r="BC184">
        <v>0</v>
      </c>
      <c r="BD184">
        <v>5.8245346242475203E-2</v>
      </c>
      <c r="BE184">
        <v>0</v>
      </c>
      <c r="BF184">
        <v>1.6E-2</v>
      </c>
      <c r="BG184">
        <v>0</v>
      </c>
      <c r="BH184">
        <v>0</v>
      </c>
      <c r="BI184">
        <v>0</v>
      </c>
      <c r="BJ184">
        <v>0</v>
      </c>
      <c r="BK184">
        <v>1</v>
      </c>
      <c r="BL184">
        <v>1.05276041765147E-4</v>
      </c>
      <c r="BM184">
        <v>2.2854654864110899E-4</v>
      </c>
      <c r="BN184" s="1">
        <v>3.8327187804880699E-7</v>
      </c>
      <c r="BO184" s="1">
        <v>3.5900007910710499E-6</v>
      </c>
      <c r="BP184">
        <v>0</v>
      </c>
      <c r="BQ184">
        <v>0</v>
      </c>
      <c r="BR184" s="1">
        <v>5.7268493022784702E-5</v>
      </c>
      <c r="BS184">
        <v>1.2611298230788101E-4</v>
      </c>
    </row>
    <row r="185" spans="1:71" x14ac:dyDescent="0.25">
      <c r="A185">
        <v>182</v>
      </c>
      <c r="B185" s="1">
        <v>8.0940733544995604E-6</v>
      </c>
      <c r="C185">
        <v>0.106054951276932</v>
      </c>
      <c r="D185">
        <v>-3.0885985203704197E-4</v>
      </c>
      <c r="E185">
        <v>6.1312499999999995E-4</v>
      </c>
      <c r="F185">
        <v>-1.0605495127693201E-3</v>
      </c>
      <c r="G185" s="1">
        <v>1.0842021724855E-19</v>
      </c>
      <c r="H185" t="s">
        <v>74</v>
      </c>
      <c r="I185">
        <v>0</v>
      </c>
      <c r="J185" t="s">
        <v>75</v>
      </c>
      <c r="K185">
        <v>3.14159265358979</v>
      </c>
      <c r="L185">
        <v>0.68737901430417303</v>
      </c>
      <c r="M185">
        <v>0</v>
      </c>
      <c r="N185">
        <v>4.0359504725764002E-2</v>
      </c>
      <c r="O185">
        <v>0</v>
      </c>
      <c r="P185">
        <v>1.6E-2</v>
      </c>
      <c r="Q185">
        <v>0</v>
      </c>
      <c r="R185">
        <v>0</v>
      </c>
      <c r="S185">
        <v>0</v>
      </c>
      <c r="T185">
        <v>0</v>
      </c>
      <c r="U185">
        <v>0.69292239345178697</v>
      </c>
      <c r="V185" t="s">
        <v>78</v>
      </c>
      <c r="W185">
        <v>2307495.6767937401</v>
      </c>
      <c r="X185" t="s">
        <v>76</v>
      </c>
      <c r="Y185">
        <v>-1.5707963267949001</v>
      </c>
      <c r="Z185">
        <v>0.67969936877988202</v>
      </c>
      <c r="AA185">
        <v>0.30381849947135797</v>
      </c>
      <c r="AB185">
        <v>3.6584487625945003E-2</v>
      </c>
      <c r="AC185">
        <v>1.7008437244372999E-2</v>
      </c>
      <c r="AD185">
        <v>1.3883874890647499E-2</v>
      </c>
      <c r="AE185">
        <v>2.1547209051874398E-2</v>
      </c>
      <c r="AF185">
        <v>0</v>
      </c>
      <c r="AG185">
        <v>0.26653724263086598</v>
      </c>
      <c r="AH185">
        <v>0.19309125371684199</v>
      </c>
      <c r="AI185">
        <v>0.44826904728419897</v>
      </c>
      <c r="AJ185" t="s">
        <v>74</v>
      </c>
      <c r="AK185">
        <v>0</v>
      </c>
      <c r="AL185" t="s">
        <v>77</v>
      </c>
      <c r="AM185">
        <v>0</v>
      </c>
      <c r="AN185">
        <v>0.99199999999999999</v>
      </c>
      <c r="AO185">
        <v>0</v>
      </c>
      <c r="AP185">
        <v>5.8245346242475203E-2</v>
      </c>
      <c r="AQ185">
        <v>0</v>
      </c>
      <c r="AR185">
        <v>1.6E-2</v>
      </c>
      <c r="AS185">
        <v>0</v>
      </c>
      <c r="AT185">
        <v>0</v>
      </c>
      <c r="AU185">
        <v>0</v>
      </c>
      <c r="AV185">
        <v>0</v>
      </c>
      <c r="AW185">
        <v>1</v>
      </c>
      <c r="AX185" t="s">
        <v>74</v>
      </c>
      <c r="AY185">
        <v>0</v>
      </c>
      <c r="AZ185" t="s">
        <v>76</v>
      </c>
      <c r="BA185">
        <v>-1.5707963267949001</v>
      </c>
      <c r="BB185">
        <v>0.99199999999999999</v>
      </c>
      <c r="BC185">
        <v>0</v>
      </c>
      <c r="BD185">
        <v>5.8245346242475203E-2</v>
      </c>
      <c r="BE185">
        <v>0</v>
      </c>
      <c r="BF185">
        <v>1.6E-2</v>
      </c>
      <c r="BG185">
        <v>0</v>
      </c>
      <c r="BH185">
        <v>0</v>
      </c>
      <c r="BI185">
        <v>0</v>
      </c>
      <c r="BJ185">
        <v>0</v>
      </c>
      <c r="BK185">
        <v>1</v>
      </c>
      <c r="BL185">
        <v>1.0522156104051599E-4</v>
      </c>
      <c r="BM185">
        <v>2.29814248173854E-4</v>
      </c>
      <c r="BN185" s="1">
        <v>3.8307936131677399E-7</v>
      </c>
      <c r="BO185" s="1">
        <v>3.6099137687662001E-6</v>
      </c>
      <c r="BP185">
        <v>0</v>
      </c>
      <c r="BQ185">
        <v>0</v>
      </c>
      <c r="BR185" s="1">
        <v>5.7234369406027097E-5</v>
      </c>
      <c r="BS185">
        <v>1.26813581798198E-4</v>
      </c>
    </row>
    <row r="186" spans="1:71" x14ac:dyDescent="0.25">
      <c r="A186">
        <v>183</v>
      </c>
      <c r="B186" s="1">
        <v>8.0903383308681302E-6</v>
      </c>
      <c r="C186">
        <v>0.106063041615263</v>
      </c>
      <c r="D186">
        <v>-3.0890345957340599E-4</v>
      </c>
      <c r="E186">
        <v>6.1312499999999995E-4</v>
      </c>
      <c r="F186">
        <v>-1.0606304161526301E-3</v>
      </c>
      <c r="G186" s="1">
        <v>1.0842021724855E-19</v>
      </c>
      <c r="H186" t="s">
        <v>74</v>
      </c>
      <c r="I186">
        <v>0</v>
      </c>
      <c r="J186" t="s">
        <v>75</v>
      </c>
      <c r="K186">
        <v>3.14159265358979</v>
      </c>
      <c r="L186">
        <v>0.685698720474894</v>
      </c>
      <c r="M186">
        <v>0</v>
      </c>
      <c r="N186">
        <v>4.0260846161373397E-2</v>
      </c>
      <c r="O186">
        <v>0</v>
      </c>
      <c r="P186">
        <v>1.6E-2</v>
      </c>
      <c r="Q186">
        <v>0</v>
      </c>
      <c r="R186">
        <v>0</v>
      </c>
      <c r="S186">
        <v>0</v>
      </c>
      <c r="T186">
        <v>0</v>
      </c>
      <c r="U186">
        <v>0.69122854886581997</v>
      </c>
      <c r="V186" t="s">
        <v>78</v>
      </c>
      <c r="W186">
        <v>2307871.9886657498</v>
      </c>
      <c r="X186" t="s">
        <v>76</v>
      </c>
      <c r="Y186">
        <v>-1.5707963267949001</v>
      </c>
      <c r="Z186">
        <v>0.67802405723608505</v>
      </c>
      <c r="AA186">
        <v>0.305192780284609</v>
      </c>
      <c r="AB186">
        <v>3.6489799646361197E-2</v>
      </c>
      <c r="AC186">
        <v>1.7092518557845299E-2</v>
      </c>
      <c r="AD186">
        <v>1.3776559008057699E-2</v>
      </c>
      <c r="AE186">
        <v>2.1672331137713299E-2</v>
      </c>
      <c r="AF186">
        <v>0</v>
      </c>
      <c r="AG186">
        <v>0.266660597056115</v>
      </c>
      <c r="AH186">
        <v>0.19550321682531299</v>
      </c>
      <c r="AI186">
        <v>0.445565897409196</v>
      </c>
      <c r="AJ186" t="s">
        <v>74</v>
      </c>
      <c r="AK186">
        <v>0</v>
      </c>
      <c r="AL186" t="s">
        <v>77</v>
      </c>
      <c r="AM186">
        <v>0</v>
      </c>
      <c r="AN186">
        <v>0.99199999999999999</v>
      </c>
      <c r="AO186">
        <v>0</v>
      </c>
      <c r="AP186">
        <v>5.8245346242475203E-2</v>
      </c>
      <c r="AQ186">
        <v>0</v>
      </c>
      <c r="AR186">
        <v>1.6E-2</v>
      </c>
      <c r="AS186">
        <v>0</v>
      </c>
      <c r="AT186">
        <v>0</v>
      </c>
      <c r="AU186">
        <v>0</v>
      </c>
      <c r="AV186">
        <v>0</v>
      </c>
      <c r="AW186">
        <v>1</v>
      </c>
      <c r="AX186" t="s">
        <v>74</v>
      </c>
      <c r="AY186">
        <v>0</v>
      </c>
      <c r="AZ186" t="s">
        <v>76</v>
      </c>
      <c r="BA186">
        <v>-1.5707963267949001</v>
      </c>
      <c r="BB186">
        <v>0.99199999999999999</v>
      </c>
      <c r="BC186">
        <v>0</v>
      </c>
      <c r="BD186">
        <v>5.8245346242475203E-2</v>
      </c>
      <c r="BE186">
        <v>0</v>
      </c>
      <c r="BF186">
        <v>1.6E-2</v>
      </c>
      <c r="BG186">
        <v>0</v>
      </c>
      <c r="BH186">
        <v>0</v>
      </c>
      <c r="BI186">
        <v>0</v>
      </c>
      <c r="BJ186">
        <v>0</v>
      </c>
      <c r="BK186">
        <v>1</v>
      </c>
      <c r="BL186">
        <v>1.05166928425265E-4</v>
      </c>
      <c r="BM186">
        <v>2.31081906940714E-4</v>
      </c>
      <c r="BN186" s="1">
        <v>3.8288665719138202E-7</v>
      </c>
      <c r="BO186" s="1">
        <v>3.6298261061123399E-6</v>
      </c>
      <c r="BP186">
        <v>0</v>
      </c>
      <c r="BQ186">
        <v>0</v>
      </c>
      <c r="BR186" s="1">
        <v>5.7200160752985997E-5</v>
      </c>
      <c r="BS186">
        <v>1.2751417016718699E-4</v>
      </c>
    </row>
    <row r="187" spans="1:71" x14ac:dyDescent="0.25">
      <c r="A187">
        <v>184</v>
      </c>
      <c r="B187" s="1">
        <v>8.0871743928524003E-6</v>
      </c>
      <c r="C187">
        <v>0.10607112878965499</v>
      </c>
      <c r="D187">
        <v>-3.08947048292596E-4</v>
      </c>
      <c r="E187">
        <v>6.1312499999999995E-4</v>
      </c>
      <c r="F187">
        <v>-1.0607112878965499E-3</v>
      </c>
      <c r="G187">
        <v>0</v>
      </c>
      <c r="H187" t="s">
        <v>74</v>
      </c>
      <c r="I187">
        <v>0</v>
      </c>
      <c r="J187" t="s">
        <v>75</v>
      </c>
      <c r="K187">
        <v>3.14159265358979</v>
      </c>
      <c r="L187">
        <v>0.68401848149004696</v>
      </c>
      <c r="M187">
        <v>0</v>
      </c>
      <c r="N187">
        <v>4.0162190817177403E-2</v>
      </c>
      <c r="O187">
        <v>0</v>
      </c>
      <c r="P187">
        <v>1.6E-2</v>
      </c>
      <c r="Q187">
        <v>0</v>
      </c>
      <c r="R187">
        <v>0</v>
      </c>
      <c r="S187">
        <v>0</v>
      </c>
      <c r="T187">
        <v>0</v>
      </c>
      <c r="U187">
        <v>0.68953475956657995</v>
      </c>
      <c r="V187" t="s">
        <v>78</v>
      </c>
      <c r="W187">
        <v>2308248.1381546902</v>
      </c>
      <c r="X187" t="s">
        <v>76</v>
      </c>
      <c r="Y187">
        <v>-1.5707963267949001</v>
      </c>
      <c r="Z187">
        <v>0.67634886135063299</v>
      </c>
      <c r="AA187">
        <v>0.30655617005071101</v>
      </c>
      <c r="AB187">
        <v>3.63951417117446E-2</v>
      </c>
      <c r="AC187">
        <v>1.7176260861150601E-2</v>
      </c>
      <c r="AD187">
        <v>1.36691676347613E-2</v>
      </c>
      <c r="AE187">
        <v>2.17974286550092E-2</v>
      </c>
      <c r="AF187">
        <v>0</v>
      </c>
      <c r="AG187">
        <v>0.26676444142323402</v>
      </c>
      <c r="AH187">
        <v>0.197934607239691</v>
      </c>
      <c r="AI187">
        <v>0.44286750204007203</v>
      </c>
      <c r="AJ187" t="s">
        <v>74</v>
      </c>
      <c r="AK187">
        <v>0</v>
      </c>
      <c r="AL187" t="s">
        <v>77</v>
      </c>
      <c r="AM187">
        <v>0</v>
      </c>
      <c r="AN187">
        <v>0.99199999999999999</v>
      </c>
      <c r="AO187">
        <v>0</v>
      </c>
      <c r="AP187">
        <v>5.8245346242475203E-2</v>
      </c>
      <c r="AQ187">
        <v>0</v>
      </c>
      <c r="AR187">
        <v>1.6E-2</v>
      </c>
      <c r="AS187">
        <v>0</v>
      </c>
      <c r="AT187">
        <v>0</v>
      </c>
      <c r="AU187">
        <v>0</v>
      </c>
      <c r="AV187">
        <v>0</v>
      </c>
      <c r="AW187">
        <v>1</v>
      </c>
      <c r="AX187" t="s">
        <v>74</v>
      </c>
      <c r="AY187">
        <v>0</v>
      </c>
      <c r="AZ187" t="s">
        <v>76</v>
      </c>
      <c r="BA187">
        <v>-1.5707963267949001</v>
      </c>
      <c r="BB187">
        <v>0.99199999999999999</v>
      </c>
      <c r="BC187">
        <v>0</v>
      </c>
      <c r="BD187">
        <v>5.8245346242475203E-2</v>
      </c>
      <c r="BE187">
        <v>0</v>
      </c>
      <c r="BF187">
        <v>1.6E-2</v>
      </c>
      <c r="BG187">
        <v>0</v>
      </c>
      <c r="BH187">
        <v>0</v>
      </c>
      <c r="BI187">
        <v>0</v>
      </c>
      <c r="BJ187">
        <v>0</v>
      </c>
      <c r="BK187">
        <v>1</v>
      </c>
      <c r="BL187">
        <v>1.05112142937511E-4</v>
      </c>
      <c r="BM187">
        <v>2.32349524331462E-4</v>
      </c>
      <c r="BN187" s="1">
        <v>3.8269376212638E-7</v>
      </c>
      <c r="BO187" s="1">
        <v>3.6497377935240201E-6</v>
      </c>
      <c r="BP187">
        <v>0</v>
      </c>
      <c r="BQ187">
        <v>0</v>
      </c>
      <c r="BR187" s="1">
        <v>5.7165866552103801E-5</v>
      </c>
      <c r="BS187">
        <v>1.2821474714598199E-4</v>
      </c>
    </row>
    <row r="188" spans="1:71" x14ac:dyDescent="0.25">
      <c r="A188">
        <v>185</v>
      </c>
      <c r="B188" s="1">
        <v>8.0845834453150806E-6</v>
      </c>
      <c r="C188">
        <v>0.106079213373101</v>
      </c>
      <c r="D188">
        <v>-3.0899062128496399E-4</v>
      </c>
      <c r="E188">
        <v>6.1312499999999995E-4</v>
      </c>
      <c r="F188">
        <v>-1.0607921337310101E-3</v>
      </c>
      <c r="G188">
        <v>0</v>
      </c>
      <c r="H188" t="s">
        <v>74</v>
      </c>
      <c r="I188">
        <v>0</v>
      </c>
      <c r="J188" t="s">
        <v>75</v>
      </c>
      <c r="K188">
        <v>3.14159265358979</v>
      </c>
      <c r="L188">
        <v>0.68233829817681901</v>
      </c>
      <c r="M188">
        <v>0</v>
      </c>
      <c r="N188">
        <v>4.0063538741744099E-2</v>
      </c>
      <c r="O188">
        <v>0</v>
      </c>
      <c r="P188">
        <v>1.6E-2</v>
      </c>
      <c r="Q188">
        <v>0</v>
      </c>
      <c r="R188">
        <v>0</v>
      </c>
      <c r="S188">
        <v>0</v>
      </c>
      <c r="T188">
        <v>0</v>
      </c>
      <c r="U188">
        <v>0.68784102638792199</v>
      </c>
      <c r="V188" t="s">
        <v>78</v>
      </c>
      <c r="W188">
        <v>2308624.1519287801</v>
      </c>
      <c r="X188" t="s">
        <v>76</v>
      </c>
      <c r="Y188">
        <v>-1.5707963267949001</v>
      </c>
      <c r="Z188">
        <v>0.67467378101549103</v>
      </c>
      <c r="AA188">
        <v>0.30790866150781099</v>
      </c>
      <c r="AB188">
        <v>3.6300513485736201E-2</v>
      </c>
      <c r="AC188">
        <v>1.7259665777814001E-2</v>
      </c>
      <c r="AD188">
        <v>1.3561703054795199E-2</v>
      </c>
      <c r="AE188">
        <v>2.19225006509393E-2</v>
      </c>
      <c r="AF188">
        <v>0</v>
      </c>
      <c r="AG188">
        <v>0.26684865360434301</v>
      </c>
      <c r="AH188">
        <v>0.20038554583975199</v>
      </c>
      <c r="AI188">
        <v>0.440173880449437</v>
      </c>
      <c r="AJ188" t="s">
        <v>74</v>
      </c>
      <c r="AK188">
        <v>0</v>
      </c>
      <c r="AL188" t="s">
        <v>77</v>
      </c>
      <c r="AM188">
        <v>0</v>
      </c>
      <c r="AN188">
        <v>0.99199999999999999</v>
      </c>
      <c r="AO188">
        <v>0</v>
      </c>
      <c r="AP188">
        <v>5.8245346242475203E-2</v>
      </c>
      <c r="AQ188">
        <v>0</v>
      </c>
      <c r="AR188">
        <v>1.6E-2</v>
      </c>
      <c r="AS188">
        <v>0</v>
      </c>
      <c r="AT188">
        <v>0</v>
      </c>
      <c r="AU188">
        <v>0</v>
      </c>
      <c r="AV188">
        <v>0</v>
      </c>
      <c r="AW188">
        <v>1</v>
      </c>
      <c r="AX188" t="s">
        <v>74</v>
      </c>
      <c r="AY188">
        <v>0</v>
      </c>
      <c r="AZ188" t="s">
        <v>76</v>
      </c>
      <c r="BA188">
        <v>-1.5707963267949001</v>
      </c>
      <c r="BB188">
        <v>0.99199999999999999</v>
      </c>
      <c r="BC188">
        <v>0</v>
      </c>
      <c r="BD188">
        <v>5.8245346242475203E-2</v>
      </c>
      <c r="BE188">
        <v>0</v>
      </c>
      <c r="BF188">
        <v>1.6E-2</v>
      </c>
      <c r="BG188">
        <v>0</v>
      </c>
      <c r="BH188">
        <v>0</v>
      </c>
      <c r="BI188">
        <v>0</v>
      </c>
      <c r="BJ188">
        <v>0</v>
      </c>
      <c r="BK188">
        <v>1</v>
      </c>
      <c r="BL188">
        <v>1.05057205245122E-4</v>
      </c>
      <c r="BM188">
        <v>2.3361709972204801E-4</v>
      </c>
      <c r="BN188" s="1">
        <v>3.8250067885296399E-7</v>
      </c>
      <c r="BO188" s="1">
        <v>3.6696488211986902E-6</v>
      </c>
      <c r="BP188">
        <v>0</v>
      </c>
      <c r="BQ188">
        <v>0</v>
      </c>
      <c r="BR188" s="1">
        <v>5.71314872021586E-5</v>
      </c>
      <c r="BS188">
        <v>1.2891531246001E-4</v>
      </c>
    </row>
    <row r="189" spans="1:71" x14ac:dyDescent="0.25">
      <c r="A189">
        <v>186</v>
      </c>
      <c r="B189" s="1">
        <v>8.0825676754889202E-6</v>
      </c>
      <c r="C189">
        <v>0.106087295940776</v>
      </c>
      <c r="D189">
        <v>-3.0903418165215103E-4</v>
      </c>
      <c r="E189">
        <v>6.1312499999999995E-4</v>
      </c>
      <c r="F189">
        <v>-1.0608729594077601E-3</v>
      </c>
      <c r="G189">
        <v>0</v>
      </c>
      <c r="H189" t="s">
        <v>74</v>
      </c>
      <c r="I189">
        <v>0</v>
      </c>
      <c r="J189" t="s">
        <v>75</v>
      </c>
      <c r="K189">
        <v>3.14159265358979</v>
      </c>
      <c r="L189">
        <v>0.68065817138126194</v>
      </c>
      <c r="M189">
        <v>0</v>
      </c>
      <c r="N189">
        <v>3.9964889984749598E-2</v>
      </c>
      <c r="O189">
        <v>0</v>
      </c>
      <c r="P189">
        <v>1.6E-2</v>
      </c>
      <c r="Q189">
        <v>0</v>
      </c>
      <c r="R189">
        <v>0</v>
      </c>
      <c r="S189">
        <v>0</v>
      </c>
      <c r="T189">
        <v>0</v>
      </c>
      <c r="U189">
        <v>0.68614735018272399</v>
      </c>
      <c r="V189" t="s">
        <v>78</v>
      </c>
      <c r="W189">
        <v>2309000.0567536899</v>
      </c>
      <c r="X189" t="s">
        <v>76</v>
      </c>
      <c r="Y189">
        <v>-1.5707963267949001</v>
      </c>
      <c r="Z189">
        <v>0.67299881614378998</v>
      </c>
      <c r="AA189">
        <v>0.30925024762922698</v>
      </c>
      <c r="AB189">
        <v>3.6205914635028799E-2</v>
      </c>
      <c r="AC189">
        <v>1.7342731567446201E-2</v>
      </c>
      <c r="AD189">
        <v>1.34541675405938E-2</v>
      </c>
      <c r="AE189">
        <v>2.20475461713486E-2</v>
      </c>
      <c r="AF189">
        <v>0</v>
      </c>
      <c r="AG189">
        <v>0.266913109726788</v>
      </c>
      <c r="AH189">
        <v>0.20285615522157999</v>
      </c>
      <c r="AI189">
        <v>0.43748505203155003</v>
      </c>
      <c r="AJ189" t="s">
        <v>74</v>
      </c>
      <c r="AK189">
        <v>0</v>
      </c>
      <c r="AL189" t="s">
        <v>77</v>
      </c>
      <c r="AM189">
        <v>0</v>
      </c>
      <c r="AN189">
        <v>0.99199999999999999</v>
      </c>
      <c r="AO189">
        <v>0</v>
      </c>
      <c r="AP189">
        <v>5.8245346242475203E-2</v>
      </c>
      <c r="AQ189">
        <v>0</v>
      </c>
      <c r="AR189">
        <v>1.6E-2</v>
      </c>
      <c r="AS189">
        <v>0</v>
      </c>
      <c r="AT189">
        <v>0</v>
      </c>
      <c r="AU189">
        <v>0</v>
      </c>
      <c r="AV189">
        <v>0</v>
      </c>
      <c r="AW189">
        <v>1</v>
      </c>
      <c r="AX189" t="s">
        <v>74</v>
      </c>
      <c r="AY189">
        <v>0</v>
      </c>
      <c r="AZ189" t="s">
        <v>76</v>
      </c>
      <c r="BA189">
        <v>-1.5707963267949001</v>
      </c>
      <c r="BB189">
        <v>0.99199999999999999</v>
      </c>
      <c r="BC189">
        <v>0</v>
      </c>
      <c r="BD189">
        <v>5.8245346242475203E-2</v>
      </c>
      <c r="BE189">
        <v>0</v>
      </c>
      <c r="BF189">
        <v>1.6E-2</v>
      </c>
      <c r="BG189">
        <v>0</v>
      </c>
      <c r="BH189">
        <v>0</v>
      </c>
      <c r="BI189">
        <v>0</v>
      </c>
      <c r="BJ189">
        <v>0</v>
      </c>
      <c r="BK189">
        <v>1</v>
      </c>
      <c r="BL189">
        <v>1.05002114336088E-4</v>
      </c>
      <c r="BM189">
        <v>2.3488463247418401E-4</v>
      </c>
      <c r="BN189" s="1">
        <v>3.8230740373337202E-7</v>
      </c>
      <c r="BO189" s="1">
        <v>3.68955917911018E-6</v>
      </c>
      <c r="BP189">
        <v>0</v>
      </c>
      <c r="BQ189">
        <v>0</v>
      </c>
      <c r="BR189" s="1">
        <v>5.7097022174937097E-5</v>
      </c>
      <c r="BS189">
        <v>1.2961586582880999E-4</v>
      </c>
    </row>
    <row r="190" spans="1:71" x14ac:dyDescent="0.25">
      <c r="A190">
        <v>187</v>
      </c>
      <c r="B190" s="1">
        <v>8.0811295572366305E-6</v>
      </c>
      <c r="C190">
        <v>0.10609537707033299</v>
      </c>
      <c r="D190">
        <v>-3.0907773250862699E-4</v>
      </c>
      <c r="E190">
        <v>6.1312499999999995E-4</v>
      </c>
      <c r="F190">
        <v>-1.06095377070334E-3</v>
      </c>
      <c r="G190">
        <v>0</v>
      </c>
      <c r="H190" t="s">
        <v>74</v>
      </c>
      <c r="I190">
        <v>0</v>
      </c>
      <c r="J190" t="s">
        <v>75</v>
      </c>
      <c r="K190">
        <v>3.14159265358979</v>
      </c>
      <c r="L190">
        <v>0.67897810196888297</v>
      </c>
      <c r="M190">
        <v>0</v>
      </c>
      <c r="N190">
        <v>3.9866244597012303E-2</v>
      </c>
      <c r="O190">
        <v>0</v>
      </c>
      <c r="P190">
        <v>1.6E-2</v>
      </c>
      <c r="Q190">
        <v>0</v>
      </c>
      <c r="R190">
        <v>0</v>
      </c>
      <c r="S190">
        <v>0</v>
      </c>
      <c r="T190">
        <v>0</v>
      </c>
      <c r="U190">
        <v>0.68445373182346902</v>
      </c>
      <c r="V190" t="s">
        <v>78</v>
      </c>
      <c r="W190">
        <v>2309375.8795057801</v>
      </c>
      <c r="X190" t="s">
        <v>76</v>
      </c>
      <c r="Y190">
        <v>-1.5707963267949001</v>
      </c>
      <c r="Z190">
        <v>0.67132396666998095</v>
      </c>
      <c r="AA190">
        <v>0.31058092162248102</v>
      </c>
      <c r="AB190">
        <v>3.6111344829231798E-2</v>
      </c>
      <c r="AC190">
        <v>1.74254581076803E-2</v>
      </c>
      <c r="AD190">
        <v>1.33465633536127E-2</v>
      </c>
      <c r="AE190">
        <v>2.21725642606335E-2</v>
      </c>
      <c r="AF190">
        <v>0</v>
      </c>
      <c r="AG190">
        <v>0.26695768413392101</v>
      </c>
      <c r="AH190">
        <v>0.20534655973590199</v>
      </c>
      <c r="AI190">
        <v>0.43480103630449302</v>
      </c>
      <c r="AJ190" t="s">
        <v>74</v>
      </c>
      <c r="AK190">
        <v>0</v>
      </c>
      <c r="AL190" t="s">
        <v>77</v>
      </c>
      <c r="AM190">
        <v>0</v>
      </c>
      <c r="AN190">
        <v>0.99199999999999999</v>
      </c>
      <c r="AO190">
        <v>0</v>
      </c>
      <c r="AP190">
        <v>5.8245346242475203E-2</v>
      </c>
      <c r="AQ190">
        <v>0</v>
      </c>
      <c r="AR190">
        <v>1.6E-2</v>
      </c>
      <c r="AS190">
        <v>0</v>
      </c>
      <c r="AT190">
        <v>0</v>
      </c>
      <c r="AU190">
        <v>0</v>
      </c>
      <c r="AV190">
        <v>0</v>
      </c>
      <c r="AW190">
        <v>1</v>
      </c>
      <c r="AX190" t="s">
        <v>74</v>
      </c>
      <c r="AY190">
        <v>0</v>
      </c>
      <c r="AZ190" t="s">
        <v>76</v>
      </c>
      <c r="BA190">
        <v>-1.5707963267949001</v>
      </c>
      <c r="BB190">
        <v>0.99199999999999999</v>
      </c>
      <c r="BC190">
        <v>0</v>
      </c>
      <c r="BD190">
        <v>5.8245346242475203E-2</v>
      </c>
      <c r="BE190">
        <v>0</v>
      </c>
      <c r="BF190">
        <v>1.6E-2</v>
      </c>
      <c r="BG190">
        <v>0</v>
      </c>
      <c r="BH190">
        <v>0</v>
      </c>
      <c r="BI190">
        <v>0</v>
      </c>
      <c r="BJ190">
        <v>0</v>
      </c>
      <c r="BK190">
        <v>1</v>
      </c>
      <c r="BL190">
        <v>1.0494687000943701E-4</v>
      </c>
      <c r="BM190">
        <v>2.3615212193491101E-4</v>
      </c>
      <c r="BN190" s="1">
        <v>3.8211393622235002E-7</v>
      </c>
      <c r="BO190" s="1">
        <v>3.70946885700179E-6</v>
      </c>
      <c r="BP190">
        <v>0</v>
      </c>
      <c r="BQ190">
        <v>0</v>
      </c>
      <c r="BR190" s="1">
        <v>5.7062471389779299E-5</v>
      </c>
      <c r="BS190">
        <v>1.30316406965835E-4</v>
      </c>
    </row>
    <row r="191" spans="1:71" x14ac:dyDescent="0.25">
      <c r="A191">
        <v>188</v>
      </c>
      <c r="B191" s="1">
        <v>8.0802718558227507E-6</v>
      </c>
      <c r="C191">
        <v>0.106103457342189</v>
      </c>
      <c r="D191">
        <v>-3.0912127698326102E-4</v>
      </c>
      <c r="E191">
        <v>6.1312499999999995E-4</v>
      </c>
      <c r="F191">
        <v>-1.06103457342189E-3</v>
      </c>
      <c r="G191">
        <v>0</v>
      </c>
      <c r="H191" t="s">
        <v>74</v>
      </c>
      <c r="I191">
        <v>0</v>
      </c>
      <c r="J191" t="s">
        <v>75</v>
      </c>
      <c r="K191">
        <v>3.14159265358979</v>
      </c>
      <c r="L191">
        <v>0.67729809082524906</v>
      </c>
      <c r="M191">
        <v>0</v>
      </c>
      <c r="N191">
        <v>3.9767602630528302E-2</v>
      </c>
      <c r="O191">
        <v>0</v>
      </c>
      <c r="P191">
        <v>1.6E-2</v>
      </c>
      <c r="Q191">
        <v>0</v>
      </c>
      <c r="R191">
        <v>0</v>
      </c>
      <c r="S191">
        <v>0</v>
      </c>
      <c r="T191">
        <v>0</v>
      </c>
      <c r="U191">
        <v>0.682760172202868</v>
      </c>
      <c r="V191" t="s">
        <v>78</v>
      </c>
      <c r="W191">
        <v>2309751.64718568</v>
      </c>
      <c r="X191" t="s">
        <v>76</v>
      </c>
      <c r="Y191">
        <v>-1.5707963267949001</v>
      </c>
      <c r="Z191">
        <v>0.66964923255000997</v>
      </c>
      <c r="AA191">
        <v>0.313247941020318</v>
      </c>
      <c r="AB191">
        <v>3.6016803740736E-2</v>
      </c>
      <c r="AC191">
        <v>1.7550173201891499E-2</v>
      </c>
      <c r="AD191">
        <v>1.3238892744947E-2</v>
      </c>
      <c r="AE191">
        <v>2.2297553961626099E-2</v>
      </c>
      <c r="AF191">
        <v>0</v>
      </c>
      <c r="AG191">
        <v>0.266982249344697</v>
      </c>
      <c r="AH191">
        <v>0.20785688552757001</v>
      </c>
      <c r="AI191">
        <v>0.43212185291236199</v>
      </c>
      <c r="AJ191" t="s">
        <v>74</v>
      </c>
      <c r="AK191">
        <v>0</v>
      </c>
      <c r="AL191" t="s">
        <v>77</v>
      </c>
      <c r="AM191">
        <v>0</v>
      </c>
      <c r="AN191">
        <v>0.99199999999999999</v>
      </c>
      <c r="AO191">
        <v>0</v>
      </c>
      <c r="AP191">
        <v>5.8245346242475203E-2</v>
      </c>
      <c r="AQ191">
        <v>0</v>
      </c>
      <c r="AR191">
        <v>1.6E-2</v>
      </c>
      <c r="AS191">
        <v>0</v>
      </c>
      <c r="AT191">
        <v>0</v>
      </c>
      <c r="AU191">
        <v>0</v>
      </c>
      <c r="AV191">
        <v>0</v>
      </c>
      <c r="AW191">
        <v>1</v>
      </c>
      <c r="AX191" t="s">
        <v>74</v>
      </c>
      <c r="AY191">
        <v>0</v>
      </c>
      <c r="AZ191" t="s">
        <v>76</v>
      </c>
      <c r="BA191">
        <v>-1.5707963267949001</v>
      </c>
      <c r="BB191">
        <v>0.99199999999999999</v>
      </c>
      <c r="BC191">
        <v>0</v>
      </c>
      <c r="BD191">
        <v>5.8245346242475203E-2</v>
      </c>
      <c r="BE191">
        <v>0</v>
      </c>
      <c r="BF191">
        <v>1.6E-2</v>
      </c>
      <c r="BG191">
        <v>0</v>
      </c>
      <c r="BH191">
        <v>0</v>
      </c>
      <c r="BI191">
        <v>0</v>
      </c>
      <c r="BJ191">
        <v>0</v>
      </c>
      <c r="BK191">
        <v>1</v>
      </c>
      <c r="BL191">
        <v>1.0491263602905299E-4</v>
      </c>
      <c r="BM191">
        <v>2.3741956743613399E-4</v>
      </c>
      <c r="BN191" s="1">
        <v>3.8196260585913201E-7</v>
      </c>
      <c r="BO191" s="1">
        <v>3.72937784437912E-6</v>
      </c>
      <c r="BP191">
        <v>0</v>
      </c>
      <c r="BQ191">
        <v>0</v>
      </c>
      <c r="BR191" s="1">
        <v>5.7039513827929898E-5</v>
      </c>
      <c r="BS191">
        <v>1.31016935578245E-4</v>
      </c>
    </row>
    <row r="192" spans="1:71" x14ac:dyDescent="0.25">
      <c r="A192">
        <v>189</v>
      </c>
      <c r="B192" s="1">
        <v>8.0799976331476894E-6</v>
      </c>
      <c r="C192">
        <v>0.106111537339822</v>
      </c>
      <c r="D192">
        <v>-3.09164818220916E-4</v>
      </c>
      <c r="E192">
        <v>6.1312499999999995E-4</v>
      </c>
      <c r="F192">
        <v>-1.06111537339822E-3</v>
      </c>
      <c r="G192" s="1">
        <v>1.0842021724855E-19</v>
      </c>
      <c r="H192" t="s">
        <v>74</v>
      </c>
      <c r="I192">
        <v>0</v>
      </c>
      <c r="J192" t="s">
        <v>75</v>
      </c>
      <c r="K192">
        <v>3.14159265358979</v>
      </c>
      <c r="L192">
        <v>0.67561813885660604</v>
      </c>
      <c r="M192">
        <v>0</v>
      </c>
      <c r="N192">
        <v>3.9668964138507803E-2</v>
      </c>
      <c r="O192">
        <v>0</v>
      </c>
      <c r="P192">
        <v>1.6E-2</v>
      </c>
      <c r="Q192">
        <v>0</v>
      </c>
      <c r="R192">
        <v>0</v>
      </c>
      <c r="S192">
        <v>0</v>
      </c>
      <c r="T192">
        <v>0</v>
      </c>
      <c r="U192">
        <v>0.68106667223447404</v>
      </c>
      <c r="V192" t="s">
        <v>78</v>
      </c>
      <c r="W192">
        <v>2310127.3869320201</v>
      </c>
      <c r="X192" t="s">
        <v>76</v>
      </c>
      <c r="Y192">
        <v>-1.5707963267949001</v>
      </c>
      <c r="Z192">
        <v>0.66797461376150502</v>
      </c>
      <c r="AA192">
        <v>0.3145567713122</v>
      </c>
      <c r="AB192">
        <v>3.5922291044579099E-2</v>
      </c>
      <c r="AC192">
        <v>1.76322238952221E-2</v>
      </c>
      <c r="AD192">
        <v>1.3131157955945501E-2</v>
      </c>
      <c r="AE192">
        <v>2.2422514315478301E-2</v>
      </c>
      <c r="AF192">
        <v>0</v>
      </c>
      <c r="AG192">
        <v>0.26698667601203602</v>
      </c>
      <c r="AH192">
        <v>0.21038726057627</v>
      </c>
      <c r="AI192">
        <v>0.42944752162747302</v>
      </c>
      <c r="AJ192" t="s">
        <v>74</v>
      </c>
      <c r="AK192">
        <v>0</v>
      </c>
      <c r="AL192" t="s">
        <v>77</v>
      </c>
      <c r="AM192">
        <v>0</v>
      </c>
      <c r="AN192">
        <v>0.99199999999999999</v>
      </c>
      <c r="AO192">
        <v>0</v>
      </c>
      <c r="AP192">
        <v>5.8245346242475203E-2</v>
      </c>
      <c r="AQ192">
        <v>0</v>
      </c>
      <c r="AR192">
        <v>1.6E-2</v>
      </c>
      <c r="AS192">
        <v>0</v>
      </c>
      <c r="AT192">
        <v>0</v>
      </c>
      <c r="AU192">
        <v>0</v>
      </c>
      <c r="AV192">
        <v>0</v>
      </c>
      <c r="AW192">
        <v>1</v>
      </c>
      <c r="AX192" t="s">
        <v>74</v>
      </c>
      <c r="AY192">
        <v>0</v>
      </c>
      <c r="AZ192" t="s">
        <v>76</v>
      </c>
      <c r="BA192">
        <v>-1.5707963267949001</v>
      </c>
      <c r="BB192">
        <v>0.99199999999999999</v>
      </c>
      <c r="BC192">
        <v>0</v>
      </c>
      <c r="BD192">
        <v>5.8245346242475203E-2</v>
      </c>
      <c r="BE192">
        <v>0</v>
      </c>
      <c r="BF192">
        <v>1.6E-2</v>
      </c>
      <c r="BG192">
        <v>0</v>
      </c>
      <c r="BH192">
        <v>0</v>
      </c>
      <c r="BI192">
        <v>0</v>
      </c>
      <c r="BJ192">
        <v>0</v>
      </c>
      <c r="BK192">
        <v>1</v>
      </c>
      <c r="BL192">
        <v>1.0485708578163E-4</v>
      </c>
      <c r="BM192">
        <v>2.38686968294153E-4</v>
      </c>
      <c r="BN192" s="1">
        <v>3.81768757746484E-7</v>
      </c>
      <c r="BO192" s="1">
        <v>3.74928613050266E-6</v>
      </c>
      <c r="BP192">
        <v>0</v>
      </c>
      <c r="BQ192">
        <v>0</v>
      </c>
      <c r="BR192" s="1">
        <v>5.7004792221418199E-5</v>
      </c>
      <c r="BS192">
        <v>1.31717451366705E-4</v>
      </c>
    </row>
    <row r="193" spans="1:71" x14ac:dyDescent="0.25">
      <c r="A193">
        <v>190</v>
      </c>
      <c r="B193" s="1">
        <v>8.08031025332397E-6</v>
      </c>
      <c r="C193">
        <v>0.10611961765007601</v>
      </c>
      <c r="D193">
        <v>-3.0920835938407599E-4</v>
      </c>
      <c r="E193">
        <v>6.1312499999999995E-4</v>
      </c>
      <c r="F193">
        <v>-1.0611961765007599E-3</v>
      </c>
      <c r="G193" s="1">
        <v>1.0842021724855E-19</v>
      </c>
      <c r="H193" t="s">
        <v>74</v>
      </c>
      <c r="I193">
        <v>0</v>
      </c>
      <c r="J193" t="s">
        <v>75</v>
      </c>
      <c r="K193">
        <v>3.14159265358979</v>
      </c>
      <c r="L193">
        <v>0.67393824699054505</v>
      </c>
      <c r="M193">
        <v>0</v>
      </c>
      <c r="N193">
        <v>3.95703291754144E-2</v>
      </c>
      <c r="O193">
        <v>0</v>
      </c>
      <c r="P193">
        <v>1.6E-2</v>
      </c>
      <c r="Q193">
        <v>0</v>
      </c>
      <c r="R193">
        <v>0</v>
      </c>
      <c r="S193">
        <v>0</v>
      </c>
      <c r="T193">
        <v>0</v>
      </c>
      <c r="U193">
        <v>0.67937323285335505</v>
      </c>
      <c r="V193" t="s">
        <v>78</v>
      </c>
      <c r="W193">
        <v>2310503.1260354999</v>
      </c>
      <c r="X193" t="s">
        <v>76</v>
      </c>
      <c r="Y193">
        <v>-1.5707963267949001</v>
      </c>
      <c r="Z193">
        <v>0.66630011030399305</v>
      </c>
      <c r="AA193">
        <v>0.31718009617506598</v>
      </c>
      <c r="AB193">
        <v>3.5827806418311597E-2</v>
      </c>
      <c r="AC193">
        <v>1.7755574939679102E-2</v>
      </c>
      <c r="AD193">
        <v>1.3023361218822299E-2</v>
      </c>
      <c r="AE193">
        <v>2.2547444361546602E-2</v>
      </c>
      <c r="AF193">
        <v>0</v>
      </c>
      <c r="AG193">
        <v>0.26697083287989698</v>
      </c>
      <c r="AH193">
        <v>0.212937814738448</v>
      </c>
      <c r="AI193">
        <v>0.426778062352624</v>
      </c>
      <c r="AJ193" t="s">
        <v>74</v>
      </c>
      <c r="AK193">
        <v>0</v>
      </c>
      <c r="AL193" t="s">
        <v>77</v>
      </c>
      <c r="AM193">
        <v>0</v>
      </c>
      <c r="AN193">
        <v>0.99199999999999999</v>
      </c>
      <c r="AO193">
        <v>0</v>
      </c>
      <c r="AP193">
        <v>5.8245346242475203E-2</v>
      </c>
      <c r="AQ193">
        <v>0</v>
      </c>
      <c r="AR193">
        <v>1.6E-2</v>
      </c>
      <c r="AS193">
        <v>0</v>
      </c>
      <c r="AT193">
        <v>0</v>
      </c>
      <c r="AU193">
        <v>0</v>
      </c>
      <c r="AV193">
        <v>0</v>
      </c>
      <c r="AW193">
        <v>1</v>
      </c>
      <c r="AX193" t="s">
        <v>74</v>
      </c>
      <c r="AY193">
        <v>0</v>
      </c>
      <c r="AZ193" t="s">
        <v>76</v>
      </c>
      <c r="BA193">
        <v>-1.5707963267949001</v>
      </c>
      <c r="BB193">
        <v>0.99199999999999999</v>
      </c>
      <c r="BC193">
        <v>0</v>
      </c>
      <c r="BD193">
        <v>5.8245346242475203E-2</v>
      </c>
      <c r="BE193">
        <v>0</v>
      </c>
      <c r="BF193">
        <v>1.6E-2</v>
      </c>
      <c r="BG193">
        <v>0</v>
      </c>
      <c r="BH193">
        <v>0</v>
      </c>
      <c r="BI193">
        <v>0</v>
      </c>
      <c r="BJ193">
        <v>0</v>
      </c>
      <c r="BK193">
        <v>1</v>
      </c>
      <c r="BL193">
        <v>1.04822201509178E-4</v>
      </c>
      <c r="BM193">
        <v>2.3995432380917301E-4</v>
      </c>
      <c r="BN193" s="1">
        <v>3.8161635613796601E-7</v>
      </c>
      <c r="BO193" s="1">
        <v>3.7691937043800199E-6</v>
      </c>
      <c r="BP193">
        <v>0</v>
      </c>
      <c r="BQ193">
        <v>0</v>
      </c>
      <c r="BR193" s="1">
        <v>5.6981474056888703E-5</v>
      </c>
      <c r="BS193">
        <v>1.3241795402515701E-4</v>
      </c>
    </row>
    <row r="194" spans="1:71" x14ac:dyDescent="0.25">
      <c r="A194">
        <v>191</v>
      </c>
      <c r="B194" s="1">
        <v>8.0812133887250294E-6</v>
      </c>
      <c r="C194">
        <v>0.106127698863465</v>
      </c>
      <c r="D194">
        <v>-3.0925190365449902E-4</v>
      </c>
      <c r="E194">
        <v>6.1312499999999995E-4</v>
      </c>
      <c r="F194">
        <v>-1.0612769886346499E-3</v>
      </c>
      <c r="G194">
        <v>0</v>
      </c>
      <c r="H194" t="s">
        <v>74</v>
      </c>
      <c r="I194">
        <v>0</v>
      </c>
      <c r="J194" t="s">
        <v>75</v>
      </c>
      <c r="K194">
        <v>3.14159265358979</v>
      </c>
      <c r="L194">
        <v>0.67225841617666404</v>
      </c>
      <c r="M194">
        <v>0</v>
      </c>
      <c r="N194">
        <v>3.9471697797003803E-2</v>
      </c>
      <c r="O194">
        <v>0</v>
      </c>
      <c r="P194">
        <v>1.6E-2</v>
      </c>
      <c r="Q194">
        <v>0</v>
      </c>
      <c r="R194">
        <v>0</v>
      </c>
      <c r="S194">
        <v>0</v>
      </c>
      <c r="T194">
        <v>0</v>
      </c>
      <c r="U194">
        <v>0.67767985501676897</v>
      </c>
      <c r="V194" t="s">
        <v>78</v>
      </c>
      <c r="W194">
        <v>2310878.8919531498</v>
      </c>
      <c r="X194" t="s">
        <v>76</v>
      </c>
      <c r="Y194">
        <v>-1.5707963267949001</v>
      </c>
      <c r="Z194">
        <v>0.66462572219912497</v>
      </c>
      <c r="AA194">
        <v>0.31846705838494299</v>
      </c>
      <c r="AB194">
        <v>3.5733349541863101E-2</v>
      </c>
      <c r="AC194">
        <v>1.7836949425175601E-2</v>
      </c>
      <c r="AD194">
        <v>1.2915504757264299E-2</v>
      </c>
      <c r="AE194">
        <v>2.26723431372771E-2</v>
      </c>
      <c r="AF194">
        <v>0</v>
      </c>
      <c r="AG194">
        <v>0.26693458673902898</v>
      </c>
      <c r="AH194">
        <v>0.215508679790548</v>
      </c>
      <c r="AI194">
        <v>0.424113495123361</v>
      </c>
      <c r="AJ194" t="s">
        <v>74</v>
      </c>
      <c r="AK194">
        <v>0</v>
      </c>
      <c r="AL194" t="s">
        <v>77</v>
      </c>
      <c r="AM194">
        <v>0</v>
      </c>
      <c r="AN194">
        <v>0.99199999999999999</v>
      </c>
      <c r="AO194">
        <v>0</v>
      </c>
      <c r="AP194">
        <v>5.8245346242475203E-2</v>
      </c>
      <c r="AQ194">
        <v>0</v>
      </c>
      <c r="AR194">
        <v>1.6E-2</v>
      </c>
      <c r="AS194">
        <v>0</v>
      </c>
      <c r="AT194">
        <v>0</v>
      </c>
      <c r="AU194">
        <v>0</v>
      </c>
      <c r="AV194">
        <v>0</v>
      </c>
      <c r="AW194">
        <v>1</v>
      </c>
      <c r="AX194" t="s">
        <v>74</v>
      </c>
      <c r="AY194">
        <v>0</v>
      </c>
      <c r="AZ194" t="s">
        <v>76</v>
      </c>
      <c r="BA194">
        <v>-1.5707963267949001</v>
      </c>
      <c r="BB194">
        <v>0.99199999999999999</v>
      </c>
      <c r="BC194">
        <v>0</v>
      </c>
      <c r="BD194">
        <v>5.8245346242475203E-2</v>
      </c>
      <c r="BE194">
        <v>0</v>
      </c>
      <c r="BF194">
        <v>1.6E-2</v>
      </c>
      <c r="BG194">
        <v>0</v>
      </c>
      <c r="BH194">
        <v>0</v>
      </c>
      <c r="BI194">
        <v>0</v>
      </c>
      <c r="BJ194">
        <v>0</v>
      </c>
      <c r="BK194">
        <v>1</v>
      </c>
      <c r="BL194">
        <v>1.0476634462449601E-4</v>
      </c>
      <c r="BM194">
        <v>2.4122163326478801E-4</v>
      </c>
      <c r="BN194" s="1">
        <v>3.8142212572714302E-7</v>
      </c>
      <c r="BO194" s="1">
        <v>3.78910055475795E-6</v>
      </c>
      <c r="BP194">
        <v>0</v>
      </c>
      <c r="BQ194">
        <v>0</v>
      </c>
      <c r="BR194" s="1">
        <v>5.6946581353574797E-5</v>
      </c>
      <c r="BS194">
        <v>1.3311844324060101E-4</v>
      </c>
    </row>
    <row r="195" spans="1:71" x14ac:dyDescent="0.25">
      <c r="A195">
        <v>192</v>
      </c>
      <c r="B195" s="1">
        <v>8.0827110264766895E-6</v>
      </c>
      <c r="C195">
        <v>0.10613578157449099</v>
      </c>
      <c r="D195">
        <v>-3.0929545423491602E-4</v>
      </c>
      <c r="E195">
        <v>6.1312499999999995E-4</v>
      </c>
      <c r="F195">
        <v>-1.06135781574491E-3</v>
      </c>
      <c r="G195">
        <v>0</v>
      </c>
      <c r="H195" t="s">
        <v>74</v>
      </c>
      <c r="I195">
        <v>0</v>
      </c>
      <c r="J195" t="s">
        <v>75</v>
      </c>
      <c r="K195">
        <v>3.14159265358979</v>
      </c>
      <c r="L195">
        <v>0.670578647387292</v>
      </c>
      <c r="M195">
        <v>0</v>
      </c>
      <c r="N195">
        <v>3.93730700603665E-2</v>
      </c>
      <c r="O195">
        <v>0</v>
      </c>
      <c r="P195">
        <v>1.6E-2</v>
      </c>
      <c r="Q195">
        <v>0</v>
      </c>
      <c r="R195">
        <v>0</v>
      </c>
      <c r="S195">
        <v>0</v>
      </c>
      <c r="T195">
        <v>0</v>
      </c>
      <c r="U195">
        <v>0.67598653970488498</v>
      </c>
      <c r="V195" t="s">
        <v>78</v>
      </c>
      <c r="W195">
        <v>2311254.7123229802</v>
      </c>
      <c r="X195" t="s">
        <v>76</v>
      </c>
      <c r="Y195">
        <v>-1.5707963267949001</v>
      </c>
      <c r="Z195">
        <v>0.66295144949093499</v>
      </c>
      <c r="AA195">
        <v>0.31974307798827301</v>
      </c>
      <c r="AB195">
        <v>3.5638920097408398E-2</v>
      </c>
      <c r="AC195">
        <v>1.7917984860290701E-2</v>
      </c>
      <c r="AD195">
        <v>1.2807590787038799E-2</v>
      </c>
      <c r="AE195">
        <v>2.2797209678089399E-2</v>
      </c>
      <c r="AF195">
        <v>0</v>
      </c>
      <c r="AG195">
        <v>0.26687780238132602</v>
      </c>
      <c r="AH195">
        <v>0.21809998947357301</v>
      </c>
      <c r="AI195">
        <v>0.421453840110314</v>
      </c>
      <c r="AJ195" t="s">
        <v>74</v>
      </c>
      <c r="AK195">
        <v>0</v>
      </c>
      <c r="AL195" t="s">
        <v>77</v>
      </c>
      <c r="AM195">
        <v>0</v>
      </c>
      <c r="AN195">
        <v>0.99199999999999999</v>
      </c>
      <c r="AO195">
        <v>0</v>
      </c>
      <c r="AP195">
        <v>5.8245346242475203E-2</v>
      </c>
      <c r="AQ195">
        <v>0</v>
      </c>
      <c r="AR195">
        <v>1.6E-2</v>
      </c>
      <c r="AS195">
        <v>0</v>
      </c>
      <c r="AT195">
        <v>0</v>
      </c>
      <c r="AU195">
        <v>0</v>
      </c>
      <c r="AV195">
        <v>0</v>
      </c>
      <c r="AW195">
        <v>1</v>
      </c>
      <c r="AX195" t="s">
        <v>74</v>
      </c>
      <c r="AY195">
        <v>0</v>
      </c>
      <c r="AZ195" t="s">
        <v>76</v>
      </c>
      <c r="BA195">
        <v>-1.5707963267949001</v>
      </c>
      <c r="BB195">
        <v>0.99199999999999999</v>
      </c>
      <c r="BC195">
        <v>0</v>
      </c>
      <c r="BD195">
        <v>5.8245346242475203E-2</v>
      </c>
      <c r="BE195">
        <v>0</v>
      </c>
      <c r="BF195">
        <v>1.6E-2</v>
      </c>
      <c r="BG195">
        <v>0</v>
      </c>
      <c r="BH195">
        <v>0</v>
      </c>
      <c r="BI195">
        <v>0</v>
      </c>
      <c r="BJ195">
        <v>0</v>
      </c>
      <c r="BK195">
        <v>1</v>
      </c>
      <c r="BL195">
        <v>1.04710333751508E-4</v>
      </c>
      <c r="BM195">
        <v>2.4248889592745E-4</v>
      </c>
      <c r="BN195" s="1">
        <v>3.8122770203973798E-7</v>
      </c>
      <c r="BO195" s="1">
        <v>3.8090066701138799E-6</v>
      </c>
      <c r="BP195">
        <v>0</v>
      </c>
      <c r="BQ195">
        <v>0</v>
      </c>
      <c r="BR195" s="1">
        <v>5.6911602729370501E-5</v>
      </c>
      <c r="BS195">
        <v>1.3381891869284699E-4</v>
      </c>
    </row>
    <row r="196" spans="1:71" x14ac:dyDescent="0.25">
      <c r="A196">
        <v>193</v>
      </c>
      <c r="B196" s="1">
        <v>8.0848074755116894E-6</v>
      </c>
      <c r="C196">
        <v>0.106143866381966</v>
      </c>
      <c r="D196">
        <v>-3.09339014350751E-4</v>
      </c>
      <c r="E196">
        <v>6.1312499999999995E-4</v>
      </c>
      <c r="F196">
        <v>-1.0614386638196701E-3</v>
      </c>
      <c r="G196" s="1">
        <v>1.0842021724855E-19</v>
      </c>
      <c r="H196" t="s">
        <v>74</v>
      </c>
      <c r="I196">
        <v>0</v>
      </c>
      <c r="J196" t="s">
        <v>75</v>
      </c>
      <c r="K196">
        <v>3.14159265358979</v>
      </c>
      <c r="L196">
        <v>0.66889894161819896</v>
      </c>
      <c r="M196">
        <v>0</v>
      </c>
      <c r="N196">
        <v>3.9274446023968998E-2</v>
      </c>
      <c r="O196">
        <v>0</v>
      </c>
      <c r="P196">
        <v>1.6E-2</v>
      </c>
      <c r="Q196">
        <v>0</v>
      </c>
      <c r="R196">
        <v>0</v>
      </c>
      <c r="S196">
        <v>0</v>
      </c>
      <c r="T196">
        <v>0</v>
      </c>
      <c r="U196">
        <v>0.67429328792150001</v>
      </c>
      <c r="V196" t="s">
        <v>78</v>
      </c>
      <c r="W196">
        <v>2311630.6149788499</v>
      </c>
      <c r="X196" t="s">
        <v>76</v>
      </c>
      <c r="Y196">
        <v>-1.5707963267949001</v>
      </c>
      <c r="Z196">
        <v>0.66127729224610099</v>
      </c>
      <c r="AA196">
        <v>0.321008149581338</v>
      </c>
      <c r="AB196">
        <v>3.5544517769233501E-2</v>
      </c>
      <c r="AC196">
        <v>1.7998681593273402E-2</v>
      </c>
      <c r="AD196">
        <v>1.26996215165961E-2</v>
      </c>
      <c r="AE196">
        <v>2.2922043017262798E-2</v>
      </c>
      <c r="AF196">
        <v>0</v>
      </c>
      <c r="AG196">
        <v>0.26680034255276602</v>
      </c>
      <c r="AH196">
        <v>0.22071187953907601</v>
      </c>
      <c r="AI196">
        <v>0.41879911762150801</v>
      </c>
      <c r="AJ196" t="s">
        <v>74</v>
      </c>
      <c r="AK196">
        <v>0</v>
      </c>
      <c r="AL196" t="s">
        <v>77</v>
      </c>
      <c r="AM196">
        <v>0</v>
      </c>
      <c r="AN196">
        <v>0.99199999999999999</v>
      </c>
      <c r="AO196">
        <v>0</v>
      </c>
      <c r="AP196">
        <v>5.8245346242475203E-2</v>
      </c>
      <c r="AQ196">
        <v>0</v>
      </c>
      <c r="AR196">
        <v>1.6E-2</v>
      </c>
      <c r="AS196">
        <v>0</v>
      </c>
      <c r="AT196">
        <v>0</v>
      </c>
      <c r="AU196">
        <v>0</v>
      </c>
      <c r="AV196">
        <v>0</v>
      </c>
      <c r="AW196">
        <v>1</v>
      </c>
      <c r="AX196" t="s">
        <v>74</v>
      </c>
      <c r="AY196">
        <v>0</v>
      </c>
      <c r="AZ196" t="s">
        <v>76</v>
      </c>
      <c r="BA196">
        <v>-1.5707963267949001</v>
      </c>
      <c r="BB196">
        <v>0.99199999999999999</v>
      </c>
      <c r="BC196">
        <v>0</v>
      </c>
      <c r="BD196">
        <v>5.8245346242475203E-2</v>
      </c>
      <c r="BE196">
        <v>0</v>
      </c>
      <c r="BF196">
        <v>1.6E-2</v>
      </c>
      <c r="BG196">
        <v>0</v>
      </c>
      <c r="BH196">
        <v>0</v>
      </c>
      <c r="BI196">
        <v>0</v>
      </c>
      <c r="BJ196">
        <v>0</v>
      </c>
      <c r="BK196">
        <v>1</v>
      </c>
      <c r="BL196">
        <v>1.04654168935713E-4</v>
      </c>
      <c r="BM196">
        <v>2.43756111045921E-4</v>
      </c>
      <c r="BN196" s="1">
        <v>3.8103308554388302E-7</v>
      </c>
      <c r="BO196" s="1">
        <v>3.82891203864742E-6</v>
      </c>
      <c r="BP196">
        <v>0</v>
      </c>
      <c r="BQ196">
        <v>0</v>
      </c>
      <c r="BR196" s="1">
        <v>5.6876538240040803E-5</v>
      </c>
      <c r="BS196">
        <v>1.3451938005428301E-4</v>
      </c>
    </row>
    <row r="197" spans="1:71" x14ac:dyDescent="0.25">
      <c r="A197">
        <v>194</v>
      </c>
      <c r="B197" s="1">
        <v>8.0875073739873207E-6</v>
      </c>
      <c r="C197">
        <v>0.10615195388934</v>
      </c>
      <c r="D197">
        <v>-3.0938258725189899E-4</v>
      </c>
      <c r="E197">
        <v>6.1312499999999995E-4</v>
      </c>
      <c r="F197">
        <v>-1.0615195388934101E-3</v>
      </c>
      <c r="G197">
        <v>0</v>
      </c>
      <c r="H197" t="s">
        <v>74</v>
      </c>
      <c r="I197">
        <v>0</v>
      </c>
      <c r="J197" t="s">
        <v>75</v>
      </c>
      <c r="K197">
        <v>3.14159265358979</v>
      </c>
      <c r="L197">
        <v>0.667219299889385</v>
      </c>
      <c r="M197">
        <v>0</v>
      </c>
      <c r="N197">
        <v>3.9175825747700697E-2</v>
      </c>
      <c r="O197">
        <v>0</v>
      </c>
      <c r="P197">
        <v>1.6E-2</v>
      </c>
      <c r="Q197">
        <v>0</v>
      </c>
      <c r="R197">
        <v>0</v>
      </c>
      <c r="S197">
        <v>0</v>
      </c>
      <c r="T197">
        <v>0</v>
      </c>
      <c r="U197">
        <v>0.672600100694842</v>
      </c>
      <c r="V197" t="s">
        <v>78</v>
      </c>
      <c r="W197">
        <v>2312006.62796576</v>
      </c>
      <c r="X197" t="s">
        <v>76</v>
      </c>
      <c r="Y197">
        <v>-1.5707963267949001</v>
      </c>
      <c r="Z197">
        <v>0.65960325055425595</v>
      </c>
      <c r="AA197">
        <v>0.32354394465469399</v>
      </c>
      <c r="AB197">
        <v>3.54501422436019E-2</v>
      </c>
      <c r="AC197">
        <v>1.8119304968233999E-2</v>
      </c>
      <c r="AD197">
        <v>1.25915991476754E-2</v>
      </c>
      <c r="AE197">
        <v>2.3046842185819899E-2</v>
      </c>
      <c r="AF197">
        <v>0</v>
      </c>
      <c r="AG197">
        <v>0.26670206790484102</v>
      </c>
      <c r="AH197">
        <v>0.22334448779653299</v>
      </c>
      <c r="AI197">
        <v>0.41614934810479698</v>
      </c>
      <c r="AJ197" t="s">
        <v>74</v>
      </c>
      <c r="AK197">
        <v>0</v>
      </c>
      <c r="AL197" t="s">
        <v>77</v>
      </c>
      <c r="AM197">
        <v>0</v>
      </c>
      <c r="AN197">
        <v>0.99199999999999999</v>
      </c>
      <c r="AO197">
        <v>0</v>
      </c>
      <c r="AP197">
        <v>5.8245346242475203E-2</v>
      </c>
      <c r="AQ197">
        <v>0</v>
      </c>
      <c r="AR197">
        <v>1.6E-2</v>
      </c>
      <c r="AS197">
        <v>0</v>
      </c>
      <c r="AT197">
        <v>0</v>
      </c>
      <c r="AU197">
        <v>0</v>
      </c>
      <c r="AV197">
        <v>0</v>
      </c>
      <c r="AW197">
        <v>1</v>
      </c>
      <c r="AX197" t="s">
        <v>74</v>
      </c>
      <c r="AY197">
        <v>0</v>
      </c>
      <c r="AZ197" t="s">
        <v>76</v>
      </c>
      <c r="BA197">
        <v>-1.5707963267949001</v>
      </c>
      <c r="BB197">
        <v>0.99199999999999999</v>
      </c>
      <c r="BC197">
        <v>0</v>
      </c>
      <c r="BD197">
        <v>5.8245346242475203E-2</v>
      </c>
      <c r="BE197">
        <v>0</v>
      </c>
      <c r="BF197">
        <v>1.6E-2</v>
      </c>
      <c r="BG197">
        <v>0</v>
      </c>
      <c r="BH197">
        <v>0</v>
      </c>
      <c r="BI197">
        <v>0</v>
      </c>
      <c r="BJ197">
        <v>0</v>
      </c>
      <c r="BK197">
        <v>1</v>
      </c>
      <c r="BL197">
        <v>1.04617982722244E-4</v>
      </c>
      <c r="BM197">
        <v>2.4502327785068699E-4</v>
      </c>
      <c r="BN197" s="1">
        <v>3.8087854166699102E-7</v>
      </c>
      <c r="BO197" s="1">
        <v>3.8488166482710503E-6</v>
      </c>
      <c r="BP197">
        <v>0</v>
      </c>
      <c r="BQ197">
        <v>0</v>
      </c>
      <c r="BR197" s="1">
        <v>5.6852498367966602E-5</v>
      </c>
      <c r="BS197">
        <v>1.3521982698960899E-4</v>
      </c>
    </row>
    <row r="198" spans="1:71" x14ac:dyDescent="0.25">
      <c r="A198">
        <v>195</v>
      </c>
      <c r="B198" s="1">
        <v>8.0908156973165008E-6</v>
      </c>
      <c r="C198">
        <v>0.106160044705038</v>
      </c>
      <c r="D198">
        <v>-3.09426176214533E-4</v>
      </c>
      <c r="E198">
        <v>6.1312499999999995E-4</v>
      </c>
      <c r="F198">
        <v>-1.06160044705038E-3</v>
      </c>
      <c r="G198">
        <v>0</v>
      </c>
      <c r="H198" t="s">
        <v>74</v>
      </c>
      <c r="I198">
        <v>0</v>
      </c>
      <c r="J198" t="s">
        <v>75</v>
      </c>
      <c r="K198">
        <v>3.14159265358979</v>
      </c>
      <c r="L198">
        <v>0.66553972324585298</v>
      </c>
      <c r="M198">
        <v>0</v>
      </c>
      <c r="N198">
        <v>3.9077209292919197E-2</v>
      </c>
      <c r="O198">
        <v>0</v>
      </c>
      <c r="P198">
        <v>1.6E-2</v>
      </c>
      <c r="Q198">
        <v>0</v>
      </c>
      <c r="R198">
        <v>0</v>
      </c>
      <c r="S198">
        <v>0</v>
      </c>
      <c r="T198">
        <v>0</v>
      </c>
      <c r="U198">
        <v>0.67090697907833896</v>
      </c>
      <c r="V198" t="s">
        <v>78</v>
      </c>
      <c r="W198">
        <v>2312382.7795555098</v>
      </c>
      <c r="X198" t="s">
        <v>76</v>
      </c>
      <c r="Y198">
        <v>-1.5707963267949001</v>
      </c>
      <c r="Z198">
        <v>0.65792932452828701</v>
      </c>
      <c r="AA198">
        <v>0.32478710493311003</v>
      </c>
      <c r="AB198">
        <v>3.5355793208619701E-2</v>
      </c>
      <c r="AC198">
        <v>1.8199325846597302E-2</v>
      </c>
      <c r="AD198">
        <v>1.24835258759064E-2</v>
      </c>
      <c r="AE198">
        <v>2.31716062124122E-2</v>
      </c>
      <c r="AF198">
        <v>0</v>
      </c>
      <c r="AG198">
        <v>0.26658283694444102</v>
      </c>
      <c r="AH198">
        <v>0.22599795416229801</v>
      </c>
      <c r="AI198">
        <v>0.413504552150251</v>
      </c>
      <c r="AJ198" t="s">
        <v>74</v>
      </c>
      <c r="AK198">
        <v>0</v>
      </c>
      <c r="AL198" t="s">
        <v>77</v>
      </c>
      <c r="AM198">
        <v>0</v>
      </c>
      <c r="AN198">
        <v>0.99199999999999999</v>
      </c>
      <c r="AO198">
        <v>0</v>
      </c>
      <c r="AP198">
        <v>5.8245346242475203E-2</v>
      </c>
      <c r="AQ198">
        <v>0</v>
      </c>
      <c r="AR198">
        <v>1.6E-2</v>
      </c>
      <c r="AS198">
        <v>0</v>
      </c>
      <c r="AT198">
        <v>0</v>
      </c>
      <c r="AU198">
        <v>0</v>
      </c>
      <c r="AV198">
        <v>0</v>
      </c>
      <c r="AW198">
        <v>1</v>
      </c>
      <c r="AX198" t="s">
        <v>74</v>
      </c>
      <c r="AY198">
        <v>0</v>
      </c>
      <c r="AZ198" t="s">
        <v>76</v>
      </c>
      <c r="BA198">
        <v>-1.5707963267949001</v>
      </c>
      <c r="BB198">
        <v>0.99199999999999999</v>
      </c>
      <c r="BC198">
        <v>0</v>
      </c>
      <c r="BD198">
        <v>5.8245346242475203E-2</v>
      </c>
      <c r="BE198">
        <v>0</v>
      </c>
      <c r="BF198">
        <v>1.6E-2</v>
      </c>
      <c r="BG198">
        <v>0</v>
      </c>
      <c r="BH198">
        <v>0</v>
      </c>
      <c r="BI198">
        <v>0</v>
      </c>
      <c r="BJ198">
        <v>0</v>
      </c>
      <c r="BK198">
        <v>1</v>
      </c>
      <c r="BL198">
        <v>1.0456151041654301E-4</v>
      </c>
      <c r="BM198">
        <v>2.4629039555336901E-4</v>
      </c>
      <c r="BN198" s="1">
        <v>3.8068354200219099E-7</v>
      </c>
      <c r="BO198" s="1">
        <v>3.8687204866009503E-6</v>
      </c>
      <c r="BP198">
        <v>0</v>
      </c>
      <c r="BQ198">
        <v>0</v>
      </c>
      <c r="BR198" s="1">
        <v>5.6817262553577398E-5</v>
      </c>
      <c r="BS198">
        <v>1.3592025915557199E-4</v>
      </c>
    </row>
    <row r="199" spans="1:71" x14ac:dyDescent="0.25">
      <c r="A199">
        <v>196</v>
      </c>
      <c r="B199" s="1">
        <v>8.0947377667526893E-6</v>
      </c>
      <c r="C199">
        <v>0.106168139442805</v>
      </c>
      <c r="D199">
        <v>-3.0946978454296102E-4</v>
      </c>
      <c r="E199">
        <v>6.1312499999999995E-4</v>
      </c>
      <c r="F199">
        <v>-1.06168139442805E-3</v>
      </c>
      <c r="G199">
        <v>0</v>
      </c>
      <c r="H199" t="s">
        <v>74</v>
      </c>
      <c r="I199">
        <v>0</v>
      </c>
      <c r="J199" t="s">
        <v>75</v>
      </c>
      <c r="K199">
        <v>3.14159265358979</v>
      </c>
      <c r="L199">
        <v>0.66386021275845097</v>
      </c>
      <c r="M199">
        <v>0</v>
      </c>
      <c r="N199">
        <v>3.8978596722499197E-2</v>
      </c>
      <c r="O199">
        <v>0</v>
      </c>
      <c r="P199">
        <v>1.6E-2</v>
      </c>
      <c r="Q199">
        <v>0</v>
      </c>
      <c r="R199">
        <v>0</v>
      </c>
      <c r="S199">
        <v>0</v>
      </c>
      <c r="T199">
        <v>0</v>
      </c>
      <c r="U199">
        <v>0.66921392415147496</v>
      </c>
      <c r="V199" t="s">
        <v>78</v>
      </c>
      <c r="W199">
        <v>2312759.09826265</v>
      </c>
      <c r="X199" t="s">
        <v>76</v>
      </c>
      <c r="Y199">
        <v>-1.5707963267949001</v>
      </c>
      <c r="Z199">
        <v>0.65625551430469697</v>
      </c>
      <c r="AA199">
        <v>0.32601930236469401</v>
      </c>
      <c r="AB199">
        <v>3.52614703541008E-2</v>
      </c>
      <c r="AC199">
        <v>1.8279008672578E-2</v>
      </c>
      <c r="AD199">
        <v>1.23754038914148E-2</v>
      </c>
      <c r="AE199">
        <v>2.3296334123204102E-2</v>
      </c>
      <c r="AF199">
        <v>0</v>
      </c>
      <c r="AG199">
        <v>0.26644250598213898</v>
      </c>
      <c r="AH199">
        <v>0.22867242071004401</v>
      </c>
      <c r="AI199">
        <v>0.41086475049264898</v>
      </c>
      <c r="AJ199" t="s">
        <v>74</v>
      </c>
      <c r="AK199">
        <v>0</v>
      </c>
      <c r="AL199" t="s">
        <v>77</v>
      </c>
      <c r="AM199">
        <v>0</v>
      </c>
      <c r="AN199">
        <v>0.99199999999999999</v>
      </c>
      <c r="AO199">
        <v>0</v>
      </c>
      <c r="AP199">
        <v>5.8245346242475203E-2</v>
      </c>
      <c r="AQ199">
        <v>0</v>
      </c>
      <c r="AR199">
        <v>1.6E-2</v>
      </c>
      <c r="AS199">
        <v>0</v>
      </c>
      <c r="AT199">
        <v>0</v>
      </c>
      <c r="AU199">
        <v>0</v>
      </c>
      <c r="AV199">
        <v>0</v>
      </c>
      <c r="AW199">
        <v>1</v>
      </c>
      <c r="AX199" t="s">
        <v>74</v>
      </c>
      <c r="AY199">
        <v>0</v>
      </c>
      <c r="AZ199" t="s">
        <v>76</v>
      </c>
      <c r="BA199">
        <v>-1.5707963267949001</v>
      </c>
      <c r="BB199">
        <v>0.99199999999999999</v>
      </c>
      <c r="BC199">
        <v>0</v>
      </c>
      <c r="BD199">
        <v>5.8245346242475203E-2</v>
      </c>
      <c r="BE199">
        <v>0</v>
      </c>
      <c r="BF199">
        <v>1.6E-2</v>
      </c>
      <c r="BG199">
        <v>0</v>
      </c>
      <c r="BH199">
        <v>0</v>
      </c>
      <c r="BI199">
        <v>0</v>
      </c>
      <c r="BJ199">
        <v>0</v>
      </c>
      <c r="BK199">
        <v>1</v>
      </c>
      <c r="BL199">
        <v>1.04504884117064E-4</v>
      </c>
      <c r="BM199">
        <v>2.4755746334609199E-4</v>
      </c>
      <c r="BN199" s="1">
        <v>3.8048835030651601E-7</v>
      </c>
      <c r="BO199" s="1">
        <v>3.88862354094703E-6</v>
      </c>
      <c r="BP199">
        <v>0</v>
      </c>
      <c r="BQ199">
        <v>0</v>
      </c>
      <c r="BR199" s="1">
        <v>5.6781940938765798E-5</v>
      </c>
      <c r="BS199">
        <v>1.3662067620069199E-4</v>
      </c>
    </row>
    <row r="200" spans="1:71" x14ac:dyDescent="0.25">
      <c r="A200">
        <v>197</v>
      </c>
      <c r="B200" s="1">
        <v>8.0992792584786901E-6</v>
      </c>
      <c r="C200">
        <v>0.106176238722063</v>
      </c>
      <c r="D200">
        <v>-3.0951341557153397E-4</v>
      </c>
      <c r="E200">
        <v>6.1312499999999995E-4</v>
      </c>
      <c r="F200">
        <v>-1.0617623872206301E-3</v>
      </c>
      <c r="G200" s="1">
        <v>1.0842021724855E-19</v>
      </c>
      <c r="H200" t="s">
        <v>74</v>
      </c>
      <c r="I200">
        <v>0</v>
      </c>
      <c r="J200" t="s">
        <v>75</v>
      </c>
      <c r="K200">
        <v>3.14159265358979</v>
      </c>
      <c r="L200">
        <v>0.66218076952472404</v>
      </c>
      <c r="M200">
        <v>0</v>
      </c>
      <c r="N200">
        <v>3.8879988100883299E-2</v>
      </c>
      <c r="O200">
        <v>0</v>
      </c>
      <c r="P200">
        <v>1.6E-2</v>
      </c>
      <c r="Q200">
        <v>0</v>
      </c>
      <c r="R200">
        <v>0</v>
      </c>
      <c r="S200">
        <v>0</v>
      </c>
      <c r="T200">
        <v>0</v>
      </c>
      <c r="U200">
        <v>0.66752093702064597</v>
      </c>
      <c r="V200" t="s">
        <v>78</v>
      </c>
      <c r="W200">
        <v>2313135.61286102</v>
      </c>
      <c r="X200" t="s">
        <v>76</v>
      </c>
      <c r="Y200">
        <v>-1.5707963267949001</v>
      </c>
      <c r="Z200">
        <v>0.65458182004395005</v>
      </c>
      <c r="AA200">
        <v>0.32724053246097301</v>
      </c>
      <c r="AB200">
        <v>3.5167173371430598E-2</v>
      </c>
      <c r="AC200">
        <v>1.8358352787489499E-2</v>
      </c>
      <c r="AD200">
        <v>1.22672353794254E-2</v>
      </c>
      <c r="AE200">
        <v>2.3421024941757899E-2</v>
      </c>
      <c r="AF200">
        <v>0</v>
      </c>
      <c r="AG200">
        <v>0.26628092907878098</v>
      </c>
      <c r="AH200">
        <v>0.23136803172289</v>
      </c>
      <c r="AI200">
        <v>0.40822996401397799</v>
      </c>
      <c r="AJ200" t="s">
        <v>74</v>
      </c>
      <c r="AK200">
        <v>0</v>
      </c>
      <c r="AL200" t="s">
        <v>77</v>
      </c>
      <c r="AM200">
        <v>0</v>
      </c>
      <c r="AN200">
        <v>0.99199999999999999</v>
      </c>
      <c r="AO200">
        <v>0</v>
      </c>
      <c r="AP200">
        <v>5.8245346242475203E-2</v>
      </c>
      <c r="AQ200">
        <v>0</v>
      </c>
      <c r="AR200">
        <v>1.6E-2</v>
      </c>
      <c r="AS200">
        <v>0</v>
      </c>
      <c r="AT200">
        <v>0</v>
      </c>
      <c r="AU200">
        <v>0</v>
      </c>
      <c r="AV200">
        <v>0</v>
      </c>
      <c r="AW200">
        <v>1</v>
      </c>
      <c r="AX200" t="s">
        <v>74</v>
      </c>
      <c r="AY200">
        <v>0</v>
      </c>
      <c r="AZ200" t="s">
        <v>76</v>
      </c>
      <c r="BA200">
        <v>-1.5707963267949001</v>
      </c>
      <c r="BB200">
        <v>0.99199999999999999</v>
      </c>
      <c r="BC200">
        <v>0</v>
      </c>
      <c r="BD200">
        <v>5.8245346242475203E-2</v>
      </c>
      <c r="BE200">
        <v>0</v>
      </c>
      <c r="BF200">
        <v>1.6E-2</v>
      </c>
      <c r="BG200">
        <v>0</v>
      </c>
      <c r="BH200">
        <v>0</v>
      </c>
      <c r="BI200">
        <v>0</v>
      </c>
      <c r="BJ200">
        <v>0</v>
      </c>
      <c r="BK200">
        <v>1</v>
      </c>
      <c r="BL200">
        <v>1.04448103372377E-4</v>
      </c>
      <c r="BM200">
        <v>2.48824480400836E-4</v>
      </c>
      <c r="BN200" s="1">
        <v>3.8029296521761799E-7</v>
      </c>
      <c r="BO200" s="1">
        <v>3.9085257983028097E-6</v>
      </c>
      <c r="BP200">
        <v>0</v>
      </c>
      <c r="BQ200">
        <v>0</v>
      </c>
      <c r="BR200" s="1">
        <v>5.6746533305663203E-5</v>
      </c>
      <c r="BS200">
        <v>1.3732107776497199E-4</v>
      </c>
    </row>
    <row r="201" spans="1:71" x14ac:dyDescent="0.25">
      <c r="A201">
        <v>198</v>
      </c>
      <c r="B201" s="1">
        <v>8.1044462133197394E-6</v>
      </c>
      <c r="C201">
        <v>0.106184343168276</v>
      </c>
      <c r="D201">
        <v>-3.09557072666601E-4</v>
      </c>
      <c r="E201">
        <v>6.1312499999999995E-4</v>
      </c>
      <c r="F201">
        <v>-1.0618434316827601E-3</v>
      </c>
      <c r="G201">
        <v>0</v>
      </c>
      <c r="H201" t="s">
        <v>74</v>
      </c>
      <c r="I201">
        <v>0</v>
      </c>
      <c r="J201" t="s">
        <v>75</v>
      </c>
      <c r="K201">
        <v>3.14159265358979</v>
      </c>
      <c r="L201">
        <v>0.66050139466981905</v>
      </c>
      <c r="M201">
        <v>0</v>
      </c>
      <c r="N201">
        <v>3.8781383494134403E-2</v>
      </c>
      <c r="O201">
        <v>0</v>
      </c>
      <c r="P201">
        <v>1.6E-2</v>
      </c>
      <c r="Q201">
        <v>0</v>
      </c>
      <c r="R201">
        <v>0</v>
      </c>
      <c r="S201">
        <v>0</v>
      </c>
      <c r="T201">
        <v>0</v>
      </c>
      <c r="U201">
        <v>0.66582801882007103</v>
      </c>
      <c r="V201" t="s">
        <v>78</v>
      </c>
      <c r="W201">
        <v>2313512.35240058</v>
      </c>
      <c r="X201" t="s">
        <v>76</v>
      </c>
      <c r="Y201">
        <v>-1.5707963267949001</v>
      </c>
      <c r="Z201">
        <v>0.65290824193087904</v>
      </c>
      <c r="AA201">
        <v>0.330926477599917</v>
      </c>
      <c r="AB201">
        <v>3.5072901953429499E-2</v>
      </c>
      <c r="AC201">
        <v>1.85151364427803E-2</v>
      </c>
      <c r="AD201">
        <v>1.21590225208705E-2</v>
      </c>
      <c r="AE201">
        <v>2.35456776889175E-2</v>
      </c>
      <c r="AF201">
        <v>0</v>
      </c>
      <c r="AG201">
        <v>0.26609795799035302</v>
      </c>
      <c r="AH201">
        <v>0.23408493374716899</v>
      </c>
      <c r="AI201">
        <v>0.40560021374599498</v>
      </c>
      <c r="AJ201" t="s">
        <v>74</v>
      </c>
      <c r="AK201">
        <v>0</v>
      </c>
      <c r="AL201" t="s">
        <v>77</v>
      </c>
      <c r="AM201">
        <v>0</v>
      </c>
      <c r="AN201">
        <v>0.99199999999999999</v>
      </c>
      <c r="AO201">
        <v>0</v>
      </c>
      <c r="AP201">
        <v>5.8245346242475203E-2</v>
      </c>
      <c r="AQ201">
        <v>0</v>
      </c>
      <c r="AR201">
        <v>1.6E-2</v>
      </c>
      <c r="AS201">
        <v>0</v>
      </c>
      <c r="AT201">
        <v>0</v>
      </c>
      <c r="AU201">
        <v>0</v>
      </c>
      <c r="AV201">
        <v>0</v>
      </c>
      <c r="AW201">
        <v>1</v>
      </c>
      <c r="AX201" t="s">
        <v>74</v>
      </c>
      <c r="AY201">
        <v>0</v>
      </c>
      <c r="AZ201" t="s">
        <v>76</v>
      </c>
      <c r="BA201">
        <v>-1.5707963267949001</v>
      </c>
      <c r="BB201">
        <v>0.99199999999999999</v>
      </c>
      <c r="BC201">
        <v>0</v>
      </c>
      <c r="BD201">
        <v>5.8245346242475203E-2</v>
      </c>
      <c r="BE201">
        <v>0</v>
      </c>
      <c r="BF201">
        <v>1.6E-2</v>
      </c>
      <c r="BG201">
        <v>0</v>
      </c>
      <c r="BH201">
        <v>0</v>
      </c>
      <c r="BI201">
        <v>0</v>
      </c>
      <c r="BJ201">
        <v>0</v>
      </c>
      <c r="BK201">
        <v>1</v>
      </c>
      <c r="BL201">
        <v>1.0443005718764699E-4</v>
      </c>
      <c r="BM201">
        <v>2.5009144586876099E-4</v>
      </c>
      <c r="BN201" s="1">
        <v>3.8017516693148001E-7</v>
      </c>
      <c r="BO201" s="1">
        <v>3.92842724533475E-6</v>
      </c>
      <c r="BP201">
        <v>0</v>
      </c>
      <c r="BQ201">
        <v>0</v>
      </c>
      <c r="BR201" s="1">
        <v>5.67325019048243E-5</v>
      </c>
      <c r="BS201">
        <v>1.38021463479592E-4</v>
      </c>
    </row>
    <row r="202" spans="1:71" x14ac:dyDescent="0.25">
      <c r="A202">
        <v>199</v>
      </c>
      <c r="B202" s="1">
        <v>8.1102450471413905E-6</v>
      </c>
      <c r="C202">
        <v>0.10619245341332301</v>
      </c>
      <c r="D202">
        <v>-3.09600759228522E-4</v>
      </c>
      <c r="E202">
        <v>6.1312499999999995E-4</v>
      </c>
      <c r="F202">
        <v>-1.0619245341332399E-3</v>
      </c>
      <c r="G202" s="1">
        <v>1.0842021724855E-19</v>
      </c>
      <c r="H202" t="s">
        <v>74</v>
      </c>
      <c r="I202">
        <v>0</v>
      </c>
      <c r="J202" t="s">
        <v>75</v>
      </c>
      <c r="K202">
        <v>3.14159265358979</v>
      </c>
      <c r="L202">
        <v>0.65882208934741904</v>
      </c>
      <c r="M202">
        <v>0</v>
      </c>
      <c r="N202">
        <v>3.8682782969991301E-2</v>
      </c>
      <c r="O202">
        <v>0</v>
      </c>
      <c r="P202">
        <v>1.6E-2</v>
      </c>
      <c r="Q202">
        <v>0</v>
      </c>
      <c r="R202">
        <v>0</v>
      </c>
      <c r="S202">
        <v>0</v>
      </c>
      <c r="T202">
        <v>0</v>
      </c>
      <c r="U202">
        <v>0.66413517071273798</v>
      </c>
      <c r="V202" t="s">
        <v>78</v>
      </c>
      <c r="W202">
        <v>2313889.3462248002</v>
      </c>
      <c r="X202" t="s">
        <v>76</v>
      </c>
      <c r="Y202">
        <v>-1.5707963267949001</v>
      </c>
      <c r="Z202">
        <v>0.65123478017509495</v>
      </c>
      <c r="AA202">
        <v>0.33212576047256598</v>
      </c>
      <c r="AB202">
        <v>3.4978655794215101E-2</v>
      </c>
      <c r="AC202">
        <v>1.8593805388832201E-2</v>
      </c>
      <c r="AD202">
        <v>1.20507674929974E-2</v>
      </c>
      <c r="AE202">
        <v>2.36702913826922E-2</v>
      </c>
      <c r="AF202">
        <v>0</v>
      </c>
      <c r="AG202">
        <v>0.265893442111022</v>
      </c>
      <c r="AH202">
        <v>0.23682327564797501</v>
      </c>
      <c r="AI202">
        <v>0.402975520872838</v>
      </c>
      <c r="AJ202" t="s">
        <v>74</v>
      </c>
      <c r="AK202">
        <v>0</v>
      </c>
      <c r="AL202" t="s">
        <v>77</v>
      </c>
      <c r="AM202">
        <v>0</v>
      </c>
      <c r="AN202">
        <v>0.99199999999999999</v>
      </c>
      <c r="AO202">
        <v>0</v>
      </c>
      <c r="AP202">
        <v>5.8245346242475203E-2</v>
      </c>
      <c r="AQ202">
        <v>0</v>
      </c>
      <c r="AR202">
        <v>1.6E-2</v>
      </c>
      <c r="AS202">
        <v>0</v>
      </c>
      <c r="AT202">
        <v>0</v>
      </c>
      <c r="AU202">
        <v>0</v>
      </c>
      <c r="AV202">
        <v>0</v>
      </c>
      <c r="AW202">
        <v>1</v>
      </c>
      <c r="AX202" t="s">
        <v>74</v>
      </c>
      <c r="AY202">
        <v>0</v>
      </c>
      <c r="AZ202" t="s">
        <v>76</v>
      </c>
      <c r="BA202">
        <v>-1.5707963267949001</v>
      </c>
      <c r="BB202">
        <v>0.99199999999999999</v>
      </c>
      <c r="BC202">
        <v>0</v>
      </c>
      <c r="BD202">
        <v>5.8245346242475203E-2</v>
      </c>
      <c r="BE202">
        <v>0</v>
      </c>
      <c r="BF202">
        <v>1.6E-2</v>
      </c>
      <c r="BG202">
        <v>0</v>
      </c>
      <c r="BH202">
        <v>0</v>
      </c>
      <c r="BI202">
        <v>0</v>
      </c>
      <c r="BJ202">
        <v>0</v>
      </c>
      <c r="BK202">
        <v>1</v>
      </c>
      <c r="BL202">
        <v>1.04372968318995E-4</v>
      </c>
      <c r="BM202">
        <v>2.5135835887949798E-4</v>
      </c>
      <c r="BN202" s="1">
        <v>3.7997939908634102E-7</v>
      </c>
      <c r="BO202" s="1">
        <v>3.9483278683711002E-6</v>
      </c>
      <c r="BP202">
        <v>0</v>
      </c>
      <c r="BQ202">
        <v>0</v>
      </c>
      <c r="BR202" s="1">
        <v>5.6696922935353597E-5</v>
      </c>
      <c r="BS202">
        <v>1.3872183296660399E-4</v>
      </c>
    </row>
    <row r="203" spans="1:71" x14ac:dyDescent="0.25">
      <c r="A203">
        <v>200</v>
      </c>
      <c r="B203" s="1">
        <v>8.1166825618121092E-6</v>
      </c>
      <c r="C203">
        <v>0.106200570095885</v>
      </c>
      <c r="D203">
        <v>-3.0964447869374402E-4</v>
      </c>
      <c r="E203">
        <v>6.1312499999999995E-4</v>
      </c>
      <c r="F203">
        <v>-1.06200570095885E-3</v>
      </c>
      <c r="G203">
        <v>0</v>
      </c>
      <c r="H203" t="s">
        <v>74</v>
      </c>
      <c r="I203">
        <v>0</v>
      </c>
      <c r="J203" t="s">
        <v>75</v>
      </c>
      <c r="K203">
        <v>3.14159265358979</v>
      </c>
      <c r="L203">
        <v>0.65714285474071799</v>
      </c>
      <c r="M203">
        <v>0</v>
      </c>
      <c r="N203">
        <v>3.8584186597925098E-2</v>
      </c>
      <c r="O203">
        <v>0</v>
      </c>
      <c r="P203">
        <v>1.6E-2</v>
      </c>
      <c r="Q203">
        <v>0</v>
      </c>
      <c r="R203">
        <v>0</v>
      </c>
      <c r="S203">
        <v>0</v>
      </c>
      <c r="T203">
        <v>0</v>
      </c>
      <c r="U203">
        <v>0.66244239389138204</v>
      </c>
      <c r="V203" t="s">
        <v>78</v>
      </c>
      <c r="W203">
        <v>2314266.6239885301</v>
      </c>
      <c r="X203" t="s">
        <v>76</v>
      </c>
      <c r="Y203">
        <v>-1.5707963267949001</v>
      </c>
      <c r="Z203">
        <v>0.64956143501143204</v>
      </c>
      <c r="AA203">
        <v>0.33331406391283802</v>
      </c>
      <c r="AB203">
        <v>3.4884434589062097E-2</v>
      </c>
      <c r="AC203">
        <v>1.8672136980519598E-2</v>
      </c>
      <c r="AD203">
        <v>1.19424724699817E-2</v>
      </c>
      <c r="AE203">
        <v>2.37948650381405E-2</v>
      </c>
      <c r="AF203">
        <v>0</v>
      </c>
      <c r="AG203">
        <v>0.26566722841429902</v>
      </c>
      <c r="AH203">
        <v>0.23958320866652999</v>
      </c>
      <c r="AI203">
        <v>0.40035590673367399</v>
      </c>
      <c r="AJ203" t="s">
        <v>74</v>
      </c>
      <c r="AK203">
        <v>0</v>
      </c>
      <c r="AL203" t="s">
        <v>77</v>
      </c>
      <c r="AM203">
        <v>0</v>
      </c>
      <c r="AN203">
        <v>0.99199999999999999</v>
      </c>
      <c r="AO203">
        <v>0</v>
      </c>
      <c r="AP203">
        <v>5.8245346242475203E-2</v>
      </c>
      <c r="AQ203">
        <v>0</v>
      </c>
      <c r="AR203">
        <v>1.6E-2</v>
      </c>
      <c r="AS203">
        <v>0</v>
      </c>
      <c r="AT203">
        <v>0</v>
      </c>
      <c r="AU203">
        <v>0</v>
      </c>
      <c r="AV203">
        <v>0</v>
      </c>
      <c r="AW203">
        <v>1</v>
      </c>
      <c r="AX203" t="s">
        <v>74</v>
      </c>
      <c r="AY203">
        <v>0</v>
      </c>
      <c r="AZ203" t="s">
        <v>76</v>
      </c>
      <c r="BA203">
        <v>-1.5707963267949001</v>
      </c>
      <c r="BB203">
        <v>0.99199999999999999</v>
      </c>
      <c r="BC203">
        <v>0</v>
      </c>
      <c r="BD203">
        <v>5.8245346242475203E-2</v>
      </c>
      <c r="BE203">
        <v>0</v>
      </c>
      <c r="BF203">
        <v>1.6E-2</v>
      </c>
      <c r="BG203">
        <v>0</v>
      </c>
      <c r="BH203">
        <v>0</v>
      </c>
      <c r="BI203">
        <v>0</v>
      </c>
      <c r="BJ203">
        <v>0</v>
      </c>
      <c r="BK203">
        <v>1</v>
      </c>
      <c r="BL203">
        <v>1.04315725326229E-4</v>
      </c>
      <c r="BM203">
        <v>2.5262521854041501E-4</v>
      </c>
      <c r="BN203" s="1">
        <v>3.7978344021679302E-7</v>
      </c>
      <c r="BO203" s="1">
        <v>3.96822765339041E-6</v>
      </c>
      <c r="BP203">
        <v>0</v>
      </c>
      <c r="BQ203">
        <v>0</v>
      </c>
      <c r="BR203" s="1">
        <v>5.6661258219978601E-5</v>
      </c>
      <c r="BS203">
        <v>1.39422185838595E-4</v>
      </c>
    </row>
    <row r="204" spans="1:71" x14ac:dyDescent="0.25">
      <c r="A204">
        <v>201</v>
      </c>
      <c r="B204" s="1">
        <v>8.1237659569314006E-6</v>
      </c>
      <c r="C204">
        <v>0.10620869386184199</v>
      </c>
      <c r="D204">
        <v>-3.0968823453692799E-4</v>
      </c>
      <c r="E204">
        <v>6.1312499999999995E-4</v>
      </c>
      <c r="F204">
        <v>-1.06208693861842E-3</v>
      </c>
      <c r="G204">
        <v>0</v>
      </c>
      <c r="H204" t="s">
        <v>74</v>
      </c>
      <c r="I204">
        <v>0</v>
      </c>
      <c r="J204" t="s">
        <v>75</v>
      </c>
      <c r="K204">
        <v>3.14159265358979</v>
      </c>
      <c r="L204">
        <v>0.65546369206343402</v>
      </c>
      <c r="M204">
        <v>0</v>
      </c>
      <c r="N204">
        <v>3.8485594449199398E-2</v>
      </c>
      <c r="O204">
        <v>0</v>
      </c>
      <c r="P204">
        <v>1.6E-2</v>
      </c>
      <c r="Q204">
        <v>0</v>
      </c>
      <c r="R204">
        <v>0</v>
      </c>
      <c r="S204">
        <v>0</v>
      </c>
      <c r="T204">
        <v>0</v>
      </c>
      <c r="U204">
        <v>0.66074968957950897</v>
      </c>
      <c r="V204" t="s">
        <v>78</v>
      </c>
      <c r="W204">
        <v>2314644.2156764101</v>
      </c>
      <c r="X204" t="s">
        <v>76</v>
      </c>
      <c r="Y204">
        <v>-1.5707963267949001</v>
      </c>
      <c r="Z204">
        <v>0.64788820670041902</v>
      </c>
      <c r="AA204">
        <v>0.33449138434430298</v>
      </c>
      <c r="AB204">
        <v>3.4790238034261699E-2</v>
      </c>
      <c r="AC204">
        <v>1.8750130315544102E-2</v>
      </c>
      <c r="AD204">
        <v>1.18341396235418E-2</v>
      </c>
      <c r="AE204">
        <v>2.3919397667253199E-2</v>
      </c>
      <c r="AF204">
        <v>0</v>
      </c>
      <c r="AG204">
        <v>0.26541916139223598</v>
      </c>
      <c r="AH204">
        <v>0.24236488647946</v>
      </c>
      <c r="AI204">
        <v>0.39774139282540799</v>
      </c>
      <c r="AJ204" t="s">
        <v>74</v>
      </c>
      <c r="AK204">
        <v>0</v>
      </c>
      <c r="AL204" t="s">
        <v>77</v>
      </c>
      <c r="AM204">
        <v>0</v>
      </c>
      <c r="AN204">
        <v>0.99199999999999999</v>
      </c>
      <c r="AO204">
        <v>0</v>
      </c>
      <c r="AP204">
        <v>5.8245346242475203E-2</v>
      </c>
      <c r="AQ204">
        <v>0</v>
      </c>
      <c r="AR204">
        <v>1.6E-2</v>
      </c>
      <c r="AS204">
        <v>0</v>
      </c>
      <c r="AT204">
        <v>0</v>
      </c>
      <c r="AU204">
        <v>0</v>
      </c>
      <c r="AV204">
        <v>0</v>
      </c>
      <c r="AW204">
        <v>1</v>
      </c>
      <c r="AX204" t="s">
        <v>74</v>
      </c>
      <c r="AY204">
        <v>0</v>
      </c>
      <c r="AZ204" t="s">
        <v>76</v>
      </c>
      <c r="BA204">
        <v>-1.5707963267949001</v>
      </c>
      <c r="BB204">
        <v>0.99199999999999999</v>
      </c>
      <c r="BC204">
        <v>0</v>
      </c>
      <c r="BD204">
        <v>5.8245346242475203E-2</v>
      </c>
      <c r="BE204">
        <v>0</v>
      </c>
      <c r="BF204">
        <v>1.6E-2</v>
      </c>
      <c r="BG204">
        <v>0</v>
      </c>
      <c r="BH204">
        <v>0</v>
      </c>
      <c r="BI204">
        <v>0</v>
      </c>
      <c r="BJ204">
        <v>0</v>
      </c>
      <c r="BK204">
        <v>1</v>
      </c>
      <c r="BL204">
        <v>1.0425832764197801E-4</v>
      </c>
      <c r="BM204">
        <v>2.5389202393584802E-4</v>
      </c>
      <c r="BN204" s="1">
        <v>3.7958728858210898E-7</v>
      </c>
      <c r="BO204" s="1">
        <v>3.9881265860095203E-6</v>
      </c>
      <c r="BP204">
        <v>0</v>
      </c>
      <c r="BQ204">
        <v>0</v>
      </c>
      <c r="BR204" s="1">
        <v>5.6625507477742799E-5</v>
      </c>
      <c r="BS204">
        <v>1.4012252169835599E-4</v>
      </c>
    </row>
    <row r="205" spans="1:71" x14ac:dyDescent="0.25">
      <c r="A205">
        <v>202</v>
      </c>
      <c r="B205" s="1">
        <v>8.13150284223341E-6</v>
      </c>
      <c r="C205">
        <v>0.10621682536468401</v>
      </c>
      <c r="D205">
        <v>-3.0973203027315303E-4</v>
      </c>
      <c r="E205">
        <v>6.1312499999999995E-4</v>
      </c>
      <c r="F205">
        <v>-1.0621682536468399E-3</v>
      </c>
      <c r="G205" s="1">
        <v>1.0842021724855E-19</v>
      </c>
      <c r="H205" t="s">
        <v>74</v>
      </c>
      <c r="I205">
        <v>0</v>
      </c>
      <c r="J205" t="s">
        <v>75</v>
      </c>
      <c r="K205">
        <v>3.14159265358979</v>
      </c>
      <c r="L205">
        <v>0.653784602560881</v>
      </c>
      <c r="M205">
        <v>0</v>
      </c>
      <c r="N205">
        <v>3.8387006596932997E-2</v>
      </c>
      <c r="O205">
        <v>0</v>
      </c>
      <c r="P205">
        <v>1.6E-2</v>
      </c>
      <c r="Q205">
        <v>0</v>
      </c>
      <c r="R205">
        <v>0</v>
      </c>
      <c r="S205">
        <v>0</v>
      </c>
      <c r="T205">
        <v>0</v>
      </c>
      <c r="U205">
        <v>0.65905705903247702</v>
      </c>
      <c r="V205" t="s">
        <v>78</v>
      </c>
      <c r="W205">
        <v>2315022.1516218702</v>
      </c>
      <c r="X205" t="s">
        <v>76</v>
      </c>
      <c r="Y205">
        <v>-1.5707963267949001</v>
      </c>
      <c r="Z205">
        <v>0.64621509552879097</v>
      </c>
      <c r="AA205">
        <v>0.33685165824435198</v>
      </c>
      <c r="AB205">
        <v>3.46960658269794E-2</v>
      </c>
      <c r="AC205">
        <v>1.88652960347384E-2</v>
      </c>
      <c r="AD205">
        <v>1.1725771123561201E-2</v>
      </c>
      <c r="AE205">
        <v>2.4043888278835E-2</v>
      </c>
      <c r="AF205">
        <v>0</v>
      </c>
      <c r="AG205">
        <v>0.26514908299258599</v>
      </c>
      <c r="AH205">
        <v>0.24516846526001301</v>
      </c>
      <c r="AI205">
        <v>0.39513200080546101</v>
      </c>
      <c r="AJ205" t="s">
        <v>74</v>
      </c>
      <c r="AK205">
        <v>0</v>
      </c>
      <c r="AL205" t="s">
        <v>77</v>
      </c>
      <c r="AM205">
        <v>0</v>
      </c>
      <c r="AN205">
        <v>0.99199999999999999</v>
      </c>
      <c r="AO205">
        <v>0</v>
      </c>
      <c r="AP205">
        <v>5.8245346242475203E-2</v>
      </c>
      <c r="AQ205">
        <v>0</v>
      </c>
      <c r="AR205">
        <v>1.6E-2</v>
      </c>
      <c r="AS205">
        <v>0</v>
      </c>
      <c r="AT205">
        <v>0</v>
      </c>
      <c r="AU205">
        <v>0</v>
      </c>
      <c r="AV205">
        <v>0</v>
      </c>
      <c r="AW205">
        <v>1</v>
      </c>
      <c r="AX205" t="s">
        <v>74</v>
      </c>
      <c r="AY205">
        <v>0</v>
      </c>
      <c r="AZ205" t="s">
        <v>76</v>
      </c>
      <c r="BA205">
        <v>-1.5707963267949001</v>
      </c>
      <c r="BB205">
        <v>0.99199999999999999</v>
      </c>
      <c r="BC205">
        <v>0</v>
      </c>
      <c r="BD205">
        <v>5.8245346242475203E-2</v>
      </c>
      <c r="BE205">
        <v>0</v>
      </c>
      <c r="BF205">
        <v>1.6E-2</v>
      </c>
      <c r="BG205">
        <v>0</v>
      </c>
      <c r="BH205">
        <v>0</v>
      </c>
      <c r="BI205">
        <v>0</v>
      </c>
      <c r="BJ205">
        <v>0</v>
      </c>
      <c r="BK205">
        <v>1</v>
      </c>
      <c r="BL205">
        <v>1.0421953047180101E-4</v>
      </c>
      <c r="BM205">
        <v>2.5515877412629899E-4</v>
      </c>
      <c r="BN205" s="1">
        <v>3.7942845654154799E-7</v>
      </c>
      <c r="BO205" s="1">
        <v>4.0080246514707997E-6</v>
      </c>
      <c r="BP205">
        <v>0</v>
      </c>
      <c r="BQ205">
        <v>0</v>
      </c>
      <c r="BR205" s="1">
        <v>5.6600021791419899E-5</v>
      </c>
      <c r="BS205">
        <v>1.4082284013851599E-4</v>
      </c>
    </row>
    <row r="206" spans="1:71" x14ac:dyDescent="0.25">
      <c r="A206">
        <v>203</v>
      </c>
      <c r="B206" s="1">
        <v>8.1399012507968207E-6</v>
      </c>
      <c r="C206">
        <v>0.106224965265935</v>
      </c>
      <c r="D206">
        <v>-3.0977586946018601E-4</v>
      </c>
      <c r="E206">
        <v>6.1312499999999995E-4</v>
      </c>
      <c r="F206">
        <v>-1.0622496526593501E-3</v>
      </c>
      <c r="G206">
        <v>0</v>
      </c>
      <c r="H206" t="s">
        <v>74</v>
      </c>
      <c r="I206">
        <v>0</v>
      </c>
      <c r="J206" t="s">
        <v>75</v>
      </c>
      <c r="K206">
        <v>3.14159265358979</v>
      </c>
      <c r="L206">
        <v>0.65210558751107195</v>
      </c>
      <c r="M206">
        <v>0</v>
      </c>
      <c r="N206">
        <v>3.82884231161644E-2</v>
      </c>
      <c r="O206">
        <v>0</v>
      </c>
      <c r="P206">
        <v>1.6E-2</v>
      </c>
      <c r="Q206">
        <v>0</v>
      </c>
      <c r="R206">
        <v>0</v>
      </c>
      <c r="S206">
        <v>0</v>
      </c>
      <c r="T206">
        <v>0</v>
      </c>
      <c r="U206">
        <v>0.65736450353860298</v>
      </c>
      <c r="V206" t="s">
        <v>78</v>
      </c>
      <c r="W206">
        <v>2315400.46252672</v>
      </c>
      <c r="X206" t="s">
        <v>76</v>
      </c>
      <c r="Y206">
        <v>-1.5707963267949001</v>
      </c>
      <c r="Z206">
        <v>0.64454210181001104</v>
      </c>
      <c r="AA206">
        <v>0.33800700284132501</v>
      </c>
      <c r="AB206">
        <v>3.4601917665109498E-2</v>
      </c>
      <c r="AC206">
        <v>1.8942616352885199E-2</v>
      </c>
      <c r="AD206">
        <v>1.1617369138713101E-2</v>
      </c>
      <c r="AE206">
        <v>2.4168335878387699E-2</v>
      </c>
      <c r="AF206">
        <v>0</v>
      </c>
      <c r="AG206">
        <v>0.26485683255382098</v>
      </c>
      <c r="AH206">
        <v>0.247994103741386</v>
      </c>
      <c r="AI206">
        <v>0.392527752494579</v>
      </c>
      <c r="AJ206" t="s">
        <v>74</v>
      </c>
      <c r="AK206">
        <v>0</v>
      </c>
      <c r="AL206" t="s">
        <v>77</v>
      </c>
      <c r="AM206">
        <v>0</v>
      </c>
      <c r="AN206">
        <v>0.99199999999999999</v>
      </c>
      <c r="AO206">
        <v>0</v>
      </c>
      <c r="AP206">
        <v>5.8245346242475203E-2</v>
      </c>
      <c r="AQ206">
        <v>0</v>
      </c>
      <c r="AR206">
        <v>1.6E-2</v>
      </c>
      <c r="AS206">
        <v>0</v>
      </c>
      <c r="AT206">
        <v>0</v>
      </c>
      <c r="AU206">
        <v>0</v>
      </c>
      <c r="AV206">
        <v>0</v>
      </c>
      <c r="AW206">
        <v>1</v>
      </c>
      <c r="AX206" t="s">
        <v>74</v>
      </c>
      <c r="AY206">
        <v>0</v>
      </c>
      <c r="AZ206" t="s">
        <v>76</v>
      </c>
      <c r="BA206">
        <v>-1.5707963267949001</v>
      </c>
      <c r="BB206">
        <v>0.99199999999999999</v>
      </c>
      <c r="BC206">
        <v>0</v>
      </c>
      <c r="BD206">
        <v>5.8245346242475203E-2</v>
      </c>
      <c r="BE206">
        <v>0</v>
      </c>
      <c r="BF206">
        <v>1.6E-2</v>
      </c>
      <c r="BG206">
        <v>0</v>
      </c>
      <c r="BH206">
        <v>0</v>
      </c>
      <c r="BI206">
        <v>0</v>
      </c>
      <c r="BJ206">
        <v>0</v>
      </c>
      <c r="BK206">
        <v>1</v>
      </c>
      <c r="BL206">
        <v>1.04161824809555E-4</v>
      </c>
      <c r="BM206">
        <v>2.56425468147603E-4</v>
      </c>
      <c r="BN206" s="1">
        <v>3.7923192602711198E-7</v>
      </c>
      <c r="BO206" s="1">
        <v>4.0279218346291704E-6</v>
      </c>
      <c r="BP206">
        <v>0</v>
      </c>
      <c r="BQ206">
        <v>0</v>
      </c>
      <c r="BR206" s="1">
        <v>5.6564099956893398E-5</v>
      </c>
      <c r="BS206">
        <v>1.41523140741179E-4</v>
      </c>
    </row>
    <row r="207" spans="1:71" x14ac:dyDescent="0.25">
      <c r="A207">
        <v>204</v>
      </c>
      <c r="B207" s="1">
        <v>8.1489696530310803E-6</v>
      </c>
      <c r="C207">
        <v>0.106233114235588</v>
      </c>
      <c r="D207">
        <v>-3.09819755700826E-4</v>
      </c>
      <c r="E207">
        <v>6.1312499999999995E-4</v>
      </c>
      <c r="F207">
        <v>-1.06233114235588E-3</v>
      </c>
      <c r="G207" s="1">
        <v>1.0842021724855E-19</v>
      </c>
      <c r="H207" t="s">
        <v>74</v>
      </c>
      <c r="I207">
        <v>0</v>
      </c>
      <c r="J207" t="s">
        <v>75</v>
      </c>
      <c r="K207">
        <v>3.14159265358979</v>
      </c>
      <c r="L207">
        <v>0.65042664822588403</v>
      </c>
      <c r="M207">
        <v>0</v>
      </c>
      <c r="N207">
        <v>3.81898440839206E-2</v>
      </c>
      <c r="O207">
        <v>0</v>
      </c>
      <c r="P207">
        <v>1.6E-2</v>
      </c>
      <c r="Q207">
        <v>0</v>
      </c>
      <c r="R207">
        <v>0</v>
      </c>
      <c r="S207">
        <v>0</v>
      </c>
      <c r="T207">
        <v>0</v>
      </c>
      <c r="U207">
        <v>0.655672024420347</v>
      </c>
      <c r="V207" t="s">
        <v>78</v>
      </c>
      <c r="W207">
        <v>2315779.1794813499</v>
      </c>
      <c r="X207" t="s">
        <v>76</v>
      </c>
      <c r="Y207">
        <v>-1.5707963267949001</v>
      </c>
      <c r="Z207">
        <v>0.64286922588485995</v>
      </c>
      <c r="AA207">
        <v>0.33915135506931698</v>
      </c>
      <c r="AB207">
        <v>3.4507793247129402E-2</v>
      </c>
      <c r="AC207">
        <v>1.9019598194017599E-2</v>
      </c>
      <c r="AD207">
        <v>1.15089358370937E-2</v>
      </c>
      <c r="AE207">
        <v>2.4292739467989499E-2</v>
      </c>
      <c r="AF207">
        <v>0</v>
      </c>
      <c r="AG207">
        <v>0.26454224673795401</v>
      </c>
      <c r="AH207">
        <v>0.25084196328212999</v>
      </c>
      <c r="AI207">
        <v>0.389928669879746</v>
      </c>
      <c r="AJ207" t="s">
        <v>74</v>
      </c>
      <c r="AK207">
        <v>0</v>
      </c>
      <c r="AL207" t="s">
        <v>77</v>
      </c>
      <c r="AM207">
        <v>0</v>
      </c>
      <c r="AN207">
        <v>0.99199999999999999</v>
      </c>
      <c r="AO207">
        <v>0</v>
      </c>
      <c r="AP207">
        <v>5.8245346242475203E-2</v>
      </c>
      <c r="AQ207">
        <v>0</v>
      </c>
      <c r="AR207">
        <v>1.6E-2</v>
      </c>
      <c r="AS207">
        <v>0</v>
      </c>
      <c r="AT207">
        <v>0</v>
      </c>
      <c r="AU207">
        <v>0</v>
      </c>
      <c r="AV207">
        <v>0</v>
      </c>
      <c r="AW207">
        <v>1</v>
      </c>
      <c r="AX207" t="s">
        <v>74</v>
      </c>
      <c r="AY207">
        <v>0</v>
      </c>
      <c r="AZ207" t="s">
        <v>76</v>
      </c>
      <c r="BA207">
        <v>-1.5707963267949001</v>
      </c>
      <c r="BB207">
        <v>0.99199999999999999</v>
      </c>
      <c r="BC207">
        <v>0</v>
      </c>
      <c r="BD207">
        <v>5.8245346242475203E-2</v>
      </c>
      <c r="BE207">
        <v>0</v>
      </c>
      <c r="BF207">
        <v>1.6E-2</v>
      </c>
      <c r="BG207">
        <v>0</v>
      </c>
      <c r="BH207">
        <v>0</v>
      </c>
      <c r="BI207">
        <v>0</v>
      </c>
      <c r="BJ207">
        <v>0</v>
      </c>
      <c r="BK207">
        <v>1</v>
      </c>
      <c r="BL207">
        <v>1.04103964005009E-4</v>
      </c>
      <c r="BM207">
        <v>2.5769210501004202E-4</v>
      </c>
      <c r="BN207" s="1">
        <v>3.79035202380335E-7</v>
      </c>
      <c r="BO207" s="1">
        <v>4.0478181199381904E-6</v>
      </c>
      <c r="BP207">
        <v>0</v>
      </c>
      <c r="BQ207">
        <v>0</v>
      </c>
      <c r="BR207" s="1">
        <v>5.6528091945030899E-5</v>
      </c>
      <c r="BS207">
        <v>1.4222342307752299E-4</v>
      </c>
    </row>
    <row r="208" spans="1:71" x14ac:dyDescent="0.25">
      <c r="A208">
        <v>205</v>
      </c>
      <c r="B208" s="1">
        <v>8.1587169716198801E-6</v>
      </c>
      <c r="C208">
        <v>0.10624127295256</v>
      </c>
      <c r="D208">
        <v>-3.0986369264533102E-4</v>
      </c>
      <c r="E208">
        <v>6.1312499999999995E-4</v>
      </c>
      <c r="F208">
        <v>-1.0624127295256001E-3</v>
      </c>
      <c r="G208">
        <v>0</v>
      </c>
      <c r="H208" t="s">
        <v>74</v>
      </c>
      <c r="I208">
        <v>0</v>
      </c>
      <c r="J208" t="s">
        <v>75</v>
      </c>
      <c r="K208">
        <v>3.14159265358979</v>
      </c>
      <c r="L208">
        <v>0.64874778605225303</v>
      </c>
      <c r="M208">
        <v>0</v>
      </c>
      <c r="N208">
        <v>3.8091269579286997E-2</v>
      </c>
      <c r="O208">
        <v>0</v>
      </c>
      <c r="P208">
        <v>1.6E-2</v>
      </c>
      <c r="Q208">
        <v>0</v>
      </c>
      <c r="R208">
        <v>0</v>
      </c>
      <c r="S208">
        <v>0</v>
      </c>
      <c r="T208">
        <v>0</v>
      </c>
      <c r="U208">
        <v>0.65397962303550605</v>
      </c>
      <c r="V208" t="s">
        <v>78</v>
      </c>
      <c r="W208">
        <v>2316158.3339857301</v>
      </c>
      <c r="X208" t="s">
        <v>76</v>
      </c>
      <c r="Y208">
        <v>-1.5707963267949001</v>
      </c>
      <c r="Z208">
        <v>0.64119646812200104</v>
      </c>
      <c r="AA208">
        <v>0.34144568691772098</v>
      </c>
      <c r="AB208">
        <v>3.4413692271948501E-2</v>
      </c>
      <c r="AC208">
        <v>1.91327183944737E-2</v>
      </c>
      <c r="AD208">
        <v>1.14004733868602E-2</v>
      </c>
      <c r="AE208">
        <v>2.44170980461779E-2</v>
      </c>
      <c r="AF208">
        <v>0</v>
      </c>
      <c r="AG208">
        <v>0.26420515946103301</v>
      </c>
      <c r="AH208">
        <v>0.253712207933874</v>
      </c>
      <c r="AI208">
        <v>0.38733477511709302</v>
      </c>
      <c r="AJ208" t="s">
        <v>74</v>
      </c>
      <c r="AK208">
        <v>0</v>
      </c>
      <c r="AL208" t="s">
        <v>77</v>
      </c>
      <c r="AM208">
        <v>0</v>
      </c>
      <c r="AN208">
        <v>0.99199999999999999</v>
      </c>
      <c r="AO208">
        <v>0</v>
      </c>
      <c r="AP208">
        <v>5.8245346242475203E-2</v>
      </c>
      <c r="AQ208">
        <v>0</v>
      </c>
      <c r="AR208">
        <v>1.6E-2</v>
      </c>
      <c r="AS208">
        <v>0</v>
      </c>
      <c r="AT208">
        <v>0</v>
      </c>
      <c r="AU208">
        <v>0</v>
      </c>
      <c r="AV208">
        <v>0</v>
      </c>
      <c r="AW208">
        <v>1</v>
      </c>
      <c r="AX208" t="s">
        <v>74</v>
      </c>
      <c r="AY208">
        <v>0</v>
      </c>
      <c r="AZ208" t="s">
        <v>76</v>
      </c>
      <c r="BA208">
        <v>-1.5707963267949001</v>
      </c>
      <c r="BB208">
        <v>0.99199999999999999</v>
      </c>
      <c r="BC208">
        <v>0</v>
      </c>
      <c r="BD208">
        <v>5.8245346242475203E-2</v>
      </c>
      <c r="BE208">
        <v>0</v>
      </c>
      <c r="BF208">
        <v>1.6E-2</v>
      </c>
      <c r="BG208">
        <v>0</v>
      </c>
      <c r="BH208">
        <v>0</v>
      </c>
      <c r="BI208">
        <v>0</v>
      </c>
      <c r="BJ208">
        <v>0</v>
      </c>
      <c r="BK208">
        <v>1</v>
      </c>
      <c r="BL208">
        <v>1.0406418636533E-4</v>
      </c>
      <c r="BM208">
        <v>2.5895868369745298E-4</v>
      </c>
      <c r="BN208" s="1">
        <v>3.7887476586831299E-7</v>
      </c>
      <c r="BO208" s="1">
        <v>4.0677134914360102E-6</v>
      </c>
      <c r="BP208">
        <v>0</v>
      </c>
      <c r="BQ208">
        <v>0</v>
      </c>
      <c r="BR208" s="1">
        <v>5.6502063820073699E-5</v>
      </c>
      <c r="BS208">
        <v>1.42923686707412E-4</v>
      </c>
    </row>
    <row r="209" spans="1:71" x14ac:dyDescent="0.25">
      <c r="A209">
        <v>206</v>
      </c>
      <c r="B209" s="1">
        <v>8.1691525971616702E-6</v>
      </c>
      <c r="C209">
        <v>0.10624944210515699</v>
      </c>
      <c r="D209">
        <v>-3.09907683993924E-4</v>
      </c>
      <c r="E209">
        <v>6.1312499999999995E-4</v>
      </c>
      <c r="F209">
        <v>-1.0624944210515699E-3</v>
      </c>
      <c r="G209" s="1">
        <v>1.0842021724855E-19</v>
      </c>
      <c r="H209" t="s">
        <v>74</v>
      </c>
      <c r="I209">
        <v>0</v>
      </c>
      <c r="J209" t="s">
        <v>75</v>
      </c>
      <c r="K209">
        <v>3.14159265358979</v>
      </c>
      <c r="L209">
        <v>0.647069002373446</v>
      </c>
      <c r="M209">
        <v>0</v>
      </c>
      <c r="N209">
        <v>3.7992699683482199E-2</v>
      </c>
      <c r="O209">
        <v>0</v>
      </c>
      <c r="P209">
        <v>1.6E-2</v>
      </c>
      <c r="Q209">
        <v>0</v>
      </c>
      <c r="R209">
        <v>0</v>
      </c>
      <c r="S209">
        <v>0</v>
      </c>
      <c r="T209">
        <v>0</v>
      </c>
      <c r="U209">
        <v>0.65228730077850305</v>
      </c>
      <c r="V209" t="s">
        <v>78</v>
      </c>
      <c r="W209">
        <v>2316537.9579709899</v>
      </c>
      <c r="X209" t="s">
        <v>76</v>
      </c>
      <c r="Y209">
        <v>-1.5707963267949001</v>
      </c>
      <c r="Z209">
        <v>0.63952382891864301</v>
      </c>
      <c r="AA209">
        <v>0.34371802692882703</v>
      </c>
      <c r="AB209">
        <v>3.4319614438757598E-2</v>
      </c>
      <c r="AC209">
        <v>1.9245155131761602E-2</v>
      </c>
      <c r="AD209">
        <v>1.1291983956878599E-2</v>
      </c>
      <c r="AE209">
        <v>2.4541410607827701E-2</v>
      </c>
      <c r="AF209">
        <v>0</v>
      </c>
      <c r="AG209">
        <v>0.263845401821234</v>
      </c>
      <c r="AH209">
        <v>0.25660500451129098</v>
      </c>
      <c r="AI209">
        <v>0.38474609053494402</v>
      </c>
      <c r="AJ209" t="s">
        <v>74</v>
      </c>
      <c r="AK209">
        <v>0</v>
      </c>
      <c r="AL209" t="s">
        <v>77</v>
      </c>
      <c r="AM209">
        <v>0</v>
      </c>
      <c r="AN209">
        <v>0.99199999999999999</v>
      </c>
      <c r="AO209">
        <v>0</v>
      </c>
      <c r="AP209">
        <v>5.8245346242475203E-2</v>
      </c>
      <c r="AQ209">
        <v>0</v>
      </c>
      <c r="AR209">
        <v>1.6E-2</v>
      </c>
      <c r="AS209">
        <v>0</v>
      </c>
      <c r="AT209">
        <v>0</v>
      </c>
      <c r="AU209">
        <v>0</v>
      </c>
      <c r="AV209">
        <v>0</v>
      </c>
      <c r="AW209">
        <v>1</v>
      </c>
      <c r="AX209" t="s">
        <v>74</v>
      </c>
      <c r="AY209">
        <v>0</v>
      </c>
      <c r="AZ209" t="s">
        <v>76</v>
      </c>
      <c r="BA209">
        <v>-1.5707963267949001</v>
      </c>
      <c r="BB209">
        <v>0.99199999999999999</v>
      </c>
      <c r="BC209">
        <v>0</v>
      </c>
      <c r="BD209">
        <v>5.8245346242475203E-2</v>
      </c>
      <c r="BE209">
        <v>0</v>
      </c>
      <c r="BF209">
        <v>1.6E-2</v>
      </c>
      <c r="BG209">
        <v>0</v>
      </c>
      <c r="BH209">
        <v>0</v>
      </c>
      <c r="BI209">
        <v>0</v>
      </c>
      <c r="BJ209">
        <v>0</v>
      </c>
      <c r="BK209">
        <v>1</v>
      </c>
      <c r="BL209">
        <v>1.04024080869476E-4</v>
      </c>
      <c r="BM209">
        <v>2.60225203166263E-4</v>
      </c>
      <c r="BN209" s="1">
        <v>3.7871379175791102E-7</v>
      </c>
      <c r="BO209" s="1">
        <v>4.0876079327302102E-6</v>
      </c>
      <c r="BP209">
        <v>0</v>
      </c>
      <c r="BQ209">
        <v>0</v>
      </c>
      <c r="BR209" s="1">
        <v>5.64758544329285E-5</v>
      </c>
      <c r="BS209">
        <v>1.43623931178956E-4</v>
      </c>
    </row>
    <row r="210" spans="1:71" x14ac:dyDescent="0.25">
      <c r="A210">
        <v>207</v>
      </c>
      <c r="B210" s="1">
        <v>8.1802864049685496E-6</v>
      </c>
      <c r="C210">
        <v>0.106257622391562</v>
      </c>
      <c r="D210">
        <v>-3.0995173349939299E-4</v>
      </c>
      <c r="E210">
        <v>6.1312499999999995E-4</v>
      </c>
      <c r="F210">
        <v>-1.06257622391562E-3</v>
      </c>
      <c r="G210">
        <v>0</v>
      </c>
      <c r="H210" t="s">
        <v>74</v>
      </c>
      <c r="I210">
        <v>0</v>
      </c>
      <c r="J210" t="s">
        <v>75</v>
      </c>
      <c r="K210">
        <v>3.14159265358979</v>
      </c>
      <c r="L210">
        <v>0.64539029861038699</v>
      </c>
      <c r="M210">
        <v>0</v>
      </c>
      <c r="N210">
        <v>3.7894134479935997E-2</v>
      </c>
      <c r="O210">
        <v>0</v>
      </c>
      <c r="P210">
        <v>1.6E-2</v>
      </c>
      <c r="Q210">
        <v>0</v>
      </c>
      <c r="R210">
        <v>0</v>
      </c>
      <c r="S210">
        <v>0</v>
      </c>
      <c r="T210">
        <v>0</v>
      </c>
      <c r="U210">
        <v>0.65059505908172099</v>
      </c>
      <c r="V210" t="s">
        <v>78</v>
      </c>
      <c r="W210">
        <v>2316918.0838218401</v>
      </c>
      <c r="X210" t="s">
        <v>76</v>
      </c>
      <c r="Y210">
        <v>-1.5707963267949001</v>
      </c>
      <c r="Z210">
        <v>0.63785130870120998</v>
      </c>
      <c r="AA210">
        <v>0.344829386990054</v>
      </c>
      <c r="AB210">
        <v>3.4225559446873298E-2</v>
      </c>
      <c r="AC210">
        <v>1.9321128254909101E-2</v>
      </c>
      <c r="AD210">
        <v>1.1183469717379799E-2</v>
      </c>
      <c r="AE210">
        <v>2.4665676144030299E-2</v>
      </c>
      <c r="AF210">
        <v>0</v>
      </c>
      <c r="AG210">
        <v>0.26346280202445299</v>
      </c>
      <c r="AH210">
        <v>0.25952052266452003</v>
      </c>
      <c r="AI210">
        <v>0.38216263863691102</v>
      </c>
      <c r="AJ210" t="s">
        <v>74</v>
      </c>
      <c r="AK210">
        <v>0</v>
      </c>
      <c r="AL210" t="s">
        <v>77</v>
      </c>
      <c r="AM210">
        <v>0</v>
      </c>
      <c r="AN210">
        <v>0.99199999999999999</v>
      </c>
      <c r="AO210">
        <v>0</v>
      </c>
      <c r="AP210">
        <v>5.8245346242475203E-2</v>
      </c>
      <c r="AQ210">
        <v>0</v>
      </c>
      <c r="AR210">
        <v>1.6E-2</v>
      </c>
      <c r="AS210">
        <v>0</v>
      </c>
      <c r="AT210">
        <v>0</v>
      </c>
      <c r="AU210">
        <v>0</v>
      </c>
      <c r="AV210">
        <v>0</v>
      </c>
      <c r="AW210">
        <v>1</v>
      </c>
      <c r="AX210" t="s">
        <v>74</v>
      </c>
      <c r="AY210">
        <v>0</v>
      </c>
      <c r="AZ210" t="s">
        <v>76</v>
      </c>
      <c r="BA210">
        <v>-1.5707963267949001</v>
      </c>
      <c r="BB210">
        <v>0.99199999999999999</v>
      </c>
      <c r="BC210">
        <v>0</v>
      </c>
      <c r="BD210">
        <v>5.8245346242475203E-2</v>
      </c>
      <c r="BE210">
        <v>0</v>
      </c>
      <c r="BF210">
        <v>1.6E-2</v>
      </c>
      <c r="BG210">
        <v>0</v>
      </c>
      <c r="BH210">
        <v>0</v>
      </c>
      <c r="BI210">
        <v>0</v>
      </c>
      <c r="BJ210">
        <v>0</v>
      </c>
      <c r="BK210">
        <v>1</v>
      </c>
      <c r="BL210">
        <v>1.03965757333334E-4</v>
      </c>
      <c r="BM210">
        <v>2.6149166234448599E-4</v>
      </c>
      <c r="BN210" s="1">
        <v>3.7851650193927901E-7</v>
      </c>
      <c r="BO210" s="1">
        <v>4.1075014269820999E-6</v>
      </c>
      <c r="BP210">
        <v>0</v>
      </c>
      <c r="BQ210">
        <v>0</v>
      </c>
      <c r="BR210" s="1">
        <v>5.6439589750425503E-5</v>
      </c>
      <c r="BS210">
        <v>1.44324156028078E-4</v>
      </c>
    </row>
    <row r="211" spans="1:71" x14ac:dyDescent="0.25">
      <c r="A211">
        <v>208</v>
      </c>
      <c r="B211" s="1">
        <v>8.19212877281359E-6</v>
      </c>
      <c r="C211">
        <v>0.106265814520335</v>
      </c>
      <c r="D211">
        <v>-3.0999584496978102E-4</v>
      </c>
      <c r="E211">
        <v>6.1312499999999995E-4</v>
      </c>
      <c r="F211">
        <v>-1.06265814520335E-3</v>
      </c>
      <c r="G211" s="1">
        <v>1.0842021724855E-19</v>
      </c>
      <c r="H211" t="s">
        <v>74</v>
      </c>
      <c r="I211">
        <v>0</v>
      </c>
      <c r="J211" t="s">
        <v>75</v>
      </c>
      <c r="K211">
        <v>3.14159265358979</v>
      </c>
      <c r="L211">
        <v>0.64371167622303005</v>
      </c>
      <c r="M211">
        <v>0</v>
      </c>
      <c r="N211">
        <v>3.7795574054369403E-2</v>
      </c>
      <c r="O211">
        <v>0</v>
      </c>
      <c r="P211">
        <v>1.6E-2</v>
      </c>
      <c r="Q211">
        <v>0</v>
      </c>
      <c r="R211">
        <v>0</v>
      </c>
      <c r="S211">
        <v>0</v>
      </c>
      <c r="T211">
        <v>0</v>
      </c>
      <c r="U211">
        <v>0.64890289941688795</v>
      </c>
      <c r="V211" t="s">
        <v>78</v>
      </c>
      <c r="W211">
        <v>2317298.7443998801</v>
      </c>
      <c r="X211" t="s">
        <v>76</v>
      </c>
      <c r="Y211">
        <v>-1.5707963267949001</v>
      </c>
      <c r="Z211">
        <v>0.63617890792604104</v>
      </c>
      <c r="AA211">
        <v>0.34705772929340201</v>
      </c>
      <c r="AB211">
        <v>3.41315269955796E-2</v>
      </c>
      <c r="AC211">
        <v>1.9432202773490399E-2</v>
      </c>
      <c r="AD211">
        <v>1.1074932840624999E-2</v>
      </c>
      <c r="AE211">
        <v>2.4789893641971501E-2</v>
      </c>
      <c r="AF211">
        <v>0</v>
      </c>
      <c r="AG211">
        <v>0.26305718530726002</v>
      </c>
      <c r="AH211">
        <v>0.26245893495413303</v>
      </c>
      <c r="AI211">
        <v>0.379584442105037</v>
      </c>
      <c r="AJ211" t="s">
        <v>74</v>
      </c>
      <c r="AK211">
        <v>0</v>
      </c>
      <c r="AL211" t="s">
        <v>77</v>
      </c>
      <c r="AM211">
        <v>0</v>
      </c>
      <c r="AN211">
        <v>0.99199999999999999</v>
      </c>
      <c r="AO211">
        <v>0</v>
      </c>
      <c r="AP211">
        <v>5.8245346242475203E-2</v>
      </c>
      <c r="AQ211">
        <v>0</v>
      </c>
      <c r="AR211">
        <v>1.6E-2</v>
      </c>
      <c r="AS211">
        <v>0</v>
      </c>
      <c r="AT211">
        <v>0</v>
      </c>
      <c r="AU211">
        <v>0</v>
      </c>
      <c r="AV211">
        <v>0</v>
      </c>
      <c r="AW211">
        <v>1</v>
      </c>
      <c r="AX211" t="s">
        <v>74</v>
      </c>
      <c r="AY211">
        <v>0</v>
      </c>
      <c r="AZ211" t="s">
        <v>76</v>
      </c>
      <c r="BA211">
        <v>-1.5707963267949001</v>
      </c>
      <c r="BB211">
        <v>0.99199999999999999</v>
      </c>
      <c r="BC211">
        <v>0</v>
      </c>
      <c r="BD211">
        <v>5.8245346242475203E-2</v>
      </c>
      <c r="BE211">
        <v>0</v>
      </c>
      <c r="BF211">
        <v>1.6E-2</v>
      </c>
      <c r="BG211">
        <v>0</v>
      </c>
      <c r="BH211">
        <v>0</v>
      </c>
      <c r="BI211">
        <v>0</v>
      </c>
      <c r="BJ211">
        <v>0</v>
      </c>
      <c r="BK211">
        <v>1</v>
      </c>
      <c r="BL211">
        <v>1.03924998154195E-4</v>
      </c>
      <c r="BM211">
        <v>2.6275806013069701E-4</v>
      </c>
      <c r="BN211" s="1">
        <v>3.7835446214465902E-7</v>
      </c>
      <c r="BO211" s="1">
        <v>4.1273939568905096E-6</v>
      </c>
      <c r="BP211">
        <v>0</v>
      </c>
      <c r="BQ211">
        <v>0</v>
      </c>
      <c r="BR211" s="1">
        <v>5.6413018970470902E-5</v>
      </c>
      <c r="BS211">
        <v>1.4502436077804299E-4</v>
      </c>
    </row>
    <row r="212" spans="1:71" x14ac:dyDescent="0.25">
      <c r="A212">
        <v>209</v>
      </c>
      <c r="B212" s="1">
        <v>8.2046905996670502E-6</v>
      </c>
      <c r="C212">
        <v>0.106274019210935</v>
      </c>
      <c r="D212">
        <v>-3.10040022271182E-4</v>
      </c>
      <c r="E212">
        <v>6.1312499999999995E-4</v>
      </c>
      <c r="F212">
        <v>-1.0627401921093501E-3</v>
      </c>
      <c r="G212" s="1">
        <v>1.0842021724855E-19</v>
      </c>
      <c r="H212" t="s">
        <v>74</v>
      </c>
      <c r="I212">
        <v>0</v>
      </c>
      <c r="J212" t="s">
        <v>75</v>
      </c>
      <c r="K212">
        <v>3.14159265358979</v>
      </c>
      <c r="L212">
        <v>0.64203313671180096</v>
      </c>
      <c r="M212">
        <v>0</v>
      </c>
      <c r="N212">
        <v>3.7697018494880302E-2</v>
      </c>
      <c r="O212">
        <v>0</v>
      </c>
      <c r="P212">
        <v>1.6E-2</v>
      </c>
      <c r="Q212">
        <v>0</v>
      </c>
      <c r="R212">
        <v>0</v>
      </c>
      <c r="S212">
        <v>0</v>
      </c>
      <c r="T212">
        <v>0</v>
      </c>
      <c r="U212">
        <v>0.64721082329653201</v>
      </c>
      <c r="V212" t="s">
        <v>78</v>
      </c>
      <c r="W212">
        <v>2317679.9730675998</v>
      </c>
      <c r="X212" t="s">
        <v>76</v>
      </c>
      <c r="Y212">
        <v>-1.5707963267949001</v>
      </c>
      <c r="Z212">
        <v>0.63450662708015004</v>
      </c>
      <c r="AA212">
        <v>0.34814708432568098</v>
      </c>
      <c r="AB212">
        <v>3.4037516783966097E-2</v>
      </c>
      <c r="AC212">
        <v>1.9507503917277E-2</v>
      </c>
      <c r="AD212">
        <v>1.0966375501582099E-2</v>
      </c>
      <c r="AE212">
        <v>2.4914062084808699E-2</v>
      </c>
      <c r="AF212">
        <v>0</v>
      </c>
      <c r="AG212">
        <v>0.26262837385714599</v>
      </c>
      <c r="AH212">
        <v>0.26542041692871499</v>
      </c>
      <c r="AI212">
        <v>0.37701152380304498</v>
      </c>
      <c r="AJ212" t="s">
        <v>74</v>
      </c>
      <c r="AK212">
        <v>0</v>
      </c>
      <c r="AL212" t="s">
        <v>77</v>
      </c>
      <c r="AM212">
        <v>0</v>
      </c>
      <c r="AN212">
        <v>0.99199999999999999</v>
      </c>
      <c r="AO212">
        <v>0</v>
      </c>
      <c r="AP212">
        <v>5.8245346242475203E-2</v>
      </c>
      <c r="AQ212">
        <v>0</v>
      </c>
      <c r="AR212">
        <v>1.6E-2</v>
      </c>
      <c r="AS212">
        <v>0</v>
      </c>
      <c r="AT212">
        <v>0</v>
      </c>
      <c r="AU212">
        <v>0</v>
      </c>
      <c r="AV212">
        <v>0</v>
      </c>
      <c r="AW212">
        <v>1</v>
      </c>
      <c r="AX212" t="s">
        <v>74</v>
      </c>
      <c r="AY212">
        <v>0</v>
      </c>
      <c r="AZ212" t="s">
        <v>76</v>
      </c>
      <c r="BA212">
        <v>-1.5707963267949001</v>
      </c>
      <c r="BB212">
        <v>0.99199999999999999</v>
      </c>
      <c r="BC212">
        <v>0</v>
      </c>
      <c r="BD212">
        <v>5.8245346242475203E-2</v>
      </c>
      <c r="BE212">
        <v>0</v>
      </c>
      <c r="BF212">
        <v>1.6E-2</v>
      </c>
      <c r="BG212">
        <v>0</v>
      </c>
      <c r="BH212">
        <v>0</v>
      </c>
      <c r="BI212">
        <v>0</v>
      </c>
      <c r="BJ212">
        <v>0</v>
      </c>
      <c r="BK212">
        <v>1</v>
      </c>
      <c r="BL212">
        <v>1.0386636584053699E-4</v>
      </c>
      <c r="BM212">
        <v>2.6402439539293098E-4</v>
      </c>
      <c r="BN212" s="1">
        <v>3.7815679645554E-7</v>
      </c>
      <c r="BO212" s="1">
        <v>4.1472855046745898E-6</v>
      </c>
      <c r="BP212">
        <v>0</v>
      </c>
      <c r="BQ212">
        <v>0</v>
      </c>
      <c r="BR212" s="1">
        <v>5.6376583156460902E-5</v>
      </c>
      <c r="BS212">
        <v>1.4572454493898E-4</v>
      </c>
    </row>
    <row r="213" spans="1:71" x14ac:dyDescent="0.25">
      <c r="A213">
        <v>210</v>
      </c>
      <c r="B213" s="1">
        <v>8.2179833256827402E-6</v>
      </c>
      <c r="C213">
        <v>0.10628223719426</v>
      </c>
      <c r="D213">
        <v>-3.1008426933064001E-4</v>
      </c>
      <c r="E213">
        <v>6.1312499999999995E-4</v>
      </c>
      <c r="F213">
        <v>-1.0628223719425999E-3</v>
      </c>
      <c r="G213">
        <v>0</v>
      </c>
      <c r="H213" t="s">
        <v>74</v>
      </c>
      <c r="I213">
        <v>0</v>
      </c>
      <c r="J213" t="s">
        <v>75</v>
      </c>
      <c r="K213">
        <v>3.14159265358979</v>
      </c>
      <c r="L213">
        <v>0.64035468161912901</v>
      </c>
      <c r="M213">
        <v>0</v>
      </c>
      <c r="N213">
        <v>3.7598467892032403E-2</v>
      </c>
      <c r="O213">
        <v>0</v>
      </c>
      <c r="P213">
        <v>1.6E-2</v>
      </c>
      <c r="Q213">
        <v>0</v>
      </c>
      <c r="R213">
        <v>0</v>
      </c>
      <c r="S213">
        <v>0</v>
      </c>
      <c r="T213">
        <v>0</v>
      </c>
      <c r="U213">
        <v>0.64551883227551998</v>
      </c>
      <c r="V213" t="s">
        <v>78</v>
      </c>
      <c r="W213">
        <v>2318061.8037134898</v>
      </c>
      <c r="X213" t="s">
        <v>76</v>
      </c>
      <c r="Y213">
        <v>-1.5707963267949001</v>
      </c>
      <c r="Z213">
        <v>0.63283446668203003</v>
      </c>
      <c r="AA213">
        <v>0.34922543446107301</v>
      </c>
      <c r="AB213">
        <v>3.3943528510762502E-2</v>
      </c>
      <c r="AC213">
        <v>1.9582470163940401E-2</v>
      </c>
      <c r="AD213">
        <v>1.08577998786151E-2</v>
      </c>
      <c r="AE213">
        <v>2.5038180451545301E-2</v>
      </c>
      <c r="AF213">
        <v>0</v>
      </c>
      <c r="AG213">
        <v>0.262176186729905</v>
      </c>
      <c r="AH213">
        <v>0.268405147205174</v>
      </c>
      <c r="AI213">
        <v>0.37444390677968598</v>
      </c>
      <c r="AJ213" t="s">
        <v>74</v>
      </c>
      <c r="AK213">
        <v>0</v>
      </c>
      <c r="AL213" t="s">
        <v>77</v>
      </c>
      <c r="AM213">
        <v>0</v>
      </c>
      <c r="AN213">
        <v>0.99199999999999999</v>
      </c>
      <c r="AO213">
        <v>0</v>
      </c>
      <c r="AP213">
        <v>5.8245346242475203E-2</v>
      </c>
      <c r="AQ213">
        <v>0</v>
      </c>
      <c r="AR213">
        <v>1.6E-2</v>
      </c>
      <c r="AS213">
        <v>0</v>
      </c>
      <c r="AT213">
        <v>0</v>
      </c>
      <c r="AU213">
        <v>0</v>
      </c>
      <c r="AV213">
        <v>0</v>
      </c>
      <c r="AW213">
        <v>1</v>
      </c>
      <c r="AX213" t="s">
        <v>74</v>
      </c>
      <c r="AY213">
        <v>0</v>
      </c>
      <c r="AZ213" t="s">
        <v>76</v>
      </c>
      <c r="BA213">
        <v>-1.5707963267949001</v>
      </c>
      <c r="BB213">
        <v>0.99199999999999999</v>
      </c>
      <c r="BC213">
        <v>0</v>
      </c>
      <c r="BD213">
        <v>5.8245346242475203E-2</v>
      </c>
      <c r="BE213">
        <v>0</v>
      </c>
      <c r="BF213">
        <v>1.6E-2</v>
      </c>
      <c r="BG213">
        <v>0</v>
      </c>
      <c r="BH213">
        <v>0</v>
      </c>
      <c r="BI213">
        <v>0</v>
      </c>
      <c r="BJ213">
        <v>0</v>
      </c>
      <c r="BK213">
        <v>1</v>
      </c>
      <c r="BL213">
        <v>1.0380757952584299E-4</v>
      </c>
      <c r="BM213">
        <v>2.6529066696754001E-4</v>
      </c>
      <c r="BN213" s="1">
        <v>3.7795894516942E-7</v>
      </c>
      <c r="BO213" s="1">
        <v>4.1671760520557996E-6</v>
      </c>
      <c r="BP213">
        <v>0</v>
      </c>
      <c r="BQ213">
        <v>0</v>
      </c>
      <c r="BR213" s="1">
        <v>5.6340062001712303E-5</v>
      </c>
      <c r="BS213">
        <v>1.4642470800736699E-4</v>
      </c>
    </row>
    <row r="214" spans="1:71" x14ac:dyDescent="0.25">
      <c r="A214">
        <v>211</v>
      </c>
      <c r="B214" s="1">
        <v>8.2320189533646703E-6</v>
      </c>
      <c r="C214">
        <v>0.106290469213214</v>
      </c>
      <c r="D214">
        <v>-3.1012859013915798E-4</v>
      </c>
      <c r="E214">
        <v>6.1312499999999995E-4</v>
      </c>
      <c r="F214">
        <v>-1.0629046921321399E-3</v>
      </c>
      <c r="G214" s="1">
        <v>1.0842021724855E-19</v>
      </c>
      <c r="H214" t="s">
        <v>74</v>
      </c>
      <c r="I214">
        <v>0</v>
      </c>
      <c r="J214" t="s">
        <v>75</v>
      </c>
      <c r="K214">
        <v>3.14159265358979</v>
      </c>
      <c r="L214">
        <v>0.63867631253100798</v>
      </c>
      <c r="M214">
        <v>0</v>
      </c>
      <c r="N214">
        <v>3.74999223389475E-2</v>
      </c>
      <c r="O214">
        <v>0</v>
      </c>
      <c r="P214">
        <v>1.6E-2</v>
      </c>
      <c r="Q214">
        <v>0</v>
      </c>
      <c r="R214">
        <v>0</v>
      </c>
      <c r="S214">
        <v>0</v>
      </c>
      <c r="T214">
        <v>0</v>
      </c>
      <c r="U214">
        <v>0.64382692795263796</v>
      </c>
      <c r="V214" t="s">
        <v>78</v>
      </c>
      <c r="W214">
        <v>2318444.2707779799</v>
      </c>
      <c r="X214" t="s">
        <v>76</v>
      </c>
      <c r="Y214">
        <v>-1.5707963267949001</v>
      </c>
      <c r="Z214">
        <v>0.63116242728247895</v>
      </c>
      <c r="AA214">
        <v>0.35138775188962001</v>
      </c>
      <c r="AB214">
        <v>3.38495618741688E-2</v>
      </c>
      <c r="AC214">
        <v>1.96915008318416E-2</v>
      </c>
      <c r="AD214">
        <v>1.07492081541839E-2</v>
      </c>
      <c r="AE214">
        <v>2.51622477169063E-2</v>
      </c>
      <c r="AF214">
        <v>0</v>
      </c>
      <c r="AG214">
        <v>0.261700439764041</v>
      </c>
      <c r="AH214">
        <v>0.27141330755197202</v>
      </c>
      <c r="AI214">
        <v>0.37188161427212002</v>
      </c>
      <c r="AJ214" t="s">
        <v>74</v>
      </c>
      <c r="AK214">
        <v>0</v>
      </c>
      <c r="AL214" t="s">
        <v>77</v>
      </c>
      <c r="AM214">
        <v>0</v>
      </c>
      <c r="AN214">
        <v>0.99199999999999999</v>
      </c>
      <c r="AO214">
        <v>0</v>
      </c>
      <c r="AP214">
        <v>5.8245346242475203E-2</v>
      </c>
      <c r="AQ214">
        <v>0</v>
      </c>
      <c r="AR214">
        <v>1.6E-2</v>
      </c>
      <c r="AS214">
        <v>0</v>
      </c>
      <c r="AT214">
        <v>0</v>
      </c>
      <c r="AU214">
        <v>0</v>
      </c>
      <c r="AV214">
        <v>0</v>
      </c>
      <c r="AW214">
        <v>1</v>
      </c>
      <c r="AX214" t="s">
        <v>74</v>
      </c>
      <c r="AY214">
        <v>0</v>
      </c>
      <c r="AZ214" t="s">
        <v>76</v>
      </c>
      <c r="BA214">
        <v>-1.5707963267949001</v>
      </c>
      <c r="BB214">
        <v>0.99199999999999999</v>
      </c>
      <c r="BC214">
        <v>0</v>
      </c>
      <c r="BD214">
        <v>5.8245346242475203E-2</v>
      </c>
      <c r="BE214">
        <v>0</v>
      </c>
      <c r="BF214">
        <v>1.6E-2</v>
      </c>
      <c r="BG214">
        <v>0</v>
      </c>
      <c r="BH214">
        <v>0</v>
      </c>
      <c r="BI214">
        <v>0</v>
      </c>
      <c r="BJ214">
        <v>0</v>
      </c>
      <c r="BK214">
        <v>1</v>
      </c>
      <c r="BL214">
        <v>1.03765838764954E-4</v>
      </c>
      <c r="BM214">
        <v>2.6655687365800601E-4</v>
      </c>
      <c r="BN214" s="1">
        <v>3.7779530755508899E-7</v>
      </c>
      <c r="BO214" s="1">
        <v>4.1870655802392802E-6</v>
      </c>
      <c r="BP214">
        <v>0</v>
      </c>
      <c r="BQ214">
        <v>0</v>
      </c>
      <c r="BR214" s="1">
        <v>5.6312948757962499E-5</v>
      </c>
      <c r="BS214">
        <v>1.4712484946550301E-4</v>
      </c>
    </row>
    <row r="215" spans="1:71" x14ac:dyDescent="0.25">
      <c r="A215">
        <v>212</v>
      </c>
      <c r="B215" s="1">
        <v>8.2468100699447208E-6</v>
      </c>
      <c r="C215">
        <v>0.106298716023284</v>
      </c>
      <c r="D215">
        <v>-3.1017298875483598E-4</v>
      </c>
      <c r="E215">
        <v>6.1312499999999995E-4</v>
      </c>
      <c r="F215">
        <v>-1.0629871602328401E-3</v>
      </c>
      <c r="G215" s="1">
        <v>1.0842021724855E-19</v>
      </c>
      <c r="H215" t="s">
        <v>74</v>
      </c>
      <c r="I215">
        <v>0</v>
      </c>
      <c r="J215" t="s">
        <v>75</v>
      </c>
      <c r="K215">
        <v>3.14159265358979</v>
      </c>
      <c r="L215">
        <v>0.63699803107866804</v>
      </c>
      <c r="M215">
        <v>0</v>
      </c>
      <c r="N215">
        <v>3.7401381931403202E-2</v>
      </c>
      <c r="O215">
        <v>0</v>
      </c>
      <c r="P215">
        <v>1.6E-2</v>
      </c>
      <c r="Q215">
        <v>0</v>
      </c>
      <c r="R215">
        <v>0</v>
      </c>
      <c r="S215">
        <v>0</v>
      </c>
      <c r="T215">
        <v>0</v>
      </c>
      <c r="U215">
        <v>0.64213511197227002</v>
      </c>
      <c r="V215" t="s">
        <v>78</v>
      </c>
      <c r="W215">
        <v>2318827.4092804901</v>
      </c>
      <c r="X215" t="s">
        <v>76</v>
      </c>
      <c r="Y215">
        <v>-1.5707963267949001</v>
      </c>
      <c r="Z215">
        <v>0.62949050946549201</v>
      </c>
      <c r="AA215">
        <v>0.35244408862913001</v>
      </c>
      <c r="AB215">
        <v>3.3755616571680302E-2</v>
      </c>
      <c r="AC215">
        <v>1.97657969921105E-2</v>
      </c>
      <c r="AD215">
        <v>1.06406025155609E-2</v>
      </c>
      <c r="AE215">
        <v>2.5286262851210901E-2</v>
      </c>
      <c r="AF215">
        <v>0</v>
      </c>
      <c r="AG215">
        <v>0.26120094549207801</v>
      </c>
      <c r="AH215">
        <v>0.27444508297529802</v>
      </c>
      <c r="AI215">
        <v>0.369324669709436</v>
      </c>
      <c r="AJ215" t="s">
        <v>74</v>
      </c>
      <c r="AK215">
        <v>0</v>
      </c>
      <c r="AL215" t="s">
        <v>77</v>
      </c>
      <c r="AM215">
        <v>0</v>
      </c>
      <c r="AN215">
        <v>0.99199999999999999</v>
      </c>
      <c r="AO215">
        <v>0</v>
      </c>
      <c r="AP215">
        <v>5.8245346242475203E-2</v>
      </c>
      <c r="AQ215">
        <v>0</v>
      </c>
      <c r="AR215">
        <v>1.6E-2</v>
      </c>
      <c r="AS215">
        <v>0</v>
      </c>
      <c r="AT215">
        <v>0</v>
      </c>
      <c r="AU215">
        <v>0</v>
      </c>
      <c r="AV215">
        <v>0</v>
      </c>
      <c r="AW215">
        <v>1</v>
      </c>
      <c r="AX215" t="s">
        <v>74</v>
      </c>
      <c r="AY215">
        <v>0</v>
      </c>
      <c r="AZ215" t="s">
        <v>76</v>
      </c>
      <c r="BA215">
        <v>-1.5707963267949001</v>
      </c>
      <c r="BB215">
        <v>0.99199999999999999</v>
      </c>
      <c r="BC215">
        <v>0</v>
      </c>
      <c r="BD215">
        <v>5.8245346242475203E-2</v>
      </c>
      <c r="BE215">
        <v>0</v>
      </c>
      <c r="BF215">
        <v>1.6E-2</v>
      </c>
      <c r="BG215">
        <v>0</v>
      </c>
      <c r="BH215">
        <v>0</v>
      </c>
      <c r="BI215">
        <v>0</v>
      </c>
      <c r="BJ215">
        <v>0</v>
      </c>
      <c r="BK215">
        <v>1</v>
      </c>
      <c r="BL215">
        <v>1.03706743990072E-4</v>
      </c>
      <c r="BM215">
        <v>2.67823014233688E-4</v>
      </c>
      <c r="BN215" s="1">
        <v>3.7759708517471702E-7</v>
      </c>
      <c r="BO215" s="1">
        <v>4.2069540698941498E-6</v>
      </c>
      <c r="BP215">
        <v>0</v>
      </c>
      <c r="BQ215">
        <v>0</v>
      </c>
      <c r="BR215" s="1">
        <v>5.6276256859420203E-5</v>
      </c>
      <c r="BS215">
        <v>1.4782496878095101E-4</v>
      </c>
    </row>
    <row r="216" spans="1:71" x14ac:dyDescent="0.25">
      <c r="A216">
        <v>213</v>
      </c>
      <c r="B216" s="1">
        <v>8.2623698712026301E-6</v>
      </c>
      <c r="C216">
        <v>0.106306978393155</v>
      </c>
      <c r="D216">
        <v>-3.1021746930612603E-4</v>
      </c>
      <c r="E216">
        <v>6.1312499999999995E-4</v>
      </c>
      <c r="F216">
        <v>-1.0630697839315499E-3</v>
      </c>
      <c r="G216">
        <v>0</v>
      </c>
      <c r="H216" t="s">
        <v>74</v>
      </c>
      <c r="I216">
        <v>0</v>
      </c>
      <c r="J216" t="s">
        <v>75</v>
      </c>
      <c r="K216">
        <v>3.14159265358979</v>
      </c>
      <c r="L216">
        <v>0.63531983894030897</v>
      </c>
      <c r="M216">
        <v>0</v>
      </c>
      <c r="N216">
        <v>3.7302846767935403E-2</v>
      </c>
      <c r="O216">
        <v>0</v>
      </c>
      <c r="P216">
        <v>1.6E-2</v>
      </c>
      <c r="Q216">
        <v>0</v>
      </c>
      <c r="R216">
        <v>0</v>
      </c>
      <c r="S216">
        <v>0</v>
      </c>
      <c r="T216">
        <v>0</v>
      </c>
      <c r="U216">
        <v>0.64044338602615203</v>
      </c>
      <c r="V216" t="s">
        <v>78</v>
      </c>
      <c r="W216">
        <v>2319211.2548475601</v>
      </c>
      <c r="X216" t="s">
        <v>76</v>
      </c>
      <c r="Y216">
        <v>-1.5707963267949001</v>
      </c>
      <c r="Z216">
        <v>0.62781871384920396</v>
      </c>
      <c r="AA216">
        <v>0.35563533444522599</v>
      </c>
      <c r="AB216">
        <v>3.3661692299909098E-2</v>
      </c>
      <c r="AC216">
        <v>1.9907174408194301E-2</v>
      </c>
      <c r="AD216">
        <v>1.0531985155561301E-2</v>
      </c>
      <c r="AE216">
        <v>2.5410224820243701E-2</v>
      </c>
      <c r="AF216">
        <v>0</v>
      </c>
      <c r="AG216">
        <v>0.26067751304861903</v>
      </c>
      <c r="AH216">
        <v>0.277500661808392</v>
      </c>
      <c r="AI216">
        <v>0.36677309671625002</v>
      </c>
      <c r="AJ216" t="s">
        <v>74</v>
      </c>
      <c r="AK216">
        <v>0</v>
      </c>
      <c r="AL216" t="s">
        <v>77</v>
      </c>
      <c r="AM216">
        <v>0</v>
      </c>
      <c r="AN216">
        <v>0.99199999999999999</v>
      </c>
      <c r="AO216">
        <v>0</v>
      </c>
      <c r="AP216">
        <v>5.8245346242475203E-2</v>
      </c>
      <c r="AQ216">
        <v>0</v>
      </c>
      <c r="AR216">
        <v>1.6E-2</v>
      </c>
      <c r="AS216">
        <v>0</v>
      </c>
      <c r="AT216">
        <v>0</v>
      </c>
      <c r="AU216">
        <v>0</v>
      </c>
      <c r="AV216">
        <v>0</v>
      </c>
      <c r="AW216">
        <v>1</v>
      </c>
      <c r="AX216" t="s">
        <v>74</v>
      </c>
      <c r="AY216">
        <v>0</v>
      </c>
      <c r="AZ216" t="s">
        <v>76</v>
      </c>
      <c r="BA216">
        <v>-1.5707963267949001</v>
      </c>
      <c r="BB216">
        <v>0.99199999999999999</v>
      </c>
      <c r="BC216">
        <v>0</v>
      </c>
      <c r="BD216">
        <v>5.8245346242475203E-2</v>
      </c>
      <c r="BE216">
        <v>0</v>
      </c>
      <c r="BF216">
        <v>1.6E-2</v>
      </c>
      <c r="BG216">
        <v>0</v>
      </c>
      <c r="BH216">
        <v>0</v>
      </c>
      <c r="BI216">
        <v>0</v>
      </c>
      <c r="BJ216">
        <v>0</v>
      </c>
      <c r="BK216">
        <v>1</v>
      </c>
      <c r="BL216">
        <v>1.03681202980495E-4</v>
      </c>
      <c r="BM216">
        <v>2.69089087428505E-4</v>
      </c>
      <c r="BN216" s="1">
        <v>3.7746609421861002E-7</v>
      </c>
      <c r="BO216" s="1">
        <v>4.2268415011328703E-6</v>
      </c>
      <c r="BP216">
        <v>0</v>
      </c>
      <c r="BQ216">
        <v>0</v>
      </c>
      <c r="BR216" s="1">
        <v>5.6258084899706998E-5</v>
      </c>
      <c r="BS216">
        <v>1.4852506540595099E-4</v>
      </c>
    </row>
    <row r="217" spans="1:71" x14ac:dyDescent="0.25">
      <c r="A217">
        <v>214</v>
      </c>
      <c r="B217" s="1">
        <v>8.2787121867085202E-6</v>
      </c>
      <c r="C217">
        <v>0.106315257105341</v>
      </c>
      <c r="D217">
        <v>-3.1026203599522699E-4</v>
      </c>
      <c r="E217">
        <v>6.1312499999999995E-4</v>
      </c>
      <c r="F217">
        <v>-1.06315257105341E-3</v>
      </c>
      <c r="G217">
        <v>0</v>
      </c>
      <c r="H217" t="s">
        <v>74</v>
      </c>
      <c r="I217">
        <v>0</v>
      </c>
      <c r="J217" t="s">
        <v>75</v>
      </c>
      <c r="K217">
        <v>3.14159265358979</v>
      </c>
      <c r="L217">
        <v>0.63364173784292799</v>
      </c>
      <c r="M217">
        <v>0</v>
      </c>
      <c r="N217">
        <v>3.7204316949944603E-2</v>
      </c>
      <c r="O217">
        <v>0</v>
      </c>
      <c r="P217">
        <v>1.6E-2</v>
      </c>
      <c r="Q217">
        <v>0</v>
      </c>
      <c r="R217">
        <v>0</v>
      </c>
      <c r="S217">
        <v>0</v>
      </c>
      <c r="T217">
        <v>0</v>
      </c>
      <c r="U217">
        <v>0.63875175185520805</v>
      </c>
      <c r="V217" t="s">
        <v>78</v>
      </c>
      <c r="W217">
        <v>2319595.8437421299</v>
      </c>
      <c r="X217" t="s">
        <v>76</v>
      </c>
      <c r="Y217">
        <v>-1.5707963267949001</v>
      </c>
      <c r="Z217">
        <v>0.62614704108688002</v>
      </c>
      <c r="AA217">
        <v>0.356669654547694</v>
      </c>
      <c r="AB217">
        <v>3.3567788754399398E-2</v>
      </c>
      <c r="AC217">
        <v>1.9980801855158901E-2</v>
      </c>
      <c r="AD217">
        <v>1.04233582732907E-2</v>
      </c>
      <c r="AE217">
        <v>2.55341325851247E-2</v>
      </c>
      <c r="AF217">
        <v>0</v>
      </c>
      <c r="AG217">
        <v>0.26012994807501799</v>
      </c>
      <c r="AH217">
        <v>0.28058023580411301</v>
      </c>
      <c r="AI217">
        <v>0.36422691911641097</v>
      </c>
      <c r="AJ217" t="s">
        <v>74</v>
      </c>
      <c r="AK217">
        <v>0</v>
      </c>
      <c r="AL217" t="s">
        <v>77</v>
      </c>
      <c r="AM217">
        <v>0</v>
      </c>
      <c r="AN217">
        <v>0.99199999999999999</v>
      </c>
      <c r="AO217">
        <v>0</v>
      </c>
      <c r="AP217">
        <v>5.8245346242475203E-2</v>
      </c>
      <c r="AQ217">
        <v>0</v>
      </c>
      <c r="AR217">
        <v>1.6E-2</v>
      </c>
      <c r="AS217">
        <v>0</v>
      </c>
      <c r="AT217">
        <v>0</v>
      </c>
      <c r="AU217">
        <v>0</v>
      </c>
      <c r="AV217">
        <v>0</v>
      </c>
      <c r="AW217">
        <v>1</v>
      </c>
      <c r="AX217" t="s">
        <v>74</v>
      </c>
      <c r="AY217">
        <v>0</v>
      </c>
      <c r="AZ217" t="s">
        <v>76</v>
      </c>
      <c r="BA217">
        <v>-1.5707963267949001</v>
      </c>
      <c r="BB217">
        <v>0.99199999999999999</v>
      </c>
      <c r="BC217">
        <v>0</v>
      </c>
      <c r="BD217">
        <v>5.8245346242475203E-2</v>
      </c>
      <c r="BE217">
        <v>0</v>
      </c>
      <c r="BF217">
        <v>1.6E-2</v>
      </c>
      <c r="BG217">
        <v>0</v>
      </c>
      <c r="BH217">
        <v>0</v>
      </c>
      <c r="BI217">
        <v>0</v>
      </c>
      <c r="BJ217">
        <v>0</v>
      </c>
      <c r="BK217">
        <v>1</v>
      </c>
      <c r="BL217">
        <v>1.03621800022227E-4</v>
      </c>
      <c r="BM217">
        <v>2.7035509193956502E-4</v>
      </c>
      <c r="BN217" s="1">
        <v>3.7726750440399802E-7</v>
      </c>
      <c r="BO217" s="1">
        <v>4.2467278534896601E-6</v>
      </c>
      <c r="BP217">
        <v>0</v>
      </c>
      <c r="BQ217">
        <v>0</v>
      </c>
      <c r="BR217" s="1">
        <v>5.6221222638047798E-5</v>
      </c>
      <c r="BS217">
        <v>1.49225138776807E-4</v>
      </c>
    </row>
    <row r="218" spans="1:71" x14ac:dyDescent="0.25">
      <c r="A218">
        <v>215</v>
      </c>
      <c r="B218" s="1">
        <v>8.2958515066093696E-6</v>
      </c>
      <c r="C218">
        <v>0.10632355295684801</v>
      </c>
      <c r="D218">
        <v>-3.1030669310162502E-4</v>
      </c>
      <c r="E218">
        <v>6.1312499999999995E-4</v>
      </c>
      <c r="F218">
        <v>-1.06323552956848E-3</v>
      </c>
      <c r="G218">
        <v>0</v>
      </c>
      <c r="H218" t="s">
        <v>74</v>
      </c>
      <c r="I218">
        <v>0</v>
      </c>
      <c r="J218" t="s">
        <v>75</v>
      </c>
      <c r="K218">
        <v>3.14159265358979</v>
      </c>
      <c r="L218">
        <v>0.63196372956422298</v>
      </c>
      <c r="M218">
        <v>0</v>
      </c>
      <c r="N218">
        <v>3.71057925818086E-2</v>
      </c>
      <c r="O218">
        <v>0</v>
      </c>
      <c r="P218">
        <v>1.6E-2</v>
      </c>
      <c r="Q218">
        <v>0</v>
      </c>
      <c r="R218">
        <v>0</v>
      </c>
      <c r="S218">
        <v>0</v>
      </c>
      <c r="T218">
        <v>0</v>
      </c>
      <c r="U218">
        <v>0.63706021125147305</v>
      </c>
      <c r="V218" t="s">
        <v>78</v>
      </c>
      <c r="W218">
        <v>2319981.2128940802</v>
      </c>
      <c r="X218" t="s">
        <v>76</v>
      </c>
      <c r="Y218">
        <v>-1.5707963267949001</v>
      </c>
      <c r="Z218">
        <v>0.62447549186795404</v>
      </c>
      <c r="AA218">
        <v>0.35874390504244902</v>
      </c>
      <c r="AB218">
        <v>3.3473905629437202E-2</v>
      </c>
      <c r="AC218">
        <v>2.0087112775305602E-2</v>
      </c>
      <c r="AD218">
        <v>1.03147240749098E-2</v>
      </c>
      <c r="AE218">
        <v>2.5657985102177899E-2</v>
      </c>
      <c r="AF218">
        <v>0</v>
      </c>
      <c r="AG218">
        <v>0.25955805262050502</v>
      </c>
      <c r="AH218">
        <v>0.28368400023094298</v>
      </c>
      <c r="AI218">
        <v>0.36168616093679901</v>
      </c>
      <c r="AJ218" t="s">
        <v>74</v>
      </c>
      <c r="AK218">
        <v>0</v>
      </c>
      <c r="AL218" t="s">
        <v>77</v>
      </c>
      <c r="AM218">
        <v>0</v>
      </c>
      <c r="AN218">
        <v>0.99199999999999999</v>
      </c>
      <c r="AO218">
        <v>0</v>
      </c>
      <c r="AP218">
        <v>5.8245346242475203E-2</v>
      </c>
      <c r="AQ218">
        <v>0</v>
      </c>
      <c r="AR218">
        <v>1.6E-2</v>
      </c>
      <c r="AS218">
        <v>0</v>
      </c>
      <c r="AT218">
        <v>0</v>
      </c>
      <c r="AU218">
        <v>0</v>
      </c>
      <c r="AV218">
        <v>0</v>
      </c>
      <c r="AW218">
        <v>1</v>
      </c>
      <c r="AX218" t="s">
        <v>74</v>
      </c>
      <c r="AY218">
        <v>0</v>
      </c>
      <c r="AZ218" t="s">
        <v>76</v>
      </c>
      <c r="BA218">
        <v>-1.5707963267949001</v>
      </c>
      <c r="BB218">
        <v>0.99199999999999999</v>
      </c>
      <c r="BC218">
        <v>0</v>
      </c>
      <c r="BD218">
        <v>5.8245346242475203E-2</v>
      </c>
      <c r="BE218">
        <v>0</v>
      </c>
      <c r="BF218">
        <v>1.6E-2</v>
      </c>
      <c r="BG218">
        <v>0</v>
      </c>
      <c r="BH218">
        <v>0</v>
      </c>
      <c r="BI218">
        <v>0</v>
      </c>
      <c r="BJ218">
        <v>0</v>
      </c>
      <c r="BK218">
        <v>1</v>
      </c>
      <c r="BL218">
        <v>1.03578751735751E-4</v>
      </c>
      <c r="BM218">
        <v>2.7162102642572402E-4</v>
      </c>
      <c r="BN218" s="1">
        <v>3.7710175060351098E-7</v>
      </c>
      <c r="BO218" s="1">
        <v>4.2666131058978697E-6</v>
      </c>
      <c r="BP218">
        <v>0</v>
      </c>
      <c r="BQ218">
        <v>0</v>
      </c>
      <c r="BR218" s="1">
        <v>5.6193387424264499E-5</v>
      </c>
      <c r="BS218">
        <v>1.49925188313248E-4</v>
      </c>
    </row>
    <row r="219" spans="1:71" x14ac:dyDescent="0.25">
      <c r="A219">
        <v>216</v>
      </c>
      <c r="B219" s="1">
        <v>8.3138030100500898E-6</v>
      </c>
      <c r="C219">
        <v>0.10633186675985799</v>
      </c>
      <c r="D219">
        <v>-3.1035144498577701E-4</v>
      </c>
      <c r="E219">
        <v>6.1312499999999995E-4</v>
      </c>
      <c r="F219">
        <v>-1.0633186675985801E-3</v>
      </c>
      <c r="G219">
        <v>0</v>
      </c>
      <c r="H219" t="s">
        <v>74</v>
      </c>
      <c r="I219">
        <v>0</v>
      </c>
      <c r="J219" t="s">
        <v>75</v>
      </c>
      <c r="K219">
        <v>3.14159265358979</v>
      </c>
      <c r="L219">
        <v>0.63028581593460598</v>
      </c>
      <c r="M219">
        <v>0</v>
      </c>
      <c r="N219">
        <v>3.7007273771000097E-2</v>
      </c>
      <c r="O219">
        <v>0</v>
      </c>
      <c r="P219">
        <v>1.6E-2</v>
      </c>
      <c r="Q219">
        <v>0</v>
      </c>
      <c r="R219">
        <v>0</v>
      </c>
      <c r="S219">
        <v>0</v>
      </c>
      <c r="T219">
        <v>0</v>
      </c>
      <c r="U219">
        <v>0.63536876606012105</v>
      </c>
      <c r="V219" t="s">
        <v>78</v>
      </c>
      <c r="W219">
        <v>2320367.3999320399</v>
      </c>
      <c r="X219" t="s">
        <v>76</v>
      </c>
      <c r="Y219">
        <v>-1.5707963267949001</v>
      </c>
      <c r="Z219">
        <v>0.62280406691914003</v>
      </c>
      <c r="AA219">
        <v>0.35975620715679102</v>
      </c>
      <c r="AB219">
        <v>3.3380042617854301E-2</v>
      </c>
      <c r="AC219">
        <v>2.0160072685313099E-2</v>
      </c>
      <c r="AD219">
        <v>1.0206084774420201E-2</v>
      </c>
      <c r="AE219">
        <v>2.5781781322797001E-2</v>
      </c>
      <c r="AF219">
        <v>0</v>
      </c>
      <c r="AG219">
        <v>0.25896162503961501</v>
      </c>
      <c r="AH219">
        <v>0.28681215397252602</v>
      </c>
      <c r="AI219">
        <v>0.359150846411254</v>
      </c>
      <c r="AJ219" t="s">
        <v>74</v>
      </c>
      <c r="AK219">
        <v>0</v>
      </c>
      <c r="AL219" t="s">
        <v>77</v>
      </c>
      <c r="AM219">
        <v>0</v>
      </c>
      <c r="AN219">
        <v>0.99199999999999999</v>
      </c>
      <c r="AO219">
        <v>0</v>
      </c>
      <c r="AP219">
        <v>5.8245346242475203E-2</v>
      </c>
      <c r="AQ219">
        <v>0</v>
      </c>
      <c r="AR219">
        <v>1.6E-2</v>
      </c>
      <c r="AS219">
        <v>0</v>
      </c>
      <c r="AT219">
        <v>0</v>
      </c>
      <c r="AU219">
        <v>0</v>
      </c>
      <c r="AV219">
        <v>0</v>
      </c>
      <c r="AW219">
        <v>1</v>
      </c>
      <c r="AX219" t="s">
        <v>74</v>
      </c>
      <c r="AY219">
        <v>0</v>
      </c>
      <c r="AZ219" t="s">
        <v>76</v>
      </c>
      <c r="BA219">
        <v>-1.5707963267949001</v>
      </c>
      <c r="BB219">
        <v>0.99199999999999999</v>
      </c>
      <c r="BC219">
        <v>0</v>
      </c>
      <c r="BD219">
        <v>5.8245346242475203E-2</v>
      </c>
      <c r="BE219">
        <v>0</v>
      </c>
      <c r="BF219">
        <v>1.6E-2</v>
      </c>
      <c r="BG219">
        <v>0</v>
      </c>
      <c r="BH219">
        <v>0</v>
      </c>
      <c r="BI219">
        <v>0</v>
      </c>
      <c r="BJ219">
        <v>0</v>
      </c>
      <c r="BK219">
        <v>1</v>
      </c>
      <c r="BL219">
        <v>1.0351904077955901E-4</v>
      </c>
      <c r="BM219">
        <v>2.7288688950607E-4</v>
      </c>
      <c r="BN219" s="1">
        <v>3.7690279686576299E-7</v>
      </c>
      <c r="BO219" s="1">
        <v>4.2864972366662E-6</v>
      </c>
      <c r="BP219">
        <v>0</v>
      </c>
      <c r="BQ219">
        <v>0</v>
      </c>
      <c r="BR219" s="1">
        <v>5.6156354973352899E-5</v>
      </c>
      <c r="BS219">
        <v>1.5062521341774901E-4</v>
      </c>
    </row>
    <row r="220" spans="1:71" x14ac:dyDescent="0.25">
      <c r="A220">
        <v>217</v>
      </c>
      <c r="B220" s="1">
        <v>8.3325825953503795E-6</v>
      </c>
      <c r="C220">
        <v>0.10634019934245301</v>
      </c>
      <c r="D220">
        <v>-3.1039629609296699E-4</v>
      </c>
      <c r="E220">
        <v>6.1312499999999995E-4</v>
      </c>
      <c r="F220">
        <v>-1.06340199342453E-3</v>
      </c>
      <c r="G220">
        <v>0</v>
      </c>
      <c r="H220" t="s">
        <v>74</v>
      </c>
      <c r="I220">
        <v>0</v>
      </c>
      <c r="J220" t="s">
        <v>75</v>
      </c>
      <c r="K220">
        <v>3.14159265358979</v>
      </c>
      <c r="L220">
        <v>0.62860799883930396</v>
      </c>
      <c r="M220">
        <v>0</v>
      </c>
      <c r="N220">
        <v>3.6908760628210399E-2</v>
      </c>
      <c r="O220">
        <v>0</v>
      </c>
      <c r="P220">
        <v>1.6E-2</v>
      </c>
      <c r="Q220">
        <v>0</v>
      </c>
      <c r="R220">
        <v>0</v>
      </c>
      <c r="S220">
        <v>0</v>
      </c>
      <c r="T220">
        <v>0</v>
      </c>
      <c r="U220">
        <v>0.63367741818158296</v>
      </c>
      <c r="V220" t="s">
        <v>78</v>
      </c>
      <c r="W220">
        <v>2320754.4432166698</v>
      </c>
      <c r="X220" t="s">
        <v>76</v>
      </c>
      <c r="Y220">
        <v>-1.5707963267949001</v>
      </c>
      <c r="Z220">
        <v>0.62113276700559505</v>
      </c>
      <c r="AA220">
        <v>0.36178641797239902</v>
      </c>
      <c r="AB220">
        <v>3.3286199410825598E-2</v>
      </c>
      <c r="AC220">
        <v>2.0265023864865402E-2</v>
      </c>
      <c r="AD220">
        <v>1.00974425944688E-2</v>
      </c>
      <c r="AE220">
        <v>2.5905520193310601E-2</v>
      </c>
      <c r="AF220">
        <v>0</v>
      </c>
      <c r="AG220">
        <v>0.25834045988573101</v>
      </c>
      <c r="AH220">
        <v>0.28996489963094602</v>
      </c>
      <c r="AI220">
        <v>0.356620999984607</v>
      </c>
      <c r="AJ220" t="s">
        <v>74</v>
      </c>
      <c r="AK220">
        <v>0</v>
      </c>
      <c r="AL220" t="s">
        <v>77</v>
      </c>
      <c r="AM220">
        <v>0</v>
      </c>
      <c r="AN220">
        <v>0.99199999999999999</v>
      </c>
      <c r="AO220">
        <v>0</v>
      </c>
      <c r="AP220">
        <v>5.8245346242475203E-2</v>
      </c>
      <c r="AQ220">
        <v>0</v>
      </c>
      <c r="AR220">
        <v>1.6E-2</v>
      </c>
      <c r="AS220">
        <v>0</v>
      </c>
      <c r="AT220">
        <v>0</v>
      </c>
      <c r="AU220">
        <v>0</v>
      </c>
      <c r="AV220">
        <v>0</v>
      </c>
      <c r="AW220">
        <v>1</v>
      </c>
      <c r="AX220" t="s">
        <v>74</v>
      </c>
      <c r="AY220">
        <v>0</v>
      </c>
      <c r="AZ220" t="s">
        <v>76</v>
      </c>
      <c r="BA220">
        <v>-1.5707963267949001</v>
      </c>
      <c r="BB220">
        <v>0.99199999999999999</v>
      </c>
      <c r="BC220">
        <v>0</v>
      </c>
      <c r="BD220">
        <v>5.8245346242475203E-2</v>
      </c>
      <c r="BE220">
        <v>0</v>
      </c>
      <c r="BF220">
        <v>1.6E-2</v>
      </c>
      <c r="BG220">
        <v>0</v>
      </c>
      <c r="BH220">
        <v>0</v>
      </c>
      <c r="BI220">
        <v>0</v>
      </c>
      <c r="BJ220">
        <v>0</v>
      </c>
      <c r="BK220">
        <v>1</v>
      </c>
      <c r="BL220">
        <v>1.03475338194426E-4</v>
      </c>
      <c r="BM220">
        <v>2.7415267975833897E-4</v>
      </c>
      <c r="BN220" s="1">
        <v>3.76735987331279E-7</v>
      </c>
      <c r="BO220" s="1">
        <v>4.3063802234537597E-6</v>
      </c>
      <c r="BP220">
        <v>0</v>
      </c>
      <c r="BQ220">
        <v>0</v>
      </c>
      <c r="BR220" s="1">
        <v>5.6128158658958403E-5</v>
      </c>
      <c r="BS220">
        <v>1.5132521347482601E-4</v>
      </c>
    </row>
    <row r="221" spans="1:71" x14ac:dyDescent="0.25">
      <c r="A221">
        <v>218</v>
      </c>
      <c r="B221" s="1">
        <v>8.3522069120786207E-6</v>
      </c>
      <c r="C221">
        <v>0.106348551549366</v>
      </c>
      <c r="D221">
        <v>-3.1044125095732399E-4</v>
      </c>
      <c r="E221">
        <v>6.1312499999999995E-4</v>
      </c>
      <c r="F221">
        <v>-1.06348551549366E-3</v>
      </c>
      <c r="G221">
        <v>0</v>
      </c>
      <c r="H221" t="s">
        <v>74</v>
      </c>
      <c r="I221">
        <v>0</v>
      </c>
      <c r="J221" t="s">
        <v>75</v>
      </c>
      <c r="K221">
        <v>3.14159265358979</v>
      </c>
      <c r="L221">
        <v>0.62693028022057495</v>
      </c>
      <c r="M221">
        <v>0</v>
      </c>
      <c r="N221">
        <v>3.68102532674792E-2</v>
      </c>
      <c r="O221">
        <v>0</v>
      </c>
      <c r="P221">
        <v>1.6E-2</v>
      </c>
      <c r="Q221">
        <v>0</v>
      </c>
      <c r="R221">
        <v>0</v>
      </c>
      <c r="S221">
        <v>0</v>
      </c>
      <c r="T221">
        <v>0</v>
      </c>
      <c r="U221">
        <v>0.63198616957378095</v>
      </c>
      <c r="V221" t="s">
        <v>78</v>
      </c>
      <c r="W221">
        <v>2321142.3818752798</v>
      </c>
      <c r="X221" t="s">
        <v>76</v>
      </c>
      <c r="Y221">
        <v>-1.5707963267949001</v>
      </c>
      <c r="Z221">
        <v>0.61946159293215597</v>
      </c>
      <c r="AA221">
        <v>0.36277670265902301</v>
      </c>
      <c r="AB221">
        <v>3.3192375697659503E-2</v>
      </c>
      <c r="AC221">
        <v>2.0337318395449298E-2</v>
      </c>
      <c r="AD221">
        <v>9.9887997671775607E-3</v>
      </c>
      <c r="AE221">
        <v>2.6029200654843401E-2</v>
      </c>
      <c r="AF221">
        <v>0</v>
      </c>
      <c r="AG221">
        <v>0.25769434780058798</v>
      </c>
      <c r="AH221">
        <v>0.29314244363388497</v>
      </c>
      <c r="AI221">
        <v>0.354096646316857</v>
      </c>
      <c r="AJ221" t="s">
        <v>74</v>
      </c>
      <c r="AK221">
        <v>0</v>
      </c>
      <c r="AL221" t="s">
        <v>77</v>
      </c>
      <c r="AM221">
        <v>0</v>
      </c>
      <c r="AN221">
        <v>0.99199999999999999</v>
      </c>
      <c r="AO221">
        <v>0</v>
      </c>
      <c r="AP221">
        <v>5.8245346242475203E-2</v>
      </c>
      <c r="AQ221">
        <v>0</v>
      </c>
      <c r="AR221">
        <v>1.6E-2</v>
      </c>
      <c r="AS221">
        <v>0</v>
      </c>
      <c r="AT221">
        <v>0</v>
      </c>
      <c r="AU221">
        <v>0</v>
      </c>
      <c r="AV221">
        <v>0</v>
      </c>
      <c r="AW221">
        <v>1</v>
      </c>
      <c r="AX221" t="s">
        <v>74</v>
      </c>
      <c r="AY221">
        <v>0</v>
      </c>
      <c r="AZ221" t="s">
        <v>76</v>
      </c>
      <c r="BA221">
        <v>-1.5707963267949001</v>
      </c>
      <c r="BB221">
        <v>0.99199999999999999</v>
      </c>
      <c r="BC221">
        <v>0</v>
      </c>
      <c r="BD221">
        <v>5.8245346242475203E-2</v>
      </c>
      <c r="BE221">
        <v>0</v>
      </c>
      <c r="BF221">
        <v>1.6E-2</v>
      </c>
      <c r="BG221">
        <v>0</v>
      </c>
      <c r="BH221">
        <v>0</v>
      </c>
      <c r="BI221">
        <v>0</v>
      </c>
      <c r="BJ221">
        <v>0</v>
      </c>
      <c r="BK221">
        <v>1</v>
      </c>
      <c r="BL221">
        <v>1.0341531992276901E-4</v>
      </c>
      <c r="BM221">
        <v>2.7541839571723598E-4</v>
      </c>
      <c r="BN221" s="1">
        <v>3.7653667528375103E-7</v>
      </c>
      <c r="BO221" s="1">
        <v>4.3262620432437804E-6</v>
      </c>
      <c r="BP221">
        <v>0</v>
      </c>
      <c r="BQ221">
        <v>0</v>
      </c>
      <c r="BR221" s="1">
        <v>5.6090956552820798E-5</v>
      </c>
      <c r="BS221">
        <v>1.5202518785028499E-4</v>
      </c>
    </row>
    <row r="222" spans="1:71" x14ac:dyDescent="0.25">
      <c r="A222">
        <v>219</v>
      </c>
      <c r="B222" s="1">
        <v>8.3726933950938404E-6</v>
      </c>
      <c r="C222">
        <v>0.106356924242761</v>
      </c>
      <c r="D222">
        <v>-3.1048631420602899E-4</v>
      </c>
      <c r="E222">
        <v>6.1312499999999995E-4</v>
      </c>
      <c r="F222">
        <v>-1.06356924242761E-3</v>
      </c>
      <c r="G222" s="1">
        <v>1.0842021724855E-19</v>
      </c>
      <c r="H222" t="s">
        <v>74</v>
      </c>
      <c r="I222">
        <v>0</v>
      </c>
      <c r="J222" t="s">
        <v>75</v>
      </c>
      <c r="K222">
        <v>3.14159265358979</v>
      </c>
      <c r="L222">
        <v>0.62525266208003005</v>
      </c>
      <c r="M222">
        <v>0</v>
      </c>
      <c r="N222">
        <v>3.6711751806331398E-2</v>
      </c>
      <c r="O222">
        <v>0</v>
      </c>
      <c r="P222">
        <v>1.6E-2</v>
      </c>
      <c r="Q222">
        <v>0</v>
      </c>
      <c r="R222">
        <v>0</v>
      </c>
      <c r="S222">
        <v>0</v>
      </c>
      <c r="T222">
        <v>0</v>
      </c>
      <c r="U222">
        <v>0.63029502225446798</v>
      </c>
      <c r="V222" t="s">
        <v>78</v>
      </c>
      <c r="W222">
        <v>2321531.2558382</v>
      </c>
      <c r="X222" t="s">
        <v>76</v>
      </c>
      <c r="Y222">
        <v>-1.5707963267949001</v>
      </c>
      <c r="Z222">
        <v>0.61779054554463397</v>
      </c>
      <c r="AA222">
        <v>0.36476287461007401</v>
      </c>
      <c r="AB222">
        <v>3.3098571165580397E-2</v>
      </c>
      <c r="AC222">
        <v>2.0440913968203099E-2</v>
      </c>
      <c r="AD222">
        <v>9.8801585349948505E-3</v>
      </c>
      <c r="AE222">
        <v>2.6152821643176598E-2</v>
      </c>
      <c r="AF222">
        <v>0</v>
      </c>
      <c r="AG222">
        <v>0.25702307539952701</v>
      </c>
      <c r="AH222">
        <v>0.29634499634586497</v>
      </c>
      <c r="AI222">
        <v>0.35157781028745599</v>
      </c>
      <c r="AJ222" t="s">
        <v>74</v>
      </c>
      <c r="AK222">
        <v>0</v>
      </c>
      <c r="AL222" t="s">
        <v>77</v>
      </c>
      <c r="AM222">
        <v>0</v>
      </c>
      <c r="AN222">
        <v>0.99199999999999999</v>
      </c>
      <c r="AO222">
        <v>0</v>
      </c>
      <c r="AP222">
        <v>5.8245346242475203E-2</v>
      </c>
      <c r="AQ222">
        <v>0</v>
      </c>
      <c r="AR222">
        <v>1.6E-2</v>
      </c>
      <c r="AS222">
        <v>0</v>
      </c>
      <c r="AT222">
        <v>0</v>
      </c>
      <c r="AU222">
        <v>0</v>
      </c>
      <c r="AV222">
        <v>0</v>
      </c>
      <c r="AW222">
        <v>1</v>
      </c>
      <c r="AX222" t="s">
        <v>74</v>
      </c>
      <c r="AY222">
        <v>0</v>
      </c>
      <c r="AZ222" t="s">
        <v>76</v>
      </c>
      <c r="BA222">
        <v>-1.5707963267949001</v>
      </c>
      <c r="BB222">
        <v>0.99199999999999999</v>
      </c>
      <c r="BC222">
        <v>0</v>
      </c>
      <c r="BD222">
        <v>5.8245346242475203E-2</v>
      </c>
      <c r="BE222">
        <v>0</v>
      </c>
      <c r="BF222">
        <v>1.6E-2</v>
      </c>
      <c r="BG222">
        <v>0</v>
      </c>
      <c r="BH222">
        <v>0</v>
      </c>
      <c r="BI222">
        <v>0</v>
      </c>
      <c r="BJ222">
        <v>0</v>
      </c>
      <c r="BK222">
        <v>1</v>
      </c>
      <c r="BL222">
        <v>1.03370964712533E-4</v>
      </c>
      <c r="BM222">
        <v>2.76684035872696E-4</v>
      </c>
      <c r="BN222" s="1">
        <v>3.7636881952694997E-7</v>
      </c>
      <c r="BO222" s="1">
        <v>4.34614267231618E-6</v>
      </c>
      <c r="BP222">
        <v>0</v>
      </c>
      <c r="BQ222">
        <v>0</v>
      </c>
      <c r="BR222" s="1">
        <v>5.6062400215839703E-5</v>
      </c>
      <c r="BS222">
        <v>1.5272513589044499E-4</v>
      </c>
    </row>
    <row r="223" spans="1:71" x14ac:dyDescent="0.25">
      <c r="A223">
        <v>220</v>
      </c>
      <c r="B223" s="1">
        <v>8.3940603007672393E-6</v>
      </c>
      <c r="C223">
        <v>0.10636531830306099</v>
      </c>
      <c r="D223">
        <v>-3.1053149056370702E-4</v>
      </c>
      <c r="E223">
        <v>6.1312499999999995E-4</v>
      </c>
      <c r="F223">
        <v>-1.0636531830306101E-3</v>
      </c>
      <c r="G223">
        <v>0</v>
      </c>
      <c r="H223" t="s">
        <v>74</v>
      </c>
      <c r="I223">
        <v>0</v>
      </c>
      <c r="J223" t="s">
        <v>75</v>
      </c>
      <c r="K223">
        <v>3.14159265358979</v>
      </c>
      <c r="L223">
        <v>0.62357514648106804</v>
      </c>
      <c r="M223">
        <v>0</v>
      </c>
      <c r="N223">
        <v>3.6613256365919403E-2</v>
      </c>
      <c r="O223">
        <v>0</v>
      </c>
      <c r="P223">
        <v>1.6E-2</v>
      </c>
      <c r="Q223">
        <v>0</v>
      </c>
      <c r="R223">
        <v>0</v>
      </c>
      <c r="S223">
        <v>0</v>
      </c>
      <c r="T223">
        <v>0</v>
      </c>
      <c r="U223">
        <v>0.62860397830368497</v>
      </c>
      <c r="V223" t="s">
        <v>78</v>
      </c>
      <c r="W223">
        <v>2321921.1058766502</v>
      </c>
      <c r="X223" t="s">
        <v>76</v>
      </c>
      <c r="Y223">
        <v>-1.5707963267949001</v>
      </c>
      <c r="Z223">
        <v>0.61611962573118595</v>
      </c>
      <c r="AA223">
        <v>0.36672702861032302</v>
      </c>
      <c r="AB223">
        <v>3.3004785499503302E-2</v>
      </c>
      <c r="AC223">
        <v>2.0543830944565401E-2</v>
      </c>
      <c r="AD223">
        <v>9.7715211515741907E-3</v>
      </c>
      <c r="AE223">
        <v>2.6276382088605901E-2</v>
      </c>
      <c r="AF223">
        <v>0</v>
      </c>
      <c r="AG223">
        <v>0.25632642515230197</v>
      </c>
      <c r="AH223">
        <v>0.29957277218376299</v>
      </c>
      <c r="AI223">
        <v>0.34906451699973601</v>
      </c>
      <c r="AJ223" t="s">
        <v>74</v>
      </c>
      <c r="AK223">
        <v>0</v>
      </c>
      <c r="AL223" t="s">
        <v>77</v>
      </c>
      <c r="AM223">
        <v>0</v>
      </c>
      <c r="AN223">
        <v>0.99199999999999999</v>
      </c>
      <c r="AO223">
        <v>0</v>
      </c>
      <c r="AP223">
        <v>5.8245346242475203E-2</v>
      </c>
      <c r="AQ223">
        <v>0</v>
      </c>
      <c r="AR223">
        <v>1.6E-2</v>
      </c>
      <c r="AS223">
        <v>0</v>
      </c>
      <c r="AT223">
        <v>0</v>
      </c>
      <c r="AU223">
        <v>0</v>
      </c>
      <c r="AV223">
        <v>0</v>
      </c>
      <c r="AW223">
        <v>1</v>
      </c>
      <c r="AX223" t="s">
        <v>74</v>
      </c>
      <c r="AY223">
        <v>0</v>
      </c>
      <c r="AZ223" t="s">
        <v>76</v>
      </c>
      <c r="BA223">
        <v>-1.5707963267949001</v>
      </c>
      <c r="BB223">
        <v>0.99199999999999999</v>
      </c>
      <c r="BC223">
        <v>0</v>
      </c>
      <c r="BD223">
        <v>5.8245346242475203E-2</v>
      </c>
      <c r="BE223">
        <v>0</v>
      </c>
      <c r="BF223">
        <v>1.6E-2</v>
      </c>
      <c r="BG223">
        <v>0</v>
      </c>
      <c r="BH223">
        <v>0</v>
      </c>
      <c r="BI223">
        <v>0</v>
      </c>
      <c r="BJ223">
        <v>0</v>
      </c>
      <c r="BK223">
        <v>1</v>
      </c>
      <c r="BL223">
        <v>1.0332628264746899E-4</v>
      </c>
      <c r="BM223">
        <v>2.7794959866803202E-4</v>
      </c>
      <c r="BN223" s="1">
        <v>3.7620043983831502E-7</v>
      </c>
      <c r="BO223" s="1">
        <v>4.36602208621861E-6</v>
      </c>
      <c r="BP223">
        <v>0</v>
      </c>
      <c r="BQ223">
        <v>0</v>
      </c>
      <c r="BR223" s="1">
        <v>5.6033663666247599E-5</v>
      </c>
      <c r="BS223">
        <v>1.5342505692131499E-4</v>
      </c>
    </row>
    <row r="224" spans="1:71" x14ac:dyDescent="0.25">
      <c r="A224">
        <v>221</v>
      </c>
      <c r="B224" s="1">
        <v>8.4163267454346204E-6</v>
      </c>
      <c r="C224">
        <v>0.106373734629807</v>
      </c>
      <c r="D224">
        <v>-3.1057678485703501E-4</v>
      </c>
      <c r="E224">
        <v>6.1312499999999995E-4</v>
      </c>
      <c r="F224">
        <v>-1.06373734629807E-3</v>
      </c>
      <c r="G224">
        <v>0</v>
      </c>
      <c r="H224" t="s">
        <v>74</v>
      </c>
      <c r="I224">
        <v>0</v>
      </c>
      <c r="J224" t="s">
        <v>75</v>
      </c>
      <c r="K224">
        <v>3.14159265358979</v>
      </c>
      <c r="L224">
        <v>0.621897735551459</v>
      </c>
      <c r="M224">
        <v>0</v>
      </c>
      <c r="N224">
        <v>3.6514767071175402E-2</v>
      </c>
      <c r="O224">
        <v>0</v>
      </c>
      <c r="P224">
        <v>1.6E-2</v>
      </c>
      <c r="Q224">
        <v>0</v>
      </c>
      <c r="R224">
        <v>0</v>
      </c>
      <c r="S224">
        <v>0</v>
      </c>
      <c r="T224">
        <v>0</v>
      </c>
      <c r="U224">
        <v>0.62691303986636004</v>
      </c>
      <c r="V224" t="s">
        <v>78</v>
      </c>
      <c r="W224">
        <v>2322311.9736425299</v>
      </c>
      <c r="X224" t="s">
        <v>76</v>
      </c>
      <c r="Y224">
        <v>-1.5707963267949001</v>
      </c>
      <c r="Z224">
        <v>0.61444883442377796</v>
      </c>
      <c r="AA224">
        <v>0.36866916628058399</v>
      </c>
      <c r="AB224">
        <v>3.2911018381800501E-2</v>
      </c>
      <c r="AC224">
        <v>2.0646071041237599E-2</v>
      </c>
      <c r="AD224">
        <v>9.6628898826818001E-3</v>
      </c>
      <c r="AE224">
        <v>2.63998809157951E-2</v>
      </c>
      <c r="AF224">
        <v>0</v>
      </c>
      <c r="AG224">
        <v>0.25560417525925999</v>
      </c>
      <c r="AH224">
        <v>0.30282598973673802</v>
      </c>
      <c r="AI224">
        <v>0.34655679178551102</v>
      </c>
      <c r="AJ224" t="s">
        <v>74</v>
      </c>
      <c r="AK224">
        <v>0</v>
      </c>
      <c r="AL224" t="s">
        <v>77</v>
      </c>
      <c r="AM224">
        <v>0</v>
      </c>
      <c r="AN224">
        <v>0.99199999999999999</v>
      </c>
      <c r="AO224">
        <v>0</v>
      </c>
      <c r="AP224">
        <v>5.8245346242475203E-2</v>
      </c>
      <c r="AQ224">
        <v>0</v>
      </c>
      <c r="AR224">
        <v>1.6E-2</v>
      </c>
      <c r="AS224">
        <v>0</v>
      </c>
      <c r="AT224">
        <v>0</v>
      </c>
      <c r="AU224">
        <v>0</v>
      </c>
      <c r="AV224">
        <v>0</v>
      </c>
      <c r="AW224">
        <v>1</v>
      </c>
      <c r="AX224" t="s">
        <v>74</v>
      </c>
      <c r="AY224">
        <v>0</v>
      </c>
      <c r="AZ224" t="s">
        <v>76</v>
      </c>
      <c r="BA224">
        <v>-1.5707963267949001</v>
      </c>
      <c r="BB224">
        <v>0.99199999999999999</v>
      </c>
      <c r="BC224">
        <v>0</v>
      </c>
      <c r="BD224">
        <v>5.8245346242475203E-2</v>
      </c>
      <c r="BE224">
        <v>0</v>
      </c>
      <c r="BF224">
        <v>1.6E-2</v>
      </c>
      <c r="BG224">
        <v>0</v>
      </c>
      <c r="BH224">
        <v>0</v>
      </c>
      <c r="BI224">
        <v>0</v>
      </c>
      <c r="BJ224">
        <v>0</v>
      </c>
      <c r="BK224">
        <v>1</v>
      </c>
      <c r="BL224">
        <v>1.03281274489582E-4</v>
      </c>
      <c r="BM224">
        <v>2.7921508249799902E-4</v>
      </c>
      <c r="BN224" s="1">
        <v>3.7603153997274199E-7</v>
      </c>
      <c r="BO224" s="1">
        <v>4.3859002597359098E-6</v>
      </c>
      <c r="BP224">
        <v>0</v>
      </c>
      <c r="BQ224">
        <v>0</v>
      </c>
      <c r="BR224" s="1">
        <v>5.6004747365409198E-5</v>
      </c>
      <c r="BS224">
        <v>1.5412495024772201E-4</v>
      </c>
    </row>
    <row r="225" spans="1:71" x14ac:dyDescent="0.25">
      <c r="A225">
        <v>222</v>
      </c>
      <c r="B225" s="1">
        <v>8.4395127463312997E-6</v>
      </c>
      <c r="C225">
        <v>0.10638217414255299</v>
      </c>
      <c r="D225">
        <v>-3.1062220201956301E-4</v>
      </c>
      <c r="E225">
        <v>6.1312499999999995E-4</v>
      </c>
      <c r="F225">
        <v>-1.0638217414255301E-3</v>
      </c>
      <c r="G225">
        <v>0</v>
      </c>
      <c r="H225" t="s">
        <v>74</v>
      </c>
      <c r="I225">
        <v>0</v>
      </c>
      <c r="J225" t="s">
        <v>75</v>
      </c>
      <c r="K225">
        <v>3.14159265358979</v>
      </c>
      <c r="L225">
        <v>0.620220431486044</v>
      </c>
      <c r="M225">
        <v>0</v>
      </c>
      <c r="N225">
        <v>3.6416284050969798E-2</v>
      </c>
      <c r="O225">
        <v>0</v>
      </c>
      <c r="P225">
        <v>1.6E-2</v>
      </c>
      <c r="Q225">
        <v>0</v>
      </c>
      <c r="R225">
        <v>0</v>
      </c>
      <c r="S225">
        <v>0</v>
      </c>
      <c r="T225">
        <v>0</v>
      </c>
      <c r="U225">
        <v>0.62522220915503701</v>
      </c>
      <c r="V225" t="s">
        <v>78</v>
      </c>
      <c r="W225">
        <v>2322703.9017099598</v>
      </c>
      <c r="X225" t="s">
        <v>76</v>
      </c>
      <c r="Y225">
        <v>-1.5707963267949001</v>
      </c>
      <c r="Z225">
        <v>0.61277817259971101</v>
      </c>
      <c r="AA225">
        <v>0.369615425567766</v>
      </c>
      <c r="AB225">
        <v>3.2817269492058099E-2</v>
      </c>
      <c r="AC225">
        <v>2.0717039799663599E-2</v>
      </c>
      <c r="AD225">
        <v>9.5542670071330701E-3</v>
      </c>
      <c r="AE225">
        <v>2.6523317043628699E-2</v>
      </c>
      <c r="AF225">
        <v>0</v>
      </c>
      <c r="AG225">
        <v>0.254856099522627</v>
      </c>
      <c r="AH225">
        <v>0.30610487189087199</v>
      </c>
      <c r="AI225">
        <v>0.34405466020980502</v>
      </c>
      <c r="AJ225" t="s">
        <v>74</v>
      </c>
      <c r="AK225">
        <v>0</v>
      </c>
      <c r="AL225" t="s">
        <v>77</v>
      </c>
      <c r="AM225">
        <v>0</v>
      </c>
      <c r="AN225">
        <v>0.99199999999999999</v>
      </c>
      <c r="AO225">
        <v>0</v>
      </c>
      <c r="AP225">
        <v>5.8245346242475203E-2</v>
      </c>
      <c r="AQ225">
        <v>0</v>
      </c>
      <c r="AR225">
        <v>1.6E-2</v>
      </c>
      <c r="AS225">
        <v>0</v>
      </c>
      <c r="AT225">
        <v>0</v>
      </c>
      <c r="AU225">
        <v>0</v>
      </c>
      <c r="AV225">
        <v>0</v>
      </c>
      <c r="AW225">
        <v>1</v>
      </c>
      <c r="AX225" t="s">
        <v>74</v>
      </c>
      <c r="AY225">
        <v>0</v>
      </c>
      <c r="AZ225" t="s">
        <v>76</v>
      </c>
      <c r="BA225">
        <v>-1.5707963267949001</v>
      </c>
      <c r="BB225">
        <v>0.99199999999999999</v>
      </c>
      <c r="BC225">
        <v>0</v>
      </c>
      <c r="BD225">
        <v>5.8245346242475203E-2</v>
      </c>
      <c r="BE225">
        <v>0</v>
      </c>
      <c r="BF225">
        <v>1.6E-2</v>
      </c>
      <c r="BG225">
        <v>0</v>
      </c>
      <c r="BH225">
        <v>0</v>
      </c>
      <c r="BI225">
        <v>0</v>
      </c>
      <c r="BJ225">
        <v>0</v>
      </c>
      <c r="BK225">
        <v>1</v>
      </c>
      <c r="BL225">
        <v>1.0322064291382099E-4</v>
      </c>
      <c r="BM225">
        <v>2.8048048570674999E-4</v>
      </c>
      <c r="BN225" s="1">
        <v>3.7583152634129099E-7</v>
      </c>
      <c r="BO225" s="1">
        <v>4.4057771668581102E-6</v>
      </c>
      <c r="BP225">
        <v>0</v>
      </c>
      <c r="BQ225">
        <v>0</v>
      </c>
      <c r="BR225" s="1">
        <v>5.5967207254069898E-5</v>
      </c>
      <c r="BS225">
        <v>1.5482481515240401E-4</v>
      </c>
    </row>
    <row r="226" spans="1:71" x14ac:dyDescent="0.25">
      <c r="A226">
        <v>223</v>
      </c>
      <c r="B226" s="1">
        <v>8.4636392651814008E-6</v>
      </c>
      <c r="C226">
        <v>0.106390637781818</v>
      </c>
      <c r="D226">
        <v>-3.10667747096764E-4</v>
      </c>
      <c r="E226">
        <v>6.1312499999999995E-4</v>
      </c>
      <c r="F226">
        <v>-1.0639063778181801E-3</v>
      </c>
      <c r="G226" s="1">
        <v>1.0842021724855E-19</v>
      </c>
      <c r="H226" t="s">
        <v>74</v>
      </c>
      <c r="I226">
        <v>0</v>
      </c>
      <c r="J226" t="s">
        <v>75</v>
      </c>
      <c r="K226">
        <v>3.14159265358979</v>
      </c>
      <c r="L226">
        <v>0.618543236549572</v>
      </c>
      <c r="M226">
        <v>0</v>
      </c>
      <c r="N226">
        <v>3.6317807438277297E-2</v>
      </c>
      <c r="O226">
        <v>0</v>
      </c>
      <c r="P226">
        <v>1.6E-2</v>
      </c>
      <c r="Q226">
        <v>0</v>
      </c>
      <c r="R226">
        <v>0</v>
      </c>
      <c r="S226">
        <v>0</v>
      </c>
      <c r="T226">
        <v>0</v>
      </c>
      <c r="U226">
        <v>0.62353148845272799</v>
      </c>
      <c r="V226" t="s">
        <v>78</v>
      </c>
      <c r="W226">
        <v>2323096.9336189302</v>
      </c>
      <c r="X226" t="s">
        <v>76</v>
      </c>
      <c r="Y226">
        <v>-1.5707963267949001</v>
      </c>
      <c r="Z226">
        <v>0.61110764128323503</v>
      </c>
      <c r="AA226">
        <v>0.37151353736000098</v>
      </c>
      <c r="AB226">
        <v>3.2723538506822497E-2</v>
      </c>
      <c r="AC226">
        <v>2.0817927172453701E-2</v>
      </c>
      <c r="AD226">
        <v>9.4456548177613703E-3</v>
      </c>
      <c r="AE226">
        <v>2.6646689385060901E-2</v>
      </c>
      <c r="AF226">
        <v>0</v>
      </c>
      <c r="AG226">
        <v>0.25408196721269699</v>
      </c>
      <c r="AH226">
        <v>0.30940964595869702</v>
      </c>
      <c r="AI226">
        <v>0.34155814807573998</v>
      </c>
      <c r="AJ226" t="s">
        <v>74</v>
      </c>
      <c r="AK226">
        <v>0</v>
      </c>
      <c r="AL226" t="s">
        <v>77</v>
      </c>
      <c r="AM226">
        <v>0</v>
      </c>
      <c r="AN226">
        <v>0.99199999999999999</v>
      </c>
      <c r="AO226">
        <v>0</v>
      </c>
      <c r="AP226">
        <v>5.8245346242475203E-2</v>
      </c>
      <c r="AQ226">
        <v>0</v>
      </c>
      <c r="AR226">
        <v>1.6E-2</v>
      </c>
      <c r="AS226">
        <v>0</v>
      </c>
      <c r="AT226">
        <v>0</v>
      </c>
      <c r="AU226">
        <v>0</v>
      </c>
      <c r="AV226">
        <v>0</v>
      </c>
      <c r="AW226">
        <v>1</v>
      </c>
      <c r="AX226" t="s">
        <v>74</v>
      </c>
      <c r="AY226">
        <v>0</v>
      </c>
      <c r="AZ226" t="s">
        <v>76</v>
      </c>
      <c r="BA226">
        <v>-1.5707963267949001</v>
      </c>
      <c r="BB226">
        <v>0.99199999999999999</v>
      </c>
      <c r="BC226">
        <v>0</v>
      </c>
      <c r="BD226">
        <v>5.8245346242475203E-2</v>
      </c>
      <c r="BE226">
        <v>0</v>
      </c>
      <c r="BF226">
        <v>1.6E-2</v>
      </c>
      <c r="BG226">
        <v>0</v>
      </c>
      <c r="BH226">
        <v>0</v>
      </c>
      <c r="BI226">
        <v>0</v>
      </c>
      <c r="BJ226">
        <v>0</v>
      </c>
      <c r="BK226">
        <v>1</v>
      </c>
      <c r="BL226">
        <v>1.03174982801252E-4</v>
      </c>
      <c r="BM226">
        <v>2.8174580658569702E-4</v>
      </c>
      <c r="BN226" s="1">
        <v>3.7566158968572199E-7</v>
      </c>
      <c r="BO226" s="1">
        <v>4.4256527807467799E-6</v>
      </c>
      <c r="BP226">
        <v>0</v>
      </c>
      <c r="BQ226">
        <v>0</v>
      </c>
      <c r="BR226" s="1">
        <v>5.5937931629172201E-5</v>
      </c>
      <c r="BS226">
        <v>1.5552465089505E-4</v>
      </c>
    </row>
    <row r="227" spans="1:71" x14ac:dyDescent="0.25">
      <c r="A227">
        <v>224</v>
      </c>
      <c r="B227" s="1">
        <v>8.4887282545529693E-6</v>
      </c>
      <c r="C227">
        <v>0.10639912651007299</v>
      </c>
      <c r="D227">
        <v>-3.1071342525134201E-4</v>
      </c>
      <c r="E227">
        <v>6.1312499999999995E-4</v>
      </c>
      <c r="F227">
        <v>-1.06399126510073E-3</v>
      </c>
      <c r="G227" s="1">
        <v>1.0842021724855E-19</v>
      </c>
      <c r="H227" t="s">
        <v>74</v>
      </c>
      <c r="I227">
        <v>0</v>
      </c>
      <c r="J227" t="s">
        <v>75</v>
      </c>
      <c r="K227">
        <v>3.14159265358979</v>
      </c>
      <c r="L227">
        <v>0.61686615307971704</v>
      </c>
      <c r="M227">
        <v>0</v>
      </c>
      <c r="N227">
        <v>3.6219337370354703E-2</v>
      </c>
      <c r="O227">
        <v>0</v>
      </c>
      <c r="P227">
        <v>1.6E-2</v>
      </c>
      <c r="Q227">
        <v>0</v>
      </c>
      <c r="R227">
        <v>0</v>
      </c>
      <c r="S227">
        <v>0</v>
      </c>
      <c r="T227">
        <v>0</v>
      </c>
      <c r="U227">
        <v>0.62184088011595895</v>
      </c>
      <c r="V227" t="s">
        <v>78</v>
      </c>
      <c r="W227">
        <v>2323491.1139210602</v>
      </c>
      <c r="X227" t="s">
        <v>76</v>
      </c>
      <c r="Y227">
        <v>-1.5707963267949001</v>
      </c>
      <c r="Z227">
        <v>0.60943724154727896</v>
      </c>
      <c r="AA227">
        <v>0.37338964057312202</v>
      </c>
      <c r="AB227">
        <v>3.2629825099337199E-2</v>
      </c>
      <c r="AC227">
        <v>2.09181390245258E-2</v>
      </c>
      <c r="AD227">
        <v>9.3370556224232001E-3</v>
      </c>
      <c r="AE227">
        <v>2.67699968469601E-2</v>
      </c>
      <c r="AF227">
        <v>0</v>
      </c>
      <c r="AG227">
        <v>0.253281542928674</v>
      </c>
      <c r="AH227">
        <v>0.31274054381379801</v>
      </c>
      <c r="AI227">
        <v>0.33906728142963899</v>
      </c>
      <c r="AJ227" t="s">
        <v>74</v>
      </c>
      <c r="AK227">
        <v>0</v>
      </c>
      <c r="AL227" t="s">
        <v>77</v>
      </c>
      <c r="AM227">
        <v>0</v>
      </c>
      <c r="AN227">
        <v>0.99199999999999999</v>
      </c>
      <c r="AO227">
        <v>0</v>
      </c>
      <c r="AP227">
        <v>5.8245346242475203E-2</v>
      </c>
      <c r="AQ227">
        <v>0</v>
      </c>
      <c r="AR227">
        <v>1.6E-2</v>
      </c>
      <c r="AS227">
        <v>0</v>
      </c>
      <c r="AT227">
        <v>0</v>
      </c>
      <c r="AU227">
        <v>0</v>
      </c>
      <c r="AV227">
        <v>0</v>
      </c>
      <c r="AW227">
        <v>1</v>
      </c>
      <c r="AX227" t="s">
        <v>74</v>
      </c>
      <c r="AY227">
        <v>0</v>
      </c>
      <c r="AZ227" t="s">
        <v>76</v>
      </c>
      <c r="BA227">
        <v>-1.5707963267949001</v>
      </c>
      <c r="BB227">
        <v>0.99199999999999999</v>
      </c>
      <c r="BC227">
        <v>0</v>
      </c>
      <c r="BD227">
        <v>5.8245346242475203E-2</v>
      </c>
      <c r="BE227">
        <v>0</v>
      </c>
      <c r="BF227">
        <v>1.6E-2</v>
      </c>
      <c r="BG227">
        <v>0</v>
      </c>
      <c r="BH227">
        <v>0</v>
      </c>
      <c r="BI227">
        <v>0</v>
      </c>
      <c r="BJ227">
        <v>0</v>
      </c>
      <c r="BK227">
        <v>1</v>
      </c>
      <c r="BL227">
        <v>1.03128996989584E-4</v>
      </c>
      <c r="BM227">
        <v>2.8301104337123602E-4</v>
      </c>
      <c r="BN227" s="1">
        <v>3.7549113709158801E-7</v>
      </c>
      <c r="BO227" s="1">
        <v>4.4455270736992904E-6</v>
      </c>
      <c r="BP227">
        <v>0</v>
      </c>
      <c r="BQ227">
        <v>0</v>
      </c>
      <c r="BR227" s="1">
        <v>5.5908476597970298E-5</v>
      </c>
      <c r="BS227">
        <v>1.56224456711283E-4</v>
      </c>
    </row>
    <row r="228" spans="1:71" x14ac:dyDescent="0.25">
      <c r="A228">
        <v>225</v>
      </c>
      <c r="B228" s="1">
        <v>8.5148027072212407E-6</v>
      </c>
      <c r="C228">
        <v>0.10640764131277999</v>
      </c>
      <c r="D228">
        <v>-3.1075924176879202E-4</v>
      </c>
      <c r="E228">
        <v>6.1312499999999995E-4</v>
      </c>
      <c r="F228">
        <v>-1.0640764131277999E-3</v>
      </c>
      <c r="G228" s="1">
        <v>1.0842021724855E-19</v>
      </c>
      <c r="H228" t="s">
        <v>74</v>
      </c>
      <c r="I228">
        <v>0</v>
      </c>
      <c r="J228" t="s">
        <v>75</v>
      </c>
      <c r="K228">
        <v>3.14159265358979</v>
      </c>
      <c r="L228">
        <v>0.615189183490225</v>
      </c>
      <c r="M228">
        <v>0</v>
      </c>
      <c r="N228">
        <v>3.6120873988925203E-2</v>
      </c>
      <c r="O228">
        <v>0</v>
      </c>
      <c r="P228">
        <v>1.6E-2</v>
      </c>
      <c r="Q228">
        <v>0</v>
      </c>
      <c r="R228">
        <v>0</v>
      </c>
      <c r="S228">
        <v>0</v>
      </c>
      <c r="T228">
        <v>0</v>
      </c>
      <c r="U228">
        <v>0.62015038657794397</v>
      </c>
      <c r="V228" t="s">
        <v>78</v>
      </c>
      <c r="W228">
        <v>2323886.48822763</v>
      </c>
      <c r="X228" t="s">
        <v>76</v>
      </c>
      <c r="Y228">
        <v>-1.5707963267949001</v>
      </c>
      <c r="Z228">
        <v>0.60776697451524797</v>
      </c>
      <c r="AA228">
        <v>0.37430289690542901</v>
      </c>
      <c r="AB228">
        <v>3.2536128939267502E-2</v>
      </c>
      <c r="AC228">
        <v>2.09881185067574E-2</v>
      </c>
      <c r="AD228">
        <v>9.2284717450389197E-3</v>
      </c>
      <c r="AE228">
        <v>2.68932383299515E-2</v>
      </c>
      <c r="AF228">
        <v>0</v>
      </c>
      <c r="AG228">
        <v>0.25245458645390101</v>
      </c>
      <c r="AH228">
        <v>0.31609780203084398</v>
      </c>
      <c r="AI228">
        <v>0.33658208656626698</v>
      </c>
      <c r="AJ228" t="s">
        <v>74</v>
      </c>
      <c r="AK228">
        <v>0</v>
      </c>
      <c r="AL228" t="s">
        <v>77</v>
      </c>
      <c r="AM228">
        <v>0</v>
      </c>
      <c r="AN228">
        <v>0.99199999999999999</v>
      </c>
      <c r="AO228">
        <v>0</v>
      </c>
      <c r="AP228">
        <v>5.8245346242475203E-2</v>
      </c>
      <c r="AQ228">
        <v>0</v>
      </c>
      <c r="AR228">
        <v>1.6E-2</v>
      </c>
      <c r="AS228">
        <v>0</v>
      </c>
      <c r="AT228">
        <v>0</v>
      </c>
      <c r="AU228">
        <v>0</v>
      </c>
      <c r="AV228">
        <v>0</v>
      </c>
      <c r="AW228">
        <v>1</v>
      </c>
      <c r="AX228" t="s">
        <v>74</v>
      </c>
      <c r="AY228">
        <v>0</v>
      </c>
      <c r="AZ228" t="s">
        <v>76</v>
      </c>
      <c r="BA228">
        <v>-1.5707963267949001</v>
      </c>
      <c r="BB228">
        <v>0.99199999999999999</v>
      </c>
      <c r="BC228">
        <v>0</v>
      </c>
      <c r="BD228">
        <v>5.8245346242475203E-2</v>
      </c>
      <c r="BE228">
        <v>0</v>
      </c>
      <c r="BF228">
        <v>1.6E-2</v>
      </c>
      <c r="BG228">
        <v>0</v>
      </c>
      <c r="BH228">
        <v>0</v>
      </c>
      <c r="BI228">
        <v>0</v>
      </c>
      <c r="BJ228">
        <v>0</v>
      </c>
      <c r="BK228">
        <v>1</v>
      </c>
      <c r="BL228">
        <v>1.0306790695994999E-4</v>
      </c>
      <c r="BM228">
        <v>2.84276194242372E-4</v>
      </c>
      <c r="BN228" s="1">
        <v>3.7529061283756499E-7</v>
      </c>
      <c r="BO228" s="1">
        <v>4.4654000171115102E-6</v>
      </c>
      <c r="BP228">
        <v>0</v>
      </c>
      <c r="BQ228">
        <v>0</v>
      </c>
      <c r="BR228" s="1">
        <v>5.58706842665416E-5</v>
      </c>
      <c r="BS228">
        <v>1.56924231811596E-4</v>
      </c>
    </row>
    <row r="229" spans="1:71" x14ac:dyDescent="0.25">
      <c r="A229">
        <v>226</v>
      </c>
      <c r="B229" s="1">
        <v>8.5418867088922501E-6</v>
      </c>
      <c r="C229">
        <v>0.10641618319948901</v>
      </c>
      <c r="D229">
        <v>-3.1080520206325398E-4</v>
      </c>
      <c r="E229">
        <v>6.1312499999999995E-4</v>
      </c>
      <c r="F229">
        <v>-1.06416183199489E-3</v>
      </c>
      <c r="G229" s="1">
        <v>1.0842021724855E-19</v>
      </c>
      <c r="H229" t="s">
        <v>74</v>
      </c>
      <c r="I229">
        <v>0</v>
      </c>
      <c r="J229" t="s">
        <v>75</v>
      </c>
      <c r="K229">
        <v>3.14159265358979</v>
      </c>
      <c r="L229">
        <v>0.613512330274256</v>
      </c>
      <c r="M229">
        <v>0</v>
      </c>
      <c r="N229">
        <v>3.60224174403748E-2</v>
      </c>
      <c r="O229">
        <v>0</v>
      </c>
      <c r="P229">
        <v>1.6E-2</v>
      </c>
      <c r="Q229">
        <v>0</v>
      </c>
      <c r="R229">
        <v>0</v>
      </c>
      <c r="S229">
        <v>0</v>
      </c>
      <c r="T229">
        <v>0</v>
      </c>
      <c r="U229">
        <v>0.61846001035194897</v>
      </c>
      <c r="V229" t="s">
        <v>78</v>
      </c>
      <c r="W229">
        <v>2324283.1032600198</v>
      </c>
      <c r="X229" t="s">
        <v>76</v>
      </c>
      <c r="Y229">
        <v>-1.5707963267949001</v>
      </c>
      <c r="Z229">
        <v>0.60609684136294795</v>
      </c>
      <c r="AA229">
        <v>0.37706483159243698</v>
      </c>
      <c r="AB229">
        <v>3.2442449692412799E-2</v>
      </c>
      <c r="AC229">
        <v>2.1116193148660499E-2</v>
      </c>
      <c r="AD229">
        <v>9.1199055266745002E-3</v>
      </c>
      <c r="AE229">
        <v>2.7016412728255099E-2</v>
      </c>
      <c r="AF229">
        <v>0</v>
      </c>
      <c r="AG229">
        <v>0.25160085260519899</v>
      </c>
      <c r="AH229">
        <v>0.31948166203119999</v>
      </c>
      <c r="AI229">
        <v>0.33410259003429399</v>
      </c>
      <c r="AJ229" t="s">
        <v>74</v>
      </c>
      <c r="AK229">
        <v>0</v>
      </c>
      <c r="AL229" t="s">
        <v>77</v>
      </c>
      <c r="AM229">
        <v>0</v>
      </c>
      <c r="AN229">
        <v>0.99199999999999999</v>
      </c>
      <c r="AO229">
        <v>0</v>
      </c>
      <c r="AP229">
        <v>5.8245346242475203E-2</v>
      </c>
      <c r="AQ229">
        <v>0</v>
      </c>
      <c r="AR229">
        <v>1.6E-2</v>
      </c>
      <c r="AS229">
        <v>0</v>
      </c>
      <c r="AT229">
        <v>0</v>
      </c>
      <c r="AU229">
        <v>0</v>
      </c>
      <c r="AV229">
        <v>0</v>
      </c>
      <c r="AW229">
        <v>1</v>
      </c>
      <c r="AX229" t="s">
        <v>74</v>
      </c>
      <c r="AY229">
        <v>0</v>
      </c>
      <c r="AZ229" t="s">
        <v>76</v>
      </c>
      <c r="BA229">
        <v>-1.5707963267949001</v>
      </c>
      <c r="BB229">
        <v>0.99199999999999999</v>
      </c>
      <c r="BC229">
        <v>0</v>
      </c>
      <c r="BD229">
        <v>5.8245346242475203E-2</v>
      </c>
      <c r="BE229">
        <v>0</v>
      </c>
      <c r="BF229">
        <v>1.6E-2</v>
      </c>
      <c r="BG229">
        <v>0</v>
      </c>
      <c r="BH229">
        <v>0</v>
      </c>
      <c r="BI229">
        <v>0</v>
      </c>
      <c r="BJ229">
        <v>0</v>
      </c>
      <c r="BK229">
        <v>1</v>
      </c>
      <c r="BL229">
        <v>1.0303587638319899E-4</v>
      </c>
      <c r="BM229">
        <v>2.8554125731819902E-4</v>
      </c>
      <c r="BN229" s="1">
        <v>3.7514834598967202E-7</v>
      </c>
      <c r="BO229" s="1">
        <v>4.4852715814382398E-6</v>
      </c>
      <c r="BP229">
        <v>0</v>
      </c>
      <c r="BQ229">
        <v>0</v>
      </c>
      <c r="BR229" s="1">
        <v>5.5848933612141201E-5</v>
      </c>
      <c r="BS229">
        <v>1.5762397538022401E-4</v>
      </c>
    </row>
    <row r="230" spans="1:71" x14ac:dyDescent="0.25">
      <c r="A230">
        <v>227</v>
      </c>
      <c r="B230" s="1">
        <v>8.5700054942788203E-6</v>
      </c>
      <c r="C230">
        <v>0.106424753204983</v>
      </c>
      <c r="D230">
        <v>-3.1085131168365697E-4</v>
      </c>
      <c r="E230">
        <v>6.1312499999999995E-4</v>
      </c>
      <c r="F230">
        <v>-1.0642475320498299E-3</v>
      </c>
      <c r="G230" s="1">
        <v>1.0842021724855E-19</v>
      </c>
      <c r="H230" t="s">
        <v>74</v>
      </c>
      <c r="I230">
        <v>0</v>
      </c>
      <c r="J230" t="s">
        <v>75</v>
      </c>
      <c r="K230">
        <v>3.14159265358979</v>
      </c>
      <c r="L230">
        <v>0.61183559600790105</v>
      </c>
      <c r="M230">
        <v>0</v>
      </c>
      <c r="N230">
        <v>3.5923967875959001E-2</v>
      </c>
      <c r="O230">
        <v>0</v>
      </c>
      <c r="P230">
        <v>1.6E-2</v>
      </c>
      <c r="Q230">
        <v>0</v>
      </c>
      <c r="R230">
        <v>0</v>
      </c>
      <c r="S230">
        <v>0</v>
      </c>
      <c r="T230">
        <v>0</v>
      </c>
      <c r="U230">
        <v>0.61676975403483902</v>
      </c>
      <c r="V230" t="s">
        <v>78</v>
      </c>
      <c r="W230">
        <v>2324681.0069027902</v>
      </c>
      <c r="X230" t="s">
        <v>76</v>
      </c>
      <c r="Y230">
        <v>-1.5707963267949001</v>
      </c>
      <c r="Z230">
        <v>0.60442684332061203</v>
      </c>
      <c r="AA230">
        <v>0.37887493240688602</v>
      </c>
      <c r="AB230">
        <v>3.2348787020406597E-2</v>
      </c>
      <c r="AC230">
        <v>2.1214381846996502E-2</v>
      </c>
      <c r="AD230">
        <v>9.0113593266662392E-3</v>
      </c>
      <c r="AE230">
        <v>2.7139518929519001E-2</v>
      </c>
      <c r="AF230">
        <v>0</v>
      </c>
      <c r="AG230">
        <v>0.25072009107603299</v>
      </c>
      <c r="AH230">
        <v>0.32289237023445699</v>
      </c>
      <c r="AI230">
        <v>0.33162881864195898</v>
      </c>
      <c r="AJ230" t="s">
        <v>74</v>
      </c>
      <c r="AK230">
        <v>0</v>
      </c>
      <c r="AL230" t="s">
        <v>77</v>
      </c>
      <c r="AM230">
        <v>0</v>
      </c>
      <c r="AN230">
        <v>0.99199999999999999</v>
      </c>
      <c r="AO230">
        <v>0</v>
      </c>
      <c r="AP230">
        <v>5.8245346242475203E-2</v>
      </c>
      <c r="AQ230">
        <v>0</v>
      </c>
      <c r="AR230">
        <v>1.6E-2</v>
      </c>
      <c r="AS230">
        <v>0</v>
      </c>
      <c r="AT230">
        <v>0</v>
      </c>
      <c r="AU230">
        <v>0</v>
      </c>
      <c r="AV230">
        <v>0</v>
      </c>
      <c r="AW230">
        <v>1</v>
      </c>
      <c r="AX230" t="s">
        <v>74</v>
      </c>
      <c r="AY230">
        <v>0</v>
      </c>
      <c r="AZ230" t="s">
        <v>76</v>
      </c>
      <c r="BA230">
        <v>-1.5707963267949001</v>
      </c>
      <c r="BB230">
        <v>0.99199999999999999</v>
      </c>
      <c r="BC230">
        <v>0</v>
      </c>
      <c r="BD230">
        <v>5.8245346242475203E-2</v>
      </c>
      <c r="BE230">
        <v>0</v>
      </c>
      <c r="BF230">
        <v>1.6E-2</v>
      </c>
      <c r="BG230">
        <v>0</v>
      </c>
      <c r="BH230">
        <v>0</v>
      </c>
      <c r="BI230">
        <v>0</v>
      </c>
      <c r="BJ230">
        <v>0</v>
      </c>
      <c r="BK230">
        <v>1</v>
      </c>
      <c r="BL230">
        <v>1.02988914614156E-4</v>
      </c>
      <c r="BM230">
        <v>2.8680623065524498E-4</v>
      </c>
      <c r="BN230" s="1">
        <v>3.74976355881348E-7</v>
      </c>
      <c r="BO230" s="1">
        <v>4.5051417361514902E-6</v>
      </c>
      <c r="BP230">
        <v>0</v>
      </c>
      <c r="BQ230">
        <v>0</v>
      </c>
      <c r="BR230" s="1">
        <v>5.5818941262550399E-5</v>
      </c>
      <c r="BS230">
        <v>1.5832368657395601E-4</v>
      </c>
    </row>
    <row r="231" spans="1:71" x14ac:dyDescent="0.25">
      <c r="A231">
        <v>228</v>
      </c>
      <c r="B231" s="1">
        <v>8.5991855069917497E-6</v>
      </c>
      <c r="C231">
        <v>0.10643335239049</v>
      </c>
      <c r="D231">
        <v>-3.1089757632018599E-4</v>
      </c>
      <c r="E231">
        <v>6.1312499999999995E-4</v>
      </c>
      <c r="F231">
        <v>-1.0643335239048999E-3</v>
      </c>
      <c r="G231">
        <v>0</v>
      </c>
      <c r="H231" t="s">
        <v>74</v>
      </c>
      <c r="I231">
        <v>0</v>
      </c>
      <c r="J231" t="s">
        <v>75</v>
      </c>
      <c r="K231">
        <v>3.14159265358979</v>
      </c>
      <c r="L231">
        <v>0.61015898335388896</v>
      </c>
      <c r="M231">
        <v>0</v>
      </c>
      <c r="N231">
        <v>3.5825525452020099E-2</v>
      </c>
      <c r="O231">
        <v>0</v>
      </c>
      <c r="P231">
        <v>1.6E-2</v>
      </c>
      <c r="Q231">
        <v>0</v>
      </c>
      <c r="R231">
        <v>0</v>
      </c>
      <c r="S231">
        <v>0</v>
      </c>
      <c r="T231">
        <v>0</v>
      </c>
      <c r="U231">
        <v>0.61507962031081898</v>
      </c>
      <c r="V231" t="s">
        <v>78</v>
      </c>
      <c r="W231">
        <v>2325080.2482594801</v>
      </c>
      <c r="X231" t="s">
        <v>76</v>
      </c>
      <c r="Y231">
        <v>-1.5707963267949001</v>
      </c>
      <c r="Z231">
        <v>0.60275698167504099</v>
      </c>
      <c r="AA231">
        <v>0.37975520723698802</v>
      </c>
      <c r="AB231">
        <v>3.2255140580401499E-2</v>
      </c>
      <c r="AC231">
        <v>2.1283377625951599E-2</v>
      </c>
      <c r="AD231">
        <v>8.9028355237910708E-3</v>
      </c>
      <c r="AE231">
        <v>2.7262555814649401E-2</v>
      </c>
      <c r="AF231">
        <v>0</v>
      </c>
      <c r="AG231">
        <v>0.24981204627319201</v>
      </c>
      <c r="AH231">
        <v>0.32633017821615701</v>
      </c>
      <c r="AI231">
        <v>0.32916079946295101</v>
      </c>
      <c r="AJ231" t="s">
        <v>74</v>
      </c>
      <c r="AK231">
        <v>0</v>
      </c>
      <c r="AL231" t="s">
        <v>77</v>
      </c>
      <c r="AM231">
        <v>0</v>
      </c>
      <c r="AN231">
        <v>0.99199999999999999</v>
      </c>
      <c r="AO231">
        <v>0</v>
      </c>
      <c r="AP231">
        <v>5.8245346242475203E-2</v>
      </c>
      <c r="AQ231">
        <v>0</v>
      </c>
      <c r="AR231">
        <v>1.6E-2</v>
      </c>
      <c r="AS231">
        <v>0</v>
      </c>
      <c r="AT231">
        <v>0</v>
      </c>
      <c r="AU231">
        <v>0</v>
      </c>
      <c r="AV231">
        <v>0</v>
      </c>
      <c r="AW231">
        <v>1</v>
      </c>
      <c r="AX231" t="s">
        <v>74</v>
      </c>
      <c r="AY231">
        <v>0</v>
      </c>
      <c r="AZ231" t="s">
        <v>76</v>
      </c>
      <c r="BA231">
        <v>-1.5707963267949001</v>
      </c>
      <c r="BB231">
        <v>0.99199999999999999</v>
      </c>
      <c r="BC231">
        <v>0</v>
      </c>
      <c r="BD231">
        <v>5.8245346242475203E-2</v>
      </c>
      <c r="BE231">
        <v>0</v>
      </c>
      <c r="BF231">
        <v>1.6E-2</v>
      </c>
      <c r="BG231">
        <v>0</v>
      </c>
      <c r="BH231">
        <v>0</v>
      </c>
      <c r="BI231">
        <v>0</v>
      </c>
      <c r="BJ231">
        <v>0</v>
      </c>
      <c r="BK231">
        <v>1</v>
      </c>
      <c r="BL231">
        <v>1.02927368071662E-4</v>
      </c>
      <c r="BM231">
        <v>2.8807111224467399E-4</v>
      </c>
      <c r="BN231" s="1">
        <v>3.74775337863228E-7</v>
      </c>
      <c r="BO231" s="1">
        <v>4.5250104496965499E-6</v>
      </c>
      <c r="BP231">
        <v>0</v>
      </c>
      <c r="BQ231">
        <v>0</v>
      </c>
      <c r="BR231" s="1">
        <v>5.5780898281393697E-5</v>
      </c>
      <c r="BS231">
        <v>1.5902336452088E-4</v>
      </c>
    </row>
    <row r="232" spans="1:71" x14ac:dyDescent="0.25">
      <c r="A232">
        <v>229</v>
      </c>
      <c r="B232" s="1">
        <v>8.6294544635091005E-6</v>
      </c>
      <c r="C232">
        <v>0.106441981844954</v>
      </c>
      <c r="D232">
        <v>-3.1094400181109301E-4</v>
      </c>
      <c r="E232">
        <v>6.1312499999999995E-4</v>
      </c>
      <c r="F232">
        <v>-1.06441981844954E-3</v>
      </c>
      <c r="G232">
        <v>0</v>
      </c>
      <c r="H232" t="s">
        <v>74</v>
      </c>
      <c r="I232">
        <v>0</v>
      </c>
      <c r="J232" t="s">
        <v>75</v>
      </c>
      <c r="K232">
        <v>3.14159265358979</v>
      </c>
      <c r="L232">
        <v>0.60848249506552698</v>
      </c>
      <c r="M232">
        <v>0</v>
      </c>
      <c r="N232">
        <v>3.5727090330218599E-2</v>
      </c>
      <c r="O232">
        <v>0</v>
      </c>
      <c r="P232">
        <v>1.6E-2</v>
      </c>
      <c r="Q232">
        <v>0</v>
      </c>
      <c r="R232">
        <v>0</v>
      </c>
      <c r="S232">
        <v>0</v>
      </c>
      <c r="T232">
        <v>0</v>
      </c>
      <c r="U232">
        <v>0.61338961195539898</v>
      </c>
      <c r="V232" t="s">
        <v>78</v>
      </c>
      <c r="W232">
        <v>2325480.8777113901</v>
      </c>
      <c r="X232" t="s">
        <v>76</v>
      </c>
      <c r="Y232">
        <v>-1.5707963267949001</v>
      </c>
      <c r="Z232">
        <v>0.60108725777189098</v>
      </c>
      <c r="AA232">
        <v>0.38152133090833401</v>
      </c>
      <c r="AB232">
        <v>3.2161510024740103E-2</v>
      </c>
      <c r="AC232">
        <v>2.1380221932351302E-2</v>
      </c>
      <c r="AD232">
        <v>8.7943365174876498E-3</v>
      </c>
      <c r="AE232">
        <v>2.7385522257634201E-2</v>
      </c>
      <c r="AF232">
        <v>0</v>
      </c>
      <c r="AG232">
        <v>0.24887645714666201</v>
      </c>
      <c r="AH232">
        <v>0.32979534287197698</v>
      </c>
      <c r="AI232">
        <v>0.32669855984253598</v>
      </c>
      <c r="AJ232" t="s">
        <v>74</v>
      </c>
      <c r="AK232">
        <v>0</v>
      </c>
      <c r="AL232" t="s">
        <v>77</v>
      </c>
      <c r="AM232">
        <v>0</v>
      </c>
      <c r="AN232">
        <v>0.99199999999999999</v>
      </c>
      <c r="AO232">
        <v>0</v>
      </c>
      <c r="AP232">
        <v>5.8245346242475203E-2</v>
      </c>
      <c r="AQ232">
        <v>0</v>
      </c>
      <c r="AR232">
        <v>1.6E-2</v>
      </c>
      <c r="AS232">
        <v>0</v>
      </c>
      <c r="AT232">
        <v>0</v>
      </c>
      <c r="AU232">
        <v>0</v>
      </c>
      <c r="AV232">
        <v>0</v>
      </c>
      <c r="AW232">
        <v>1</v>
      </c>
      <c r="AX232" t="s">
        <v>74</v>
      </c>
      <c r="AY232">
        <v>0</v>
      </c>
      <c r="AZ232" t="s">
        <v>76</v>
      </c>
      <c r="BA232">
        <v>-1.5707963267949001</v>
      </c>
      <c r="BB232">
        <v>0.99199999999999999</v>
      </c>
      <c r="BC232">
        <v>0</v>
      </c>
      <c r="BD232">
        <v>5.8245346242475203E-2</v>
      </c>
      <c r="BE232">
        <v>0</v>
      </c>
      <c r="BF232">
        <v>1.6E-2</v>
      </c>
      <c r="BG232">
        <v>0</v>
      </c>
      <c r="BH232">
        <v>0</v>
      </c>
      <c r="BI232">
        <v>0</v>
      </c>
      <c r="BJ232">
        <v>0</v>
      </c>
      <c r="BK232">
        <v>1</v>
      </c>
      <c r="BL232">
        <v>1.0287975738613E-4</v>
      </c>
      <c r="BM232">
        <v>2.8933590000931902E-4</v>
      </c>
      <c r="BN232" s="1">
        <v>3.7460233460389598E-7</v>
      </c>
      <c r="BO232" s="1">
        <v>4.5448776894453396E-6</v>
      </c>
      <c r="BP232">
        <v>0</v>
      </c>
      <c r="BQ232">
        <v>0</v>
      </c>
      <c r="BR232" s="1">
        <v>5.57505488377566E-5</v>
      </c>
      <c r="BS232">
        <v>1.5972300831905301E-4</v>
      </c>
    </row>
    <row r="233" spans="1:71" x14ac:dyDescent="0.25">
      <c r="A233">
        <v>230</v>
      </c>
      <c r="B233" s="1">
        <v>8.6608414214563495E-6</v>
      </c>
      <c r="C233">
        <v>0.106450642686375</v>
      </c>
      <c r="D233">
        <v>-3.1099059414987202E-4</v>
      </c>
      <c r="E233">
        <v>6.1312499999999995E-4</v>
      </c>
      <c r="F233">
        <v>-1.0645064268637501E-3</v>
      </c>
      <c r="G233" s="1">
        <v>1.0842021724855E-19</v>
      </c>
      <c r="H233" t="s">
        <v>74</v>
      </c>
      <c r="I233">
        <v>0</v>
      </c>
      <c r="J233" t="s">
        <v>75</v>
      </c>
      <c r="K233">
        <v>3.14159265358979</v>
      </c>
      <c r="L233">
        <v>0.60680613399083105</v>
      </c>
      <c r="M233">
        <v>0</v>
      </c>
      <c r="N233">
        <v>3.5628662677775903E-2</v>
      </c>
      <c r="O233">
        <v>0</v>
      </c>
      <c r="P233">
        <v>1.6E-2</v>
      </c>
      <c r="Q233">
        <v>0</v>
      </c>
      <c r="R233">
        <v>0</v>
      </c>
      <c r="S233">
        <v>0</v>
      </c>
      <c r="T233">
        <v>0</v>
      </c>
      <c r="U233">
        <v>0.61169973183956305</v>
      </c>
      <c r="V233" t="s">
        <v>78</v>
      </c>
      <c r="W233">
        <v>2325882.9469794398</v>
      </c>
      <c r="X233" t="s">
        <v>76</v>
      </c>
      <c r="Y233">
        <v>-1.5707963267949001</v>
      </c>
      <c r="Z233">
        <v>0.59941767301806403</v>
      </c>
      <c r="AA233">
        <v>0.38326547487378299</v>
      </c>
      <c r="AB233">
        <v>3.20678950006087E-2</v>
      </c>
      <c r="AC233">
        <v>2.14763946597132E-2</v>
      </c>
      <c r="AD233">
        <v>8.6858647291291492E-3</v>
      </c>
      <c r="AE233">
        <v>2.7508417125363002E-2</v>
      </c>
      <c r="AF233">
        <v>0</v>
      </c>
      <c r="AG233">
        <v>0.24791305701234301</v>
      </c>
      <c r="AH233">
        <v>0.33328812658877799</v>
      </c>
      <c r="AI233">
        <v>0.324242127403917</v>
      </c>
      <c r="AJ233" t="s">
        <v>74</v>
      </c>
      <c r="AK233">
        <v>0</v>
      </c>
      <c r="AL233" t="s">
        <v>77</v>
      </c>
      <c r="AM233">
        <v>0</v>
      </c>
      <c r="AN233">
        <v>0.99199999999999999</v>
      </c>
      <c r="AO233">
        <v>0</v>
      </c>
      <c r="AP233">
        <v>5.8245346242475203E-2</v>
      </c>
      <c r="AQ233">
        <v>0</v>
      </c>
      <c r="AR233">
        <v>1.6E-2</v>
      </c>
      <c r="AS233">
        <v>0</v>
      </c>
      <c r="AT233">
        <v>0</v>
      </c>
      <c r="AU233">
        <v>0</v>
      </c>
      <c r="AV233">
        <v>0</v>
      </c>
      <c r="AW233">
        <v>1</v>
      </c>
      <c r="AX233" t="s">
        <v>74</v>
      </c>
      <c r="AY233">
        <v>0</v>
      </c>
      <c r="AZ233" t="s">
        <v>76</v>
      </c>
      <c r="BA233">
        <v>-1.5707963267949001</v>
      </c>
      <c r="BB233">
        <v>0.99199999999999999</v>
      </c>
      <c r="BC233">
        <v>0</v>
      </c>
      <c r="BD233">
        <v>5.8245346242475203E-2</v>
      </c>
      <c r="BE233">
        <v>0</v>
      </c>
      <c r="BF233">
        <v>1.6E-2</v>
      </c>
      <c r="BG233">
        <v>0</v>
      </c>
      <c r="BH233">
        <v>0</v>
      </c>
      <c r="BI233">
        <v>0</v>
      </c>
      <c r="BJ233">
        <v>0</v>
      </c>
      <c r="BK233">
        <v>1</v>
      </c>
      <c r="BL233">
        <v>1.0283182241152401E-4</v>
      </c>
      <c r="BM233">
        <v>2.9060059180056002E-4</v>
      </c>
      <c r="BN233" s="1">
        <v>3.7442882711834901E-7</v>
      </c>
      <c r="BO233" s="1">
        <v>4.56474342164743E-6</v>
      </c>
      <c r="BP233">
        <v>0</v>
      </c>
      <c r="BQ233">
        <v>0</v>
      </c>
      <c r="BR233" s="1">
        <v>5.5720021051187799E-5</v>
      </c>
      <c r="BS233">
        <v>1.6042261703510101E-4</v>
      </c>
    </row>
    <row r="234" spans="1:71" x14ac:dyDescent="0.25">
      <c r="A234">
        <v>231</v>
      </c>
      <c r="B234" s="1">
        <v>8.6933768526410506E-6</v>
      </c>
      <c r="C234">
        <v>0.10645933606322799</v>
      </c>
      <c r="D234">
        <v>-3.1103735949282099E-4</v>
      </c>
      <c r="E234">
        <v>6.1312499999999995E-4</v>
      </c>
      <c r="F234">
        <v>-1.0645933606322801E-3</v>
      </c>
      <c r="G234" s="1">
        <v>1.0842021724855E-19</v>
      </c>
      <c r="H234" t="s">
        <v>74</v>
      </c>
      <c r="I234">
        <v>0</v>
      </c>
      <c r="J234" t="s">
        <v>75</v>
      </c>
      <c r="K234">
        <v>3.14159265358979</v>
      </c>
      <c r="L234">
        <v>0.60512990307691805</v>
      </c>
      <c r="M234">
        <v>0</v>
      </c>
      <c r="N234">
        <v>3.5530242667732401E-2</v>
      </c>
      <c r="O234">
        <v>0</v>
      </c>
      <c r="P234">
        <v>1.6E-2</v>
      </c>
      <c r="Q234">
        <v>0</v>
      </c>
      <c r="R234">
        <v>0</v>
      </c>
      <c r="S234">
        <v>0</v>
      </c>
      <c r="T234">
        <v>0</v>
      </c>
      <c r="U234">
        <v>0.61000998293419695</v>
      </c>
      <c r="V234" t="s">
        <v>78</v>
      </c>
      <c r="W234">
        <v>2326286.5091895098</v>
      </c>
      <c r="X234" t="s">
        <v>76</v>
      </c>
      <c r="Y234">
        <v>-1.5707963267949001</v>
      </c>
      <c r="Z234">
        <v>0.59774822888427204</v>
      </c>
      <c r="AA234">
        <v>0.38411279679097798</v>
      </c>
      <c r="AB234">
        <v>3.1974295149674301E-2</v>
      </c>
      <c r="AC234">
        <v>2.1544412873401399E-2</v>
      </c>
      <c r="AD234">
        <v>8.5774226033543104E-3</v>
      </c>
      <c r="AE234">
        <v>2.7631239277440701E-2</v>
      </c>
      <c r="AF234">
        <v>0</v>
      </c>
      <c r="AG234">
        <v>0.24692157336725301</v>
      </c>
      <c r="AH234">
        <v>0.33680879742277198</v>
      </c>
      <c r="AI234">
        <v>0.32179153005486599</v>
      </c>
      <c r="AJ234" t="s">
        <v>74</v>
      </c>
      <c r="AK234">
        <v>0</v>
      </c>
      <c r="AL234" t="s">
        <v>77</v>
      </c>
      <c r="AM234">
        <v>0</v>
      </c>
      <c r="AN234">
        <v>0.99199999999999999</v>
      </c>
      <c r="AO234">
        <v>0</v>
      </c>
      <c r="AP234">
        <v>5.8245346242475203E-2</v>
      </c>
      <c r="AQ234">
        <v>0</v>
      </c>
      <c r="AR234">
        <v>1.6E-2</v>
      </c>
      <c r="AS234">
        <v>0</v>
      </c>
      <c r="AT234">
        <v>0</v>
      </c>
      <c r="AU234">
        <v>0</v>
      </c>
      <c r="AV234">
        <v>0</v>
      </c>
      <c r="AW234">
        <v>1</v>
      </c>
      <c r="AX234" t="s">
        <v>74</v>
      </c>
      <c r="AY234">
        <v>0</v>
      </c>
      <c r="AZ234" t="s">
        <v>76</v>
      </c>
      <c r="BA234">
        <v>-1.5707963267949001</v>
      </c>
      <c r="BB234">
        <v>0.99199999999999999</v>
      </c>
      <c r="BC234">
        <v>0</v>
      </c>
      <c r="BD234">
        <v>5.8245346242475203E-2</v>
      </c>
      <c r="BE234">
        <v>0</v>
      </c>
      <c r="BF234">
        <v>1.6E-2</v>
      </c>
      <c r="BG234">
        <v>0</v>
      </c>
      <c r="BH234">
        <v>0</v>
      </c>
      <c r="BI234">
        <v>0</v>
      </c>
      <c r="BJ234">
        <v>0</v>
      </c>
      <c r="BK234">
        <v>1</v>
      </c>
      <c r="BL234">
        <v>1.0276982158787901E-4</v>
      </c>
      <c r="BM234">
        <v>2.9186518539501199E-4</v>
      </c>
      <c r="BN234" s="1">
        <v>3.7422733444212902E-7</v>
      </c>
      <c r="BO234" s="1">
        <v>4.5846076113779697E-6</v>
      </c>
      <c r="BP234">
        <v>0</v>
      </c>
      <c r="BQ234">
        <v>0</v>
      </c>
      <c r="BR234" s="1">
        <v>5.56817290390727E-5</v>
      </c>
      <c r="BS234">
        <v>1.6112218970273199E-4</v>
      </c>
    </row>
    <row r="235" spans="1:71" x14ac:dyDescent="0.25">
      <c r="A235">
        <v>232</v>
      </c>
      <c r="B235" s="1">
        <v>8.7270927210752208E-6</v>
      </c>
      <c r="C235">
        <v>0.10646806315594901</v>
      </c>
      <c r="D235">
        <v>-3.1108430416702901E-4</v>
      </c>
      <c r="E235">
        <v>6.1312499999999995E-4</v>
      </c>
      <c r="F235">
        <v>-1.06468063155949E-3</v>
      </c>
      <c r="G235">
        <v>0</v>
      </c>
      <c r="H235" t="s">
        <v>74</v>
      </c>
      <c r="I235">
        <v>0</v>
      </c>
      <c r="J235" t="s">
        <v>75</v>
      </c>
      <c r="K235">
        <v>3.14159265358979</v>
      </c>
      <c r="L235">
        <v>0.60345380537465798</v>
      </c>
      <c r="M235">
        <v>0</v>
      </c>
      <c r="N235">
        <v>3.5431830479219897E-2</v>
      </c>
      <c r="O235">
        <v>0</v>
      </c>
      <c r="P235">
        <v>1.6E-2</v>
      </c>
      <c r="Q235">
        <v>0</v>
      </c>
      <c r="R235">
        <v>0</v>
      </c>
      <c r="S235">
        <v>0</v>
      </c>
      <c r="T235">
        <v>0</v>
      </c>
      <c r="U235">
        <v>0.60832036831477299</v>
      </c>
      <c r="V235" t="s">
        <v>78</v>
      </c>
      <c r="W235">
        <v>2326691.6189412898</v>
      </c>
      <c r="X235" t="s">
        <v>76</v>
      </c>
      <c r="Y235">
        <v>-1.5707963267949001</v>
      </c>
      <c r="Z235">
        <v>0.596078926907741</v>
      </c>
      <c r="AA235">
        <v>0.386676861332301</v>
      </c>
      <c r="AB235">
        <v>3.1880710107703499E-2</v>
      </c>
      <c r="AC235">
        <v>2.1666383933931901E-2</v>
      </c>
      <c r="AD235">
        <v>8.4690126094601106E-3</v>
      </c>
      <c r="AE235">
        <v>2.7753987565993898E-2</v>
      </c>
      <c r="AF235">
        <v>0</v>
      </c>
      <c r="AG235">
        <v>0.24590172769683399</v>
      </c>
      <c r="AH235">
        <v>0.34035762928520302</v>
      </c>
      <c r="AI235">
        <v>0.31934679599465299</v>
      </c>
      <c r="AJ235" t="s">
        <v>74</v>
      </c>
      <c r="AK235">
        <v>0</v>
      </c>
      <c r="AL235" t="s">
        <v>77</v>
      </c>
      <c r="AM235">
        <v>0</v>
      </c>
      <c r="AN235">
        <v>0.99199999999999999</v>
      </c>
      <c r="AO235">
        <v>0</v>
      </c>
      <c r="AP235">
        <v>5.8245346242475203E-2</v>
      </c>
      <c r="AQ235">
        <v>0</v>
      </c>
      <c r="AR235">
        <v>1.6E-2</v>
      </c>
      <c r="AS235">
        <v>0</v>
      </c>
      <c r="AT235">
        <v>0</v>
      </c>
      <c r="AU235">
        <v>0</v>
      </c>
      <c r="AV235">
        <v>0</v>
      </c>
      <c r="AW235">
        <v>1</v>
      </c>
      <c r="AX235" t="s">
        <v>74</v>
      </c>
      <c r="AY235">
        <v>0</v>
      </c>
      <c r="AZ235" t="s">
        <v>76</v>
      </c>
      <c r="BA235">
        <v>-1.5707963267949001</v>
      </c>
      <c r="BB235">
        <v>0.99199999999999999</v>
      </c>
      <c r="BC235">
        <v>0</v>
      </c>
      <c r="BD235">
        <v>5.8245346242475203E-2</v>
      </c>
      <c r="BE235">
        <v>0</v>
      </c>
      <c r="BF235">
        <v>1.6E-2</v>
      </c>
      <c r="BG235">
        <v>0</v>
      </c>
      <c r="BH235">
        <v>0</v>
      </c>
      <c r="BI235">
        <v>0</v>
      </c>
      <c r="BJ235">
        <v>0</v>
      </c>
      <c r="BK235">
        <v>1</v>
      </c>
      <c r="BL235">
        <v>1.02734808502903E-4</v>
      </c>
      <c r="BM235">
        <v>2.9312967849101803E-4</v>
      </c>
      <c r="BN235" s="1">
        <v>3.74079964845188E-7</v>
      </c>
      <c r="BO235" s="1">
        <v>4.60447022248261E-6</v>
      </c>
      <c r="BP235">
        <v>0</v>
      </c>
      <c r="BQ235">
        <v>0</v>
      </c>
      <c r="BR235" s="1">
        <v>5.5658336207841001E-5</v>
      </c>
      <c r="BS235">
        <v>1.61821725321161E-4</v>
      </c>
    </row>
    <row r="236" spans="1:71" x14ac:dyDescent="0.25">
      <c r="A236">
        <v>233</v>
      </c>
      <c r="B236" s="1">
        <v>8.7620225666201103E-6</v>
      </c>
      <c r="C236">
        <v>0.106476825178516</v>
      </c>
      <c r="D236">
        <v>-3.1113143467879797E-4</v>
      </c>
      <c r="E236">
        <v>6.1312499999999995E-4</v>
      </c>
      <c r="F236">
        <v>-1.06476825178516E-3</v>
      </c>
      <c r="G236">
        <v>0</v>
      </c>
      <c r="H236" t="s">
        <v>74</v>
      </c>
      <c r="I236">
        <v>0</v>
      </c>
      <c r="J236" t="s">
        <v>75</v>
      </c>
      <c r="K236">
        <v>3.14159265358979</v>
      </c>
      <c r="L236">
        <v>0.60177784404357604</v>
      </c>
      <c r="M236">
        <v>0</v>
      </c>
      <c r="N236">
        <v>3.5333426297750298E-2</v>
      </c>
      <c r="O236">
        <v>0</v>
      </c>
      <c r="P236">
        <v>1.6E-2</v>
      </c>
      <c r="Q236">
        <v>0</v>
      </c>
      <c r="R236">
        <v>0</v>
      </c>
      <c r="S236">
        <v>0</v>
      </c>
      <c r="T236">
        <v>0</v>
      </c>
      <c r="U236">
        <v>0.60663089116629798</v>
      </c>
      <c r="V236" t="s">
        <v>78</v>
      </c>
      <c r="W236">
        <v>2327098.3323810198</v>
      </c>
      <c r="X236" t="s">
        <v>76</v>
      </c>
      <c r="Y236">
        <v>-1.5707963267949001</v>
      </c>
      <c r="Z236">
        <v>0.594409768695078</v>
      </c>
      <c r="AA236">
        <v>0.38835510791279199</v>
      </c>
      <c r="AB236">
        <v>3.17871395041599E-2</v>
      </c>
      <c r="AC236">
        <v>2.17605476716633E-2</v>
      </c>
      <c r="AD236">
        <v>8.3606372428592004E-3</v>
      </c>
      <c r="AE236">
        <v>2.7876660835472699E-2</v>
      </c>
      <c r="AF236">
        <v>0</v>
      </c>
      <c r="AG236">
        <v>0.24485323527393901</v>
      </c>
      <c r="AH236">
        <v>0.34393490213595501</v>
      </c>
      <c r="AI236">
        <v>0.31690795372124603</v>
      </c>
      <c r="AJ236" t="s">
        <v>74</v>
      </c>
      <c r="AK236">
        <v>0</v>
      </c>
      <c r="AL236" t="s">
        <v>77</v>
      </c>
      <c r="AM236">
        <v>0</v>
      </c>
      <c r="AN236">
        <v>0.99199999999999999</v>
      </c>
      <c r="AO236">
        <v>0</v>
      </c>
      <c r="AP236">
        <v>5.8245346242475203E-2</v>
      </c>
      <c r="AQ236">
        <v>0</v>
      </c>
      <c r="AR236">
        <v>1.6E-2</v>
      </c>
      <c r="AS236">
        <v>0</v>
      </c>
      <c r="AT236">
        <v>0</v>
      </c>
      <c r="AU236">
        <v>0</v>
      </c>
      <c r="AV236">
        <v>0</v>
      </c>
      <c r="AW236">
        <v>1</v>
      </c>
      <c r="AX236" t="s">
        <v>74</v>
      </c>
      <c r="AY236">
        <v>0</v>
      </c>
      <c r="AZ236" t="s">
        <v>76</v>
      </c>
      <c r="BA236">
        <v>-1.5707963267949001</v>
      </c>
      <c r="BB236">
        <v>0.99199999999999999</v>
      </c>
      <c r="BC236">
        <v>0</v>
      </c>
      <c r="BD236">
        <v>5.8245346242475203E-2</v>
      </c>
      <c r="BE236">
        <v>0</v>
      </c>
      <c r="BF236">
        <v>1.6E-2</v>
      </c>
      <c r="BG236">
        <v>0</v>
      </c>
      <c r="BH236">
        <v>0</v>
      </c>
      <c r="BI236">
        <v>0</v>
      </c>
      <c r="BJ236">
        <v>0</v>
      </c>
      <c r="BK236">
        <v>1</v>
      </c>
      <c r="BL236">
        <v>1.02685902979262E-4</v>
      </c>
      <c r="BM236">
        <v>2.9439406870494702E-4</v>
      </c>
      <c r="BN236" s="1">
        <v>3.7390496081826398E-7</v>
      </c>
      <c r="BO236" s="1">
        <v>4.6243312175193498E-6</v>
      </c>
      <c r="BP236">
        <v>0</v>
      </c>
      <c r="BQ236">
        <v>0</v>
      </c>
      <c r="BR236" s="1">
        <v>5.5627274989716302E-5</v>
      </c>
      <c r="BS236">
        <v>1.62521222853452E-4</v>
      </c>
    </row>
    <row r="237" spans="1:71" x14ac:dyDescent="0.25">
      <c r="A237">
        <v>234</v>
      </c>
      <c r="B237" s="1">
        <v>8.7982015944971105E-6</v>
      </c>
      <c r="C237">
        <v>0.10648562338011</v>
      </c>
      <c r="D237">
        <v>-3.1117875772255702E-4</v>
      </c>
      <c r="E237">
        <v>6.1312499999999995E-4</v>
      </c>
      <c r="F237">
        <v>-1.0648562338011001E-3</v>
      </c>
      <c r="G237">
        <v>0</v>
      </c>
      <c r="H237" t="s">
        <v>74</v>
      </c>
      <c r="I237">
        <v>0</v>
      </c>
      <c r="J237" t="s">
        <v>75</v>
      </c>
      <c r="K237">
        <v>3.14159265358979</v>
      </c>
      <c r="L237">
        <v>0.600102022357069</v>
      </c>
      <c r="M237">
        <v>0</v>
      </c>
      <c r="N237">
        <v>3.52350303155212E-2</v>
      </c>
      <c r="O237">
        <v>0</v>
      </c>
      <c r="P237">
        <v>1.6E-2</v>
      </c>
      <c r="Q237">
        <v>0</v>
      </c>
      <c r="R237">
        <v>0</v>
      </c>
      <c r="S237">
        <v>0</v>
      </c>
      <c r="T237">
        <v>0</v>
      </c>
      <c r="U237">
        <v>0.60494155478856604</v>
      </c>
      <c r="V237" t="s">
        <v>78</v>
      </c>
      <c r="W237">
        <v>2327506.7072783699</v>
      </c>
      <c r="X237" t="s">
        <v>76</v>
      </c>
      <c r="Y237">
        <v>-1.5707963267949001</v>
      </c>
      <c r="Z237">
        <v>0.59274075592531905</v>
      </c>
      <c r="AA237">
        <v>0.39001140438844401</v>
      </c>
      <c r="AB237">
        <v>3.1693582961781E-2</v>
      </c>
      <c r="AC237">
        <v>2.18540437259395E-2</v>
      </c>
      <c r="AD237">
        <v>8.2522990266096895E-3</v>
      </c>
      <c r="AE237">
        <v>2.7999257922444201E-2</v>
      </c>
      <c r="AF237">
        <v>0</v>
      </c>
      <c r="AG237">
        <v>0.24377580494909201</v>
      </c>
      <c r="AH237">
        <v>0.34754090218542799</v>
      </c>
      <c r="AI237">
        <v>0.31447503203885802</v>
      </c>
      <c r="AJ237" t="s">
        <v>74</v>
      </c>
      <c r="AK237">
        <v>0</v>
      </c>
      <c r="AL237" t="s">
        <v>77</v>
      </c>
      <c r="AM237">
        <v>0</v>
      </c>
      <c r="AN237">
        <v>0.99199999999999999</v>
      </c>
      <c r="AO237">
        <v>0</v>
      </c>
      <c r="AP237">
        <v>5.8245346242475203E-2</v>
      </c>
      <c r="AQ237">
        <v>0</v>
      </c>
      <c r="AR237">
        <v>1.6E-2</v>
      </c>
      <c r="AS237">
        <v>0</v>
      </c>
      <c r="AT237">
        <v>0</v>
      </c>
      <c r="AU237">
        <v>0</v>
      </c>
      <c r="AV237">
        <v>0</v>
      </c>
      <c r="AW237">
        <v>1</v>
      </c>
      <c r="AX237" t="s">
        <v>74</v>
      </c>
      <c r="AY237">
        <v>0</v>
      </c>
      <c r="AZ237" t="s">
        <v>76</v>
      </c>
      <c r="BA237">
        <v>-1.5707963267949001</v>
      </c>
      <c r="BB237">
        <v>0.99199999999999999</v>
      </c>
      <c r="BC237">
        <v>0</v>
      </c>
      <c r="BD237">
        <v>5.8245346242475203E-2</v>
      </c>
      <c r="BE237">
        <v>0</v>
      </c>
      <c r="BF237">
        <v>1.6E-2</v>
      </c>
      <c r="BG237">
        <v>0</v>
      </c>
      <c r="BH237">
        <v>0</v>
      </c>
      <c r="BI237">
        <v>0</v>
      </c>
      <c r="BJ237">
        <v>0</v>
      </c>
      <c r="BK237">
        <v>1</v>
      </c>
      <c r="BL237">
        <v>1.02636674744096E-4</v>
      </c>
      <c r="BM237">
        <v>2.9565835356726002E-4</v>
      </c>
      <c r="BN237" s="1">
        <v>3.73729463597887E-7</v>
      </c>
      <c r="BO237" s="1">
        <v>4.6441905576967802E-6</v>
      </c>
      <c r="BP237">
        <v>0</v>
      </c>
      <c r="BQ237">
        <v>0</v>
      </c>
      <c r="BR237" s="1">
        <v>5.5596036516967999E-5</v>
      </c>
      <c r="BS237">
        <v>1.6322068122474401E-4</v>
      </c>
    </row>
    <row r="238" spans="1:71" x14ac:dyDescent="0.25">
      <c r="A238">
        <v>235</v>
      </c>
      <c r="B238" s="1">
        <v>8.8356667711697503E-6</v>
      </c>
      <c r="C238">
        <v>0.106494459046881</v>
      </c>
      <c r="D238">
        <v>-3.1122628019027501E-4</v>
      </c>
      <c r="E238">
        <v>6.1312499999999995E-4</v>
      </c>
      <c r="F238">
        <v>-1.0649445904688101E-3</v>
      </c>
      <c r="G238" s="1">
        <v>1.0842021724855E-19</v>
      </c>
      <c r="H238" t="s">
        <v>74</v>
      </c>
      <c r="I238">
        <v>0</v>
      </c>
      <c r="J238" t="s">
        <v>75</v>
      </c>
      <c r="K238">
        <v>3.14159265358979</v>
      </c>
      <c r="L238">
        <v>0.59842634370793502</v>
      </c>
      <c r="M238">
        <v>0</v>
      </c>
      <c r="N238">
        <v>3.5136642731741101E-2</v>
      </c>
      <c r="O238">
        <v>0</v>
      </c>
      <c r="P238">
        <v>1.6E-2</v>
      </c>
      <c r="Q238">
        <v>0</v>
      </c>
      <c r="R238">
        <v>0</v>
      </c>
      <c r="S238">
        <v>0</v>
      </c>
      <c r="T238">
        <v>0</v>
      </c>
      <c r="U238">
        <v>0.60325236260173798</v>
      </c>
      <c r="V238" t="s">
        <v>78</v>
      </c>
      <c r="W238">
        <v>2327916.8031076901</v>
      </c>
      <c r="X238" t="s">
        <v>76</v>
      </c>
      <c r="Y238">
        <v>-1.5707963267949001</v>
      </c>
      <c r="Z238">
        <v>0.59107189035316898</v>
      </c>
      <c r="AA238">
        <v>0.39164575951157199</v>
      </c>
      <c r="AB238">
        <v>3.1600040096132598E-2</v>
      </c>
      <c r="AC238">
        <v>2.1946872100695802E-2</v>
      </c>
      <c r="AD238">
        <v>8.1440005130209801E-3</v>
      </c>
      <c r="AE238">
        <v>2.8121777655377399E-2</v>
      </c>
      <c r="AF238">
        <v>0</v>
      </c>
      <c r="AG238">
        <v>0.24266913893154199</v>
      </c>
      <c r="AH238">
        <v>0.35117592210513598</v>
      </c>
      <c r="AI238">
        <v>0.31204806006583302</v>
      </c>
      <c r="AJ238" t="s">
        <v>74</v>
      </c>
      <c r="AK238">
        <v>0</v>
      </c>
      <c r="AL238" t="s">
        <v>77</v>
      </c>
      <c r="AM238">
        <v>0</v>
      </c>
      <c r="AN238">
        <v>0.99199999999999999</v>
      </c>
      <c r="AO238">
        <v>0</v>
      </c>
      <c r="AP238">
        <v>5.8245346242475203E-2</v>
      </c>
      <c r="AQ238">
        <v>0</v>
      </c>
      <c r="AR238">
        <v>1.6E-2</v>
      </c>
      <c r="AS238">
        <v>0</v>
      </c>
      <c r="AT238">
        <v>0</v>
      </c>
      <c r="AU238">
        <v>0</v>
      </c>
      <c r="AV238">
        <v>0</v>
      </c>
      <c r="AW238">
        <v>1</v>
      </c>
      <c r="AX238" t="s">
        <v>74</v>
      </c>
      <c r="AY238">
        <v>0</v>
      </c>
      <c r="AZ238" t="s">
        <v>76</v>
      </c>
      <c r="BA238">
        <v>-1.5707963267949001</v>
      </c>
      <c r="BB238">
        <v>0.99199999999999999</v>
      </c>
      <c r="BC238">
        <v>0</v>
      </c>
      <c r="BD238">
        <v>5.8245346242475203E-2</v>
      </c>
      <c r="BE238">
        <v>0</v>
      </c>
      <c r="BF238">
        <v>1.6E-2</v>
      </c>
      <c r="BG238">
        <v>0</v>
      </c>
      <c r="BH238">
        <v>0</v>
      </c>
      <c r="BI238">
        <v>0</v>
      </c>
      <c r="BJ238">
        <v>0</v>
      </c>
      <c r="BK238">
        <v>1</v>
      </c>
      <c r="BL238">
        <v>1.0258712370676E-4</v>
      </c>
      <c r="BM238">
        <v>2.9692253051833898E-4</v>
      </c>
      <c r="BN238" s="1">
        <v>3.73553474219514E-7</v>
      </c>
      <c r="BO238" s="1">
        <v>4.6640482028085199E-6</v>
      </c>
      <c r="BP238">
        <v>0</v>
      </c>
      <c r="BQ238">
        <v>0</v>
      </c>
      <c r="BR238" s="1">
        <v>5.5564620797998198E-5</v>
      </c>
      <c r="BS238">
        <v>1.6392009932038001E-4</v>
      </c>
    </row>
    <row r="239" spans="1:71" x14ac:dyDescent="0.25">
      <c r="A239">
        <v>236</v>
      </c>
      <c r="B239" s="1">
        <v>8.8744569273825392E-6</v>
      </c>
      <c r="C239">
        <v>0.106503333503809</v>
      </c>
      <c r="D239">
        <v>-3.1127400918144001E-4</v>
      </c>
      <c r="E239">
        <v>6.1312499999999995E-4</v>
      </c>
      <c r="F239">
        <v>-1.0650333350380901E-3</v>
      </c>
      <c r="G239">
        <v>0</v>
      </c>
      <c r="H239" t="s">
        <v>74</v>
      </c>
      <c r="I239">
        <v>0</v>
      </c>
      <c r="J239" t="s">
        <v>75</v>
      </c>
      <c r="K239">
        <v>3.14159265358979</v>
      </c>
      <c r="L239">
        <v>0.59675081161423105</v>
      </c>
      <c r="M239">
        <v>0</v>
      </c>
      <c r="N239">
        <v>3.5038263752972698E-2</v>
      </c>
      <c r="O239">
        <v>0</v>
      </c>
      <c r="P239">
        <v>1.6E-2</v>
      </c>
      <c r="Q239">
        <v>0</v>
      </c>
      <c r="R239">
        <v>0</v>
      </c>
      <c r="S239">
        <v>0</v>
      </c>
      <c r="T239">
        <v>0</v>
      </c>
      <c r="U239">
        <v>0.60156331815224195</v>
      </c>
      <c r="V239" t="s">
        <v>78</v>
      </c>
      <c r="W239">
        <v>2328328.6811341099</v>
      </c>
      <c r="X239" t="s">
        <v>76</v>
      </c>
      <c r="Y239">
        <v>-1.5707963267949001</v>
      </c>
      <c r="Z239">
        <v>0.58940317381244101</v>
      </c>
      <c r="AA239">
        <v>0.39325818259029499</v>
      </c>
      <c r="AB239">
        <v>3.1506510515136997E-2</v>
      </c>
      <c r="AC239">
        <v>2.2039034600504801E-2</v>
      </c>
      <c r="AD239">
        <v>8.0357442853414996E-3</v>
      </c>
      <c r="AE239">
        <v>2.8244218854421299E-2</v>
      </c>
      <c r="AF239">
        <v>0</v>
      </c>
      <c r="AG239">
        <v>0.24153293256064301</v>
      </c>
      <c r="AH239">
        <v>0.35484026124749302</v>
      </c>
      <c r="AI239">
        <v>0.30962706724289402</v>
      </c>
      <c r="AJ239" t="s">
        <v>74</v>
      </c>
      <c r="AK239">
        <v>0</v>
      </c>
      <c r="AL239" t="s">
        <v>77</v>
      </c>
      <c r="AM239">
        <v>0</v>
      </c>
      <c r="AN239">
        <v>0.99199999999999999</v>
      </c>
      <c r="AO239">
        <v>0</v>
      </c>
      <c r="AP239">
        <v>5.8245346242475203E-2</v>
      </c>
      <c r="AQ239">
        <v>0</v>
      </c>
      <c r="AR239">
        <v>1.6E-2</v>
      </c>
      <c r="AS239">
        <v>0</v>
      </c>
      <c r="AT239">
        <v>0</v>
      </c>
      <c r="AU239">
        <v>0</v>
      </c>
      <c r="AV239">
        <v>0</v>
      </c>
      <c r="AW239">
        <v>1</v>
      </c>
      <c r="AX239" t="s">
        <v>74</v>
      </c>
      <c r="AY239">
        <v>0</v>
      </c>
      <c r="AZ239" t="s">
        <v>76</v>
      </c>
      <c r="BA239">
        <v>-1.5707963267949001</v>
      </c>
      <c r="BB239">
        <v>0.99199999999999999</v>
      </c>
      <c r="BC239">
        <v>0</v>
      </c>
      <c r="BD239">
        <v>5.8245346242475203E-2</v>
      </c>
      <c r="BE239">
        <v>0</v>
      </c>
      <c r="BF239">
        <v>1.6E-2</v>
      </c>
      <c r="BG239">
        <v>0</v>
      </c>
      <c r="BH239">
        <v>0</v>
      </c>
      <c r="BI239">
        <v>0</v>
      </c>
      <c r="BJ239">
        <v>0</v>
      </c>
      <c r="BK239">
        <v>1</v>
      </c>
      <c r="BL239">
        <v>1.02537250676782E-4</v>
      </c>
      <c r="BM239">
        <v>2.9818659690406798E-4</v>
      </c>
      <c r="BN239" s="1">
        <v>3.7337699719216799E-7</v>
      </c>
      <c r="BO239" s="1">
        <v>4.6839041111637996E-6</v>
      </c>
      <c r="BP239">
        <v>0</v>
      </c>
      <c r="BQ239">
        <v>0</v>
      </c>
      <c r="BR239" s="1">
        <v>5.5533028339967497E-5</v>
      </c>
      <c r="BS239">
        <v>1.6461947598391999E-4</v>
      </c>
    </row>
    <row r="240" spans="1:71" x14ac:dyDescent="0.25">
      <c r="A240">
        <v>237</v>
      </c>
      <c r="B240" s="1">
        <v>8.91461286857162E-6</v>
      </c>
      <c r="C240">
        <v>0.10651224811667701</v>
      </c>
      <c r="D240">
        <v>-3.1132195201361099E-4</v>
      </c>
      <c r="E240">
        <v>6.1312499999999995E-4</v>
      </c>
      <c r="F240">
        <v>-1.06512248116677E-3</v>
      </c>
      <c r="G240" s="1">
        <v>1.0842021724855E-19</v>
      </c>
      <c r="H240" t="s">
        <v>74</v>
      </c>
      <c r="I240">
        <v>0</v>
      </c>
      <c r="J240" t="s">
        <v>75</v>
      </c>
      <c r="K240">
        <v>3.14159265358979</v>
      </c>
      <c r="L240">
        <v>0.59507542972548999</v>
      </c>
      <c r="M240">
        <v>0</v>
      </c>
      <c r="N240">
        <v>3.4939893593498902E-2</v>
      </c>
      <c r="O240">
        <v>0</v>
      </c>
      <c r="P240">
        <v>1.6E-2</v>
      </c>
      <c r="Q240">
        <v>0</v>
      </c>
      <c r="R240">
        <v>0</v>
      </c>
      <c r="S240">
        <v>0</v>
      </c>
      <c r="T240">
        <v>0</v>
      </c>
      <c r="U240">
        <v>0.59987442511904199</v>
      </c>
      <c r="V240" t="s">
        <v>78</v>
      </c>
      <c r="W240">
        <v>2328742.4045046102</v>
      </c>
      <c r="X240" t="s">
        <v>76</v>
      </c>
      <c r="Y240">
        <v>-1.5707963267949001</v>
      </c>
      <c r="Z240">
        <v>0.58773460821969703</v>
      </c>
      <c r="AA240">
        <v>0.39403971441517699</v>
      </c>
      <c r="AB240">
        <v>3.1412993818574798E-2</v>
      </c>
      <c r="AC240">
        <v>2.21051177925723E-2</v>
      </c>
      <c r="AD240">
        <v>7.9275329595349994E-3</v>
      </c>
      <c r="AE240">
        <v>2.83665803311729E-2</v>
      </c>
      <c r="AF240">
        <v>0</v>
      </c>
      <c r="AG240">
        <v>0.24036687406703</v>
      </c>
      <c r="AH240">
        <v>0.35853422587525202</v>
      </c>
      <c r="AI240">
        <v>0.30721208334177202</v>
      </c>
      <c r="AJ240" t="s">
        <v>74</v>
      </c>
      <c r="AK240">
        <v>0</v>
      </c>
      <c r="AL240" t="s">
        <v>77</v>
      </c>
      <c r="AM240">
        <v>0</v>
      </c>
      <c r="AN240">
        <v>0.99199999999999999</v>
      </c>
      <c r="AO240">
        <v>0</v>
      </c>
      <c r="AP240">
        <v>5.8245346242475203E-2</v>
      </c>
      <c r="AQ240">
        <v>0</v>
      </c>
      <c r="AR240">
        <v>1.6E-2</v>
      </c>
      <c r="AS240">
        <v>0</v>
      </c>
      <c r="AT240">
        <v>0</v>
      </c>
      <c r="AU240">
        <v>0</v>
      </c>
      <c r="AV240">
        <v>0</v>
      </c>
      <c r="AW240">
        <v>1</v>
      </c>
      <c r="AX240" t="s">
        <v>74</v>
      </c>
      <c r="AY240">
        <v>0</v>
      </c>
      <c r="AZ240" t="s">
        <v>76</v>
      </c>
      <c r="BA240">
        <v>-1.5707963267949001</v>
      </c>
      <c r="BB240">
        <v>0.99199999999999999</v>
      </c>
      <c r="BC240">
        <v>0</v>
      </c>
      <c r="BD240">
        <v>5.8245346242475203E-2</v>
      </c>
      <c r="BE240">
        <v>0</v>
      </c>
      <c r="BF240">
        <v>1.6E-2</v>
      </c>
      <c r="BG240">
        <v>0</v>
      </c>
      <c r="BH240">
        <v>0</v>
      </c>
      <c r="BI240">
        <v>0</v>
      </c>
      <c r="BJ240">
        <v>0</v>
      </c>
      <c r="BK240">
        <v>1</v>
      </c>
      <c r="BL240">
        <v>1.02474348844798E-4</v>
      </c>
      <c r="BM240">
        <v>2.9945054997114099E-4</v>
      </c>
      <c r="BN240" s="1">
        <v>3.7317462119229801E-7</v>
      </c>
      <c r="BO240" s="1">
        <v>4.7037582395137996E-6</v>
      </c>
      <c r="BP240">
        <v>0</v>
      </c>
      <c r="BQ240">
        <v>0</v>
      </c>
      <c r="BR240" s="1">
        <v>5.5494244108202701E-5</v>
      </c>
      <c r="BS240">
        <v>1.6531881001502499E-4</v>
      </c>
    </row>
    <row r="241" spans="1:71" x14ac:dyDescent="0.25">
      <c r="A241">
        <v>238</v>
      </c>
      <c r="B241" s="1">
        <v>8.9561774936042397E-6</v>
      </c>
      <c r="C241">
        <v>0.106521204294171</v>
      </c>
      <c r="D241">
        <v>-3.1137011623361902E-4</v>
      </c>
      <c r="E241">
        <v>6.1312499999999995E-4</v>
      </c>
      <c r="F241">
        <v>-1.0652120429417099E-3</v>
      </c>
      <c r="G241" s="1">
        <v>1.0842021724855E-19</v>
      </c>
      <c r="H241" t="s">
        <v>74</v>
      </c>
      <c r="I241">
        <v>0</v>
      </c>
      <c r="J241" t="s">
        <v>75</v>
      </c>
      <c r="K241">
        <v>3.14159265358979</v>
      </c>
      <c r="L241">
        <v>0.59340020182934705</v>
      </c>
      <c r="M241">
        <v>0</v>
      </c>
      <c r="N241">
        <v>3.4841532475710597E-2</v>
      </c>
      <c r="O241">
        <v>0</v>
      </c>
      <c r="P241">
        <v>1.6E-2</v>
      </c>
      <c r="Q241">
        <v>0</v>
      </c>
      <c r="R241">
        <v>0</v>
      </c>
      <c r="S241">
        <v>0</v>
      </c>
      <c r="T241">
        <v>0</v>
      </c>
      <c r="U241">
        <v>0.59818568732031996</v>
      </c>
      <c r="V241" t="s">
        <v>78</v>
      </c>
      <c r="W241">
        <v>2329158.0383446901</v>
      </c>
      <c r="X241" t="s">
        <v>76</v>
      </c>
      <c r="Y241">
        <v>-1.5707963267949001</v>
      </c>
      <c r="Z241">
        <v>0.58606619557815298</v>
      </c>
      <c r="AA241">
        <v>0.396406307564869</v>
      </c>
      <c r="AB241">
        <v>3.1319489597558502E-2</v>
      </c>
      <c r="AC241">
        <v>2.2221022555701801E-2</v>
      </c>
      <c r="AD241">
        <v>7.8193691861529208E-3</v>
      </c>
      <c r="AE241">
        <v>2.8488860888435101E-2</v>
      </c>
      <c r="AF241">
        <v>0</v>
      </c>
      <c r="AG241">
        <v>0.239170644323068</v>
      </c>
      <c r="AH241">
        <v>0.362258129401063</v>
      </c>
      <c r="AI241">
        <v>0.30480313847428198</v>
      </c>
      <c r="AJ241" t="s">
        <v>74</v>
      </c>
      <c r="AK241">
        <v>0</v>
      </c>
      <c r="AL241" t="s">
        <v>77</v>
      </c>
      <c r="AM241">
        <v>0</v>
      </c>
      <c r="AN241">
        <v>0.99199999999999999</v>
      </c>
      <c r="AO241">
        <v>0</v>
      </c>
      <c r="AP241">
        <v>5.8245346242475203E-2</v>
      </c>
      <c r="AQ241">
        <v>0</v>
      </c>
      <c r="AR241">
        <v>1.6E-2</v>
      </c>
      <c r="AS241">
        <v>0</v>
      </c>
      <c r="AT241">
        <v>0</v>
      </c>
      <c r="AU241">
        <v>0</v>
      </c>
      <c r="AV241">
        <v>0</v>
      </c>
      <c r="AW241">
        <v>1</v>
      </c>
      <c r="AX241" t="s">
        <v>74</v>
      </c>
      <c r="AY241">
        <v>0</v>
      </c>
      <c r="AZ241" t="s">
        <v>76</v>
      </c>
      <c r="BA241">
        <v>-1.5707963267949001</v>
      </c>
      <c r="BB241">
        <v>0.99199999999999999</v>
      </c>
      <c r="BC241">
        <v>0</v>
      </c>
      <c r="BD241">
        <v>5.8245346242475203E-2</v>
      </c>
      <c r="BE241">
        <v>0</v>
      </c>
      <c r="BF241">
        <v>1.6E-2</v>
      </c>
      <c r="BG241">
        <v>0</v>
      </c>
      <c r="BH241">
        <v>0</v>
      </c>
      <c r="BI241">
        <v>0</v>
      </c>
      <c r="BJ241">
        <v>0</v>
      </c>
      <c r="BK241">
        <v>1</v>
      </c>
      <c r="BL241">
        <v>1.02436368556961E-4</v>
      </c>
      <c r="BM241">
        <v>3.00714386862065E-4</v>
      </c>
      <c r="BN241" s="1">
        <v>3.7302224993041201E-7</v>
      </c>
      <c r="BO241" s="1">
        <v>4.72361054297312E-6</v>
      </c>
      <c r="BP241">
        <v>0</v>
      </c>
      <c r="BQ241">
        <v>0</v>
      </c>
      <c r="BR241" s="1">
        <v>5.5469219558673197E-5</v>
      </c>
      <c r="BS241">
        <v>1.66018100167215E-4</v>
      </c>
    </row>
    <row r="242" spans="1:71" x14ac:dyDescent="0.25">
      <c r="A242">
        <v>239</v>
      </c>
      <c r="B242" s="1">
        <v>8.9991959223937394E-6</v>
      </c>
      <c r="C242">
        <v>0.106530203490093</v>
      </c>
      <c r="D242">
        <v>-3.1141850962944199E-4</v>
      </c>
      <c r="E242">
        <v>6.1312499999999995E-4</v>
      </c>
      <c r="F242">
        <v>-1.06530203490093E-3</v>
      </c>
      <c r="G242" s="1">
        <v>1.0842021724855E-19</v>
      </c>
      <c r="H242" t="s">
        <v>74</v>
      </c>
      <c r="I242">
        <v>0</v>
      </c>
      <c r="J242" t="s">
        <v>75</v>
      </c>
      <c r="K242">
        <v>3.14159265358979</v>
      </c>
      <c r="L242">
        <v>0.59172513185857001</v>
      </c>
      <c r="M242">
        <v>0</v>
      </c>
      <c r="N242">
        <v>3.4743180630520898E-2</v>
      </c>
      <c r="O242">
        <v>0</v>
      </c>
      <c r="P242">
        <v>1.6E-2</v>
      </c>
      <c r="Q242">
        <v>0</v>
      </c>
      <c r="R242">
        <v>0</v>
      </c>
      <c r="S242">
        <v>0</v>
      </c>
      <c r="T242">
        <v>0</v>
      </c>
      <c r="U242">
        <v>0.59649710872056005</v>
      </c>
      <c r="V242" t="s">
        <v>78</v>
      </c>
      <c r="W242">
        <v>2329575.64986081</v>
      </c>
      <c r="X242" t="s">
        <v>76</v>
      </c>
      <c r="Y242">
        <v>-1.5707963267949001</v>
      </c>
      <c r="Z242">
        <v>0.58439793798181505</v>
      </c>
      <c r="AA242">
        <v>0.39795299604399098</v>
      </c>
      <c r="AB242">
        <v>3.1225997433975101E-2</v>
      </c>
      <c r="AC242">
        <v>2.2311193511768902E-2</v>
      </c>
      <c r="AD242">
        <v>7.7112556523098001E-3</v>
      </c>
      <c r="AE242">
        <v>2.86110593199633E-2</v>
      </c>
      <c r="AF242">
        <v>0</v>
      </c>
      <c r="AG242">
        <v>0.23794391658198</v>
      </c>
      <c r="AH242">
        <v>0.366012292637727</v>
      </c>
      <c r="AI242">
        <v>0.30240026310184398</v>
      </c>
      <c r="AJ242" t="s">
        <v>74</v>
      </c>
      <c r="AK242">
        <v>0</v>
      </c>
      <c r="AL242" t="s">
        <v>77</v>
      </c>
      <c r="AM242">
        <v>0</v>
      </c>
      <c r="AN242">
        <v>0.99199999999999999</v>
      </c>
      <c r="AO242">
        <v>0</v>
      </c>
      <c r="AP242">
        <v>5.8245346242475203E-2</v>
      </c>
      <c r="AQ242">
        <v>0</v>
      </c>
      <c r="AR242">
        <v>1.6E-2</v>
      </c>
      <c r="AS242">
        <v>0</v>
      </c>
      <c r="AT242">
        <v>0</v>
      </c>
      <c r="AU242">
        <v>0</v>
      </c>
      <c r="AV242">
        <v>0</v>
      </c>
      <c r="AW242">
        <v>1</v>
      </c>
      <c r="AX242" t="s">
        <v>74</v>
      </c>
      <c r="AY242">
        <v>0</v>
      </c>
      <c r="AZ242" t="s">
        <v>76</v>
      </c>
      <c r="BA242">
        <v>-1.5707963267949001</v>
      </c>
      <c r="BB242">
        <v>0.99199999999999999</v>
      </c>
      <c r="BC242">
        <v>0</v>
      </c>
      <c r="BD242">
        <v>5.8245346242475203E-2</v>
      </c>
      <c r="BE242">
        <v>0</v>
      </c>
      <c r="BF242">
        <v>1.6E-2</v>
      </c>
      <c r="BG242">
        <v>0</v>
      </c>
      <c r="BH242">
        <v>0</v>
      </c>
      <c r="BI242">
        <v>0</v>
      </c>
      <c r="BJ242">
        <v>0</v>
      </c>
      <c r="BK242">
        <v>1</v>
      </c>
      <c r="BL242">
        <v>1.0238553203060799E-4</v>
      </c>
      <c r="BM242">
        <v>3.0197810460985398E-4</v>
      </c>
      <c r="BN242" s="1">
        <v>3.72844328567223E-7</v>
      </c>
      <c r="BO242" s="1">
        <v>4.7434609749364302E-6</v>
      </c>
      <c r="BP242">
        <v>0</v>
      </c>
      <c r="BQ242">
        <v>0</v>
      </c>
      <c r="BR242" s="1">
        <v>5.5437098633632503E-5</v>
      </c>
      <c r="BS242">
        <v>1.6671734514547501E-4</v>
      </c>
    </row>
    <row r="243" spans="1:71" x14ac:dyDescent="0.25">
      <c r="A243">
        <v>240</v>
      </c>
      <c r="B243" s="1">
        <v>9.0437156333181292E-6</v>
      </c>
      <c r="C243">
        <v>0.10653924720572699</v>
      </c>
      <c r="D243">
        <v>-3.1146714024281601E-4</v>
      </c>
      <c r="E243">
        <v>6.1312499999999995E-4</v>
      </c>
      <c r="F243">
        <v>-1.0653924720572599E-3</v>
      </c>
      <c r="G243" s="1">
        <v>1.0842021724855E-19</v>
      </c>
      <c r="H243" t="s">
        <v>74</v>
      </c>
      <c r="I243">
        <v>0</v>
      </c>
      <c r="J243" t="s">
        <v>75</v>
      </c>
      <c r="K243">
        <v>3.14159265358979</v>
      </c>
      <c r="L243">
        <v>0.59005022389853701</v>
      </c>
      <c r="M243">
        <v>0</v>
      </c>
      <c r="N243">
        <v>3.4644838297802703E-2</v>
      </c>
      <c r="O243">
        <v>0</v>
      </c>
      <c r="P243">
        <v>1.6E-2</v>
      </c>
      <c r="Q243">
        <v>0</v>
      </c>
      <c r="R243">
        <v>0</v>
      </c>
      <c r="S243">
        <v>0</v>
      </c>
      <c r="T243">
        <v>0</v>
      </c>
      <c r="U243">
        <v>0.59480869343808496</v>
      </c>
      <c r="V243" t="s">
        <v>78</v>
      </c>
      <c r="W243">
        <v>2329995.3084492502</v>
      </c>
      <c r="X243" t="s">
        <v>76</v>
      </c>
      <c r="Y243">
        <v>-1.5707963267949001</v>
      </c>
      <c r="Z243">
        <v>0.58272983761987796</v>
      </c>
      <c r="AA243">
        <v>0.39947779544191597</v>
      </c>
      <c r="AB243">
        <v>3.11325168998936E-2</v>
      </c>
      <c r="AC243">
        <v>2.24007034651659E-2</v>
      </c>
      <c r="AD243">
        <v>7.6031950837683899E-3</v>
      </c>
      <c r="AE243">
        <v>2.8733174410201699E-2</v>
      </c>
      <c r="AF243">
        <v>0</v>
      </c>
      <c r="AG243">
        <v>0.23668635620504599</v>
      </c>
      <c r="AH243">
        <v>0.36979704405973102</v>
      </c>
      <c r="AI243">
        <v>0.30000348804546101</v>
      </c>
      <c r="AJ243" t="s">
        <v>74</v>
      </c>
      <c r="AK243">
        <v>0</v>
      </c>
      <c r="AL243" t="s">
        <v>77</v>
      </c>
      <c r="AM243">
        <v>0</v>
      </c>
      <c r="AN243">
        <v>0.99199999999999999</v>
      </c>
      <c r="AO243">
        <v>0</v>
      </c>
      <c r="AP243">
        <v>5.8245346242475203E-2</v>
      </c>
      <c r="AQ243">
        <v>0</v>
      </c>
      <c r="AR243">
        <v>1.6E-2</v>
      </c>
      <c r="AS243">
        <v>0</v>
      </c>
      <c r="AT243">
        <v>0</v>
      </c>
      <c r="AU243">
        <v>0</v>
      </c>
      <c r="AV243">
        <v>0</v>
      </c>
      <c r="AW243">
        <v>1</v>
      </c>
      <c r="AX243" t="s">
        <v>74</v>
      </c>
      <c r="AY243">
        <v>0</v>
      </c>
      <c r="AZ243" t="s">
        <v>76</v>
      </c>
      <c r="BA243">
        <v>-1.5707963267949001</v>
      </c>
      <c r="BB243">
        <v>0.99199999999999999</v>
      </c>
      <c r="BC243">
        <v>0</v>
      </c>
      <c r="BD243">
        <v>5.8245346242475203E-2</v>
      </c>
      <c r="BE243">
        <v>0</v>
      </c>
      <c r="BF243">
        <v>1.6E-2</v>
      </c>
      <c r="BG243">
        <v>0</v>
      </c>
      <c r="BH243">
        <v>0</v>
      </c>
      <c r="BI243">
        <v>0</v>
      </c>
      <c r="BJ243">
        <v>0</v>
      </c>
      <c r="BK243">
        <v>1</v>
      </c>
      <c r="BL243">
        <v>1.02334375573906E-4</v>
      </c>
      <c r="BM243">
        <v>3.0324170013238798E-4</v>
      </c>
      <c r="BN243" s="1">
        <v>3.7266593372177899E-7</v>
      </c>
      <c r="BO243" s="1">
        <v>4.7633094869899499E-6</v>
      </c>
      <c r="BP243">
        <v>0</v>
      </c>
      <c r="BQ243">
        <v>0</v>
      </c>
      <c r="BR243" s="1">
        <v>5.5404802369174398E-5</v>
      </c>
      <c r="BS243">
        <v>1.6741654360371601E-4</v>
      </c>
    </row>
    <row r="244" spans="1:71" x14ac:dyDescent="0.25">
      <c r="A244">
        <v>241</v>
      </c>
      <c r="B244" s="1">
        <v>9.0897866111102401E-6</v>
      </c>
      <c r="C244">
        <v>0.106548336992338</v>
      </c>
      <c r="D244">
        <v>-3.1151601638264201E-4</v>
      </c>
      <c r="E244">
        <v>6.1312499999999995E-4</v>
      </c>
      <c r="F244">
        <v>-1.06548336992338E-3</v>
      </c>
      <c r="G244">
        <v>0</v>
      </c>
      <c r="H244" t="s">
        <v>74</v>
      </c>
      <c r="I244">
        <v>0</v>
      </c>
      <c r="J244" t="s">
        <v>75</v>
      </c>
      <c r="K244">
        <v>3.14159265358979</v>
      </c>
      <c r="L244">
        <v>0.58837548219520797</v>
      </c>
      <c r="M244">
        <v>0</v>
      </c>
      <c r="N244">
        <v>3.45465057268581E-2</v>
      </c>
      <c r="O244">
        <v>0</v>
      </c>
      <c r="P244">
        <v>1.6E-2</v>
      </c>
      <c r="Q244">
        <v>0</v>
      </c>
      <c r="R244">
        <v>0</v>
      </c>
      <c r="S244">
        <v>0</v>
      </c>
      <c r="T244">
        <v>0</v>
      </c>
      <c r="U244">
        <v>0.59312044575309797</v>
      </c>
      <c r="V244" t="s">
        <v>78</v>
      </c>
      <c r="W244">
        <v>2330417.0858117901</v>
      </c>
      <c r="X244" t="s">
        <v>76</v>
      </c>
      <c r="Y244">
        <v>-1.5707963267949001</v>
      </c>
      <c r="Z244">
        <v>0.58106189678142905</v>
      </c>
      <c r="AA244">
        <v>0.40098071797986801</v>
      </c>
      <c r="AB244">
        <v>3.1039047556938201E-2</v>
      </c>
      <c r="AC244">
        <v>2.2489553042595301E-2</v>
      </c>
      <c r="AD244">
        <v>7.4951902471463603E-3</v>
      </c>
      <c r="AE244">
        <v>2.8855204934004799E-2</v>
      </c>
      <c r="AF244">
        <v>0</v>
      </c>
      <c r="AG244">
        <v>0.235397620376226</v>
      </c>
      <c r="AH244">
        <v>0.37361272007657997</v>
      </c>
      <c r="AI244">
        <v>0.29761284449624797</v>
      </c>
      <c r="AJ244" t="s">
        <v>74</v>
      </c>
      <c r="AK244">
        <v>0</v>
      </c>
      <c r="AL244" t="s">
        <v>77</v>
      </c>
      <c r="AM244">
        <v>0</v>
      </c>
      <c r="AN244">
        <v>0.99199999999999999</v>
      </c>
      <c r="AO244">
        <v>0</v>
      </c>
      <c r="AP244">
        <v>5.8245346242475203E-2</v>
      </c>
      <c r="AQ244">
        <v>0</v>
      </c>
      <c r="AR244">
        <v>1.6E-2</v>
      </c>
      <c r="AS244">
        <v>0</v>
      </c>
      <c r="AT244">
        <v>0</v>
      </c>
      <c r="AU244">
        <v>0</v>
      </c>
      <c r="AV244">
        <v>0</v>
      </c>
      <c r="AW244">
        <v>1</v>
      </c>
      <c r="AX244" t="s">
        <v>74</v>
      </c>
      <c r="AY244">
        <v>0</v>
      </c>
      <c r="AZ244" t="s">
        <v>76</v>
      </c>
      <c r="BA244">
        <v>-1.5707963267949001</v>
      </c>
      <c r="BB244">
        <v>0.99199999999999999</v>
      </c>
      <c r="BC244">
        <v>0</v>
      </c>
      <c r="BD244">
        <v>5.8245346242475203E-2</v>
      </c>
      <c r="BE244">
        <v>0</v>
      </c>
      <c r="BF244">
        <v>1.6E-2</v>
      </c>
      <c r="BG244">
        <v>0</v>
      </c>
      <c r="BH244">
        <v>0</v>
      </c>
      <c r="BI244">
        <v>0</v>
      </c>
      <c r="BJ244">
        <v>0</v>
      </c>
      <c r="BK244">
        <v>1</v>
      </c>
      <c r="BL244">
        <v>1.02282899405671E-4</v>
      </c>
      <c r="BM244">
        <v>3.0450517022640301E-4</v>
      </c>
      <c r="BN244" s="1">
        <v>3.7248706797411899E-7</v>
      </c>
      <c r="BO244" s="1">
        <v>4.78315602881689E-6</v>
      </c>
      <c r="BP244">
        <v>0</v>
      </c>
      <c r="BQ244">
        <v>0</v>
      </c>
      <c r="BR244" s="1">
        <v>5.5372330956961202E-5</v>
      </c>
      <c r="BS244">
        <v>1.6811569414206299E-4</v>
      </c>
    </row>
    <row r="245" spans="1:71" x14ac:dyDescent="0.25">
      <c r="A245">
        <v>242</v>
      </c>
      <c r="B245" s="1">
        <v>9.1374615063793794E-6</v>
      </c>
      <c r="C245">
        <v>0.106557474453844</v>
      </c>
      <c r="D245">
        <v>-3.1156514663923301E-4</v>
      </c>
      <c r="E245">
        <v>6.1312499999999995E-4</v>
      </c>
      <c r="F245">
        <v>-1.0655747445384399E-3</v>
      </c>
      <c r="G245" s="1">
        <v>1.0842021724855E-19</v>
      </c>
      <c r="H245" t="s">
        <v>74</v>
      </c>
      <c r="I245">
        <v>0</v>
      </c>
      <c r="J245" t="s">
        <v>75</v>
      </c>
      <c r="K245">
        <v>3.14159265358979</v>
      </c>
      <c r="L245">
        <v>0.586700911163623</v>
      </c>
      <c r="M245">
        <v>0</v>
      </c>
      <c r="N245">
        <v>3.4448183176916301E-2</v>
      </c>
      <c r="O245">
        <v>0</v>
      </c>
      <c r="P245">
        <v>1.6E-2</v>
      </c>
      <c r="Q245">
        <v>0</v>
      </c>
      <c r="R245">
        <v>0</v>
      </c>
      <c r="S245">
        <v>0</v>
      </c>
      <c r="T245">
        <v>0</v>
      </c>
      <c r="U245">
        <v>0.59143237011624505</v>
      </c>
      <c r="V245" t="s">
        <v>78</v>
      </c>
      <c r="W245">
        <v>2330841.0560786799</v>
      </c>
      <c r="X245" t="s">
        <v>76</v>
      </c>
      <c r="Y245">
        <v>-1.5707963267949001</v>
      </c>
      <c r="Z245">
        <v>0.57939411786045902</v>
      </c>
      <c r="AA245">
        <v>0.402461776492334</v>
      </c>
      <c r="AB245">
        <v>3.0945588955621502E-2</v>
      </c>
      <c r="AC245">
        <v>2.2577743546520802E-2</v>
      </c>
      <c r="AD245">
        <v>7.3872439522521599E-3</v>
      </c>
      <c r="AE245">
        <v>2.8977149656345701E-2</v>
      </c>
      <c r="AF245">
        <v>0</v>
      </c>
      <c r="AG245">
        <v>0.23407735780353101</v>
      </c>
      <c r="AH245">
        <v>0.37745966531861502</v>
      </c>
      <c r="AI245">
        <v>0.29522836402651298</v>
      </c>
      <c r="AJ245" t="s">
        <v>74</v>
      </c>
      <c r="AK245">
        <v>0</v>
      </c>
      <c r="AL245" t="s">
        <v>77</v>
      </c>
      <c r="AM245">
        <v>0</v>
      </c>
      <c r="AN245">
        <v>0.99199999999999999</v>
      </c>
      <c r="AO245">
        <v>0</v>
      </c>
      <c r="AP245">
        <v>5.8245346242475203E-2</v>
      </c>
      <c r="AQ245">
        <v>0</v>
      </c>
      <c r="AR245">
        <v>1.6E-2</v>
      </c>
      <c r="AS245">
        <v>0</v>
      </c>
      <c r="AT245">
        <v>0</v>
      </c>
      <c r="AU245">
        <v>0</v>
      </c>
      <c r="AV245">
        <v>0</v>
      </c>
      <c r="AW245">
        <v>1</v>
      </c>
      <c r="AX245" t="s">
        <v>74</v>
      </c>
      <c r="AY245">
        <v>0</v>
      </c>
      <c r="AZ245" t="s">
        <v>76</v>
      </c>
      <c r="BA245">
        <v>-1.5707963267949001</v>
      </c>
      <c r="BB245">
        <v>0.99199999999999999</v>
      </c>
      <c r="BC245">
        <v>0</v>
      </c>
      <c r="BD245">
        <v>5.8245346242475203E-2</v>
      </c>
      <c r="BE245">
        <v>0</v>
      </c>
      <c r="BF245">
        <v>1.6E-2</v>
      </c>
      <c r="BG245">
        <v>0</v>
      </c>
      <c r="BH245">
        <v>0</v>
      </c>
      <c r="BI245">
        <v>0</v>
      </c>
      <c r="BJ245">
        <v>0</v>
      </c>
      <c r="BK245">
        <v>1</v>
      </c>
      <c r="BL245">
        <v>1.0223110408200401E-4</v>
      </c>
      <c r="BM245">
        <v>3.0576851156107301E-4</v>
      </c>
      <c r="BN245" s="1">
        <v>3.7230773525976099E-7</v>
      </c>
      <c r="BO245" s="1">
        <v>4.8030005480967603E-6</v>
      </c>
      <c r="BP245">
        <v>0</v>
      </c>
      <c r="BQ245">
        <v>0</v>
      </c>
      <c r="BR245" s="1">
        <v>5.5339684777348798E-5</v>
      </c>
      <c r="BS245">
        <v>1.68814795303965E-4</v>
      </c>
    </row>
    <row r="246" spans="1:71" x14ac:dyDescent="0.25">
      <c r="A246">
        <v>243</v>
      </c>
      <c r="B246" s="1">
        <v>9.1867958077047496E-6</v>
      </c>
      <c r="C246">
        <v>0.106566661249652</v>
      </c>
      <c r="D246">
        <v>-3.1161453989949798E-4</v>
      </c>
      <c r="E246">
        <v>6.1312499999999995E-4</v>
      </c>
      <c r="F246">
        <v>-1.0656666124965199E-3</v>
      </c>
      <c r="G246">
        <v>0</v>
      </c>
      <c r="H246" t="s">
        <v>74</v>
      </c>
      <c r="I246">
        <v>0</v>
      </c>
      <c r="J246" t="s">
        <v>75</v>
      </c>
      <c r="K246">
        <v>3.14159265358979</v>
      </c>
      <c r="L246">
        <v>0.58502651539697004</v>
      </c>
      <c r="M246">
        <v>0</v>
      </c>
      <c r="N246">
        <v>3.43498709176666E-2</v>
      </c>
      <c r="O246">
        <v>0</v>
      </c>
      <c r="P246">
        <v>1.6E-2</v>
      </c>
      <c r="Q246">
        <v>0</v>
      </c>
      <c r="R246">
        <v>0</v>
      </c>
      <c r="S246">
        <v>0</v>
      </c>
      <c r="T246">
        <v>0</v>
      </c>
      <c r="U246">
        <v>0.58974447115775397</v>
      </c>
      <c r="V246" t="s">
        <v>78</v>
      </c>
      <c r="W246">
        <v>2331267.2959396001</v>
      </c>
      <c r="X246" t="s">
        <v>76</v>
      </c>
      <c r="Y246">
        <v>-1.5707963267949001</v>
      </c>
      <c r="Z246">
        <v>0.577726503361226</v>
      </c>
      <c r="AA246">
        <v>0.40466424276408802</v>
      </c>
      <c r="AB246">
        <v>3.0852140634635799E-2</v>
      </c>
      <c r="AC246">
        <v>2.26886270561459E-2</v>
      </c>
      <c r="AD246">
        <v>7.2793590545616998E-3</v>
      </c>
      <c r="AE246">
        <v>2.9099007332008001E-2</v>
      </c>
      <c r="AF246">
        <v>0</v>
      </c>
      <c r="AG246">
        <v>0.23272520840639299</v>
      </c>
      <c r="AH246">
        <v>0.38133823293595498</v>
      </c>
      <c r="AI246">
        <v>0.29285007860144602</v>
      </c>
      <c r="AJ246" t="s">
        <v>74</v>
      </c>
      <c r="AK246">
        <v>0</v>
      </c>
      <c r="AL246" t="s">
        <v>77</v>
      </c>
      <c r="AM246">
        <v>0</v>
      </c>
      <c r="AN246">
        <v>0.99199999999999999</v>
      </c>
      <c r="AO246">
        <v>0</v>
      </c>
      <c r="AP246">
        <v>5.8245346242475203E-2</v>
      </c>
      <c r="AQ246">
        <v>0</v>
      </c>
      <c r="AR246">
        <v>1.6E-2</v>
      </c>
      <c r="AS246">
        <v>0</v>
      </c>
      <c r="AT246">
        <v>0</v>
      </c>
      <c r="AU246">
        <v>0</v>
      </c>
      <c r="AV246">
        <v>0</v>
      </c>
      <c r="AW246">
        <v>1</v>
      </c>
      <c r="AX246" t="s">
        <v>74</v>
      </c>
      <c r="AY246">
        <v>0</v>
      </c>
      <c r="AZ246" t="s">
        <v>76</v>
      </c>
      <c r="BA246">
        <v>-1.5707963267949001</v>
      </c>
      <c r="BB246">
        <v>0.99199999999999999</v>
      </c>
      <c r="BC246">
        <v>0</v>
      </c>
      <c r="BD246">
        <v>5.8245346242475203E-2</v>
      </c>
      <c r="BE246">
        <v>0</v>
      </c>
      <c r="BF246">
        <v>1.6E-2</v>
      </c>
      <c r="BG246">
        <v>0</v>
      </c>
      <c r="BH246">
        <v>0</v>
      </c>
      <c r="BI246">
        <v>0</v>
      </c>
      <c r="BJ246">
        <v>0</v>
      </c>
      <c r="BK246">
        <v>1</v>
      </c>
      <c r="BL246">
        <v>1.0219066554669901E-4</v>
      </c>
      <c r="BM246">
        <v>3.0703172067117398E-4</v>
      </c>
      <c r="BN246" s="1">
        <v>3.7215129093246398E-7</v>
      </c>
      <c r="BO246" s="1">
        <v>4.8228429903979701E-6</v>
      </c>
      <c r="BP246">
        <v>0</v>
      </c>
      <c r="BQ246">
        <v>0</v>
      </c>
      <c r="BR246" s="1">
        <v>5.5313310256939799E-5</v>
      </c>
      <c r="BS246">
        <v>1.6951384557310699E-4</v>
      </c>
    </row>
    <row r="247" spans="1:71" x14ac:dyDescent="0.25">
      <c r="A247">
        <v>244</v>
      </c>
      <c r="B247" s="1">
        <v>9.23784802760254E-6</v>
      </c>
      <c r="C247">
        <v>0.10657589909767901</v>
      </c>
      <c r="D247">
        <v>-3.1166420536310002E-4</v>
      </c>
      <c r="E247">
        <v>6.1312499999999995E-4</v>
      </c>
      <c r="F247">
        <v>-1.06575899097679E-3</v>
      </c>
      <c r="G247" s="1">
        <v>1.0842021724855E-19</v>
      </c>
      <c r="H247" t="s">
        <v>74</v>
      </c>
      <c r="I247">
        <v>0</v>
      </c>
      <c r="J247" t="s">
        <v>75</v>
      </c>
      <c r="K247">
        <v>3.14159265358979</v>
      </c>
      <c r="L247">
        <v>0.58335229967623403</v>
      </c>
      <c r="M247">
        <v>0</v>
      </c>
      <c r="N247">
        <v>3.4251569229825002E-2</v>
      </c>
      <c r="O247">
        <v>0</v>
      </c>
      <c r="P247">
        <v>1.6E-2</v>
      </c>
      <c r="Q247">
        <v>0</v>
      </c>
      <c r="R247">
        <v>0</v>
      </c>
      <c r="S247">
        <v>0</v>
      </c>
      <c r="T247">
        <v>0</v>
      </c>
      <c r="U247">
        <v>0.58805675369716803</v>
      </c>
      <c r="V247" t="s">
        <v>78</v>
      </c>
      <c r="W247">
        <v>2331695.8847832102</v>
      </c>
      <c r="X247" t="s">
        <v>76</v>
      </c>
      <c r="Y247">
        <v>-1.5707963267949001</v>
      </c>
      <c r="Z247">
        <v>0.57605905590393802</v>
      </c>
      <c r="AA247">
        <v>0.40683394139972301</v>
      </c>
      <c r="AB247">
        <v>3.0758702120097799E-2</v>
      </c>
      <c r="AC247">
        <v>2.27985107614001E-2</v>
      </c>
      <c r="AD247">
        <v>7.1715384578452199E-3</v>
      </c>
      <c r="AE247">
        <v>2.9220776705262401E-2</v>
      </c>
      <c r="AF247">
        <v>0</v>
      </c>
      <c r="AG247">
        <v>0.23134080298825699</v>
      </c>
      <c r="AH247">
        <v>0.38524878491134701</v>
      </c>
      <c r="AI247">
        <v>0.29047802059142502</v>
      </c>
      <c r="AJ247" t="s">
        <v>74</v>
      </c>
      <c r="AK247">
        <v>0</v>
      </c>
      <c r="AL247" t="s">
        <v>77</v>
      </c>
      <c r="AM247">
        <v>0</v>
      </c>
      <c r="AN247">
        <v>0.99199999999999999</v>
      </c>
      <c r="AO247">
        <v>0</v>
      </c>
      <c r="AP247">
        <v>5.8245346242475203E-2</v>
      </c>
      <c r="AQ247">
        <v>0</v>
      </c>
      <c r="AR247">
        <v>1.6E-2</v>
      </c>
      <c r="AS247">
        <v>0</v>
      </c>
      <c r="AT247">
        <v>0</v>
      </c>
      <c r="AU247">
        <v>0</v>
      </c>
      <c r="AV247">
        <v>0</v>
      </c>
      <c r="AW247">
        <v>1</v>
      </c>
      <c r="AX247" t="s">
        <v>74</v>
      </c>
      <c r="AY247">
        <v>0</v>
      </c>
      <c r="AZ247" t="s">
        <v>76</v>
      </c>
      <c r="BA247">
        <v>-1.5707963267949001</v>
      </c>
      <c r="BB247">
        <v>0.99199999999999999</v>
      </c>
      <c r="BC247">
        <v>0</v>
      </c>
      <c r="BD247">
        <v>5.8245346242475203E-2</v>
      </c>
      <c r="BE247">
        <v>0</v>
      </c>
      <c r="BF247">
        <v>1.6E-2</v>
      </c>
      <c r="BG247">
        <v>0</v>
      </c>
      <c r="BH247">
        <v>0</v>
      </c>
      <c r="BI247">
        <v>0</v>
      </c>
      <c r="BJ247">
        <v>0</v>
      </c>
      <c r="BK247">
        <v>1</v>
      </c>
      <c r="BL247">
        <v>1.02149737298137E-4</v>
      </c>
      <c r="BM247">
        <v>3.0829479394980198E-4</v>
      </c>
      <c r="BN247" s="1">
        <v>3.7199404447508198E-7</v>
      </c>
      <c r="BO247" s="1">
        <v>4.8426832990633902E-6</v>
      </c>
      <c r="BP247">
        <v>0</v>
      </c>
      <c r="BQ247">
        <v>0</v>
      </c>
      <c r="BR247" s="1">
        <v>5.5286667081845897E-5</v>
      </c>
      <c r="BS247">
        <v>1.7021284337012901E-4</v>
      </c>
    </row>
    <row r="248" spans="1:71" x14ac:dyDescent="0.25">
      <c r="A248">
        <v>245</v>
      </c>
      <c r="B248" s="1">
        <v>9.29067990336848E-6</v>
      </c>
      <c r="C248">
        <v>0.10658518977758299</v>
      </c>
      <c r="D248">
        <v>-3.1171415255970802E-4</v>
      </c>
      <c r="E248">
        <v>6.1312499999999995E-4</v>
      </c>
      <c r="F248">
        <v>-1.0658518977758301E-3</v>
      </c>
      <c r="G248" s="1">
        <v>1.0842021724855E-19</v>
      </c>
      <c r="H248" t="s">
        <v>74</v>
      </c>
      <c r="I248">
        <v>0</v>
      </c>
      <c r="J248" t="s">
        <v>75</v>
      </c>
      <c r="K248">
        <v>3.14159265358979</v>
      </c>
      <c r="L248">
        <v>0.58167826898055397</v>
      </c>
      <c r="M248">
        <v>0</v>
      </c>
      <c r="N248">
        <v>3.4153278405741901E-2</v>
      </c>
      <c r="O248">
        <v>0</v>
      </c>
      <c r="P248">
        <v>1.6E-2</v>
      </c>
      <c r="Q248">
        <v>0</v>
      </c>
      <c r="R248">
        <v>0</v>
      </c>
      <c r="S248">
        <v>0</v>
      </c>
      <c r="T248">
        <v>0</v>
      </c>
      <c r="U248">
        <v>0.58636922275377901</v>
      </c>
      <c r="V248" t="s">
        <v>78</v>
      </c>
      <c r="W248">
        <v>2332126.9048458999</v>
      </c>
      <c r="X248" t="s">
        <v>76</v>
      </c>
      <c r="Y248">
        <v>-1.5707963267949001</v>
      </c>
      <c r="Z248">
        <v>0.57439177823088905</v>
      </c>
      <c r="AA248">
        <v>0.40824949115434001</v>
      </c>
      <c r="AB248">
        <v>3.0665272924745201E-2</v>
      </c>
      <c r="AC248">
        <v>2.2884732698244401E-2</v>
      </c>
      <c r="AD248">
        <v>7.06378511696112E-3</v>
      </c>
      <c r="AE248">
        <v>2.93424565095225E-2</v>
      </c>
      <c r="AF248">
        <v>0</v>
      </c>
      <c r="AG248">
        <v>0.229923762893607</v>
      </c>
      <c r="AH248">
        <v>0.389191692387517</v>
      </c>
      <c r="AI248">
        <v>0.28811222278507498</v>
      </c>
      <c r="AJ248" t="s">
        <v>74</v>
      </c>
      <c r="AK248">
        <v>0</v>
      </c>
      <c r="AL248" t="s">
        <v>77</v>
      </c>
      <c r="AM248">
        <v>0</v>
      </c>
      <c r="AN248">
        <v>0.99199999999999999</v>
      </c>
      <c r="AO248">
        <v>0</v>
      </c>
      <c r="AP248">
        <v>5.8245346242475203E-2</v>
      </c>
      <c r="AQ248">
        <v>0</v>
      </c>
      <c r="AR248">
        <v>1.6E-2</v>
      </c>
      <c r="AS248">
        <v>0</v>
      </c>
      <c r="AT248">
        <v>0</v>
      </c>
      <c r="AU248">
        <v>0</v>
      </c>
      <c r="AV248">
        <v>0</v>
      </c>
      <c r="AW248">
        <v>1</v>
      </c>
      <c r="AX248" t="s">
        <v>74</v>
      </c>
      <c r="AY248">
        <v>0</v>
      </c>
      <c r="AZ248" t="s">
        <v>76</v>
      </c>
      <c r="BA248">
        <v>-1.5707963267949001</v>
      </c>
      <c r="BB248">
        <v>0.99199999999999999</v>
      </c>
      <c r="BC248">
        <v>0</v>
      </c>
      <c r="BD248">
        <v>5.8245346242475203E-2</v>
      </c>
      <c r="BE248">
        <v>0</v>
      </c>
      <c r="BF248">
        <v>1.6E-2</v>
      </c>
      <c r="BG248">
        <v>0</v>
      </c>
      <c r="BH248">
        <v>0</v>
      </c>
      <c r="BI248">
        <v>0</v>
      </c>
      <c r="BJ248">
        <v>0</v>
      </c>
      <c r="BK248">
        <v>1</v>
      </c>
      <c r="BL248">
        <v>1.0209698825684101E-4</v>
      </c>
      <c r="BM248">
        <v>3.0955772764056203E-4</v>
      </c>
      <c r="BN248" s="1">
        <v>3.7181333684830701E-7</v>
      </c>
      <c r="BO248" s="1">
        <v>4.8625214150876898E-6</v>
      </c>
      <c r="BP248">
        <v>0</v>
      </c>
      <c r="BQ248">
        <v>0</v>
      </c>
      <c r="BR248" s="1">
        <v>5.5253499261263599E-5</v>
      </c>
      <c r="BS248">
        <v>1.7091178704909399E-4</v>
      </c>
    </row>
    <row r="249" spans="1:71" x14ac:dyDescent="0.25">
      <c r="A249">
        <v>246</v>
      </c>
      <c r="B249" s="1">
        <v>9.3453566147419999E-6</v>
      </c>
      <c r="C249">
        <v>0.106594535134197</v>
      </c>
      <c r="D249">
        <v>-3.1176439136739598E-4</v>
      </c>
      <c r="E249">
        <v>6.1312499999999995E-4</v>
      </c>
      <c r="F249">
        <v>-1.0659453513419701E-3</v>
      </c>
      <c r="G249" s="1">
        <v>1.0842021724855E-19</v>
      </c>
      <c r="H249" t="s">
        <v>74</v>
      </c>
      <c r="I249">
        <v>0</v>
      </c>
      <c r="J249" t="s">
        <v>75</v>
      </c>
      <c r="K249">
        <v>3.14159265358979</v>
      </c>
      <c r="L249">
        <v>0.58000442849825495</v>
      </c>
      <c r="M249">
        <v>0</v>
      </c>
      <c r="N249">
        <v>3.4054998750050199E-2</v>
      </c>
      <c r="O249">
        <v>0</v>
      </c>
      <c r="P249">
        <v>1.6E-2</v>
      </c>
      <c r="Q249">
        <v>0</v>
      </c>
      <c r="R249">
        <v>0</v>
      </c>
      <c r="S249">
        <v>0</v>
      </c>
      <c r="T249">
        <v>0</v>
      </c>
      <c r="U249">
        <v>0.58468188355775497</v>
      </c>
      <c r="V249" t="s">
        <v>78</v>
      </c>
      <c r="W249">
        <v>2332560.44137066</v>
      </c>
      <c r="X249" t="s">
        <v>76</v>
      </c>
      <c r="Y249">
        <v>-1.5707963267949001</v>
      </c>
      <c r="Z249">
        <v>0.57272467321297404</v>
      </c>
      <c r="AA249">
        <v>0.40964323459788599</v>
      </c>
      <c r="AB249">
        <v>3.0571852547078001E-2</v>
      </c>
      <c r="AC249">
        <v>2.2970301521593E-2</v>
      </c>
      <c r="AD249">
        <v>6.95610204082642E-3</v>
      </c>
      <c r="AE249">
        <v>2.9464045466982201E-2</v>
      </c>
      <c r="AF249">
        <v>0</v>
      </c>
      <c r="AG249">
        <v>0.228473699648513</v>
      </c>
      <c r="AH249">
        <v>0.393167336009969</v>
      </c>
      <c r="AI249">
        <v>0.28575271840303401</v>
      </c>
      <c r="AJ249" t="s">
        <v>74</v>
      </c>
      <c r="AK249">
        <v>0</v>
      </c>
      <c r="AL249" t="s">
        <v>77</v>
      </c>
      <c r="AM249">
        <v>0</v>
      </c>
      <c r="AN249">
        <v>0.99199999999999999</v>
      </c>
      <c r="AO249">
        <v>0</v>
      </c>
      <c r="AP249">
        <v>5.8245346242475203E-2</v>
      </c>
      <c r="AQ249">
        <v>0</v>
      </c>
      <c r="AR249">
        <v>1.6E-2</v>
      </c>
      <c r="AS249">
        <v>0</v>
      </c>
      <c r="AT249">
        <v>0</v>
      </c>
      <c r="AU249">
        <v>0</v>
      </c>
      <c r="AV249">
        <v>0</v>
      </c>
      <c r="AW249">
        <v>1</v>
      </c>
      <c r="AX249" t="s">
        <v>74</v>
      </c>
      <c r="AY249">
        <v>0</v>
      </c>
      <c r="AZ249" t="s">
        <v>76</v>
      </c>
      <c r="BA249">
        <v>-1.5707963267949001</v>
      </c>
      <c r="BB249">
        <v>0.99199999999999999</v>
      </c>
      <c r="BC249">
        <v>0</v>
      </c>
      <c r="BD249">
        <v>5.8245346242475203E-2</v>
      </c>
      <c r="BE249">
        <v>0</v>
      </c>
      <c r="BF249">
        <v>1.6E-2</v>
      </c>
      <c r="BG249">
        <v>0</v>
      </c>
      <c r="BH249">
        <v>0</v>
      </c>
      <c r="BI249">
        <v>0</v>
      </c>
      <c r="BJ249">
        <v>0</v>
      </c>
      <c r="BK249">
        <v>1</v>
      </c>
      <c r="BL249">
        <v>1.0204392265183599E-4</v>
      </c>
      <c r="BM249">
        <v>3.1082051782924098E-4</v>
      </c>
      <c r="BN249" s="1">
        <v>3.7163218022469398E-7</v>
      </c>
      <c r="BO249" s="1">
        <v>4.8823572769865897E-6</v>
      </c>
      <c r="BP249">
        <v>0</v>
      </c>
      <c r="BQ249">
        <v>0</v>
      </c>
      <c r="BR249" s="1">
        <v>5.5220158425975399E-5</v>
      </c>
      <c r="BS249">
        <v>1.7161067489373E-4</v>
      </c>
    </row>
    <row r="250" spans="1:71" x14ac:dyDescent="0.25">
      <c r="A250">
        <v>247</v>
      </c>
      <c r="B250" s="1">
        <v>9.4019470193756694E-6</v>
      </c>
      <c r="C250">
        <v>0.106603937081217</v>
      </c>
      <c r="D250">
        <v>-3.1181493203230799E-4</v>
      </c>
      <c r="E250">
        <v>6.1312499999999995E-4</v>
      </c>
      <c r="F250">
        <v>-1.06603937081217E-3</v>
      </c>
      <c r="G250" s="1">
        <v>1.0842021724855E-19</v>
      </c>
      <c r="H250" t="s">
        <v>74</v>
      </c>
      <c r="I250">
        <v>0</v>
      </c>
      <c r="J250" t="s">
        <v>75</v>
      </c>
      <c r="K250">
        <v>3.14159265358979</v>
      </c>
      <c r="L250">
        <v>0.57833078363867696</v>
      </c>
      <c r="M250">
        <v>0</v>
      </c>
      <c r="N250">
        <v>3.3956730580359702E-2</v>
      </c>
      <c r="O250">
        <v>0</v>
      </c>
      <c r="P250">
        <v>1.6E-2</v>
      </c>
      <c r="Q250">
        <v>0</v>
      </c>
      <c r="R250">
        <v>0</v>
      </c>
      <c r="S250">
        <v>0</v>
      </c>
      <c r="T250">
        <v>0</v>
      </c>
      <c r="U250">
        <v>0.58299474156205899</v>
      </c>
      <c r="V250" t="s">
        <v>78</v>
      </c>
      <c r="W250">
        <v>2332996.58277675</v>
      </c>
      <c r="X250" t="s">
        <v>76</v>
      </c>
      <c r="Y250">
        <v>-1.5707963267949001</v>
      </c>
      <c r="Z250">
        <v>0.57105774385668995</v>
      </c>
      <c r="AA250">
        <v>0.41101518782065499</v>
      </c>
      <c r="AB250">
        <v>3.04784404704425E-2</v>
      </c>
      <c r="AC250">
        <v>2.3055219241090701E-2</v>
      </c>
      <c r="AD250">
        <v>6.8484922955819403E-3</v>
      </c>
      <c r="AE250">
        <v>2.9585542288228999E-2</v>
      </c>
      <c r="AF250">
        <v>0</v>
      </c>
      <c r="AG250">
        <v>0.226990214583807</v>
      </c>
      <c r="AH250">
        <v>0.397176106285969</v>
      </c>
      <c r="AI250">
        <v>0.28339954111256899</v>
      </c>
      <c r="AJ250" t="s">
        <v>74</v>
      </c>
      <c r="AK250">
        <v>0</v>
      </c>
      <c r="AL250" t="s">
        <v>77</v>
      </c>
      <c r="AM250">
        <v>0</v>
      </c>
      <c r="AN250">
        <v>0.99199999999999999</v>
      </c>
      <c r="AO250">
        <v>0</v>
      </c>
      <c r="AP250">
        <v>5.8245346242475203E-2</v>
      </c>
      <c r="AQ250">
        <v>0</v>
      </c>
      <c r="AR250">
        <v>1.6E-2</v>
      </c>
      <c r="AS250">
        <v>0</v>
      </c>
      <c r="AT250">
        <v>0</v>
      </c>
      <c r="AU250">
        <v>0</v>
      </c>
      <c r="AV250">
        <v>0</v>
      </c>
      <c r="AW250">
        <v>1</v>
      </c>
      <c r="AX250" t="s">
        <v>74</v>
      </c>
      <c r="AY250">
        <v>0</v>
      </c>
      <c r="AZ250" t="s">
        <v>76</v>
      </c>
      <c r="BA250">
        <v>-1.5707963267949001</v>
      </c>
      <c r="BB250">
        <v>0.99199999999999999</v>
      </c>
      <c r="BC250">
        <v>0</v>
      </c>
      <c r="BD250">
        <v>5.8245346242475203E-2</v>
      </c>
      <c r="BE250">
        <v>0</v>
      </c>
      <c r="BF250">
        <v>1.6E-2</v>
      </c>
      <c r="BG250">
        <v>0</v>
      </c>
      <c r="BH250">
        <v>0</v>
      </c>
      <c r="BI250">
        <v>0</v>
      </c>
      <c r="BJ250">
        <v>0</v>
      </c>
      <c r="BK250">
        <v>1</v>
      </c>
      <c r="BL250">
        <v>1.01990541388422E-4</v>
      </c>
      <c r="BM250">
        <v>3.1208316043488798E-4</v>
      </c>
      <c r="BN250" s="1">
        <v>3.7145058030750302E-7</v>
      </c>
      <c r="BO250" s="1">
        <v>4.90219082065665E-6</v>
      </c>
      <c r="BP250">
        <v>0</v>
      </c>
      <c r="BQ250">
        <v>0</v>
      </c>
      <c r="BR250" s="1">
        <v>5.518664516385E-5</v>
      </c>
      <c r="BS250">
        <v>1.7230950511339701E-4</v>
      </c>
    </row>
    <row r="251" spans="1:71" x14ac:dyDescent="0.25">
      <c r="A251">
        <v>248</v>
      </c>
      <c r="B251" s="1">
        <v>9.4605239084796801E-6</v>
      </c>
      <c r="C251">
        <v>0.106613397605125</v>
      </c>
      <c r="D251">
        <v>-3.1186578518968799E-4</v>
      </c>
      <c r="E251">
        <v>6.1312499999999995E-4</v>
      </c>
      <c r="F251">
        <v>-1.0661339760512499E-3</v>
      </c>
      <c r="G251">
        <v>0</v>
      </c>
      <c r="H251" t="s">
        <v>74</v>
      </c>
      <c r="I251">
        <v>0</v>
      </c>
      <c r="J251" t="s">
        <v>75</v>
      </c>
      <c r="K251">
        <v>3.14159265358979</v>
      </c>
      <c r="L251">
        <v>0.57665734004485303</v>
      </c>
      <c r="M251">
        <v>0</v>
      </c>
      <c r="N251">
        <v>3.3858474228001201E-2</v>
      </c>
      <c r="O251">
        <v>0</v>
      </c>
      <c r="P251">
        <v>1.6E-2</v>
      </c>
      <c r="Q251">
        <v>0</v>
      </c>
      <c r="R251">
        <v>0</v>
      </c>
      <c r="S251">
        <v>0</v>
      </c>
      <c r="T251">
        <v>0</v>
      </c>
      <c r="U251">
        <v>0.58130780245523095</v>
      </c>
      <c r="V251" t="s">
        <v>78</v>
      </c>
      <c r="W251">
        <v>2333435.4208411602</v>
      </c>
      <c r="X251" t="s">
        <v>76</v>
      </c>
      <c r="Y251">
        <v>-1.5707963267949001</v>
      </c>
      <c r="Z251">
        <v>0.56939099331163701</v>
      </c>
      <c r="AA251">
        <v>0.41305403984157701</v>
      </c>
      <c r="AB251">
        <v>3.0385036162052102E-2</v>
      </c>
      <c r="AC251">
        <v>2.3161121562082901E-2</v>
      </c>
      <c r="AD251">
        <v>6.7409590079684301E-3</v>
      </c>
      <c r="AE251">
        <v>2.9706945671833199E-2</v>
      </c>
      <c r="AF251">
        <v>0</v>
      </c>
      <c r="AG251">
        <v>0.22547289843989801</v>
      </c>
      <c r="AH251">
        <v>0.40121840396060099</v>
      </c>
      <c r="AI251">
        <v>0.28105272504307699</v>
      </c>
      <c r="AJ251" t="s">
        <v>74</v>
      </c>
      <c r="AK251">
        <v>0</v>
      </c>
      <c r="AL251" t="s">
        <v>77</v>
      </c>
      <c r="AM251">
        <v>0</v>
      </c>
      <c r="AN251">
        <v>0.99199999999999999</v>
      </c>
      <c r="AO251">
        <v>0</v>
      </c>
      <c r="AP251">
        <v>5.8245346242475203E-2</v>
      </c>
      <c r="AQ251">
        <v>0</v>
      </c>
      <c r="AR251">
        <v>1.6E-2</v>
      </c>
      <c r="AS251">
        <v>0</v>
      </c>
      <c r="AT251">
        <v>0</v>
      </c>
      <c r="AU251">
        <v>0</v>
      </c>
      <c r="AV251">
        <v>0</v>
      </c>
      <c r="AW251">
        <v>1</v>
      </c>
      <c r="AX251" t="s">
        <v>74</v>
      </c>
      <c r="AY251">
        <v>0</v>
      </c>
      <c r="AZ251" t="s">
        <v>76</v>
      </c>
      <c r="BA251">
        <v>-1.5707963267949001</v>
      </c>
      <c r="BB251">
        <v>0.99199999999999999</v>
      </c>
      <c r="BC251">
        <v>0</v>
      </c>
      <c r="BD251">
        <v>5.8245346242475203E-2</v>
      </c>
      <c r="BE251">
        <v>0</v>
      </c>
      <c r="BF251">
        <v>1.6E-2</v>
      </c>
      <c r="BG251">
        <v>0</v>
      </c>
      <c r="BH251">
        <v>0</v>
      </c>
      <c r="BI251">
        <v>0</v>
      </c>
      <c r="BJ251">
        <v>0</v>
      </c>
      <c r="BK251">
        <v>1</v>
      </c>
      <c r="BL251">
        <v>1.01947662218543E-4</v>
      </c>
      <c r="BM251">
        <v>3.1334565120024897E-4</v>
      </c>
      <c r="BN251" s="1">
        <v>3.71290175173478E-7</v>
      </c>
      <c r="BO251" s="1">
        <v>4.9220219792250701E-6</v>
      </c>
      <c r="BP251">
        <v>0</v>
      </c>
      <c r="BQ251">
        <v>0</v>
      </c>
      <c r="BR251" s="1">
        <v>5.51589323973608E-5</v>
      </c>
      <c r="BS251">
        <v>1.7300827583876399E-4</v>
      </c>
    </row>
    <row r="252" spans="1:71" x14ac:dyDescent="0.25">
      <c r="A252">
        <v>249</v>
      </c>
      <c r="B252" s="1">
        <v>9.5211642842398095E-6</v>
      </c>
      <c r="C252">
        <v>0.10662291876941001</v>
      </c>
      <c r="D252">
        <v>-3.1191696188639402E-4</v>
      </c>
      <c r="E252">
        <v>6.1312499999999995E-4</v>
      </c>
      <c r="F252">
        <v>-1.06622918769409E-3</v>
      </c>
      <c r="G252">
        <v>0</v>
      </c>
      <c r="H252" t="s">
        <v>74</v>
      </c>
      <c r="I252">
        <v>0</v>
      </c>
      <c r="J252" t="s">
        <v>75</v>
      </c>
      <c r="K252">
        <v>3.14159265358979</v>
      </c>
      <c r="L252">
        <v>0.57498410360706997</v>
      </c>
      <c r="M252">
        <v>0</v>
      </c>
      <c r="N252">
        <v>3.3760230038823599E-2</v>
      </c>
      <c r="O252">
        <v>0</v>
      </c>
      <c r="P252">
        <v>1.6E-2</v>
      </c>
      <c r="Q252">
        <v>0</v>
      </c>
      <c r="R252">
        <v>0</v>
      </c>
      <c r="S252">
        <v>0</v>
      </c>
      <c r="T252">
        <v>0</v>
      </c>
      <c r="U252">
        <v>0.57962107217506198</v>
      </c>
      <c r="V252" t="s">
        <v>78</v>
      </c>
      <c r="W252">
        <v>2333877.0508929002</v>
      </c>
      <c r="X252" t="s">
        <v>76</v>
      </c>
      <c r="Y252">
        <v>-1.5707963267949001</v>
      </c>
      <c r="Z252">
        <v>0.56772442487854302</v>
      </c>
      <c r="AA252">
        <v>0.415060241182791</v>
      </c>
      <c r="AB252">
        <v>3.02916390719381E-2</v>
      </c>
      <c r="AC252">
        <v>2.3266033526355701E-2</v>
      </c>
      <c r="AD252">
        <v>6.6335053689305602E-3</v>
      </c>
      <c r="AE252">
        <v>2.9828254303910499E-2</v>
      </c>
      <c r="AF252">
        <v>0</v>
      </c>
      <c r="AG252">
        <v>0.22392133095217601</v>
      </c>
      <c r="AH252">
        <v>0.40529464041088797</v>
      </c>
      <c r="AI252">
        <v>0.27871230480252301</v>
      </c>
      <c r="AJ252" t="s">
        <v>74</v>
      </c>
      <c r="AK252">
        <v>0</v>
      </c>
      <c r="AL252" t="s">
        <v>77</v>
      </c>
      <c r="AM252">
        <v>0</v>
      </c>
      <c r="AN252">
        <v>0.99199999999999999</v>
      </c>
      <c r="AO252">
        <v>0</v>
      </c>
      <c r="AP252">
        <v>5.8245346242475203E-2</v>
      </c>
      <c r="AQ252">
        <v>0</v>
      </c>
      <c r="AR252">
        <v>1.6E-2</v>
      </c>
      <c r="AS252">
        <v>0</v>
      </c>
      <c r="AT252">
        <v>0</v>
      </c>
      <c r="AU252">
        <v>0</v>
      </c>
      <c r="AV252">
        <v>0</v>
      </c>
      <c r="AW252">
        <v>1</v>
      </c>
      <c r="AX252" t="s">
        <v>74</v>
      </c>
      <c r="AY252">
        <v>0</v>
      </c>
      <c r="AZ252" t="s">
        <v>76</v>
      </c>
      <c r="BA252">
        <v>-1.5707963267949001</v>
      </c>
      <c r="BB252">
        <v>0.99199999999999999</v>
      </c>
      <c r="BC252">
        <v>0</v>
      </c>
      <c r="BD252">
        <v>5.8245346242475203E-2</v>
      </c>
      <c r="BE252">
        <v>0</v>
      </c>
      <c r="BF252">
        <v>1.6E-2</v>
      </c>
      <c r="BG252">
        <v>0</v>
      </c>
      <c r="BH252">
        <v>0</v>
      </c>
      <c r="BI252">
        <v>0</v>
      </c>
      <c r="BJ252">
        <v>0</v>
      </c>
      <c r="BK252">
        <v>1</v>
      </c>
      <c r="BL252">
        <v>1.0190429756103401E-4</v>
      </c>
      <c r="BM252">
        <v>3.1460798568153201E-4</v>
      </c>
      <c r="BN252" s="1">
        <v>3.7112899428364801E-7</v>
      </c>
      <c r="BO252" s="1">
        <v>4.9418506828889201E-6</v>
      </c>
      <c r="BP252">
        <v>0</v>
      </c>
      <c r="BQ252">
        <v>0</v>
      </c>
      <c r="BR252" s="1">
        <v>5.5130953740752602E-5</v>
      </c>
      <c r="BS252">
        <v>1.7370698511718301E-4</v>
      </c>
    </row>
    <row r="253" spans="1:71" x14ac:dyDescent="0.25">
      <c r="A253">
        <v>250</v>
      </c>
      <c r="B253" s="1">
        <v>9.5839496612912094E-6</v>
      </c>
      <c r="C253">
        <v>0.106632502719071</v>
      </c>
      <c r="D253">
        <v>-3.1196847360502101E-4</v>
      </c>
      <c r="E253">
        <v>6.1312499999999995E-4</v>
      </c>
      <c r="F253">
        <v>-1.0663250271907101E-3</v>
      </c>
      <c r="G253" s="1">
        <v>1.0842021724855E-19</v>
      </c>
      <c r="H253" t="s">
        <v>74</v>
      </c>
      <c r="I253">
        <v>0</v>
      </c>
      <c r="J253" t="s">
        <v>75</v>
      </c>
      <c r="K253">
        <v>3.14159265358979</v>
      </c>
      <c r="L253">
        <v>0.57331108047746204</v>
      </c>
      <c r="M253">
        <v>0</v>
      </c>
      <c r="N253">
        <v>3.3661998374049699E-2</v>
      </c>
      <c r="O253">
        <v>0</v>
      </c>
      <c r="P253">
        <v>1.6E-2</v>
      </c>
      <c r="Q253">
        <v>0</v>
      </c>
      <c r="R253">
        <v>0</v>
      </c>
      <c r="S253">
        <v>0</v>
      </c>
      <c r="T253">
        <v>0</v>
      </c>
      <c r="U253">
        <v>0.57793455692329998</v>
      </c>
      <c r="V253" t="s">
        <v>78</v>
      </c>
      <c r="W253">
        <v>2334321.5720212101</v>
      </c>
      <c r="X253" t="s">
        <v>76</v>
      </c>
      <c r="Y253">
        <v>-1.5707963267949001</v>
      </c>
      <c r="Z253">
        <v>0.56605804201790599</v>
      </c>
      <c r="AA253">
        <v>0.41636692731571301</v>
      </c>
      <c r="AB253">
        <v>3.0198248631826501E-2</v>
      </c>
      <c r="AC253">
        <v>2.3349006188047101E-2</v>
      </c>
      <c r="AD253">
        <v>6.5261346374718204E-3</v>
      </c>
      <c r="AE253">
        <v>2.9949466857653401E-2</v>
      </c>
      <c r="AF253">
        <v>0</v>
      </c>
      <c r="AG253">
        <v>0.222335080415937</v>
      </c>
      <c r="AH253">
        <v>0.40940523805886703</v>
      </c>
      <c r="AI253">
        <v>0.27637831549495001</v>
      </c>
      <c r="AJ253" t="s">
        <v>74</v>
      </c>
      <c r="AK253">
        <v>0</v>
      </c>
      <c r="AL253" t="s">
        <v>77</v>
      </c>
      <c r="AM253">
        <v>0</v>
      </c>
      <c r="AN253">
        <v>0.99199999999999999</v>
      </c>
      <c r="AO253">
        <v>0</v>
      </c>
      <c r="AP253">
        <v>5.8245346242475203E-2</v>
      </c>
      <c r="AQ253">
        <v>0</v>
      </c>
      <c r="AR253">
        <v>1.6E-2</v>
      </c>
      <c r="AS253">
        <v>0</v>
      </c>
      <c r="AT253">
        <v>0</v>
      </c>
      <c r="AU253">
        <v>0</v>
      </c>
      <c r="AV253">
        <v>0</v>
      </c>
      <c r="AW253">
        <v>1</v>
      </c>
      <c r="AX253" t="s">
        <v>74</v>
      </c>
      <c r="AY253">
        <v>0</v>
      </c>
      <c r="AZ253" t="s">
        <v>76</v>
      </c>
      <c r="BA253">
        <v>-1.5707963267949001</v>
      </c>
      <c r="BB253">
        <v>0.99199999999999999</v>
      </c>
      <c r="BC253">
        <v>0</v>
      </c>
      <c r="BD253">
        <v>5.8245346242475203E-2</v>
      </c>
      <c r="BE253">
        <v>0</v>
      </c>
      <c r="BF253">
        <v>1.6E-2</v>
      </c>
      <c r="BG253">
        <v>0</v>
      </c>
      <c r="BH253">
        <v>0</v>
      </c>
      <c r="BI253">
        <v>0</v>
      </c>
      <c r="BJ253">
        <v>0</v>
      </c>
      <c r="BK253">
        <v>1</v>
      </c>
      <c r="BL253">
        <v>1.01849972839437E-4</v>
      </c>
      <c r="BM253">
        <v>3.1587015923740201E-4</v>
      </c>
      <c r="BN253" s="1">
        <v>3.7094609250965801E-7</v>
      </c>
      <c r="BO253" s="1">
        <v>4.9616768587422998E-6</v>
      </c>
      <c r="BP253">
        <v>0</v>
      </c>
      <c r="BQ253">
        <v>0</v>
      </c>
      <c r="BR253" s="1">
        <v>5.5096925822909699E-5</v>
      </c>
      <c r="BS253">
        <v>1.7440563090770201E-4</v>
      </c>
    </row>
    <row r="254" spans="1:71" x14ac:dyDescent="0.25">
      <c r="A254">
        <v>251</v>
      </c>
      <c r="B254" s="1">
        <v>9.6489663949836493E-6</v>
      </c>
      <c r="C254">
        <v>0.10664215168546599</v>
      </c>
      <c r="D254">
        <v>-3.12020332289775E-4</v>
      </c>
      <c r="E254">
        <v>6.1312499999999995E-4</v>
      </c>
      <c r="F254">
        <v>-1.0664215168546601E-3</v>
      </c>
      <c r="G254" s="1">
        <v>1.0842021724855E-19</v>
      </c>
      <c r="H254" t="s">
        <v>74</v>
      </c>
      <c r="I254">
        <v>0</v>
      </c>
      <c r="J254" t="s">
        <v>75</v>
      </c>
      <c r="K254">
        <v>3.14159265358979</v>
      </c>
      <c r="L254">
        <v>0.57163827708565595</v>
      </c>
      <c r="M254">
        <v>0</v>
      </c>
      <c r="N254">
        <v>3.3563779611195603E-2</v>
      </c>
      <c r="O254">
        <v>0</v>
      </c>
      <c r="P254">
        <v>1.6E-2</v>
      </c>
      <c r="Q254">
        <v>0</v>
      </c>
      <c r="R254">
        <v>0</v>
      </c>
      <c r="S254">
        <v>0</v>
      </c>
      <c r="T254">
        <v>0</v>
      </c>
      <c r="U254">
        <v>0.57624826318142397</v>
      </c>
      <c r="V254" t="s">
        <v>78</v>
      </c>
      <c r="W254">
        <v>2334769.0872987802</v>
      </c>
      <c r="X254" t="s">
        <v>76</v>
      </c>
      <c r="Y254">
        <v>-1.5707963267949001</v>
      </c>
      <c r="Z254">
        <v>0.56439184835925404</v>
      </c>
      <c r="AA254">
        <v>0.41765189470720399</v>
      </c>
      <c r="AB254">
        <v>3.01048642539328E-2</v>
      </c>
      <c r="AC254">
        <v>2.3431333982254901E-2</v>
      </c>
      <c r="AD254">
        <v>6.4188501447803303E-3</v>
      </c>
      <c r="AE254">
        <v>3.0070581992830199E-2</v>
      </c>
      <c r="AF254">
        <v>0</v>
      </c>
      <c r="AG254">
        <v>0.22071370322963199</v>
      </c>
      <c r="AH254">
        <v>0.41355063080471999</v>
      </c>
      <c r="AI254">
        <v>0.27405079273910499</v>
      </c>
      <c r="AJ254" t="s">
        <v>74</v>
      </c>
      <c r="AK254">
        <v>0</v>
      </c>
      <c r="AL254" t="s">
        <v>77</v>
      </c>
      <c r="AM254">
        <v>0</v>
      </c>
      <c r="AN254">
        <v>0.99199999999999999</v>
      </c>
      <c r="AO254">
        <v>0</v>
      </c>
      <c r="AP254">
        <v>5.8245346242475203E-2</v>
      </c>
      <c r="AQ254">
        <v>0</v>
      </c>
      <c r="AR254">
        <v>1.6E-2</v>
      </c>
      <c r="AS254">
        <v>0</v>
      </c>
      <c r="AT254">
        <v>0</v>
      </c>
      <c r="AU254">
        <v>0</v>
      </c>
      <c r="AV254">
        <v>0</v>
      </c>
      <c r="AW254">
        <v>1</v>
      </c>
      <c r="AX254" t="s">
        <v>74</v>
      </c>
      <c r="AY254">
        <v>0</v>
      </c>
      <c r="AZ254" t="s">
        <v>76</v>
      </c>
      <c r="BA254">
        <v>-1.5707963267949001</v>
      </c>
      <c r="BB254">
        <v>0.99199999999999999</v>
      </c>
      <c r="BC254">
        <v>0</v>
      </c>
      <c r="BD254">
        <v>5.8245346242475203E-2</v>
      </c>
      <c r="BE254">
        <v>0</v>
      </c>
      <c r="BF254">
        <v>1.6E-2</v>
      </c>
      <c r="BG254">
        <v>0</v>
      </c>
      <c r="BH254">
        <v>0</v>
      </c>
      <c r="BI254">
        <v>0</v>
      </c>
      <c r="BJ254">
        <v>0</v>
      </c>
      <c r="BK254">
        <v>1</v>
      </c>
      <c r="BL254">
        <v>1.0179533516616699E-4</v>
      </c>
      <c r="BM254">
        <v>3.1713216701717599E-4</v>
      </c>
      <c r="BN254" s="1">
        <v>3.7076276789393199E-7</v>
      </c>
      <c r="BO254" s="1">
        <v>4.9815004305908603E-6</v>
      </c>
      <c r="BP254">
        <v>0</v>
      </c>
      <c r="BQ254">
        <v>0</v>
      </c>
      <c r="BR254" s="1">
        <v>5.5062727362421103E-5</v>
      </c>
      <c r="BS254">
        <v>1.7510421107572901E-4</v>
      </c>
    </row>
    <row r="255" spans="1:71" x14ac:dyDescent="0.25">
      <c r="A255">
        <v>252</v>
      </c>
      <c r="B255" s="1">
        <v>9.7163060387945395E-6</v>
      </c>
      <c r="C255">
        <v>0.106651867991505</v>
      </c>
      <c r="D255">
        <v>-3.1207255037426899E-4</v>
      </c>
      <c r="E255">
        <v>6.1312499999999995E-4</v>
      </c>
      <c r="F255">
        <v>-1.0665186799150501E-3</v>
      </c>
      <c r="G255">
        <v>0</v>
      </c>
      <c r="H255" t="s">
        <v>74</v>
      </c>
      <c r="I255">
        <v>0</v>
      </c>
      <c r="J255" t="s">
        <v>75</v>
      </c>
      <c r="K255">
        <v>3.14159265358979</v>
      </c>
      <c r="L255">
        <v>0.56996570015560899</v>
      </c>
      <c r="M255">
        <v>0</v>
      </c>
      <c r="N255">
        <v>3.3465574145058699E-2</v>
      </c>
      <c r="O255">
        <v>0</v>
      </c>
      <c r="P255">
        <v>1.6E-2</v>
      </c>
      <c r="Q255">
        <v>0</v>
      </c>
      <c r="R255">
        <v>0</v>
      </c>
      <c r="S255">
        <v>0</v>
      </c>
      <c r="T255">
        <v>0</v>
      </c>
      <c r="U255">
        <v>0.57456219772761397</v>
      </c>
      <c r="V255" t="s">
        <v>78</v>
      </c>
      <c r="W255">
        <v>2335219.7040216499</v>
      </c>
      <c r="X255" t="s">
        <v>76</v>
      </c>
      <c r="Y255">
        <v>-1.5707963267949001</v>
      </c>
      <c r="Z255">
        <v>0.562725847711116</v>
      </c>
      <c r="AA255">
        <v>0.42020545122025799</v>
      </c>
      <c r="AB255">
        <v>3.0011485329666999E-2</v>
      </c>
      <c r="AC255">
        <v>2.3553555117861499E-2</v>
      </c>
      <c r="AD255">
        <v>6.3116552986518604E-3</v>
      </c>
      <c r="AE255">
        <v>3.0191598355247599E-2</v>
      </c>
      <c r="AF255">
        <v>0</v>
      </c>
      <c r="AG255">
        <v>0.21905674341522299</v>
      </c>
      <c r="AH255">
        <v>0.41773126448101799</v>
      </c>
      <c r="AI255">
        <v>0.27172977268829202</v>
      </c>
      <c r="AJ255" t="s">
        <v>74</v>
      </c>
      <c r="AK255">
        <v>0</v>
      </c>
      <c r="AL255" t="s">
        <v>77</v>
      </c>
      <c r="AM255">
        <v>0</v>
      </c>
      <c r="AN255">
        <v>0.99199999999999999</v>
      </c>
      <c r="AO255">
        <v>0</v>
      </c>
      <c r="AP255">
        <v>5.8245346242475203E-2</v>
      </c>
      <c r="AQ255">
        <v>0</v>
      </c>
      <c r="AR255">
        <v>1.6E-2</v>
      </c>
      <c r="AS255">
        <v>0</v>
      </c>
      <c r="AT255">
        <v>0</v>
      </c>
      <c r="AU255">
        <v>0</v>
      </c>
      <c r="AV255">
        <v>0</v>
      </c>
      <c r="AW255">
        <v>1</v>
      </c>
      <c r="AX255" t="s">
        <v>74</v>
      </c>
      <c r="AY255">
        <v>0</v>
      </c>
      <c r="AZ255" t="s">
        <v>76</v>
      </c>
      <c r="BA255">
        <v>-1.5707963267949001</v>
      </c>
      <c r="BB255">
        <v>0.99199999999999999</v>
      </c>
      <c r="BC255">
        <v>0</v>
      </c>
      <c r="BD255">
        <v>5.8245346242475203E-2</v>
      </c>
      <c r="BE255">
        <v>0</v>
      </c>
      <c r="BF255">
        <v>1.6E-2</v>
      </c>
      <c r="BG255">
        <v>0</v>
      </c>
      <c r="BH255">
        <v>0</v>
      </c>
      <c r="BI255">
        <v>0</v>
      </c>
      <c r="BJ255">
        <v>0</v>
      </c>
      <c r="BK255">
        <v>1</v>
      </c>
      <c r="BL255">
        <v>1.01760653538769E-4</v>
      </c>
      <c r="BM255">
        <v>3.1839400394812102E-4</v>
      </c>
      <c r="BN255" s="1">
        <v>3.7061956344584698E-7</v>
      </c>
      <c r="BO255" s="1">
        <v>5.0013213187522799E-6</v>
      </c>
      <c r="BP255">
        <v>0</v>
      </c>
      <c r="BQ255">
        <v>0</v>
      </c>
      <c r="BR255" s="1">
        <v>5.5039550087711601E-5</v>
      </c>
      <c r="BS255">
        <v>1.75802723387277E-4</v>
      </c>
    </row>
    <row r="256" spans="1:71" x14ac:dyDescent="0.25">
      <c r="A256">
        <v>253</v>
      </c>
      <c r="B256" s="1">
        <v>9.7860657342817797E-6</v>
      </c>
      <c r="C256">
        <v>0.106661654057239</v>
      </c>
      <c r="D256">
        <v>-3.12125140811386E-4</v>
      </c>
      <c r="E256">
        <v>6.1312499999999995E-4</v>
      </c>
      <c r="F256">
        <v>-1.0666165405723901E-3</v>
      </c>
      <c r="G256">
        <v>0</v>
      </c>
      <c r="H256" t="s">
        <v>74</v>
      </c>
      <c r="I256">
        <v>0</v>
      </c>
      <c r="J256" t="s">
        <v>75</v>
      </c>
      <c r="K256">
        <v>3.14159265358979</v>
      </c>
      <c r="L256">
        <v>0.56829335672373404</v>
      </c>
      <c r="M256">
        <v>0</v>
      </c>
      <c r="N256">
        <v>3.3367382388782597E-2</v>
      </c>
      <c r="O256">
        <v>0</v>
      </c>
      <c r="P256">
        <v>1.6E-2</v>
      </c>
      <c r="Q256">
        <v>0</v>
      </c>
      <c r="R256">
        <v>0</v>
      </c>
      <c r="S256">
        <v>0</v>
      </c>
      <c r="T256">
        <v>0</v>
      </c>
      <c r="U256">
        <v>0.57287636765503203</v>
      </c>
      <c r="V256" t="s">
        <v>78</v>
      </c>
      <c r="W256">
        <v>2335673.5339669199</v>
      </c>
      <c r="X256" t="s">
        <v>76</v>
      </c>
      <c r="Y256">
        <v>-1.5707963267949001</v>
      </c>
      <c r="Z256">
        <v>0.56106004407175702</v>
      </c>
      <c r="AA256">
        <v>0.42144704114041198</v>
      </c>
      <c r="AB256">
        <v>2.9918111228241801E-2</v>
      </c>
      <c r="AC256">
        <v>2.3634599818885601E-2</v>
      </c>
      <c r="AD256">
        <v>6.2045535882377803E-3</v>
      </c>
      <c r="AE256">
        <v>3.0312514576171699E-2</v>
      </c>
      <c r="AF256">
        <v>0</v>
      </c>
      <c r="AG256">
        <v>0.21736373211436399</v>
      </c>
      <c r="AH256">
        <v>0.42194759732918802</v>
      </c>
      <c r="AI256">
        <v>0.26941529205159898</v>
      </c>
      <c r="AJ256" t="s">
        <v>74</v>
      </c>
      <c r="AK256">
        <v>0</v>
      </c>
      <c r="AL256" t="s">
        <v>77</v>
      </c>
      <c r="AM256">
        <v>0</v>
      </c>
      <c r="AN256">
        <v>0.99199999999999999</v>
      </c>
      <c r="AO256">
        <v>0</v>
      </c>
      <c r="AP256">
        <v>5.8245346242475203E-2</v>
      </c>
      <c r="AQ256">
        <v>0</v>
      </c>
      <c r="AR256">
        <v>1.6E-2</v>
      </c>
      <c r="AS256">
        <v>0</v>
      </c>
      <c r="AT256">
        <v>0</v>
      </c>
      <c r="AU256">
        <v>0</v>
      </c>
      <c r="AV256">
        <v>0</v>
      </c>
      <c r="AW256">
        <v>1</v>
      </c>
      <c r="AX256" t="s">
        <v>74</v>
      </c>
      <c r="AY256">
        <v>0</v>
      </c>
      <c r="AZ256" t="s">
        <v>76</v>
      </c>
      <c r="BA256">
        <v>-1.5707963267949001</v>
      </c>
      <c r="BB256">
        <v>0.99199999999999999</v>
      </c>
      <c r="BC256">
        <v>0</v>
      </c>
      <c r="BD256">
        <v>5.8245346242475203E-2</v>
      </c>
      <c r="BE256">
        <v>0</v>
      </c>
      <c r="BF256">
        <v>1.6E-2</v>
      </c>
      <c r="BG256">
        <v>0</v>
      </c>
      <c r="BH256">
        <v>0</v>
      </c>
      <c r="BI256">
        <v>0</v>
      </c>
      <c r="BJ256">
        <v>0</v>
      </c>
      <c r="BK256">
        <v>1</v>
      </c>
      <c r="BL256">
        <v>1.0170539296043E-4</v>
      </c>
      <c r="BM256">
        <v>3.1965566472177601E-4</v>
      </c>
      <c r="BN256" s="1">
        <v>3.7043541324928202E-7</v>
      </c>
      <c r="BO256" s="1">
        <v>5.0211394398414702E-6</v>
      </c>
      <c r="BP256">
        <v>0</v>
      </c>
      <c r="BQ256">
        <v>0</v>
      </c>
      <c r="BR256" s="1">
        <v>5.50050126396574E-5</v>
      </c>
      <c r="BS256">
        <v>1.7650116550276901E-4</v>
      </c>
    </row>
    <row r="257" spans="1:71" x14ac:dyDescent="0.25">
      <c r="A257">
        <v>254</v>
      </c>
      <c r="B257" s="1">
        <v>9.8583486370516007E-6</v>
      </c>
      <c r="C257">
        <v>0.106671512405876</v>
      </c>
      <c r="D257">
        <v>-3.1217811710543302E-4</v>
      </c>
      <c r="E257">
        <v>6.1312499999999995E-4</v>
      </c>
      <c r="F257">
        <v>-1.06671512405876E-3</v>
      </c>
      <c r="G257" s="1">
        <v>1.0842021724855E-19</v>
      </c>
      <c r="H257" t="s">
        <v>74</v>
      </c>
      <c r="I257">
        <v>0</v>
      </c>
      <c r="J257" t="s">
        <v>75</v>
      </c>
      <c r="K257">
        <v>3.14159265358979</v>
      </c>
      <c r="L257">
        <v>0.56662125415842801</v>
      </c>
      <c r="M257">
        <v>0</v>
      </c>
      <c r="N257">
        <v>3.3269204775003197E-2</v>
      </c>
      <c r="O257">
        <v>0</v>
      </c>
      <c r="P257">
        <v>1.6E-2</v>
      </c>
      <c r="Q257">
        <v>0</v>
      </c>
      <c r="R257">
        <v>0</v>
      </c>
      <c r="S257">
        <v>0</v>
      </c>
      <c r="T257">
        <v>0</v>
      </c>
      <c r="U257">
        <v>0.57119078039149396</v>
      </c>
      <c r="V257" t="s">
        <v>78</v>
      </c>
      <c r="W257">
        <v>2336130.69367021</v>
      </c>
      <c r="X257" t="s">
        <v>76</v>
      </c>
      <c r="Y257">
        <v>-1.5707963267949001</v>
      </c>
      <c r="Z257">
        <v>0.55939444164073504</v>
      </c>
      <c r="AA257">
        <v>0.42266697393172697</v>
      </c>
      <c r="AB257">
        <v>2.98247412951737E-2</v>
      </c>
      <c r="AC257">
        <v>2.3715006580534399E-2</v>
      </c>
      <c r="AD257">
        <v>6.0975485891470397E-3</v>
      </c>
      <c r="AE257">
        <v>3.0433329271705001E-2</v>
      </c>
      <c r="AF257">
        <v>0</v>
      </c>
      <c r="AG257">
        <v>0.21563418705898901</v>
      </c>
      <c r="AH257">
        <v>0.42620010049946599</v>
      </c>
      <c r="AI257">
        <v>0.26710738811655199</v>
      </c>
      <c r="AJ257" t="s">
        <v>74</v>
      </c>
      <c r="AK257">
        <v>0</v>
      </c>
      <c r="AL257" t="s">
        <v>77</v>
      </c>
      <c r="AM257">
        <v>0</v>
      </c>
      <c r="AN257">
        <v>0.99199999999999999</v>
      </c>
      <c r="AO257">
        <v>0</v>
      </c>
      <c r="AP257">
        <v>5.8245346242475203E-2</v>
      </c>
      <c r="AQ257">
        <v>0</v>
      </c>
      <c r="AR257">
        <v>1.6E-2</v>
      </c>
      <c r="AS257">
        <v>0</v>
      </c>
      <c r="AT257">
        <v>0</v>
      </c>
      <c r="AU257">
        <v>0</v>
      </c>
      <c r="AV257">
        <v>0</v>
      </c>
      <c r="AW257">
        <v>1</v>
      </c>
      <c r="AX257" t="s">
        <v>74</v>
      </c>
      <c r="AY257">
        <v>0</v>
      </c>
      <c r="AZ257" t="s">
        <v>76</v>
      </c>
      <c r="BA257">
        <v>-1.5707963267949001</v>
      </c>
      <c r="BB257">
        <v>0.99199999999999999</v>
      </c>
      <c r="BC257">
        <v>0</v>
      </c>
      <c r="BD257">
        <v>5.8245346242475203E-2</v>
      </c>
      <c r="BE257">
        <v>0</v>
      </c>
      <c r="BF257">
        <v>1.6E-2</v>
      </c>
      <c r="BG257">
        <v>0</v>
      </c>
      <c r="BH257">
        <v>0</v>
      </c>
      <c r="BI257">
        <v>0</v>
      </c>
      <c r="BJ257">
        <v>0</v>
      </c>
      <c r="BK257">
        <v>1</v>
      </c>
      <c r="BL257">
        <v>1.01649822567831E-4</v>
      </c>
      <c r="BM257">
        <v>3.2091714377922799E-4</v>
      </c>
      <c r="BN257" s="1">
        <v>3.7025086113564298E-7</v>
      </c>
      <c r="BO257" s="1">
        <v>5.0409547065392096E-6</v>
      </c>
      <c r="BP257">
        <v>0</v>
      </c>
      <c r="BQ257">
        <v>0</v>
      </c>
      <c r="BR257" s="1">
        <v>5.4970306719199E-5</v>
      </c>
      <c r="BS257">
        <v>1.7719953497036299E-4</v>
      </c>
    </row>
    <row r="258" spans="1:71" x14ac:dyDescent="0.25">
      <c r="A258">
        <v>255</v>
      </c>
      <c r="B258" s="1">
        <v>9.9332643825504401E-6</v>
      </c>
      <c r="C258">
        <v>0.106681445670259</v>
      </c>
      <c r="D258">
        <v>-3.1223149334677798E-4</v>
      </c>
      <c r="E258">
        <v>6.1312499999999995E-4</v>
      </c>
      <c r="F258">
        <v>-1.06681445670258E-3</v>
      </c>
      <c r="G258" s="1">
        <v>1.0842021724855E-19</v>
      </c>
      <c r="H258" t="s">
        <v>74</v>
      </c>
      <c r="I258">
        <v>0</v>
      </c>
      <c r="J258" t="s">
        <v>75</v>
      </c>
      <c r="K258">
        <v>3.14159265358979</v>
      </c>
      <c r="L258">
        <v>0.56494940018113304</v>
      </c>
      <c r="M258">
        <v>0</v>
      </c>
      <c r="N258">
        <v>3.3171041757085497E-2</v>
      </c>
      <c r="O258">
        <v>0</v>
      </c>
      <c r="P258">
        <v>1.6E-2</v>
      </c>
      <c r="Q258">
        <v>0</v>
      </c>
      <c r="R258">
        <v>0</v>
      </c>
      <c r="S258">
        <v>0</v>
      </c>
      <c r="T258">
        <v>0</v>
      </c>
      <c r="U258">
        <v>0.56950544372071399</v>
      </c>
      <c r="V258" t="s">
        <v>78</v>
      </c>
      <c r="W258">
        <v>2336591.3047245401</v>
      </c>
      <c r="X258" t="s">
        <v>76</v>
      </c>
      <c r="Y258">
        <v>-1.5707963267949001</v>
      </c>
      <c r="Z258">
        <v>0.55772904483137697</v>
      </c>
      <c r="AA258">
        <v>0.42447786584622899</v>
      </c>
      <c r="AB258">
        <v>2.9731374850667801E-2</v>
      </c>
      <c r="AC258">
        <v>2.3814021931909402E-2</v>
      </c>
      <c r="AD258">
        <v>5.9906439689375998E-3</v>
      </c>
      <c r="AE258">
        <v>3.05540410421128E-2</v>
      </c>
      <c r="AF258">
        <v>0</v>
      </c>
      <c r="AG258">
        <v>0.213867612014908</v>
      </c>
      <c r="AH258">
        <v>0.43048925857551201</v>
      </c>
      <c r="AI258">
        <v>0.264806098773406</v>
      </c>
      <c r="AJ258" t="s">
        <v>74</v>
      </c>
      <c r="AK258">
        <v>0</v>
      </c>
      <c r="AL258" t="s">
        <v>77</v>
      </c>
      <c r="AM258">
        <v>0</v>
      </c>
      <c r="AN258">
        <v>0.99199999999999999</v>
      </c>
      <c r="AO258">
        <v>0</v>
      </c>
      <c r="AP258">
        <v>5.8245346242475203E-2</v>
      </c>
      <c r="AQ258">
        <v>0</v>
      </c>
      <c r="AR258">
        <v>1.6E-2</v>
      </c>
      <c r="AS258">
        <v>0</v>
      </c>
      <c r="AT258">
        <v>0</v>
      </c>
      <c r="AU258">
        <v>0</v>
      </c>
      <c r="AV258">
        <v>0</v>
      </c>
      <c r="AW258">
        <v>1</v>
      </c>
      <c r="AX258" t="s">
        <v>74</v>
      </c>
      <c r="AY258">
        <v>0</v>
      </c>
      <c r="AZ258" t="s">
        <v>76</v>
      </c>
      <c r="BA258">
        <v>-1.5707963267949001</v>
      </c>
      <c r="BB258">
        <v>0.99199999999999999</v>
      </c>
      <c r="BC258">
        <v>0</v>
      </c>
      <c r="BD258">
        <v>5.8245346242475203E-2</v>
      </c>
      <c r="BE258">
        <v>0</v>
      </c>
      <c r="BF258">
        <v>1.6E-2</v>
      </c>
      <c r="BG258">
        <v>0</v>
      </c>
      <c r="BH258">
        <v>0</v>
      </c>
      <c r="BI258">
        <v>0</v>
      </c>
      <c r="BJ258">
        <v>0</v>
      </c>
      <c r="BK258">
        <v>1</v>
      </c>
      <c r="BL258">
        <v>1.01603565512307E-4</v>
      </c>
      <c r="BM258">
        <v>3.2217843529520998E-4</v>
      </c>
      <c r="BN258" s="1">
        <v>3.7008515770099399E-7</v>
      </c>
      <c r="BO258" s="1">
        <v>5.0607670273424298E-6</v>
      </c>
      <c r="BP258">
        <v>0</v>
      </c>
      <c r="BQ258">
        <v>0</v>
      </c>
      <c r="BR258" s="1">
        <v>5.4940746081122202E-5</v>
      </c>
      <c r="BS258">
        <v>1.7789782921874599E-4</v>
      </c>
    </row>
    <row r="259" spans="1:71" x14ac:dyDescent="0.25">
      <c r="A259">
        <v>256</v>
      </c>
      <c r="B259" s="1">
        <v>1.00109295961154E-5</v>
      </c>
      <c r="C259">
        <v>0.106691456599855</v>
      </c>
      <c r="D259">
        <v>-3.1228528424920798E-4</v>
      </c>
      <c r="E259">
        <v>6.1312499999999995E-4</v>
      </c>
      <c r="F259">
        <v>-1.0669145659985501E-3</v>
      </c>
      <c r="G259">
        <v>0</v>
      </c>
      <c r="H259" t="s">
        <v>74</v>
      </c>
      <c r="I259">
        <v>0</v>
      </c>
      <c r="J259" t="s">
        <v>75</v>
      </c>
      <c r="K259">
        <v>3.14159265358979</v>
      </c>
      <c r="L259">
        <v>0.56327780288908702</v>
      </c>
      <c r="M259">
        <v>0</v>
      </c>
      <c r="N259">
        <v>3.3072893810459199E-2</v>
      </c>
      <c r="O259">
        <v>0</v>
      </c>
      <c r="P259">
        <v>1.6E-2</v>
      </c>
      <c r="Q259">
        <v>0</v>
      </c>
      <c r="R259">
        <v>0</v>
      </c>
      <c r="S259">
        <v>0</v>
      </c>
      <c r="T259">
        <v>0</v>
      </c>
      <c r="U259">
        <v>0.56782036580522899</v>
      </c>
      <c r="V259" t="s">
        <v>78</v>
      </c>
      <c r="W259">
        <v>2337055.49410277</v>
      </c>
      <c r="X259" t="s">
        <v>76</v>
      </c>
      <c r="Y259">
        <v>-1.5707963267949001</v>
      </c>
      <c r="Z259">
        <v>0.55606385828424099</v>
      </c>
      <c r="AA259">
        <v>0.42625631609197401</v>
      </c>
      <c r="AB259">
        <v>2.9638011187873101E-2</v>
      </c>
      <c r="AC259">
        <v>2.3912063144833299E-2</v>
      </c>
      <c r="AD259">
        <v>5.8838434930336796E-3</v>
      </c>
      <c r="AE259">
        <v>3.0674648471094901E-2</v>
      </c>
      <c r="AF259">
        <v>0</v>
      </c>
      <c r="AG259">
        <v>0.21206349619684201</v>
      </c>
      <c r="AH259">
        <v>0.434815570125061</v>
      </c>
      <c r="AI259">
        <v>0.26251146254115398</v>
      </c>
      <c r="AJ259" t="s">
        <v>74</v>
      </c>
      <c r="AK259">
        <v>0</v>
      </c>
      <c r="AL259" t="s">
        <v>77</v>
      </c>
      <c r="AM259">
        <v>0</v>
      </c>
      <c r="AN259">
        <v>0.99199999999999999</v>
      </c>
      <c r="AO259">
        <v>0</v>
      </c>
      <c r="AP259">
        <v>5.8245346242475203E-2</v>
      </c>
      <c r="AQ259">
        <v>0</v>
      </c>
      <c r="AR259">
        <v>1.6E-2</v>
      </c>
      <c r="AS259">
        <v>0</v>
      </c>
      <c r="AT259">
        <v>0</v>
      </c>
      <c r="AU259">
        <v>0</v>
      </c>
      <c r="AV259">
        <v>0</v>
      </c>
      <c r="AW259">
        <v>1</v>
      </c>
      <c r="AX259" t="s">
        <v>74</v>
      </c>
      <c r="AY259">
        <v>0</v>
      </c>
      <c r="AZ259" t="s">
        <v>76</v>
      </c>
      <c r="BA259">
        <v>-1.5707963267949001</v>
      </c>
      <c r="BB259">
        <v>0.99199999999999999</v>
      </c>
      <c r="BC259">
        <v>0</v>
      </c>
      <c r="BD259">
        <v>5.8245346242475203E-2</v>
      </c>
      <c r="BE259">
        <v>0</v>
      </c>
      <c r="BF259">
        <v>1.6E-2</v>
      </c>
      <c r="BG259">
        <v>0</v>
      </c>
      <c r="BH259">
        <v>0</v>
      </c>
      <c r="BI259">
        <v>0</v>
      </c>
      <c r="BJ259">
        <v>0</v>
      </c>
      <c r="BK259">
        <v>1</v>
      </c>
      <c r="BL259">
        <v>1.01556830314058E-4</v>
      </c>
      <c r="BM259">
        <v>3.2343953316095198E-4</v>
      </c>
      <c r="BN259" s="1">
        <v>3.69918725697966E-7</v>
      </c>
      <c r="BO259" s="1">
        <v>5.0805763062947898E-6</v>
      </c>
      <c r="BP259">
        <v>0</v>
      </c>
      <c r="BQ259">
        <v>0</v>
      </c>
      <c r="BR259" s="1">
        <v>5.4910924385556599E-5</v>
      </c>
      <c r="BS259">
        <v>1.7859604554935299E-4</v>
      </c>
    </row>
    <row r="260" spans="1:71" x14ac:dyDescent="0.25">
      <c r="A260">
        <v>257</v>
      </c>
      <c r="B260" s="1">
        <v>1.0091468452414199E-5</v>
      </c>
      <c r="C260">
        <v>0.10670154806830701</v>
      </c>
      <c r="D260">
        <v>-3.1233950519028698E-4</v>
      </c>
      <c r="E260">
        <v>6.1312499999999995E-4</v>
      </c>
      <c r="F260">
        <v>-1.0670154806830701E-3</v>
      </c>
      <c r="G260">
        <v>0</v>
      </c>
      <c r="H260" t="s">
        <v>74</v>
      </c>
      <c r="I260">
        <v>0</v>
      </c>
      <c r="J260" t="s">
        <v>75</v>
      </c>
      <c r="K260">
        <v>3.14159265358979</v>
      </c>
      <c r="L260">
        <v>0.56160647077991799</v>
      </c>
      <c r="M260">
        <v>0</v>
      </c>
      <c r="N260">
        <v>3.2974761434063402E-2</v>
      </c>
      <c r="O260">
        <v>0</v>
      </c>
      <c r="P260">
        <v>1.6E-2</v>
      </c>
      <c r="Q260">
        <v>0</v>
      </c>
      <c r="R260">
        <v>0</v>
      </c>
      <c r="S260">
        <v>0</v>
      </c>
      <c r="T260">
        <v>0</v>
      </c>
      <c r="U260">
        <v>0.56613555521119696</v>
      </c>
      <c r="V260" t="s">
        <v>78</v>
      </c>
      <c r="W260">
        <v>2337523.39450579</v>
      </c>
      <c r="X260" t="s">
        <v>76</v>
      </c>
      <c r="Y260">
        <v>-1.5707963267949001</v>
      </c>
      <c r="Z260">
        <v>0.55439888688167405</v>
      </c>
      <c r="AA260">
        <v>0.42800235935465503</v>
      </c>
      <c r="AB260">
        <v>2.9544649570998501E-2</v>
      </c>
      <c r="AC260">
        <v>2.40091331196726E-2</v>
      </c>
      <c r="AD260">
        <v>5.7771510311118704E-3</v>
      </c>
      <c r="AE260">
        <v>3.07951501249948E-2</v>
      </c>
      <c r="AF260">
        <v>0</v>
      </c>
      <c r="AG260">
        <v>0.210221313653328</v>
      </c>
      <c r="AH260">
        <v>0.43917954827789701</v>
      </c>
      <c r="AI260">
        <v>0.26022351859548598</v>
      </c>
      <c r="AJ260" t="s">
        <v>74</v>
      </c>
      <c r="AK260">
        <v>0</v>
      </c>
      <c r="AL260" t="s">
        <v>77</v>
      </c>
      <c r="AM260">
        <v>0</v>
      </c>
      <c r="AN260">
        <v>0.99199999999999999</v>
      </c>
      <c r="AO260">
        <v>0</v>
      </c>
      <c r="AP260">
        <v>5.8245346242475203E-2</v>
      </c>
      <c r="AQ260">
        <v>0</v>
      </c>
      <c r="AR260">
        <v>1.6E-2</v>
      </c>
      <c r="AS260">
        <v>0</v>
      </c>
      <c r="AT260">
        <v>0</v>
      </c>
      <c r="AU260">
        <v>0</v>
      </c>
      <c r="AV260">
        <v>0</v>
      </c>
      <c r="AW260">
        <v>1</v>
      </c>
      <c r="AX260" t="s">
        <v>74</v>
      </c>
      <c r="AY260">
        <v>0</v>
      </c>
      <c r="AZ260" t="s">
        <v>76</v>
      </c>
      <c r="BA260">
        <v>-1.5707963267949001</v>
      </c>
      <c r="BB260">
        <v>0.99199999999999999</v>
      </c>
      <c r="BC260">
        <v>0</v>
      </c>
      <c r="BD260">
        <v>5.8245346242475203E-2</v>
      </c>
      <c r="BE260">
        <v>0</v>
      </c>
      <c r="BF260">
        <v>1.6E-2</v>
      </c>
      <c r="BG260">
        <v>0</v>
      </c>
      <c r="BH260">
        <v>0</v>
      </c>
      <c r="BI260">
        <v>0</v>
      </c>
      <c r="BJ260">
        <v>0</v>
      </c>
      <c r="BK260">
        <v>1</v>
      </c>
      <c r="BL260">
        <v>1.01509618304842E-4</v>
      </c>
      <c r="BM260">
        <v>3.2470043096561202E-4</v>
      </c>
      <c r="BN260" s="1">
        <v>3.6975157354963002E-7</v>
      </c>
      <c r="BO260" s="1">
        <v>5.1003824426950396E-6</v>
      </c>
      <c r="BP260">
        <v>0</v>
      </c>
      <c r="BQ260">
        <v>0</v>
      </c>
      <c r="BR260" s="1">
        <v>5.4880842500347302E-5</v>
      </c>
      <c r="BS260">
        <v>1.7929418112794799E-4</v>
      </c>
    </row>
    <row r="261" spans="1:71" x14ac:dyDescent="0.25">
      <c r="A261">
        <v>258</v>
      </c>
      <c r="B261" s="1">
        <v>1.0175013289671399E-5</v>
      </c>
      <c r="C261">
        <v>0.106711723081597</v>
      </c>
      <c r="D261">
        <v>-3.1239417225498601E-4</v>
      </c>
      <c r="E261">
        <v>6.1312499999999995E-4</v>
      </c>
      <c r="F261">
        <v>-1.0671172308159701E-3</v>
      </c>
      <c r="G261" s="1">
        <v>1.0842021724855E-19</v>
      </c>
      <c r="H261" t="s">
        <v>74</v>
      </c>
      <c r="I261">
        <v>0</v>
      </c>
      <c r="J261" t="s">
        <v>75</v>
      </c>
      <c r="K261">
        <v>3.14159265358979</v>
      </c>
      <c r="L261">
        <v>0.55993541277826198</v>
      </c>
      <c r="M261">
        <v>0</v>
      </c>
      <c r="N261">
        <v>3.2876645151908399E-2</v>
      </c>
      <c r="O261">
        <v>0</v>
      </c>
      <c r="P261">
        <v>1.6E-2</v>
      </c>
      <c r="Q261">
        <v>0</v>
      </c>
      <c r="R261">
        <v>0</v>
      </c>
      <c r="S261">
        <v>0</v>
      </c>
      <c r="T261">
        <v>0</v>
      </c>
      <c r="U261">
        <v>0.56445102093522703</v>
      </c>
      <c r="V261" t="s">
        <v>78</v>
      </c>
      <c r="W261">
        <v>2337995.1447391198</v>
      </c>
      <c r="X261" t="s">
        <v>76</v>
      </c>
      <c r="Y261">
        <v>-1.5707963267949001</v>
      </c>
      <c r="Z261">
        <v>0.55273413576356101</v>
      </c>
      <c r="AA261">
        <v>0.42971603163766597</v>
      </c>
      <c r="AB261">
        <v>2.9451289233272799E-2</v>
      </c>
      <c r="AC261">
        <v>2.41052339092779E-2</v>
      </c>
      <c r="AD261">
        <v>5.6705705640018103E-3</v>
      </c>
      <c r="AE261">
        <v>3.0915544551940601E-2</v>
      </c>
      <c r="AF261">
        <v>0</v>
      </c>
      <c r="AG261">
        <v>0.20834052261979399</v>
      </c>
      <c r="AH261">
        <v>0.44358172133262203</v>
      </c>
      <c r="AI261">
        <v>0.25794230679883201</v>
      </c>
      <c r="AJ261" t="s">
        <v>74</v>
      </c>
      <c r="AK261">
        <v>0</v>
      </c>
      <c r="AL261" t="s">
        <v>77</v>
      </c>
      <c r="AM261">
        <v>0</v>
      </c>
      <c r="AN261">
        <v>0.99199999999999999</v>
      </c>
      <c r="AO261">
        <v>0</v>
      </c>
      <c r="AP261">
        <v>5.8245346242475203E-2</v>
      </c>
      <c r="AQ261">
        <v>0</v>
      </c>
      <c r="AR261">
        <v>1.6E-2</v>
      </c>
      <c r="AS261">
        <v>0</v>
      </c>
      <c r="AT261">
        <v>0</v>
      </c>
      <c r="AU261">
        <v>0</v>
      </c>
      <c r="AV261">
        <v>0</v>
      </c>
      <c r="AW261">
        <v>1</v>
      </c>
      <c r="AX261" t="s">
        <v>74</v>
      </c>
      <c r="AY261">
        <v>0</v>
      </c>
      <c r="AZ261" t="s">
        <v>76</v>
      </c>
      <c r="BA261">
        <v>-1.5707963267949001</v>
      </c>
      <c r="BB261">
        <v>0.99199999999999999</v>
      </c>
      <c r="BC261">
        <v>0</v>
      </c>
      <c r="BD261">
        <v>5.8245346242475203E-2</v>
      </c>
      <c r="BE261">
        <v>0</v>
      </c>
      <c r="BF261">
        <v>1.6E-2</v>
      </c>
      <c r="BG261">
        <v>0</v>
      </c>
      <c r="BH261">
        <v>0</v>
      </c>
      <c r="BI261">
        <v>0</v>
      </c>
      <c r="BJ261">
        <v>0</v>
      </c>
      <c r="BK261">
        <v>1</v>
      </c>
      <c r="BL261">
        <v>1.01461930389705E-4</v>
      </c>
      <c r="BM261">
        <v>3.2596112197620799E-4</v>
      </c>
      <c r="BN261" s="1">
        <v>3.6958370824235302E-7</v>
      </c>
      <c r="BO261" s="1">
        <v>5.1201853307817001E-6</v>
      </c>
      <c r="BP261">
        <v>0</v>
      </c>
      <c r="BQ261">
        <v>0</v>
      </c>
      <c r="BR261" s="1">
        <v>5.4850501064133298E-5</v>
      </c>
      <c r="BS261">
        <v>1.79992232975511E-4</v>
      </c>
    </row>
    <row r="262" spans="1:71" x14ac:dyDescent="0.25">
      <c r="A262">
        <v>259</v>
      </c>
      <c r="B262" s="1">
        <v>1.02617052853661E-5</v>
      </c>
      <c r="C262">
        <v>0.106721984786882</v>
      </c>
      <c r="D262">
        <v>-3.1244930228293199E-4</v>
      </c>
      <c r="E262">
        <v>6.1312499999999995E-4</v>
      </c>
      <c r="F262">
        <v>-1.06721984786882E-3</v>
      </c>
      <c r="G262">
        <v>0</v>
      </c>
      <c r="H262" t="s">
        <v>74</v>
      </c>
      <c r="I262">
        <v>0</v>
      </c>
      <c r="J262" t="s">
        <v>75</v>
      </c>
      <c r="K262">
        <v>3.14159265358979</v>
      </c>
      <c r="L262">
        <v>0.55826463826462103</v>
      </c>
      <c r="M262">
        <v>0</v>
      </c>
      <c r="N262">
        <v>3.2778545514771197E-2</v>
      </c>
      <c r="O262">
        <v>0</v>
      </c>
      <c r="P262">
        <v>1.6E-2</v>
      </c>
      <c r="Q262">
        <v>0</v>
      </c>
      <c r="R262">
        <v>0</v>
      </c>
      <c r="S262">
        <v>0</v>
      </c>
      <c r="T262">
        <v>0</v>
      </c>
      <c r="U262">
        <v>0.56276677243346795</v>
      </c>
      <c r="V262" t="s">
        <v>78</v>
      </c>
      <c r="W262">
        <v>2338470.8901205398</v>
      </c>
      <c r="X262" t="s">
        <v>76</v>
      </c>
      <c r="Y262">
        <v>-1.5707963267949001</v>
      </c>
      <c r="Z262">
        <v>0.55106961034439295</v>
      </c>
      <c r="AA262">
        <v>0.430828029127099</v>
      </c>
      <c r="AB262">
        <v>2.9357929374734502E-2</v>
      </c>
      <c r="AC262">
        <v>2.4182483787608001E-2</v>
      </c>
      <c r="AD262">
        <v>5.56410619115479E-3</v>
      </c>
      <c r="AE262">
        <v>3.1035830280908599E-2</v>
      </c>
      <c r="AF262">
        <v>0</v>
      </c>
      <c r="AG262">
        <v>0.20642056483806001</v>
      </c>
      <c r="AH262">
        <v>0.44802263339361198</v>
      </c>
      <c r="AI262">
        <v>0.25566786773273698</v>
      </c>
      <c r="AJ262" t="s">
        <v>74</v>
      </c>
      <c r="AK262">
        <v>0</v>
      </c>
      <c r="AL262" t="s">
        <v>77</v>
      </c>
      <c r="AM262">
        <v>0</v>
      </c>
      <c r="AN262">
        <v>0.99199999999999999</v>
      </c>
      <c r="AO262">
        <v>0</v>
      </c>
      <c r="AP262">
        <v>5.8245346242475203E-2</v>
      </c>
      <c r="AQ262">
        <v>0</v>
      </c>
      <c r="AR262">
        <v>1.6E-2</v>
      </c>
      <c r="AS262">
        <v>0</v>
      </c>
      <c r="AT262">
        <v>0</v>
      </c>
      <c r="AU262">
        <v>0</v>
      </c>
      <c r="AV262">
        <v>0</v>
      </c>
      <c r="AW262">
        <v>1</v>
      </c>
      <c r="AX262" t="s">
        <v>74</v>
      </c>
      <c r="AY262">
        <v>0</v>
      </c>
      <c r="AZ262" t="s">
        <v>76</v>
      </c>
      <c r="BA262">
        <v>-1.5707963267949001</v>
      </c>
      <c r="BB262">
        <v>0.99199999999999999</v>
      </c>
      <c r="BC262">
        <v>0</v>
      </c>
      <c r="BD262">
        <v>5.8245346242475203E-2</v>
      </c>
      <c r="BE262">
        <v>0</v>
      </c>
      <c r="BF262">
        <v>1.6E-2</v>
      </c>
      <c r="BG262">
        <v>0</v>
      </c>
      <c r="BH262">
        <v>0</v>
      </c>
      <c r="BI262">
        <v>0</v>
      </c>
      <c r="BJ262">
        <v>0</v>
      </c>
      <c r="BK262">
        <v>1</v>
      </c>
      <c r="BL262">
        <v>1.01404825581032E-4</v>
      </c>
      <c r="BM262">
        <v>3.2722159911583598E-4</v>
      </c>
      <c r="BN262" s="1">
        <v>3.6939725551256098E-7</v>
      </c>
      <c r="BO262" s="1">
        <v>5.1399848593910702E-6</v>
      </c>
      <c r="BP262">
        <v>0</v>
      </c>
      <c r="BQ262">
        <v>0</v>
      </c>
      <c r="BR262" s="1">
        <v>5.4814963052149903E-5</v>
      </c>
      <c r="BS262">
        <v>1.8069019795835E-4</v>
      </c>
    </row>
    <row r="263" spans="1:71" x14ac:dyDescent="0.25">
      <c r="A263">
        <v>260</v>
      </c>
      <c r="B263" s="1">
        <v>1.03516952003538E-5</v>
      </c>
      <c r="C263">
        <v>0.106732336482082</v>
      </c>
      <c r="D263">
        <v>-3.12504912919623E-4</v>
      </c>
      <c r="E263">
        <v>6.1312499999999995E-4</v>
      </c>
      <c r="F263">
        <v>-1.0673233648208201E-3</v>
      </c>
      <c r="G263" s="1">
        <v>1.0842021724855E-19</v>
      </c>
      <c r="H263" t="s">
        <v>74</v>
      </c>
      <c r="I263">
        <v>0</v>
      </c>
      <c r="J263" t="s">
        <v>75</v>
      </c>
      <c r="K263">
        <v>3.14159265358979</v>
      </c>
      <c r="L263">
        <v>0.55659415710666305</v>
      </c>
      <c r="M263">
        <v>0</v>
      </c>
      <c r="N263">
        <v>3.26804631020325E-2</v>
      </c>
      <c r="O263">
        <v>0</v>
      </c>
      <c r="P263">
        <v>1.6E-2</v>
      </c>
      <c r="Q263">
        <v>0</v>
      </c>
      <c r="R263">
        <v>0</v>
      </c>
      <c r="S263">
        <v>0</v>
      </c>
      <c r="T263">
        <v>0</v>
      </c>
      <c r="U263">
        <v>0.56108281965316797</v>
      </c>
      <c r="V263" t="s">
        <v>78</v>
      </c>
      <c r="W263">
        <v>2338950.7829221599</v>
      </c>
      <c r="X263" t="s">
        <v>76</v>
      </c>
      <c r="Y263">
        <v>-1.5707963267949001</v>
      </c>
      <c r="Z263">
        <v>0.54940531633177503</v>
      </c>
      <c r="AA263">
        <v>0.43303562983084598</v>
      </c>
      <c r="AB263">
        <v>2.9264569159833598E-2</v>
      </c>
      <c r="AC263">
        <v>2.4294205110106999E-2</v>
      </c>
      <c r="AD263">
        <v>5.4577621387376296E-3</v>
      </c>
      <c r="AE263">
        <v>3.1156005820701101E-2</v>
      </c>
      <c r="AF263">
        <v>0</v>
      </c>
      <c r="AG263">
        <v>0.20446086484043199</v>
      </c>
      <c r="AH263">
        <v>0.45250284503969201</v>
      </c>
      <c r="AI263">
        <v>0.25340024273276601</v>
      </c>
      <c r="AJ263" t="s">
        <v>74</v>
      </c>
      <c r="AK263">
        <v>0</v>
      </c>
      <c r="AL263" t="s">
        <v>77</v>
      </c>
      <c r="AM263">
        <v>0</v>
      </c>
      <c r="AN263">
        <v>0.99199999999999999</v>
      </c>
      <c r="AO263">
        <v>0</v>
      </c>
      <c r="AP263">
        <v>5.8245346242475203E-2</v>
      </c>
      <c r="AQ263">
        <v>0</v>
      </c>
      <c r="AR263">
        <v>1.6E-2</v>
      </c>
      <c r="AS263">
        <v>0</v>
      </c>
      <c r="AT263">
        <v>0</v>
      </c>
      <c r="AU263">
        <v>0</v>
      </c>
      <c r="AV263">
        <v>0</v>
      </c>
      <c r="AW263">
        <v>1</v>
      </c>
      <c r="AX263" t="s">
        <v>74</v>
      </c>
      <c r="AY263">
        <v>0</v>
      </c>
      <c r="AZ263" t="s">
        <v>76</v>
      </c>
      <c r="BA263">
        <v>-1.5707963267949001</v>
      </c>
      <c r="BB263">
        <v>0.99199999999999999</v>
      </c>
      <c r="BC263">
        <v>0</v>
      </c>
      <c r="BD263">
        <v>5.8245346242475203E-2</v>
      </c>
      <c r="BE263">
        <v>0</v>
      </c>
      <c r="BF263">
        <v>1.6E-2</v>
      </c>
      <c r="BG263">
        <v>0</v>
      </c>
      <c r="BH263">
        <v>0</v>
      </c>
      <c r="BI263">
        <v>0</v>
      </c>
      <c r="BJ263">
        <v>0</v>
      </c>
      <c r="BK263">
        <v>1</v>
      </c>
      <c r="BL263">
        <v>1.01364964928462E-4</v>
      </c>
      <c r="BM263">
        <v>3.2848185494006198E-4</v>
      </c>
      <c r="BN263" s="1">
        <v>3.6924554299975402E-7</v>
      </c>
      <c r="BO263" s="1">
        <v>5.1597809115862298E-6</v>
      </c>
      <c r="BP263">
        <v>0</v>
      </c>
      <c r="BQ263">
        <v>0</v>
      </c>
      <c r="BR263" s="1">
        <v>5.4788950720211098E-5</v>
      </c>
      <c r="BS263">
        <v>1.8138807277738299E-4</v>
      </c>
    </row>
    <row r="264" spans="1:71" x14ac:dyDescent="0.25">
      <c r="A264">
        <v>261</v>
      </c>
      <c r="B264" s="1">
        <v>1.0445144199888899E-5</v>
      </c>
      <c r="C264">
        <v>0.10674278162628199</v>
      </c>
      <c r="D264">
        <v>-3.1256102267204099E-4</v>
      </c>
      <c r="E264">
        <v>6.1312499999999995E-4</v>
      </c>
      <c r="F264">
        <v>-1.0674278162628201E-3</v>
      </c>
      <c r="G264">
        <v>0</v>
      </c>
      <c r="H264" t="s">
        <v>74</v>
      </c>
      <c r="I264">
        <v>0</v>
      </c>
      <c r="J264" t="s">
        <v>75</v>
      </c>
      <c r="K264">
        <v>3.14159265358979</v>
      </c>
      <c r="L264">
        <v>0.55492397969323803</v>
      </c>
      <c r="M264">
        <v>0</v>
      </c>
      <c r="N264">
        <v>3.2582398523674297E-2</v>
      </c>
      <c r="O264">
        <v>0</v>
      </c>
      <c r="P264">
        <v>1.6E-2</v>
      </c>
      <c r="Q264">
        <v>0</v>
      </c>
      <c r="R264">
        <v>0</v>
      </c>
      <c r="S264">
        <v>0</v>
      </c>
      <c r="T264">
        <v>0</v>
      </c>
      <c r="U264">
        <v>0.55939917306695897</v>
      </c>
      <c r="V264" t="s">
        <v>78</v>
      </c>
      <c r="W264">
        <v>2339434.9828502201</v>
      </c>
      <c r="X264" t="s">
        <v>76</v>
      </c>
      <c r="Y264">
        <v>-1.5707963267949001</v>
      </c>
      <c r="Z264">
        <v>0.54774125974652899</v>
      </c>
      <c r="AA264">
        <v>0.43465241904357699</v>
      </c>
      <c r="AB264">
        <v>2.91712077148241E-2</v>
      </c>
      <c r="AC264">
        <v>2.43874198091317E-2</v>
      </c>
      <c r="AD264">
        <v>5.3515427684178198E-3</v>
      </c>
      <c r="AE264">
        <v>3.1276069658829099E-2</v>
      </c>
      <c r="AF264">
        <v>0</v>
      </c>
      <c r="AG264">
        <v>0.202460829196485</v>
      </c>
      <c r="AH264">
        <v>0.457022934026033</v>
      </c>
      <c r="AI264">
        <v>0.25113947392622898</v>
      </c>
      <c r="AJ264" t="s">
        <v>74</v>
      </c>
      <c r="AK264">
        <v>0</v>
      </c>
      <c r="AL264" t="s">
        <v>77</v>
      </c>
      <c r="AM264">
        <v>0</v>
      </c>
      <c r="AN264">
        <v>0.99199999999999999</v>
      </c>
      <c r="AO264">
        <v>0</v>
      </c>
      <c r="AP264">
        <v>5.8245346242475203E-2</v>
      </c>
      <c r="AQ264">
        <v>0</v>
      </c>
      <c r="AR264">
        <v>1.6E-2</v>
      </c>
      <c r="AS264">
        <v>0</v>
      </c>
      <c r="AT264">
        <v>0</v>
      </c>
      <c r="AU264">
        <v>0</v>
      </c>
      <c r="AV264">
        <v>0</v>
      </c>
      <c r="AW264">
        <v>1</v>
      </c>
      <c r="AX264" t="s">
        <v>74</v>
      </c>
      <c r="AY264">
        <v>0</v>
      </c>
      <c r="AZ264" t="s">
        <v>76</v>
      </c>
      <c r="BA264">
        <v>-1.5707963267949001</v>
      </c>
      <c r="BB264">
        <v>0.99199999999999999</v>
      </c>
      <c r="BC264">
        <v>0</v>
      </c>
      <c r="BD264">
        <v>5.8245346242475203E-2</v>
      </c>
      <c r="BE264">
        <v>0</v>
      </c>
      <c r="BF264">
        <v>1.6E-2</v>
      </c>
      <c r="BG264">
        <v>0</v>
      </c>
      <c r="BH264">
        <v>0</v>
      </c>
      <c r="BI264">
        <v>0</v>
      </c>
      <c r="BJ264">
        <v>0</v>
      </c>
      <c r="BK264">
        <v>1</v>
      </c>
      <c r="BL264">
        <v>1.0131585926629E-4</v>
      </c>
      <c r="BM264">
        <v>3.2974188161125903E-4</v>
      </c>
      <c r="BN264" s="1">
        <v>3.6907559945342001E-7</v>
      </c>
      <c r="BO264" s="1">
        <v>5.1795733642540301E-6</v>
      </c>
      <c r="BP264">
        <v>0</v>
      </c>
      <c r="BQ264">
        <v>0</v>
      </c>
      <c r="BR264" s="1">
        <v>5.4757837039940897E-5</v>
      </c>
      <c r="BS264">
        <v>1.82085853956476E-4</v>
      </c>
    </row>
    <row r="265" spans="1:71" x14ac:dyDescent="0.25">
      <c r="A265">
        <v>262</v>
      </c>
      <c r="B265" s="1">
        <v>1.05422247608309E-5</v>
      </c>
      <c r="C265">
        <v>0.106753323851043</v>
      </c>
      <c r="D265">
        <v>-3.1261765096910398E-4</v>
      </c>
      <c r="E265">
        <v>6.1312499999999995E-4</v>
      </c>
      <c r="F265">
        <v>-1.06753323851043E-3</v>
      </c>
      <c r="G265">
        <v>0</v>
      </c>
      <c r="H265" t="s">
        <v>74</v>
      </c>
      <c r="I265">
        <v>0</v>
      </c>
      <c r="J265" t="s">
        <v>75</v>
      </c>
      <c r="K265">
        <v>3.14159265358979</v>
      </c>
      <c r="L265">
        <v>0.55325411697138105</v>
      </c>
      <c r="M265">
        <v>0</v>
      </c>
      <c r="N265">
        <v>3.2484352422452602E-2</v>
      </c>
      <c r="O265">
        <v>0</v>
      </c>
      <c r="P265">
        <v>1.6E-2</v>
      </c>
      <c r="Q265">
        <v>0</v>
      </c>
      <c r="R265">
        <v>0</v>
      </c>
      <c r="S265">
        <v>0</v>
      </c>
      <c r="T265">
        <v>0</v>
      </c>
      <c r="U265">
        <v>0.55771584371015503</v>
      </c>
      <c r="V265" t="s">
        <v>78</v>
      </c>
      <c r="W265">
        <v>2339923.6575668799</v>
      </c>
      <c r="X265" t="s">
        <v>76</v>
      </c>
      <c r="Y265">
        <v>-1.5707963267949001</v>
      </c>
      <c r="Z265">
        <v>0.54607744694454396</v>
      </c>
      <c r="AA265">
        <v>0.43623699538543098</v>
      </c>
      <c r="AB265">
        <v>2.9077844124926699E-2</v>
      </c>
      <c r="AC265">
        <v>2.4479679621301199E-2</v>
      </c>
      <c r="AD265">
        <v>5.2454525869136204E-3</v>
      </c>
      <c r="AE265">
        <v>3.1396020260285797E-2</v>
      </c>
      <c r="AF265">
        <v>0</v>
      </c>
      <c r="AG265">
        <v>0.20041984572060101</v>
      </c>
      <c r="AH265">
        <v>0.46158349602078202</v>
      </c>
      <c r="AI265">
        <v>0.248885604272995</v>
      </c>
      <c r="AJ265" t="s">
        <v>74</v>
      </c>
      <c r="AK265">
        <v>0</v>
      </c>
      <c r="AL265" t="s">
        <v>77</v>
      </c>
      <c r="AM265">
        <v>0</v>
      </c>
      <c r="AN265">
        <v>0.99199999999999999</v>
      </c>
      <c r="AO265">
        <v>0</v>
      </c>
      <c r="AP265">
        <v>5.8245346242475203E-2</v>
      </c>
      <c r="AQ265">
        <v>0</v>
      </c>
      <c r="AR265">
        <v>1.6E-2</v>
      </c>
      <c r="AS265">
        <v>0</v>
      </c>
      <c r="AT265">
        <v>0</v>
      </c>
      <c r="AU265">
        <v>0</v>
      </c>
      <c r="AV265">
        <v>0</v>
      </c>
      <c r="AW265">
        <v>1</v>
      </c>
      <c r="AX265" t="s">
        <v>74</v>
      </c>
      <c r="AY265">
        <v>0</v>
      </c>
      <c r="AZ265" t="s">
        <v>76</v>
      </c>
      <c r="BA265">
        <v>-1.5707963267949001</v>
      </c>
      <c r="BB265">
        <v>0.99199999999999999</v>
      </c>
      <c r="BC265">
        <v>0</v>
      </c>
      <c r="BD265">
        <v>5.8245346242475203E-2</v>
      </c>
      <c r="BE265">
        <v>0</v>
      </c>
      <c r="BF265">
        <v>1.6E-2</v>
      </c>
      <c r="BG265">
        <v>0</v>
      </c>
      <c r="BH265">
        <v>0</v>
      </c>
      <c r="BI265">
        <v>0</v>
      </c>
      <c r="BJ265">
        <v>0</v>
      </c>
      <c r="BK265">
        <v>1</v>
      </c>
      <c r="BL265">
        <v>1.01266284326815E-4</v>
      </c>
      <c r="BM265">
        <v>3.3100167087069101E-4</v>
      </c>
      <c r="BN265" s="1">
        <v>3.68904984268225E-7</v>
      </c>
      <c r="BO265" s="1">
        <v>5.1993620876665496E-6</v>
      </c>
      <c r="BP265">
        <v>0</v>
      </c>
      <c r="BQ265">
        <v>0</v>
      </c>
      <c r="BR265" s="1">
        <v>5.4726468097945501E-5</v>
      </c>
      <c r="BS265">
        <v>1.82783537829758E-4</v>
      </c>
    </row>
    <row r="266" spans="1:71" x14ac:dyDescent="0.25">
      <c r="A266">
        <v>263</v>
      </c>
      <c r="B266" s="1">
        <v>1.0643121675796999E-5</v>
      </c>
      <c r="C266">
        <v>0.106763966972719</v>
      </c>
      <c r="D266">
        <v>-3.1267481822748802E-4</v>
      </c>
      <c r="E266">
        <v>6.1312499999999995E-4</v>
      </c>
      <c r="F266">
        <v>-1.0676396697271899E-3</v>
      </c>
      <c r="G266" s="1">
        <v>1.0842021724855E-19</v>
      </c>
      <c r="H266" t="s">
        <v>74</v>
      </c>
      <c r="I266">
        <v>0</v>
      </c>
      <c r="J266" t="s">
        <v>75</v>
      </c>
      <c r="K266">
        <v>3.14159265358979</v>
      </c>
      <c r="L266">
        <v>0.55158458048662395</v>
      </c>
      <c r="M266">
        <v>0</v>
      </c>
      <c r="N266">
        <v>3.2386325476264001E-2</v>
      </c>
      <c r="O266">
        <v>0</v>
      </c>
      <c r="P266">
        <v>1.6E-2</v>
      </c>
      <c r="Q266">
        <v>0</v>
      </c>
      <c r="R266">
        <v>0</v>
      </c>
      <c r="S266">
        <v>0</v>
      </c>
      <c r="T266">
        <v>0</v>
      </c>
      <c r="U266">
        <v>0.55603284322140101</v>
      </c>
      <c r="V266" t="s">
        <v>78</v>
      </c>
      <c r="W266">
        <v>2340416.98325813</v>
      </c>
      <c r="X266" t="s">
        <v>76</v>
      </c>
      <c r="Y266">
        <v>-1.5707963267949001</v>
      </c>
      <c r="Z266">
        <v>0.54441388464058504</v>
      </c>
      <c r="AA266">
        <v>0.43831568248679198</v>
      </c>
      <c r="AB266">
        <v>2.89844774312366E-2</v>
      </c>
      <c r="AC266">
        <v>2.4587520667099998E-2</v>
      </c>
      <c r="AD266">
        <v>5.1394962563919202E-3</v>
      </c>
      <c r="AE266">
        <v>3.1515856066199797E-2</v>
      </c>
      <c r="AF266">
        <v>0</v>
      </c>
      <c r="AG266">
        <v>0.19833728263824099</v>
      </c>
      <c r="AH266">
        <v>0.46618514537795402</v>
      </c>
      <c r="AI266">
        <v>0.24663867760974301</v>
      </c>
      <c r="AJ266" t="s">
        <v>74</v>
      </c>
      <c r="AK266">
        <v>0</v>
      </c>
      <c r="AL266" t="s">
        <v>77</v>
      </c>
      <c r="AM266">
        <v>0</v>
      </c>
      <c r="AN266">
        <v>0.99199999999999999</v>
      </c>
      <c r="AO266">
        <v>0</v>
      </c>
      <c r="AP266">
        <v>5.8245346242475203E-2</v>
      </c>
      <c r="AQ266">
        <v>0</v>
      </c>
      <c r="AR266">
        <v>1.6E-2</v>
      </c>
      <c r="AS266">
        <v>0</v>
      </c>
      <c r="AT266">
        <v>0</v>
      </c>
      <c r="AU266">
        <v>0</v>
      </c>
      <c r="AV266">
        <v>0</v>
      </c>
      <c r="AW266">
        <v>1</v>
      </c>
      <c r="AX266" t="s">
        <v>74</v>
      </c>
      <c r="AY266">
        <v>0</v>
      </c>
      <c r="AZ266" t="s">
        <v>76</v>
      </c>
      <c r="BA266">
        <v>-1.5707963267949001</v>
      </c>
      <c r="BB266">
        <v>0.99199999999999999</v>
      </c>
      <c r="BC266">
        <v>0</v>
      </c>
      <c r="BD266">
        <v>5.8245346242475203E-2</v>
      </c>
      <c r="BE266">
        <v>0</v>
      </c>
      <c r="BF266">
        <v>1.6E-2</v>
      </c>
      <c r="BG266">
        <v>0</v>
      </c>
      <c r="BH266">
        <v>0</v>
      </c>
      <c r="BI266">
        <v>0</v>
      </c>
      <c r="BJ266">
        <v>0</v>
      </c>
      <c r="BK266">
        <v>1</v>
      </c>
      <c r="BL266">
        <v>1.0122450802977501E-4</v>
      </c>
      <c r="BM266">
        <v>3.3226121400809801E-4</v>
      </c>
      <c r="BN266" s="1">
        <v>3.6875024001492503E-7</v>
      </c>
      <c r="BO266" s="1">
        <v>5.2191469450033298E-6</v>
      </c>
      <c r="BP266">
        <v>0</v>
      </c>
      <c r="BQ266">
        <v>0</v>
      </c>
      <c r="BR266" s="1">
        <v>5.4699409778993099E-5</v>
      </c>
      <c r="BS266">
        <v>1.8348112052779601E-4</v>
      </c>
    </row>
    <row r="267" spans="1:71" x14ac:dyDescent="0.25">
      <c r="A267">
        <v>264</v>
      </c>
      <c r="B267" s="1">
        <v>1.07480331665554E-5</v>
      </c>
      <c r="C267">
        <v>0.10677471500588499</v>
      </c>
      <c r="D267">
        <v>-3.12732545923395E-4</v>
      </c>
      <c r="E267">
        <v>6.1312499999999995E-4</v>
      </c>
      <c r="F267">
        <v>-1.0677471500588501E-3</v>
      </c>
      <c r="G267" s="1">
        <v>1.0842021724855E-19</v>
      </c>
      <c r="H267" t="s">
        <v>74</v>
      </c>
      <c r="I267">
        <v>0</v>
      </c>
      <c r="J267" t="s">
        <v>75</v>
      </c>
      <c r="K267">
        <v>3.14159265358979</v>
      </c>
      <c r="L267">
        <v>0.54991538242698101</v>
      </c>
      <c r="M267">
        <v>0</v>
      </c>
      <c r="N267">
        <v>3.2288318400728502E-2</v>
      </c>
      <c r="O267">
        <v>0</v>
      </c>
      <c r="P267">
        <v>1.6E-2</v>
      </c>
      <c r="Q267">
        <v>0</v>
      </c>
      <c r="R267">
        <v>0</v>
      </c>
      <c r="S267">
        <v>0</v>
      </c>
      <c r="T267">
        <v>0</v>
      </c>
      <c r="U267">
        <v>0.55435018388699797</v>
      </c>
      <c r="V267" t="s">
        <v>78</v>
      </c>
      <c r="W267">
        <v>2340915.14525316</v>
      </c>
      <c r="X267" t="s">
        <v>76</v>
      </c>
      <c r="Y267">
        <v>-1.5707963267949001</v>
      </c>
      <c r="Z267">
        <v>0.54275057993423104</v>
      </c>
      <c r="AA267">
        <v>0.439835964650656</v>
      </c>
      <c r="AB267">
        <v>2.88911066273463E-2</v>
      </c>
      <c r="AC267">
        <v>2.4677880497603701E-2</v>
      </c>
      <c r="AD267">
        <v>5.0336786058068203E-3</v>
      </c>
      <c r="AE267">
        <v>3.1635575492351999E-2</v>
      </c>
      <c r="AF267">
        <v>0</v>
      </c>
      <c r="AG267">
        <v>0.19621248770893701</v>
      </c>
      <c r="AH267">
        <v>0.470828515948092</v>
      </c>
      <c r="AI267">
        <v>0.24439873869800599</v>
      </c>
      <c r="AJ267" t="s">
        <v>74</v>
      </c>
      <c r="AK267">
        <v>0</v>
      </c>
      <c r="AL267" t="s">
        <v>77</v>
      </c>
      <c r="AM267">
        <v>0</v>
      </c>
      <c r="AN267">
        <v>0.99199999999999999</v>
      </c>
      <c r="AO267">
        <v>0</v>
      </c>
      <c r="AP267">
        <v>5.8245346242475203E-2</v>
      </c>
      <c r="AQ267">
        <v>0</v>
      </c>
      <c r="AR267">
        <v>1.6E-2</v>
      </c>
      <c r="AS267">
        <v>0</v>
      </c>
      <c r="AT267">
        <v>0</v>
      </c>
      <c r="AU267">
        <v>0</v>
      </c>
      <c r="AV267">
        <v>0</v>
      </c>
      <c r="AW267">
        <v>1</v>
      </c>
      <c r="AX267" t="s">
        <v>74</v>
      </c>
      <c r="AY267">
        <v>0</v>
      </c>
      <c r="AZ267" t="s">
        <v>76</v>
      </c>
      <c r="BA267">
        <v>-1.5707963267949001</v>
      </c>
      <c r="BB267">
        <v>0.99199999999999999</v>
      </c>
      <c r="BC267">
        <v>0</v>
      </c>
      <c r="BD267">
        <v>5.8245346242475203E-2</v>
      </c>
      <c r="BE267">
        <v>0</v>
      </c>
      <c r="BF267">
        <v>1.6E-2</v>
      </c>
      <c r="BG267">
        <v>0</v>
      </c>
      <c r="BH267">
        <v>0</v>
      </c>
      <c r="BI267">
        <v>0</v>
      </c>
      <c r="BJ267">
        <v>0</v>
      </c>
      <c r="BK267">
        <v>1</v>
      </c>
      <c r="BL267">
        <v>1.0117399900531399E-4</v>
      </c>
      <c r="BM267">
        <v>3.3352050182851501E-4</v>
      </c>
      <c r="BN267" s="1">
        <v>3.6857831292714898E-7</v>
      </c>
      <c r="BO267" s="1">
        <v>5.2389277918302097E-6</v>
      </c>
      <c r="BP267">
        <v>0</v>
      </c>
      <c r="BQ267">
        <v>0</v>
      </c>
      <c r="BR267" s="1">
        <v>5.4667533377705898E-5</v>
      </c>
      <c r="BS267">
        <v>1.8417859796251E-4</v>
      </c>
    </row>
    <row r="268" spans="1:71" x14ac:dyDescent="0.25">
      <c r="A268">
        <v>265</v>
      </c>
      <c r="B268" s="1">
        <v>1.08571721207863E-5</v>
      </c>
      <c r="C268">
        <v>0.10678557217800599</v>
      </c>
      <c r="D268">
        <v>-3.1279085667092503E-4</v>
      </c>
      <c r="E268">
        <v>6.1312499999999995E-4</v>
      </c>
      <c r="F268">
        <v>-1.0678557217800599E-3</v>
      </c>
      <c r="G268">
        <v>0</v>
      </c>
      <c r="H268" t="s">
        <v>74</v>
      </c>
      <c r="I268">
        <v>0</v>
      </c>
      <c r="J268" t="s">
        <v>75</v>
      </c>
      <c r="K268">
        <v>3.14159265358979</v>
      </c>
      <c r="L268">
        <v>0.54824653567098802</v>
      </c>
      <c r="M268">
        <v>0</v>
      </c>
      <c r="N268">
        <v>3.21903319520103E-2</v>
      </c>
      <c r="O268">
        <v>0</v>
      </c>
      <c r="P268">
        <v>1.6E-2</v>
      </c>
      <c r="Q268">
        <v>0</v>
      </c>
      <c r="R268">
        <v>0</v>
      </c>
      <c r="S268">
        <v>0</v>
      </c>
      <c r="T268">
        <v>0</v>
      </c>
      <c r="U268">
        <v>0.55266787868934297</v>
      </c>
      <c r="V268" t="s">
        <v>78</v>
      </c>
      <c r="W268">
        <v>2341418.3387007099</v>
      </c>
      <c r="X268" t="s">
        <v>76</v>
      </c>
      <c r="Y268">
        <v>-1.5707963267949001</v>
      </c>
      <c r="Z268">
        <v>0.54108754033820206</v>
      </c>
      <c r="AA268">
        <v>0.44132416883701198</v>
      </c>
      <c r="AB268">
        <v>2.8797730655652401E-2</v>
      </c>
      <c r="AC268">
        <v>2.4767295751096801E-2</v>
      </c>
      <c r="AD268">
        <v>4.9280046432841999E-3</v>
      </c>
      <c r="AE268">
        <v>3.1755176927539902E-2</v>
      </c>
      <c r="AF268">
        <v>0</v>
      </c>
      <c r="AG268">
        <v>0.19404478730393601</v>
      </c>
      <c r="AH268">
        <v>0.47551426192811902</v>
      </c>
      <c r="AI268">
        <v>0.24216583327642099</v>
      </c>
      <c r="AJ268" t="s">
        <v>74</v>
      </c>
      <c r="AK268">
        <v>0</v>
      </c>
      <c r="AL268" t="s">
        <v>77</v>
      </c>
      <c r="AM268">
        <v>0</v>
      </c>
      <c r="AN268">
        <v>0.99199999999999999</v>
      </c>
      <c r="AO268">
        <v>0</v>
      </c>
      <c r="AP268">
        <v>5.8245346242475203E-2</v>
      </c>
      <c r="AQ268">
        <v>0</v>
      </c>
      <c r="AR268">
        <v>1.6E-2</v>
      </c>
      <c r="AS268">
        <v>0</v>
      </c>
      <c r="AT268">
        <v>0</v>
      </c>
      <c r="AU268">
        <v>0</v>
      </c>
      <c r="AV268">
        <v>0</v>
      </c>
      <c r="AW268">
        <v>1</v>
      </c>
      <c r="AX268" t="s">
        <v>74</v>
      </c>
      <c r="AY268">
        <v>0</v>
      </c>
      <c r="AZ268" t="s">
        <v>76</v>
      </c>
      <c r="BA268">
        <v>-1.5707963267949001</v>
      </c>
      <c r="BB268">
        <v>0.99199999999999999</v>
      </c>
      <c r="BC268">
        <v>0</v>
      </c>
      <c r="BD268">
        <v>5.8245346242475203E-2</v>
      </c>
      <c r="BE268">
        <v>0</v>
      </c>
      <c r="BF268">
        <v>1.6E-2</v>
      </c>
      <c r="BG268">
        <v>0</v>
      </c>
      <c r="BH268">
        <v>0</v>
      </c>
      <c r="BI268">
        <v>0</v>
      </c>
      <c r="BJ268">
        <v>0</v>
      </c>
      <c r="BK268">
        <v>1</v>
      </c>
      <c r="BL268">
        <v>1.01123025421855E-4</v>
      </c>
      <c r="BM268">
        <v>3.3477952461602797E-4</v>
      </c>
      <c r="BN268" s="1">
        <v>3.68405747115913E-7</v>
      </c>
      <c r="BO268" s="1">
        <v>5.2587044755299796E-6</v>
      </c>
      <c r="BP268">
        <v>0</v>
      </c>
      <c r="BQ268">
        <v>0</v>
      </c>
      <c r="BR268" s="1">
        <v>5.4635404885372599E-5</v>
      </c>
      <c r="BS268">
        <v>1.84875965810688E-4</v>
      </c>
    </row>
    <row r="269" spans="1:71" x14ac:dyDescent="0.25">
      <c r="A269">
        <v>266</v>
      </c>
      <c r="B269" s="1">
        <v>1.0970767468315201E-5</v>
      </c>
      <c r="C269">
        <v>0.106796542945475</v>
      </c>
      <c r="D269">
        <v>-3.12849774307815E-4</v>
      </c>
      <c r="E269">
        <v>6.1312499999999995E-4</v>
      </c>
      <c r="F269">
        <v>-1.0679654294547499E-3</v>
      </c>
      <c r="G269">
        <v>0</v>
      </c>
      <c r="H269" t="s">
        <v>74</v>
      </c>
      <c r="I269">
        <v>0</v>
      </c>
      <c r="J269" t="s">
        <v>75</v>
      </c>
      <c r="K269">
        <v>3.14159265358979</v>
      </c>
      <c r="L269">
        <v>0.54657805384029201</v>
      </c>
      <c r="M269">
        <v>0</v>
      </c>
      <c r="N269">
        <v>3.2092366929905303E-2</v>
      </c>
      <c r="O269">
        <v>0</v>
      </c>
      <c r="P269">
        <v>1.6E-2</v>
      </c>
      <c r="Q269">
        <v>0</v>
      </c>
      <c r="R269">
        <v>0</v>
      </c>
      <c r="S269">
        <v>0</v>
      </c>
      <c r="T269">
        <v>0</v>
      </c>
      <c r="U269">
        <v>0.55098594135993395</v>
      </c>
      <c r="V269" t="s">
        <v>78</v>
      </c>
      <c r="W269">
        <v>2341926.7693088301</v>
      </c>
      <c r="X269" t="s">
        <v>76</v>
      </c>
      <c r="Y269">
        <v>-1.5707963267949001</v>
      </c>
      <c r="Z269">
        <v>0.53942477380933396</v>
      </c>
      <c r="AA269">
        <v>0.44278034345688799</v>
      </c>
      <c r="AB269">
        <v>2.8704348403311E-2</v>
      </c>
      <c r="AC269">
        <v>2.4855771466262101E-2</v>
      </c>
      <c r="AD269">
        <v>4.8224795696726799E-3</v>
      </c>
      <c r="AE269">
        <v>3.1874658731766897E-2</v>
      </c>
      <c r="AF269">
        <v>0</v>
      </c>
      <c r="AG269">
        <v>0.19183348543652001</v>
      </c>
      <c r="AH269">
        <v>0.48024305875168499</v>
      </c>
      <c r="AI269">
        <v>0.23994000811767899</v>
      </c>
      <c r="AJ269" t="s">
        <v>74</v>
      </c>
      <c r="AK269">
        <v>0</v>
      </c>
      <c r="AL269" t="s">
        <v>77</v>
      </c>
      <c r="AM269">
        <v>0</v>
      </c>
      <c r="AN269">
        <v>0.99199999999999999</v>
      </c>
      <c r="AO269">
        <v>0</v>
      </c>
      <c r="AP269">
        <v>5.8245346242475203E-2</v>
      </c>
      <c r="AQ269">
        <v>0</v>
      </c>
      <c r="AR269">
        <v>1.6E-2</v>
      </c>
      <c r="AS269">
        <v>0</v>
      </c>
      <c r="AT269">
        <v>0</v>
      </c>
      <c r="AU269">
        <v>0</v>
      </c>
      <c r="AV269">
        <v>0</v>
      </c>
      <c r="AW269">
        <v>1</v>
      </c>
      <c r="AX269" t="s">
        <v>74</v>
      </c>
      <c r="AY269">
        <v>0</v>
      </c>
      <c r="AZ269" t="s">
        <v>76</v>
      </c>
      <c r="BA269">
        <v>-1.5707963267949001</v>
      </c>
      <c r="BB269">
        <v>0.99199999999999999</v>
      </c>
      <c r="BC269">
        <v>0</v>
      </c>
      <c r="BD269">
        <v>5.8245346242475203E-2</v>
      </c>
      <c r="BE269">
        <v>0</v>
      </c>
      <c r="BF269">
        <v>1.6E-2</v>
      </c>
      <c r="BG269">
        <v>0</v>
      </c>
      <c r="BH269">
        <v>0</v>
      </c>
      <c r="BI269">
        <v>0</v>
      </c>
      <c r="BJ269">
        <v>0</v>
      </c>
      <c r="BK269">
        <v>1</v>
      </c>
      <c r="BL269">
        <v>1.01071589642214E-4</v>
      </c>
      <c r="BM269">
        <v>3.3603827209410201E-4</v>
      </c>
      <c r="BN269" s="1">
        <v>3.6823255718992302E-7</v>
      </c>
      <c r="BO269" s="1">
        <v>5.2784768346792001E-6</v>
      </c>
      <c r="BP269">
        <v>0</v>
      </c>
      <c r="BQ269">
        <v>0</v>
      </c>
      <c r="BR269" s="1">
        <v>5.46030258163884E-5</v>
      </c>
      <c r="BS269">
        <v>1.8557321949594E-4</v>
      </c>
    </row>
    <row r="270" spans="1:71" x14ac:dyDescent="0.25">
      <c r="A270">
        <v>267</v>
      </c>
      <c r="B270" s="1">
        <v>1.1089065715715799E-5</v>
      </c>
      <c r="C270">
        <v>0.10680763201119001</v>
      </c>
      <c r="D270">
        <v>-3.1290932398935498E-4</v>
      </c>
      <c r="E270">
        <v>6.1312499999999995E-4</v>
      </c>
      <c r="F270">
        <v>-1.0680763201118999E-3</v>
      </c>
      <c r="G270">
        <v>0</v>
      </c>
      <c r="H270" t="s">
        <v>74</v>
      </c>
      <c r="I270">
        <v>0</v>
      </c>
      <c r="J270" t="s">
        <v>75</v>
      </c>
      <c r="K270">
        <v>3.14159265358979</v>
      </c>
      <c r="L270">
        <v>0.54490995135724896</v>
      </c>
      <c r="M270">
        <v>0</v>
      </c>
      <c r="N270">
        <v>3.19944241812231E-2</v>
      </c>
      <c r="O270">
        <v>0</v>
      </c>
      <c r="P270">
        <v>1.6E-2</v>
      </c>
      <c r="Q270">
        <v>0</v>
      </c>
      <c r="R270">
        <v>0</v>
      </c>
      <c r="S270">
        <v>0</v>
      </c>
      <c r="T270">
        <v>0</v>
      </c>
      <c r="U270">
        <v>0.54930438643743595</v>
      </c>
      <c r="V270" t="s">
        <v>78</v>
      </c>
      <c r="W270">
        <v>2342440.65415551</v>
      </c>
      <c r="X270" t="s">
        <v>76</v>
      </c>
      <c r="Y270">
        <v>-1.5707963267949001</v>
      </c>
      <c r="Z270">
        <v>0.53776228878247201</v>
      </c>
      <c r="AA270">
        <v>0.44468797965975199</v>
      </c>
      <c r="AB270">
        <v>2.8610958697797999E-2</v>
      </c>
      <c r="AC270">
        <v>2.49584995924064E-2</v>
      </c>
      <c r="AD270">
        <v>4.7171087933940096E-3</v>
      </c>
      <c r="AE270">
        <v>3.1994019234238599E-2</v>
      </c>
      <c r="AF270">
        <v>0</v>
      </c>
      <c r="AG270">
        <v>0.18957786274299801</v>
      </c>
      <c r="AH270">
        <v>0.48501560402125199</v>
      </c>
      <c r="AI270">
        <v>0.23772131109066999</v>
      </c>
      <c r="AJ270" t="s">
        <v>74</v>
      </c>
      <c r="AK270">
        <v>0</v>
      </c>
      <c r="AL270" t="s">
        <v>77</v>
      </c>
      <c r="AM270">
        <v>0</v>
      </c>
      <c r="AN270">
        <v>0.99199999999999999</v>
      </c>
      <c r="AO270">
        <v>0</v>
      </c>
      <c r="AP270">
        <v>5.8245346242475203E-2</v>
      </c>
      <c r="AQ270">
        <v>0</v>
      </c>
      <c r="AR270">
        <v>1.6E-2</v>
      </c>
      <c r="AS270">
        <v>0</v>
      </c>
      <c r="AT270">
        <v>0</v>
      </c>
      <c r="AU270">
        <v>0</v>
      </c>
      <c r="AV270">
        <v>0</v>
      </c>
      <c r="AW270">
        <v>1</v>
      </c>
      <c r="AX270" t="s">
        <v>74</v>
      </c>
      <c r="AY270">
        <v>0</v>
      </c>
      <c r="AZ270" t="s">
        <v>76</v>
      </c>
      <c r="BA270">
        <v>-1.5707963267949001</v>
      </c>
      <c r="BB270">
        <v>0.99199999999999999</v>
      </c>
      <c r="BC270">
        <v>0</v>
      </c>
      <c r="BD270">
        <v>5.8245346242475203E-2</v>
      </c>
      <c r="BE270">
        <v>0</v>
      </c>
      <c r="BF270">
        <v>1.6E-2</v>
      </c>
      <c r="BG270">
        <v>0</v>
      </c>
      <c r="BH270">
        <v>0</v>
      </c>
      <c r="BI270">
        <v>0</v>
      </c>
      <c r="BJ270">
        <v>0</v>
      </c>
      <c r="BK270">
        <v>1</v>
      </c>
      <c r="BL270">
        <v>1.0102728747818901E-4</v>
      </c>
      <c r="BM270">
        <v>3.37296733382125E-4</v>
      </c>
      <c r="BN270" s="1">
        <v>3.6807394425644198E-7</v>
      </c>
      <c r="BO270" s="1">
        <v>5.2982446983656003E-6</v>
      </c>
      <c r="BP270">
        <v>0</v>
      </c>
      <c r="BQ270">
        <v>0</v>
      </c>
      <c r="BR270" s="1">
        <v>5.4574591139659598E-5</v>
      </c>
      <c r="BS270">
        <v>1.8627035416892199E-4</v>
      </c>
    </row>
    <row r="271" spans="1:71" x14ac:dyDescent="0.25">
      <c r="A271">
        <v>268</v>
      </c>
      <c r="B271" s="1">
        <v>1.12123326606028E-5</v>
      </c>
      <c r="C271">
        <v>0.106818844343851</v>
      </c>
      <c r="D271">
        <v>-3.1296953229148201E-4</v>
      </c>
      <c r="E271">
        <v>6.1312499999999995E-4</v>
      </c>
      <c r="F271">
        <v>-1.06818844343851E-3</v>
      </c>
      <c r="G271" s="1">
        <v>1.0842021724855E-19</v>
      </c>
      <c r="H271" t="s">
        <v>74</v>
      </c>
      <c r="I271">
        <v>0</v>
      </c>
      <c r="J271" t="s">
        <v>75</v>
      </c>
      <c r="K271">
        <v>3.14159265358979</v>
      </c>
      <c r="L271">
        <v>0.54324224350817996</v>
      </c>
      <c r="M271">
        <v>0</v>
      </c>
      <c r="N271">
        <v>3.1896504603500998E-2</v>
      </c>
      <c r="O271">
        <v>0</v>
      </c>
      <c r="P271">
        <v>1.6E-2</v>
      </c>
      <c r="Q271">
        <v>0</v>
      </c>
      <c r="R271">
        <v>0</v>
      </c>
      <c r="S271">
        <v>0</v>
      </c>
      <c r="T271">
        <v>0</v>
      </c>
      <c r="U271">
        <v>0.54762322933144802</v>
      </c>
      <c r="V271" t="s">
        <v>78</v>
      </c>
      <c r="W271">
        <v>2342960.22257816</v>
      </c>
      <c r="X271" t="s">
        <v>76</v>
      </c>
      <c r="Y271">
        <v>-1.5707963267949001</v>
      </c>
      <c r="Z271">
        <v>0.53610009420766802</v>
      </c>
      <c r="AA271">
        <v>0.44608024785945699</v>
      </c>
      <c r="AB271">
        <v>2.8517560302029499E-2</v>
      </c>
      <c r="AC271">
        <v>2.5045109453077599E-2</v>
      </c>
      <c r="AD271">
        <v>4.6118979467494603E-3</v>
      </c>
      <c r="AE271">
        <v>3.2113256731135E-2</v>
      </c>
      <c r="AF271">
        <v>0</v>
      </c>
      <c r="AG271">
        <v>0.18727717541258501</v>
      </c>
      <c r="AH271">
        <v>0.48983261848278498</v>
      </c>
      <c r="AI271">
        <v>0.23550979122847099</v>
      </c>
      <c r="AJ271" t="s">
        <v>74</v>
      </c>
      <c r="AK271">
        <v>0</v>
      </c>
      <c r="AL271" t="s">
        <v>77</v>
      </c>
      <c r="AM271">
        <v>0</v>
      </c>
      <c r="AN271">
        <v>0.99199999999999999</v>
      </c>
      <c r="AO271">
        <v>0</v>
      </c>
      <c r="AP271">
        <v>5.8245346242475203E-2</v>
      </c>
      <c r="AQ271">
        <v>0</v>
      </c>
      <c r="AR271">
        <v>1.6E-2</v>
      </c>
      <c r="AS271">
        <v>0</v>
      </c>
      <c r="AT271">
        <v>0</v>
      </c>
      <c r="AU271">
        <v>0</v>
      </c>
      <c r="AV271">
        <v>0</v>
      </c>
      <c r="AW271">
        <v>1</v>
      </c>
      <c r="AX271" t="s">
        <v>74</v>
      </c>
      <c r="AY271">
        <v>0</v>
      </c>
      <c r="AZ271" t="s">
        <v>76</v>
      </c>
      <c r="BA271">
        <v>-1.5707963267949001</v>
      </c>
      <c r="BB271">
        <v>0.99199999999999999</v>
      </c>
      <c r="BC271">
        <v>0</v>
      </c>
      <c r="BD271">
        <v>5.8245346242475203E-2</v>
      </c>
      <c r="BE271">
        <v>0</v>
      </c>
      <c r="BF271">
        <v>1.6E-2</v>
      </c>
      <c r="BG271">
        <v>0</v>
      </c>
      <c r="BH271">
        <v>0</v>
      </c>
      <c r="BI271">
        <v>0</v>
      </c>
      <c r="BJ271">
        <v>0</v>
      </c>
      <c r="BK271">
        <v>1</v>
      </c>
      <c r="BL271">
        <v>1.00974933421779E-4</v>
      </c>
      <c r="BM271">
        <v>3.3855489694768499E-4</v>
      </c>
      <c r="BN271" s="1">
        <v>3.6789954770595998E-7</v>
      </c>
      <c r="BO271" s="1">
        <v>5.3180078854384898E-6</v>
      </c>
      <c r="BP271">
        <v>0</v>
      </c>
      <c r="BQ271">
        <v>0</v>
      </c>
      <c r="BR271" s="1">
        <v>5.4541715021869003E-5</v>
      </c>
      <c r="BS271">
        <v>1.86967364685625E-4</v>
      </c>
    </row>
    <row r="272" spans="1:71" x14ac:dyDescent="0.25">
      <c r="A272">
        <v>269</v>
      </c>
      <c r="B272" s="1">
        <v>1.1340855310947799E-5</v>
      </c>
      <c r="C272">
        <v>0.106830185199162</v>
      </c>
      <c r="D272">
        <v>-3.1303042732411701E-4</v>
      </c>
      <c r="E272">
        <v>6.1312499999999995E-4</v>
      </c>
      <c r="F272">
        <v>-1.0683018519916201E-3</v>
      </c>
      <c r="G272">
        <v>0</v>
      </c>
      <c r="H272" t="s">
        <v>74</v>
      </c>
      <c r="I272">
        <v>0</v>
      </c>
      <c r="J272" t="s">
        <v>75</v>
      </c>
      <c r="K272">
        <v>3.14159265358979</v>
      </c>
      <c r="L272">
        <v>0.54157494651288995</v>
      </c>
      <c r="M272">
        <v>0</v>
      </c>
      <c r="N272">
        <v>3.1798609149085999E-2</v>
      </c>
      <c r="O272">
        <v>0</v>
      </c>
      <c r="P272">
        <v>1.6E-2</v>
      </c>
      <c r="Q272">
        <v>0</v>
      </c>
      <c r="R272">
        <v>0</v>
      </c>
      <c r="S272">
        <v>0</v>
      </c>
      <c r="T272">
        <v>0</v>
      </c>
      <c r="U272">
        <v>0.54594248639258003</v>
      </c>
      <c r="V272" t="s">
        <v>78</v>
      </c>
      <c r="W272">
        <v>2343485.7171517499</v>
      </c>
      <c r="X272" t="s">
        <v>76</v>
      </c>
      <c r="Y272">
        <v>-1.5707963267949001</v>
      </c>
      <c r="Z272">
        <v>0.53443819959100103</v>
      </c>
      <c r="AA272">
        <v>0.44790275777023703</v>
      </c>
      <c r="AB272">
        <v>2.84241519089861E-2</v>
      </c>
      <c r="AC272">
        <v>2.51453110298674E-2</v>
      </c>
      <c r="AD272">
        <v>4.5068529038543E-3</v>
      </c>
      <c r="AE272">
        <v>3.2232369483132899E-2</v>
      </c>
      <c r="AF272">
        <v>0</v>
      </c>
      <c r="AG272">
        <v>0.18493065406446099</v>
      </c>
      <c r="AH272">
        <v>0.49469484704379102</v>
      </c>
      <c r="AI272">
        <v>0.23330549880281901</v>
      </c>
      <c r="AJ272" t="s">
        <v>74</v>
      </c>
      <c r="AK272">
        <v>0</v>
      </c>
      <c r="AL272" t="s">
        <v>77</v>
      </c>
      <c r="AM272">
        <v>0</v>
      </c>
      <c r="AN272">
        <v>0.99199999999999999</v>
      </c>
      <c r="AO272">
        <v>0</v>
      </c>
      <c r="AP272">
        <v>5.8245346242475203E-2</v>
      </c>
      <c r="AQ272">
        <v>0</v>
      </c>
      <c r="AR272">
        <v>1.6E-2</v>
      </c>
      <c r="AS272">
        <v>0</v>
      </c>
      <c r="AT272">
        <v>0</v>
      </c>
      <c r="AU272">
        <v>0</v>
      </c>
      <c r="AV272">
        <v>0</v>
      </c>
      <c r="AW272">
        <v>1</v>
      </c>
      <c r="AX272" t="s">
        <v>74</v>
      </c>
      <c r="AY272">
        <v>0</v>
      </c>
      <c r="AZ272" t="s">
        <v>76</v>
      </c>
      <c r="BA272">
        <v>-1.5707963267949001</v>
      </c>
      <c r="BB272">
        <v>0.99199999999999999</v>
      </c>
      <c r="BC272">
        <v>0</v>
      </c>
      <c r="BD272">
        <v>5.8245346242475203E-2</v>
      </c>
      <c r="BE272">
        <v>0</v>
      </c>
      <c r="BF272">
        <v>1.6E-2</v>
      </c>
      <c r="BG272">
        <v>0</v>
      </c>
      <c r="BH272">
        <v>0</v>
      </c>
      <c r="BI272">
        <v>0</v>
      </c>
      <c r="BJ272">
        <v>0</v>
      </c>
      <c r="BK272">
        <v>1</v>
      </c>
      <c r="BL272">
        <v>1.0092938228644499E-4</v>
      </c>
      <c r="BM272">
        <v>3.39812750554126E-4</v>
      </c>
      <c r="BN272" s="1">
        <v>3.67739087683997E-7</v>
      </c>
      <c r="BO272" s="1">
        <v>5.3377662036849103E-6</v>
      </c>
      <c r="BP272">
        <v>0</v>
      </c>
      <c r="BQ272">
        <v>0</v>
      </c>
      <c r="BR272" s="1">
        <v>5.4512601250715098E-5</v>
      </c>
      <c r="BS272">
        <v>1.8766424558350301E-4</v>
      </c>
    </row>
    <row r="273" spans="1:71" x14ac:dyDescent="0.25">
      <c r="A273">
        <v>270</v>
      </c>
      <c r="B273" s="1">
        <v>1.14749440382101E-5</v>
      </c>
      <c r="C273">
        <v>0.1068416601432</v>
      </c>
      <c r="D273">
        <v>-3.13092038856003E-4</v>
      </c>
      <c r="E273">
        <v>6.1312499999999995E-4</v>
      </c>
      <c r="F273">
        <v>-1.0684166014320001E-3</v>
      </c>
      <c r="G273" s="1">
        <v>1.0842021724855E-19</v>
      </c>
      <c r="H273" t="s">
        <v>74</v>
      </c>
      <c r="I273">
        <v>0</v>
      </c>
      <c r="J273" t="s">
        <v>75</v>
      </c>
      <c r="K273">
        <v>3.14159265358979</v>
      </c>
      <c r="L273">
        <v>0.53990807760124904</v>
      </c>
      <c r="M273">
        <v>0</v>
      </c>
      <c r="N273">
        <v>3.1700738829631002E-2</v>
      </c>
      <c r="O273">
        <v>0</v>
      </c>
      <c r="P273">
        <v>1.6E-2</v>
      </c>
      <c r="Q273">
        <v>0</v>
      </c>
      <c r="R273">
        <v>0</v>
      </c>
      <c r="S273">
        <v>0</v>
      </c>
      <c r="T273">
        <v>0</v>
      </c>
      <c r="U273">
        <v>0.54426217498965102</v>
      </c>
      <c r="V273" t="s">
        <v>78</v>
      </c>
      <c r="W273">
        <v>2344017.3947661002</v>
      </c>
      <c r="X273" t="s">
        <v>76</v>
      </c>
      <c r="Y273">
        <v>-1.5707963267949001</v>
      </c>
      <c r="Z273">
        <v>0.53277661503950402</v>
      </c>
      <c r="AA273">
        <v>0.449682813370891</v>
      </c>
      <c r="AB273">
        <v>2.8330732135782102E-2</v>
      </c>
      <c r="AC273">
        <v>2.5244257305421802E-2</v>
      </c>
      <c r="AD273">
        <v>4.4019798004026603E-3</v>
      </c>
      <c r="AE273">
        <v>3.2351355712641403E-2</v>
      </c>
      <c r="AF273">
        <v>0</v>
      </c>
      <c r="AG273">
        <v>0.18253750257066401</v>
      </c>
      <c r="AH273">
        <v>0.49960305983487902</v>
      </c>
      <c r="AI273">
        <v>0.23110848540589299</v>
      </c>
      <c r="AJ273" t="s">
        <v>74</v>
      </c>
      <c r="AK273">
        <v>0</v>
      </c>
      <c r="AL273" t="s">
        <v>77</v>
      </c>
      <c r="AM273">
        <v>0</v>
      </c>
      <c r="AN273">
        <v>0.99199999999999999</v>
      </c>
      <c r="AO273">
        <v>0</v>
      </c>
      <c r="AP273">
        <v>5.8245346242475203E-2</v>
      </c>
      <c r="AQ273">
        <v>0</v>
      </c>
      <c r="AR273">
        <v>1.6E-2</v>
      </c>
      <c r="AS273">
        <v>0</v>
      </c>
      <c r="AT273">
        <v>0</v>
      </c>
      <c r="AU273">
        <v>0</v>
      </c>
      <c r="AV273">
        <v>0</v>
      </c>
      <c r="AW273">
        <v>1</v>
      </c>
      <c r="AX273" t="s">
        <v>74</v>
      </c>
      <c r="AY273">
        <v>0</v>
      </c>
      <c r="AZ273" t="s">
        <v>76</v>
      </c>
      <c r="BA273">
        <v>-1.5707963267949001</v>
      </c>
      <c r="BB273">
        <v>0.99199999999999999</v>
      </c>
      <c r="BC273">
        <v>0</v>
      </c>
      <c r="BD273">
        <v>5.8245346242475203E-2</v>
      </c>
      <c r="BE273">
        <v>0</v>
      </c>
      <c r="BF273">
        <v>1.6E-2</v>
      </c>
      <c r="BG273">
        <v>0</v>
      </c>
      <c r="BH273">
        <v>0</v>
      </c>
      <c r="BI273">
        <v>0</v>
      </c>
      <c r="BJ273">
        <v>0</v>
      </c>
      <c r="BK273">
        <v>1</v>
      </c>
      <c r="BL273">
        <v>1.0088321037789301E-4</v>
      </c>
      <c r="BM273">
        <v>3.4107028120277099E-4</v>
      </c>
      <c r="BN273" s="1">
        <v>3.6757772817722802E-7</v>
      </c>
      <c r="BO273" s="1">
        <v>5.3575194489221599E-6</v>
      </c>
      <c r="BP273">
        <v>0</v>
      </c>
      <c r="BQ273">
        <v>0</v>
      </c>
      <c r="BR273" s="1">
        <v>5.4483150392322402E-5</v>
      </c>
      <c r="BS273">
        <v>1.8836099105517E-4</v>
      </c>
    </row>
    <row r="274" spans="1:71" x14ac:dyDescent="0.25">
      <c r="A274">
        <v>271</v>
      </c>
      <c r="B274" s="1">
        <v>1.1614934998438E-5</v>
      </c>
      <c r="C274">
        <v>0.106853275078199</v>
      </c>
      <c r="D274">
        <v>-3.1315439845248298E-4</v>
      </c>
      <c r="E274">
        <v>6.1312499999999995E-4</v>
      </c>
      <c r="F274">
        <v>-1.0685327507819801E-3</v>
      </c>
      <c r="G274" s="1">
        <v>1.0842021724855E-19</v>
      </c>
      <c r="H274" t="s">
        <v>74</v>
      </c>
      <c r="I274">
        <v>0</v>
      </c>
      <c r="J274" t="s">
        <v>75</v>
      </c>
      <c r="K274">
        <v>3.14159265358979</v>
      </c>
      <c r="L274">
        <v>0.53824165509766397</v>
      </c>
      <c r="M274">
        <v>0</v>
      </c>
      <c r="N274">
        <v>3.1602894721054799E-2</v>
      </c>
      <c r="O274">
        <v>0</v>
      </c>
      <c r="P274">
        <v>1.6E-2</v>
      </c>
      <c r="Q274">
        <v>0</v>
      </c>
      <c r="R274">
        <v>0</v>
      </c>
      <c r="S274">
        <v>0</v>
      </c>
      <c r="T274">
        <v>0</v>
      </c>
      <c r="U274">
        <v>0.54258231359484599</v>
      </c>
      <c r="V274" t="s">
        <v>78</v>
      </c>
      <c r="W274">
        <v>2344555.5278147901</v>
      </c>
      <c r="X274" t="s">
        <v>76</v>
      </c>
      <c r="Y274">
        <v>-1.5707963267949001</v>
      </c>
      <c r="Z274">
        <v>0.53111535131064802</v>
      </c>
      <c r="AA274">
        <v>0.45097963414831399</v>
      </c>
      <c r="AB274">
        <v>2.8237299517106101E-2</v>
      </c>
      <c r="AC274">
        <v>2.53281055267407E-2</v>
      </c>
      <c r="AD274">
        <v>4.2972850554894903E-3</v>
      </c>
      <c r="AE274">
        <v>3.2470213600712901E-2</v>
      </c>
      <c r="AF274">
        <v>0</v>
      </c>
      <c r="AG274">
        <v>0.18009689682378999</v>
      </c>
      <c r="AH274">
        <v>0.50455805331460402</v>
      </c>
      <c r="AI274">
        <v>0.22891880404025899</v>
      </c>
      <c r="AJ274" t="s">
        <v>74</v>
      </c>
      <c r="AK274">
        <v>0</v>
      </c>
      <c r="AL274" t="s">
        <v>77</v>
      </c>
      <c r="AM274">
        <v>0</v>
      </c>
      <c r="AN274">
        <v>0.99199999999999999</v>
      </c>
      <c r="AO274">
        <v>0</v>
      </c>
      <c r="AP274">
        <v>5.8245346242475203E-2</v>
      </c>
      <c r="AQ274">
        <v>0</v>
      </c>
      <c r="AR274">
        <v>1.6E-2</v>
      </c>
      <c r="AS274">
        <v>0</v>
      </c>
      <c r="AT274">
        <v>0</v>
      </c>
      <c r="AU274">
        <v>0</v>
      </c>
      <c r="AV274">
        <v>0</v>
      </c>
      <c r="AW274">
        <v>1</v>
      </c>
      <c r="AX274" t="s">
        <v>74</v>
      </c>
      <c r="AY274">
        <v>0</v>
      </c>
      <c r="AZ274" t="s">
        <v>76</v>
      </c>
      <c r="BA274">
        <v>-1.5707963267949001</v>
      </c>
      <c r="BB274">
        <v>0.99199999999999999</v>
      </c>
      <c r="BC274">
        <v>0</v>
      </c>
      <c r="BD274">
        <v>5.8245346242475203E-2</v>
      </c>
      <c r="BE274">
        <v>0</v>
      </c>
      <c r="BF274">
        <v>1.6E-2</v>
      </c>
      <c r="BG274">
        <v>0</v>
      </c>
      <c r="BH274">
        <v>0</v>
      </c>
      <c r="BI274">
        <v>0</v>
      </c>
      <c r="BJ274">
        <v>0</v>
      </c>
      <c r="BK274">
        <v>1</v>
      </c>
      <c r="BL274">
        <v>1.0082949612492601E-4</v>
      </c>
      <c r="BM274">
        <v>3.42327475069197E-4</v>
      </c>
      <c r="BN274" s="1">
        <v>3.6740163941489297E-7</v>
      </c>
      <c r="BO274" s="1">
        <v>5.3772674039966602E-6</v>
      </c>
      <c r="BP274">
        <v>0</v>
      </c>
      <c r="BQ274">
        <v>0</v>
      </c>
      <c r="BR274" s="1">
        <v>5.4449540141378598E-5</v>
      </c>
      <c r="BS274">
        <v>1.8905759491938799E-4</v>
      </c>
    </row>
    <row r="275" spans="1:71" x14ac:dyDescent="0.25">
      <c r="A275">
        <v>272</v>
      </c>
      <c r="B275" s="1">
        <v>1.17611928606148E-5</v>
      </c>
      <c r="C275">
        <v>0.10686503627105901</v>
      </c>
      <c r="D275">
        <v>-3.1321753962785002E-4</v>
      </c>
      <c r="E275">
        <v>6.1312499999999995E-4</v>
      </c>
      <c r="F275">
        <v>-1.0686503627105901E-3</v>
      </c>
      <c r="G275">
        <v>0</v>
      </c>
      <c r="H275" t="s">
        <v>74</v>
      </c>
      <c r="I275">
        <v>0</v>
      </c>
      <c r="J275" t="s">
        <v>75</v>
      </c>
      <c r="K275">
        <v>3.14159265358979</v>
      </c>
      <c r="L275">
        <v>0.53657569851446496</v>
      </c>
      <c r="M275">
        <v>0</v>
      </c>
      <c r="N275">
        <v>3.15050779690252E-2</v>
      </c>
      <c r="O275">
        <v>0</v>
      </c>
      <c r="P275">
        <v>1.6E-2</v>
      </c>
      <c r="Q275">
        <v>0</v>
      </c>
      <c r="R275">
        <v>0</v>
      </c>
      <c r="S275">
        <v>0</v>
      </c>
      <c r="T275">
        <v>0</v>
      </c>
      <c r="U275">
        <v>0.54090292187785105</v>
      </c>
      <c r="V275" t="s">
        <v>78</v>
      </c>
      <c r="W275">
        <v>2345100.4055098998</v>
      </c>
      <c r="X275" t="s">
        <v>76</v>
      </c>
      <c r="Y275">
        <v>-1.5707963267949001</v>
      </c>
      <c r="Z275">
        <v>0.52945441986697095</v>
      </c>
      <c r="AA275">
        <v>0.45267501316432301</v>
      </c>
      <c r="AB275">
        <v>2.8143852497952902E-2</v>
      </c>
      <c r="AC275">
        <v>2.5424560586912798E-2</v>
      </c>
      <c r="AD275">
        <v>4.1927753957540998E-3</v>
      </c>
      <c r="AE275">
        <v>3.2588941283580898E-2</v>
      </c>
      <c r="AF275">
        <v>0</v>
      </c>
      <c r="AG275">
        <v>0.17760798344908199</v>
      </c>
      <c r="AH275">
        <v>0.509560651416474</v>
      </c>
      <c r="AI275">
        <v>0.226736509218043</v>
      </c>
      <c r="AJ275" t="s">
        <v>74</v>
      </c>
      <c r="AK275">
        <v>0</v>
      </c>
      <c r="AL275" t="s">
        <v>77</v>
      </c>
      <c r="AM275">
        <v>0</v>
      </c>
      <c r="AN275">
        <v>0.99199999999999999</v>
      </c>
      <c r="AO275">
        <v>0</v>
      </c>
      <c r="AP275">
        <v>5.8245346242475203E-2</v>
      </c>
      <c r="AQ275">
        <v>0</v>
      </c>
      <c r="AR275">
        <v>1.6E-2</v>
      </c>
      <c r="AS275">
        <v>0</v>
      </c>
      <c r="AT275">
        <v>0</v>
      </c>
      <c r="AU275">
        <v>0</v>
      </c>
      <c r="AV275">
        <v>0</v>
      </c>
      <c r="AW275">
        <v>1</v>
      </c>
      <c r="AX275" t="s">
        <v>74</v>
      </c>
      <c r="AY275">
        <v>0</v>
      </c>
      <c r="AZ275" t="s">
        <v>76</v>
      </c>
      <c r="BA275">
        <v>-1.5707963267949001</v>
      </c>
      <c r="BB275">
        <v>0.99199999999999999</v>
      </c>
      <c r="BC275">
        <v>0</v>
      </c>
      <c r="BD275">
        <v>5.8245346242475203E-2</v>
      </c>
      <c r="BE275">
        <v>0</v>
      </c>
      <c r="BF275">
        <v>1.6E-2</v>
      </c>
      <c r="BG275">
        <v>0</v>
      </c>
      <c r="BH275">
        <v>0</v>
      </c>
      <c r="BI275">
        <v>0</v>
      </c>
      <c r="BJ275">
        <v>0</v>
      </c>
      <c r="BK275">
        <v>1</v>
      </c>
      <c r="BL275">
        <v>1.00782091769421E-4</v>
      </c>
      <c r="BM275">
        <v>3.43584317432778E-4</v>
      </c>
      <c r="BN275" s="1">
        <v>3.6723853784042401E-7</v>
      </c>
      <c r="BO275" s="1">
        <v>5.3970098376774004E-6</v>
      </c>
      <c r="BP275">
        <v>0</v>
      </c>
      <c r="BQ275">
        <v>0</v>
      </c>
      <c r="BR275" s="1">
        <v>5.4419420941482898E-5</v>
      </c>
      <c r="BS275">
        <v>1.89754050588994E-4</v>
      </c>
    </row>
    <row r="276" spans="1:71" x14ac:dyDescent="0.25">
      <c r="A276">
        <v>273</v>
      </c>
      <c r="B276" s="1">
        <v>1.19141138889899E-5</v>
      </c>
      <c r="C276">
        <v>0.106876950384948</v>
      </c>
      <c r="D276">
        <v>-3.1328149801415303E-4</v>
      </c>
      <c r="E276">
        <v>6.1312499999999995E-4</v>
      </c>
      <c r="F276">
        <v>-1.0687695038494799E-3</v>
      </c>
      <c r="G276">
        <v>0</v>
      </c>
      <c r="H276" t="s">
        <v>74</v>
      </c>
      <c r="I276">
        <v>0</v>
      </c>
      <c r="J276" t="s">
        <v>75</v>
      </c>
      <c r="K276">
        <v>3.14159265358979</v>
      </c>
      <c r="L276">
        <v>0.53491022865530302</v>
      </c>
      <c r="M276">
        <v>0</v>
      </c>
      <c r="N276">
        <v>3.1407289795029998E-2</v>
      </c>
      <c r="O276">
        <v>0</v>
      </c>
      <c r="P276">
        <v>1.6E-2</v>
      </c>
      <c r="Q276">
        <v>0</v>
      </c>
      <c r="R276">
        <v>0</v>
      </c>
      <c r="S276">
        <v>0</v>
      </c>
      <c r="T276">
        <v>0</v>
      </c>
      <c r="U276">
        <v>0.53922402081009202</v>
      </c>
      <c r="V276" t="s">
        <v>78</v>
      </c>
      <c r="W276">
        <v>2345652.3353387201</v>
      </c>
      <c r="X276" t="s">
        <v>76</v>
      </c>
      <c r="Y276">
        <v>-1.5707963267949001</v>
      </c>
      <c r="Z276">
        <v>0.52779383293647897</v>
      </c>
      <c r="AA276">
        <v>0.454747848953306</v>
      </c>
      <c r="AB276">
        <v>2.8050389425553001E-2</v>
      </c>
      <c r="AC276">
        <v>2.5532964292600699E-2</v>
      </c>
      <c r="AD276">
        <v>4.0884578821451696E-3</v>
      </c>
      <c r="AE276">
        <v>3.2707536848774102E-2</v>
      </c>
      <c r="AF276">
        <v>0</v>
      </c>
      <c r="AG276">
        <v>0.175069878461107</v>
      </c>
      <c r="AH276">
        <v>0.51461170673625301</v>
      </c>
      <c r="AI276">
        <v>0.22456165707046999</v>
      </c>
      <c r="AJ276" t="s">
        <v>74</v>
      </c>
      <c r="AK276">
        <v>0</v>
      </c>
      <c r="AL276" t="s">
        <v>77</v>
      </c>
      <c r="AM276">
        <v>0</v>
      </c>
      <c r="AN276">
        <v>0.99199999999999999</v>
      </c>
      <c r="AO276">
        <v>0</v>
      </c>
      <c r="AP276">
        <v>5.8245346242475203E-2</v>
      </c>
      <c r="AQ276">
        <v>0</v>
      </c>
      <c r="AR276">
        <v>1.6E-2</v>
      </c>
      <c r="AS276">
        <v>0</v>
      </c>
      <c r="AT276">
        <v>0</v>
      </c>
      <c r="AU276">
        <v>0</v>
      </c>
      <c r="AV276">
        <v>0</v>
      </c>
      <c r="AW276">
        <v>1</v>
      </c>
      <c r="AX276" t="s">
        <v>74</v>
      </c>
      <c r="AY276">
        <v>0</v>
      </c>
      <c r="AZ276" t="s">
        <v>76</v>
      </c>
      <c r="BA276">
        <v>-1.5707963267949001</v>
      </c>
      <c r="BB276">
        <v>0.99199999999999999</v>
      </c>
      <c r="BC276">
        <v>0</v>
      </c>
      <c r="BD276">
        <v>5.8245346242475203E-2</v>
      </c>
      <c r="BE276">
        <v>0</v>
      </c>
      <c r="BF276">
        <v>1.6E-2</v>
      </c>
      <c r="BG276">
        <v>0</v>
      </c>
      <c r="BH276">
        <v>0</v>
      </c>
      <c r="BI276">
        <v>0</v>
      </c>
      <c r="BJ276">
        <v>0</v>
      </c>
      <c r="BK276">
        <v>1</v>
      </c>
      <c r="BL276">
        <v>1.0074066799906701E-4</v>
      </c>
      <c r="BM276">
        <v>3.4484079259868001E-4</v>
      </c>
      <c r="BN276" s="1">
        <v>3.6708777939897399E-7</v>
      </c>
      <c r="BO276" s="1">
        <v>5.4167465034304697E-6</v>
      </c>
      <c r="BP276">
        <v>0</v>
      </c>
      <c r="BQ276">
        <v>0</v>
      </c>
      <c r="BR276" s="1">
        <v>5.4392611376206602E-5</v>
      </c>
      <c r="BS276">
        <v>1.9045035103538001E-4</v>
      </c>
    </row>
    <row r="277" spans="1:71" x14ac:dyDescent="0.25">
      <c r="A277">
        <v>274</v>
      </c>
      <c r="B277" s="1">
        <v>1.20741294336681E-5</v>
      </c>
      <c r="C277">
        <v>0.10688902451438199</v>
      </c>
      <c r="D277">
        <v>-3.13346311548663E-4</v>
      </c>
      <c r="E277">
        <v>6.1312499999999995E-4</v>
      </c>
      <c r="F277">
        <v>-1.06889024514382E-3</v>
      </c>
      <c r="G277" s="1">
        <v>1.0842021724855E-19</v>
      </c>
      <c r="H277" t="s">
        <v>74</v>
      </c>
      <c r="I277">
        <v>0</v>
      </c>
      <c r="J277" t="s">
        <v>75</v>
      </c>
      <c r="K277">
        <v>3.14159265358979</v>
      </c>
      <c r="L277">
        <v>0.53324526772988301</v>
      </c>
      <c r="M277">
        <v>0</v>
      </c>
      <c r="N277">
        <v>3.1309531503113303E-2</v>
      </c>
      <c r="O277">
        <v>0</v>
      </c>
      <c r="P277">
        <v>1.6E-2</v>
      </c>
      <c r="Q277">
        <v>0</v>
      </c>
      <c r="R277">
        <v>0</v>
      </c>
      <c r="S277">
        <v>0</v>
      </c>
      <c r="T277">
        <v>0</v>
      </c>
      <c r="U277">
        <v>0.53754563278038003</v>
      </c>
      <c r="V277" t="s">
        <v>78</v>
      </c>
      <c r="W277">
        <v>2346211.64468149</v>
      </c>
      <c r="X277" t="s">
        <v>76</v>
      </c>
      <c r="Y277">
        <v>-1.5707963267949001</v>
      </c>
      <c r="Z277">
        <v>0.52613360357953698</v>
      </c>
      <c r="AA277">
        <v>0.45594977143711501</v>
      </c>
      <c r="AB277">
        <v>2.7956908540388299E-2</v>
      </c>
      <c r="AC277">
        <v>2.56141021032852E-2</v>
      </c>
      <c r="AD277">
        <v>3.9843399396556102E-3</v>
      </c>
      <c r="AE277">
        <v>3.2825998330742401E-2</v>
      </c>
      <c r="AF277">
        <v>0</v>
      </c>
      <c r="AG277">
        <v>0.172481665866281</v>
      </c>
      <c r="AH277">
        <v>0.51971210175633398</v>
      </c>
      <c r="AI277">
        <v>0.222394305469128</v>
      </c>
      <c r="AJ277" t="s">
        <v>74</v>
      </c>
      <c r="AK277">
        <v>0</v>
      </c>
      <c r="AL277" t="s">
        <v>77</v>
      </c>
      <c r="AM277">
        <v>0</v>
      </c>
      <c r="AN277">
        <v>0.99199999999999999</v>
      </c>
      <c r="AO277">
        <v>0</v>
      </c>
      <c r="AP277">
        <v>5.8245346242475203E-2</v>
      </c>
      <c r="AQ277">
        <v>0</v>
      </c>
      <c r="AR277">
        <v>1.6E-2</v>
      </c>
      <c r="AS277">
        <v>0</v>
      </c>
      <c r="AT277">
        <v>0</v>
      </c>
      <c r="AU277">
        <v>0</v>
      </c>
      <c r="AV277">
        <v>0</v>
      </c>
      <c r="AW277">
        <v>1</v>
      </c>
      <c r="AX277" t="s">
        <v>74</v>
      </c>
      <c r="AY277">
        <v>0</v>
      </c>
      <c r="AZ277" t="s">
        <v>76</v>
      </c>
      <c r="BA277">
        <v>-1.5707963267949001</v>
      </c>
      <c r="BB277">
        <v>0.99199999999999999</v>
      </c>
      <c r="BC277">
        <v>0</v>
      </c>
      <c r="BD277">
        <v>5.8245346242475203E-2</v>
      </c>
      <c r="BE277">
        <v>0</v>
      </c>
      <c r="BF277">
        <v>1.6E-2</v>
      </c>
      <c r="BG277">
        <v>0</v>
      </c>
      <c r="BH277">
        <v>0</v>
      </c>
      <c r="BI277">
        <v>0</v>
      </c>
      <c r="BJ277">
        <v>0</v>
      </c>
      <c r="BK277">
        <v>1</v>
      </c>
      <c r="BL277">
        <v>1.00685617315869E-4</v>
      </c>
      <c r="BM277">
        <v>3.4609688381130702E-4</v>
      </c>
      <c r="BN277" s="1">
        <v>3.6691016385685202E-7</v>
      </c>
      <c r="BO277" s="1">
        <v>5.4364771380596204E-6</v>
      </c>
      <c r="BP277">
        <v>0</v>
      </c>
      <c r="BQ277">
        <v>0</v>
      </c>
      <c r="BR277" s="1">
        <v>5.43582828600099E-5</v>
      </c>
      <c r="BS277">
        <v>1.9114648874908201E-4</v>
      </c>
    </row>
    <row r="278" spans="1:71" x14ac:dyDescent="0.25">
      <c r="A278">
        <v>275</v>
      </c>
      <c r="B278" s="1">
        <v>1.2241709893892E-5</v>
      </c>
      <c r="C278">
        <v>0.106901266224276</v>
      </c>
      <c r="D278">
        <v>-3.13412020682497E-4</v>
      </c>
      <c r="E278">
        <v>6.1312499999999995E-4</v>
      </c>
      <c r="F278">
        <v>-1.06901266224276E-3</v>
      </c>
      <c r="G278">
        <v>0</v>
      </c>
      <c r="H278" t="s">
        <v>74</v>
      </c>
      <c r="I278">
        <v>0</v>
      </c>
      <c r="J278" t="s">
        <v>75</v>
      </c>
      <c r="K278">
        <v>3.14159265358979</v>
      </c>
      <c r="L278">
        <v>0.53158083948151602</v>
      </c>
      <c r="M278">
        <v>0</v>
      </c>
      <c r="N278">
        <v>3.1211804487365501E-2</v>
      </c>
      <c r="O278">
        <v>0</v>
      </c>
      <c r="P278">
        <v>1.6E-2</v>
      </c>
      <c r="Q278">
        <v>0</v>
      </c>
      <c r="R278">
        <v>0</v>
      </c>
      <c r="S278">
        <v>0</v>
      </c>
      <c r="T278">
        <v>0</v>
      </c>
      <c r="U278">
        <v>0.53586778172350802</v>
      </c>
      <c r="V278" t="s">
        <v>78</v>
      </c>
      <c r="W278">
        <v>2346778.6826117001</v>
      </c>
      <c r="X278" t="s">
        <v>76</v>
      </c>
      <c r="Y278">
        <v>-1.5707963267949001</v>
      </c>
      <c r="Z278">
        <v>0.52447374576311301</v>
      </c>
      <c r="AA278">
        <v>0.45751876346133902</v>
      </c>
      <c r="AB278">
        <v>2.78634079661697E-2</v>
      </c>
      <c r="AC278">
        <v>2.5706871150244701E-2</v>
      </c>
      <c r="AD278">
        <v>3.8804293904304201E-3</v>
      </c>
      <c r="AE278">
        <v>3.2944323705922998E-2</v>
      </c>
      <c r="AF278">
        <v>0</v>
      </c>
      <c r="AG278">
        <v>0.16984239621372499</v>
      </c>
      <c r="AH278">
        <v>0.52486275010240802</v>
      </c>
      <c r="AI278">
        <v>0.22023451416051801</v>
      </c>
      <c r="AJ278" t="s">
        <v>74</v>
      </c>
      <c r="AK278">
        <v>0</v>
      </c>
      <c r="AL278" t="s">
        <v>77</v>
      </c>
      <c r="AM278">
        <v>0</v>
      </c>
      <c r="AN278">
        <v>0.99199999999999999</v>
      </c>
      <c r="AO278">
        <v>0</v>
      </c>
      <c r="AP278">
        <v>5.8245346242475203E-2</v>
      </c>
      <c r="AQ278">
        <v>0</v>
      </c>
      <c r="AR278">
        <v>1.6E-2</v>
      </c>
      <c r="AS278">
        <v>0</v>
      </c>
      <c r="AT278">
        <v>0</v>
      </c>
      <c r="AU278">
        <v>0</v>
      </c>
      <c r="AV278">
        <v>0</v>
      </c>
      <c r="AW278">
        <v>1</v>
      </c>
      <c r="AX278" t="s">
        <v>74</v>
      </c>
      <c r="AY278">
        <v>0</v>
      </c>
      <c r="AZ278" t="s">
        <v>76</v>
      </c>
      <c r="BA278">
        <v>-1.5707963267949001</v>
      </c>
      <c r="BB278">
        <v>0.99199999999999999</v>
      </c>
      <c r="BC278">
        <v>0</v>
      </c>
      <c r="BD278">
        <v>5.8245346242475203E-2</v>
      </c>
      <c r="BE278">
        <v>0</v>
      </c>
      <c r="BF278">
        <v>1.6E-2</v>
      </c>
      <c r="BG278">
        <v>0</v>
      </c>
      <c r="BH278">
        <v>0</v>
      </c>
      <c r="BI278">
        <v>0</v>
      </c>
      <c r="BJ278">
        <v>0</v>
      </c>
      <c r="BK278">
        <v>1</v>
      </c>
      <c r="BL278">
        <v>1.00636388044365E-4</v>
      </c>
      <c r="BM278">
        <v>3.4735257315806701E-4</v>
      </c>
      <c r="BN278" s="1">
        <v>3.6674460392424999E-7</v>
      </c>
      <c r="BO278" s="1">
        <v>5.4562014601944696E-6</v>
      </c>
      <c r="BP278">
        <v>0</v>
      </c>
      <c r="BQ278">
        <v>0</v>
      </c>
      <c r="BR278" s="1">
        <v>5.4327176768045002E-5</v>
      </c>
      <c r="BS278">
        <v>1.9184245569597299E-4</v>
      </c>
    </row>
    <row r="279" spans="1:71" x14ac:dyDescent="0.25">
      <c r="A279">
        <v>276</v>
      </c>
      <c r="B279" s="1">
        <v>1.24173692301426E-5</v>
      </c>
      <c r="C279">
        <v>0.106913683593506</v>
      </c>
      <c r="D279">
        <v>-3.1347866861334298E-4</v>
      </c>
      <c r="E279">
        <v>6.1312499999999995E-4</v>
      </c>
      <c r="F279">
        <v>-1.0691368359350599E-3</v>
      </c>
      <c r="G279" s="1">
        <v>1.0842021724855E-19</v>
      </c>
      <c r="H279" t="s">
        <v>74</v>
      </c>
      <c r="I279">
        <v>0</v>
      </c>
      <c r="J279" t="s">
        <v>75</v>
      </c>
      <c r="K279">
        <v>3.14159265358979</v>
      </c>
      <c r="L279">
        <v>0.52991696932924204</v>
      </c>
      <c r="M279">
        <v>0</v>
      </c>
      <c r="N279">
        <v>3.1114110240266901E-2</v>
      </c>
      <c r="O279">
        <v>0</v>
      </c>
      <c r="P279">
        <v>1.6E-2</v>
      </c>
      <c r="Q279">
        <v>0</v>
      </c>
      <c r="R279">
        <v>0</v>
      </c>
      <c r="S279">
        <v>0</v>
      </c>
      <c r="T279">
        <v>0</v>
      </c>
      <c r="U279">
        <v>0.53419049326350598</v>
      </c>
      <c r="V279" t="s">
        <v>78</v>
      </c>
      <c r="W279">
        <v>2347353.8219044302</v>
      </c>
      <c r="X279" t="s">
        <v>76</v>
      </c>
      <c r="Y279">
        <v>-1.5707963267949001</v>
      </c>
      <c r="Z279">
        <v>0.52281427444332096</v>
      </c>
      <c r="AA279">
        <v>0.45943385581916801</v>
      </c>
      <c r="AB279">
        <v>2.7769885698627102E-2</v>
      </c>
      <c r="AC279">
        <v>2.58106178518476E-2</v>
      </c>
      <c r="AD279">
        <v>3.77673449071303E-3</v>
      </c>
      <c r="AE279">
        <v>3.3062510887162902E-2</v>
      </c>
      <c r="AF279">
        <v>0</v>
      </c>
      <c r="AG279">
        <v>0.16715108509861001</v>
      </c>
      <c r="AH279">
        <v>0.53006459782569904</v>
      </c>
      <c r="AI279">
        <v>0.21808234491568901</v>
      </c>
      <c r="AJ279" t="s">
        <v>74</v>
      </c>
      <c r="AK279">
        <v>0</v>
      </c>
      <c r="AL279" t="s">
        <v>77</v>
      </c>
      <c r="AM279">
        <v>0</v>
      </c>
      <c r="AN279">
        <v>0.99199999999999999</v>
      </c>
      <c r="AO279">
        <v>0</v>
      </c>
      <c r="AP279">
        <v>5.8245346242475203E-2</v>
      </c>
      <c r="AQ279">
        <v>0</v>
      </c>
      <c r="AR279">
        <v>1.6E-2</v>
      </c>
      <c r="AS279">
        <v>0</v>
      </c>
      <c r="AT279">
        <v>0</v>
      </c>
      <c r="AU279">
        <v>0</v>
      </c>
      <c r="AV279">
        <v>0</v>
      </c>
      <c r="AW279">
        <v>1</v>
      </c>
      <c r="AX279" t="s">
        <v>74</v>
      </c>
      <c r="AY279">
        <v>0</v>
      </c>
      <c r="AZ279" t="s">
        <v>76</v>
      </c>
      <c r="BA279">
        <v>-1.5707963267949001</v>
      </c>
      <c r="BB279">
        <v>0.99199999999999999</v>
      </c>
      <c r="BC279">
        <v>0</v>
      </c>
      <c r="BD279">
        <v>5.8245346242475203E-2</v>
      </c>
      <c r="BE279">
        <v>0</v>
      </c>
      <c r="BF279">
        <v>1.6E-2</v>
      </c>
      <c r="BG279">
        <v>0</v>
      </c>
      <c r="BH279">
        <v>0</v>
      </c>
      <c r="BI279">
        <v>0</v>
      </c>
      <c r="BJ279">
        <v>0</v>
      </c>
      <c r="BK279">
        <v>1</v>
      </c>
      <c r="BL279">
        <v>1.00592653137846E-4</v>
      </c>
      <c r="BM279">
        <v>3.4860784146215399E-4</v>
      </c>
      <c r="BN279" s="1">
        <v>3.6659046279633499E-7</v>
      </c>
      <c r="BO279" s="1">
        <v>5.4759191686064998E-6</v>
      </c>
      <c r="BP279">
        <v>0</v>
      </c>
      <c r="BQ279">
        <v>0</v>
      </c>
      <c r="BR279" s="1">
        <v>5.4299112993319199E-5</v>
      </c>
      <c r="BS279">
        <v>1.9253824326844699E-4</v>
      </c>
    </row>
    <row r="280" spans="1:71" x14ac:dyDescent="0.25">
      <c r="A280">
        <v>277</v>
      </c>
      <c r="B280" s="1">
        <v>1.2601670115486899E-5</v>
      </c>
      <c r="C280">
        <v>0.106926285263621</v>
      </c>
      <c r="D280">
        <v>-3.13546301545699E-4</v>
      </c>
      <c r="E280">
        <v>6.1312499999999995E-4</v>
      </c>
      <c r="F280">
        <v>-1.06926285263621E-3</v>
      </c>
      <c r="G280" s="1">
        <v>1.0842021724855E-19</v>
      </c>
      <c r="H280" t="s">
        <v>74</v>
      </c>
      <c r="I280">
        <v>0</v>
      </c>
      <c r="J280" t="s">
        <v>75</v>
      </c>
      <c r="K280">
        <v>3.14159265358979</v>
      </c>
      <c r="L280">
        <v>0.52825368452650601</v>
      </c>
      <c r="M280">
        <v>0</v>
      </c>
      <c r="N280">
        <v>3.10164503620056E-2</v>
      </c>
      <c r="O280">
        <v>0</v>
      </c>
      <c r="P280">
        <v>1.6E-2</v>
      </c>
      <c r="Q280">
        <v>0</v>
      </c>
      <c r="R280">
        <v>0</v>
      </c>
      <c r="S280">
        <v>0</v>
      </c>
      <c r="T280">
        <v>0</v>
      </c>
      <c r="U280">
        <v>0.53251379487360595</v>
      </c>
      <c r="V280" t="s">
        <v>78</v>
      </c>
      <c r="W280">
        <v>2347937.4612821001</v>
      </c>
      <c r="X280" t="s">
        <v>76</v>
      </c>
      <c r="Y280">
        <v>-1.5707963267949001</v>
      </c>
      <c r="Z280">
        <v>0.52115520565738704</v>
      </c>
      <c r="AA280">
        <v>0.46091904999389499</v>
      </c>
      <c r="AB280">
        <v>2.7676339592939699E-2</v>
      </c>
      <c r="AC280">
        <v>2.5900968280136501E-2</v>
      </c>
      <c r="AD280">
        <v>3.67326397217302E-3</v>
      </c>
      <c r="AE280">
        <v>3.3180557717395497E-2</v>
      </c>
      <c r="AF280">
        <v>0</v>
      </c>
      <c r="AG280">
        <v>0.16440671162432999</v>
      </c>
      <c r="AH280">
        <v>0.53531862470134695</v>
      </c>
      <c r="AI280">
        <v>0.215937861697032</v>
      </c>
      <c r="AJ280" t="s">
        <v>74</v>
      </c>
      <c r="AK280">
        <v>0</v>
      </c>
      <c r="AL280" t="s">
        <v>77</v>
      </c>
      <c r="AM280">
        <v>0</v>
      </c>
      <c r="AN280">
        <v>0.99199999999999999</v>
      </c>
      <c r="AO280">
        <v>0</v>
      </c>
      <c r="AP280">
        <v>5.8245346242475203E-2</v>
      </c>
      <c r="AQ280">
        <v>0</v>
      </c>
      <c r="AR280">
        <v>1.6E-2</v>
      </c>
      <c r="AS280">
        <v>0</v>
      </c>
      <c r="AT280">
        <v>0</v>
      </c>
      <c r="AU280">
        <v>0</v>
      </c>
      <c r="AV280">
        <v>0</v>
      </c>
      <c r="AW280">
        <v>1</v>
      </c>
      <c r="AX280" t="s">
        <v>74</v>
      </c>
      <c r="AY280">
        <v>0</v>
      </c>
      <c r="AZ280" t="s">
        <v>76</v>
      </c>
      <c r="BA280">
        <v>-1.5707963267949001</v>
      </c>
      <c r="BB280">
        <v>0.99199999999999999</v>
      </c>
      <c r="BC280">
        <v>0</v>
      </c>
      <c r="BD280">
        <v>5.8245346242475203E-2</v>
      </c>
      <c r="BE280">
        <v>0</v>
      </c>
      <c r="BF280">
        <v>1.6E-2</v>
      </c>
      <c r="BG280">
        <v>0</v>
      </c>
      <c r="BH280">
        <v>0</v>
      </c>
      <c r="BI280">
        <v>0</v>
      </c>
      <c r="BJ280">
        <v>0</v>
      </c>
      <c r="BK280">
        <v>1</v>
      </c>
      <c r="BL280">
        <v>1.00542225360016E-4</v>
      </c>
      <c r="BM280">
        <v>3.4986266816283798E-4</v>
      </c>
      <c r="BN280" s="1">
        <v>3.6642338384559099E-7</v>
      </c>
      <c r="BO280" s="1">
        <v>5.4956299403284804E-6</v>
      </c>
      <c r="BP280">
        <v>0</v>
      </c>
      <c r="BQ280">
        <v>0</v>
      </c>
      <c r="BR280" s="1">
        <v>5.4267360909331698E-5</v>
      </c>
      <c r="BS280">
        <v>1.9323384223093201E-4</v>
      </c>
    </row>
    <row r="281" spans="1:71" x14ac:dyDescent="0.25">
      <c r="A281">
        <v>278</v>
      </c>
      <c r="B281" s="1">
        <v>1.2795229833911401E-5</v>
      </c>
      <c r="C281">
        <v>0.106939080493455</v>
      </c>
      <c r="D281">
        <v>-3.1361496898261901E-4</v>
      </c>
      <c r="E281">
        <v>6.1312499999999995E-4</v>
      </c>
      <c r="F281">
        <v>-1.0693908049345499E-3</v>
      </c>
      <c r="G281" s="1">
        <v>1.0842021724855E-19</v>
      </c>
      <c r="H281" t="s">
        <v>74</v>
      </c>
      <c r="I281">
        <v>0</v>
      </c>
      <c r="J281" t="s">
        <v>75</v>
      </c>
      <c r="K281">
        <v>3.14159265358979</v>
      </c>
      <c r="L281">
        <v>0.52659101433873901</v>
      </c>
      <c r="M281">
        <v>0</v>
      </c>
      <c r="N281">
        <v>3.09188265709033E-2</v>
      </c>
      <c r="O281">
        <v>0</v>
      </c>
      <c r="P281">
        <v>1.6E-2</v>
      </c>
      <c r="Q281">
        <v>0</v>
      </c>
      <c r="R281">
        <v>0</v>
      </c>
      <c r="S281">
        <v>0</v>
      </c>
      <c r="T281">
        <v>0</v>
      </c>
      <c r="U281">
        <v>0.53083771605524999</v>
      </c>
      <c r="V281" t="s">
        <v>78</v>
      </c>
      <c r="W281">
        <v>2348530.0279319999</v>
      </c>
      <c r="X281" t="s">
        <v>76</v>
      </c>
      <c r="Y281">
        <v>-1.5707963267949001</v>
      </c>
      <c r="Z281">
        <v>0.51949655662630201</v>
      </c>
      <c r="AA281">
        <v>0.46272957006744703</v>
      </c>
      <c r="AB281">
        <v>2.7582767349602699E-2</v>
      </c>
      <c r="AC281">
        <v>2.6001654791661399E-2</v>
      </c>
      <c r="AD281">
        <v>3.57002708824766E-3</v>
      </c>
      <c r="AE281">
        <v>3.3298461962458302E-2</v>
      </c>
      <c r="AF281">
        <v>0</v>
      </c>
      <c r="AG281">
        <v>0.161608216832683</v>
      </c>
      <c r="AH281">
        <v>0.54062584553030002</v>
      </c>
      <c r="AI281">
        <v>0.21380113084465799</v>
      </c>
      <c r="AJ281" t="s">
        <v>74</v>
      </c>
      <c r="AK281">
        <v>0</v>
      </c>
      <c r="AL281" t="s">
        <v>77</v>
      </c>
      <c r="AM281">
        <v>0</v>
      </c>
      <c r="AN281">
        <v>0.99199999999999999</v>
      </c>
      <c r="AO281">
        <v>0</v>
      </c>
      <c r="AP281">
        <v>5.8245346242475203E-2</v>
      </c>
      <c r="AQ281">
        <v>0</v>
      </c>
      <c r="AR281">
        <v>1.6E-2</v>
      </c>
      <c r="AS281">
        <v>0</v>
      </c>
      <c r="AT281">
        <v>0</v>
      </c>
      <c r="AU281">
        <v>0</v>
      </c>
      <c r="AV281">
        <v>0</v>
      </c>
      <c r="AW281">
        <v>1</v>
      </c>
      <c r="AX281" t="s">
        <v>74</v>
      </c>
      <c r="AY281">
        <v>0</v>
      </c>
      <c r="AZ281" t="s">
        <v>76</v>
      </c>
      <c r="BA281">
        <v>-1.5707963267949001</v>
      </c>
      <c r="BB281">
        <v>0.99199999999999999</v>
      </c>
      <c r="BC281">
        <v>0</v>
      </c>
      <c r="BD281">
        <v>5.8245346242475203E-2</v>
      </c>
      <c r="BE281">
        <v>0</v>
      </c>
      <c r="BF281">
        <v>1.6E-2</v>
      </c>
      <c r="BG281">
        <v>0</v>
      </c>
      <c r="BH281">
        <v>0</v>
      </c>
      <c r="BI281">
        <v>0</v>
      </c>
      <c r="BJ281">
        <v>0</v>
      </c>
      <c r="BK281">
        <v>1</v>
      </c>
      <c r="BL281">
        <v>1.00496970598559E-4</v>
      </c>
      <c r="BM281">
        <v>3.5111703118149198E-4</v>
      </c>
      <c r="BN281" s="1">
        <v>3.66267119057215E-7</v>
      </c>
      <c r="BO281" s="1">
        <v>5.5153334285501598E-6</v>
      </c>
      <c r="BP281">
        <v>0</v>
      </c>
      <c r="BQ281">
        <v>0</v>
      </c>
      <c r="BR281" s="1">
        <v>5.4238474604217497E-5</v>
      </c>
      <c r="BS281">
        <v>1.93929242658921E-4</v>
      </c>
    </row>
    <row r="282" spans="1:71" x14ac:dyDescent="0.25">
      <c r="A282">
        <v>279</v>
      </c>
      <c r="B282" s="1">
        <v>1.29987270544788E-5</v>
      </c>
      <c r="C282">
        <v>0.10695207922051</v>
      </c>
      <c r="D282">
        <v>-3.1368472405362798E-4</v>
      </c>
      <c r="E282">
        <v>6.1312499999999995E-4</v>
      </c>
      <c r="F282">
        <v>-1.0695207922050999E-3</v>
      </c>
      <c r="G282">
        <v>0</v>
      </c>
      <c r="H282" t="s">
        <v>74</v>
      </c>
      <c r="I282">
        <v>0</v>
      </c>
      <c r="J282" t="s">
        <v>75</v>
      </c>
      <c r="K282">
        <v>3.14159265358979</v>
      </c>
      <c r="L282">
        <v>0.52492899024254702</v>
      </c>
      <c r="M282">
        <v>0</v>
      </c>
      <c r="N282">
        <v>3.0821240715110901E-2</v>
      </c>
      <c r="O282">
        <v>0</v>
      </c>
      <c r="P282">
        <v>1.6E-2</v>
      </c>
      <c r="Q282">
        <v>0</v>
      </c>
      <c r="R282">
        <v>0</v>
      </c>
      <c r="S282">
        <v>0</v>
      </c>
      <c r="T282">
        <v>0</v>
      </c>
      <c r="U282">
        <v>0.52916228853888703</v>
      </c>
      <c r="V282" t="s">
        <v>78</v>
      </c>
      <c r="W282">
        <v>2349131.9803361599</v>
      </c>
      <c r="X282" t="s">
        <v>76</v>
      </c>
      <c r="Y282">
        <v>-1.5707963267949001</v>
      </c>
      <c r="Z282">
        <v>0.51783834586967104</v>
      </c>
      <c r="AA282">
        <v>0.464487996537784</v>
      </c>
      <c r="AB282">
        <v>2.7489166498492E-2</v>
      </c>
      <c r="AC282">
        <v>2.61008264162268E-2</v>
      </c>
      <c r="AD282">
        <v>3.4670336662376601E-3</v>
      </c>
      <c r="AE282">
        <v>3.3416221302910103E-2</v>
      </c>
      <c r="AF282">
        <v>0</v>
      </c>
      <c r="AG282">
        <v>0.15875450211488901</v>
      </c>
      <c r="AH282">
        <v>0.54598731142775003</v>
      </c>
      <c r="AI282">
        <v>0.21167222128517801</v>
      </c>
      <c r="AJ282" t="s">
        <v>74</v>
      </c>
      <c r="AK282">
        <v>0</v>
      </c>
      <c r="AL282" t="s">
        <v>77</v>
      </c>
      <c r="AM282">
        <v>0</v>
      </c>
      <c r="AN282">
        <v>0.99199999999999999</v>
      </c>
      <c r="AO282">
        <v>0</v>
      </c>
      <c r="AP282">
        <v>5.8245346242475203E-2</v>
      </c>
      <c r="AQ282">
        <v>0</v>
      </c>
      <c r="AR282">
        <v>1.6E-2</v>
      </c>
      <c r="AS282">
        <v>0</v>
      </c>
      <c r="AT282">
        <v>0</v>
      </c>
      <c r="AU282">
        <v>0</v>
      </c>
      <c r="AV282">
        <v>0</v>
      </c>
      <c r="AW282">
        <v>1</v>
      </c>
      <c r="AX282" t="s">
        <v>74</v>
      </c>
      <c r="AY282">
        <v>0</v>
      </c>
      <c r="AZ282" t="s">
        <v>76</v>
      </c>
      <c r="BA282">
        <v>-1.5707963267949001</v>
      </c>
      <c r="BB282">
        <v>0.99199999999999999</v>
      </c>
      <c r="BC282">
        <v>0</v>
      </c>
      <c r="BD282">
        <v>5.8245346242475203E-2</v>
      </c>
      <c r="BE282">
        <v>0</v>
      </c>
      <c r="BF282">
        <v>1.6E-2</v>
      </c>
      <c r="BG282">
        <v>0</v>
      </c>
      <c r="BH282">
        <v>0</v>
      </c>
      <c r="BI282">
        <v>0</v>
      </c>
      <c r="BJ282">
        <v>0</v>
      </c>
      <c r="BK282">
        <v>1</v>
      </c>
      <c r="BL282">
        <v>1.0045096305739E-4</v>
      </c>
      <c r="BM282">
        <v>3.5237090677131902E-4</v>
      </c>
      <c r="BN282" s="1">
        <v>3.6610983790571097E-7</v>
      </c>
      <c r="BO282" s="1">
        <v>5.5350292602577498E-6</v>
      </c>
      <c r="BP282">
        <v>0</v>
      </c>
      <c r="BQ282">
        <v>0</v>
      </c>
      <c r="BR282" s="1">
        <v>5.4209181701442801E-5</v>
      </c>
      <c r="BS282">
        <v>1.9462443387060501E-4</v>
      </c>
    </row>
    <row r="283" spans="1:71" x14ac:dyDescent="0.25">
      <c r="A283">
        <v>280</v>
      </c>
      <c r="B283" s="1">
        <v>1.32129096363162E-5</v>
      </c>
      <c r="C283">
        <v>0.10696529213014599</v>
      </c>
      <c r="D283">
        <v>-3.1375562388432098E-4</v>
      </c>
      <c r="E283">
        <v>6.1312499999999995E-4</v>
      </c>
      <c r="F283">
        <v>-1.06965292130146E-3</v>
      </c>
      <c r="G283" s="1">
        <v>1.0842021724855E-19</v>
      </c>
      <c r="H283" t="s">
        <v>74</v>
      </c>
      <c r="I283">
        <v>0</v>
      </c>
      <c r="J283" t="s">
        <v>75</v>
      </c>
      <c r="K283">
        <v>3.14159265358979</v>
      </c>
      <c r="L283">
        <v>0.52326764614968901</v>
      </c>
      <c r="M283">
        <v>0</v>
      </c>
      <c r="N283">
        <v>3.07236947857597E-2</v>
      </c>
      <c r="O283">
        <v>0</v>
      </c>
      <c r="P283">
        <v>1.6E-2</v>
      </c>
      <c r="Q283">
        <v>0</v>
      </c>
      <c r="R283">
        <v>0</v>
      </c>
      <c r="S283">
        <v>0</v>
      </c>
      <c r="T283">
        <v>0</v>
      </c>
      <c r="U283">
        <v>0.52748754650975804</v>
      </c>
      <c r="V283" t="s">
        <v>78</v>
      </c>
      <c r="W283">
        <v>2349743.8114607399</v>
      </c>
      <c r="X283" t="s">
        <v>76</v>
      </c>
      <c r="Y283">
        <v>-1.5707963267949001</v>
      </c>
      <c r="Z283">
        <v>0.51618059333447597</v>
      </c>
      <c r="AA283">
        <v>0.46619446548274901</v>
      </c>
      <c r="AB283">
        <v>2.7395534380843502E-2</v>
      </c>
      <c r="AC283">
        <v>2.61984938855577E-2</v>
      </c>
      <c r="AD283">
        <v>3.3642941660266398E-3</v>
      </c>
      <c r="AE283">
        <v>3.3533833324687498E-2</v>
      </c>
      <c r="AF283">
        <v>0</v>
      </c>
      <c r="AG283">
        <v>0.155844427621086</v>
      </c>
      <c r="AH283">
        <v>0.551404111075673</v>
      </c>
      <c r="AI283">
        <v>0.20955120476620301</v>
      </c>
      <c r="AJ283" t="s">
        <v>74</v>
      </c>
      <c r="AK283">
        <v>0</v>
      </c>
      <c r="AL283" t="s">
        <v>77</v>
      </c>
      <c r="AM283">
        <v>0</v>
      </c>
      <c r="AN283">
        <v>0.99199999999999999</v>
      </c>
      <c r="AO283">
        <v>0</v>
      </c>
      <c r="AP283">
        <v>5.8245346242475203E-2</v>
      </c>
      <c r="AQ283">
        <v>0</v>
      </c>
      <c r="AR283">
        <v>1.6E-2</v>
      </c>
      <c r="AS283">
        <v>0</v>
      </c>
      <c r="AT283">
        <v>0</v>
      </c>
      <c r="AU283">
        <v>0</v>
      </c>
      <c r="AV283">
        <v>0</v>
      </c>
      <c r="AW283">
        <v>1</v>
      </c>
      <c r="AX283" t="s">
        <v>74</v>
      </c>
      <c r="AY283">
        <v>0</v>
      </c>
      <c r="AZ283" t="s">
        <v>76</v>
      </c>
      <c r="BA283">
        <v>-1.5707963267949001</v>
      </c>
      <c r="BB283">
        <v>0.99199999999999999</v>
      </c>
      <c r="BC283">
        <v>0</v>
      </c>
      <c r="BD283">
        <v>5.8245346242475203E-2</v>
      </c>
      <c r="BE283">
        <v>0</v>
      </c>
      <c r="BF283">
        <v>1.6E-2</v>
      </c>
      <c r="BG283">
        <v>0</v>
      </c>
      <c r="BH283">
        <v>0</v>
      </c>
      <c r="BI283">
        <v>0</v>
      </c>
      <c r="BJ283">
        <v>0</v>
      </c>
      <c r="BK283">
        <v>1</v>
      </c>
      <c r="BL283">
        <v>1.00404207768556E-4</v>
      </c>
      <c r="BM283">
        <v>3.5362426934837902E-4</v>
      </c>
      <c r="BN283" s="1">
        <v>3.6595157314243903E-7</v>
      </c>
      <c r="BO283" s="1">
        <v>5.5547170335796304E-6</v>
      </c>
      <c r="BP283">
        <v>0</v>
      </c>
      <c r="BQ283">
        <v>0</v>
      </c>
      <c r="BR283" s="1">
        <v>5.4179485494300602E-5</v>
      </c>
      <c r="BS283">
        <v>1.95319404350021E-4</v>
      </c>
    </row>
    <row r="284" spans="1:71" x14ac:dyDescent="0.25">
      <c r="A284">
        <v>281</v>
      </c>
      <c r="B284" s="1">
        <v>1.34386036510977E-5</v>
      </c>
      <c r="C284">
        <v>0.106978730733797</v>
      </c>
      <c r="D284">
        <v>-3.1382773001415099E-4</v>
      </c>
      <c r="E284">
        <v>6.1312499999999995E-4</v>
      </c>
      <c r="F284">
        <v>-1.06978730733797E-3</v>
      </c>
      <c r="G284" s="1">
        <v>1.0842021724855E-19</v>
      </c>
      <c r="H284" t="s">
        <v>74</v>
      </c>
      <c r="I284">
        <v>0</v>
      </c>
      <c r="J284" t="s">
        <v>75</v>
      </c>
      <c r="K284">
        <v>3.14159265358979</v>
      </c>
      <c r="L284">
        <v>0.52160701865954995</v>
      </c>
      <c r="M284">
        <v>0</v>
      </c>
      <c r="N284">
        <v>3.0626190931785001E-2</v>
      </c>
      <c r="O284">
        <v>0</v>
      </c>
      <c r="P284">
        <v>1.6E-2</v>
      </c>
      <c r="Q284">
        <v>0</v>
      </c>
      <c r="R284">
        <v>0</v>
      </c>
      <c r="S284">
        <v>0</v>
      </c>
      <c r="T284">
        <v>0</v>
      </c>
      <c r="U284">
        <v>0.52581352686240401</v>
      </c>
      <c r="V284" t="s">
        <v>78</v>
      </c>
      <c r="W284">
        <v>2350366.05236133</v>
      </c>
      <c r="X284" t="s">
        <v>76</v>
      </c>
      <c r="Y284">
        <v>-1.5707963267949001</v>
      </c>
      <c r="Z284">
        <v>0.51452332053973104</v>
      </c>
      <c r="AA284">
        <v>0.46784911928038703</v>
      </c>
      <c r="AB284">
        <v>2.7301868128810199E-2</v>
      </c>
      <c r="AC284">
        <v>2.62946689794086E-2</v>
      </c>
      <c r="AD284">
        <v>3.2618197464462902E-3</v>
      </c>
      <c r="AE284">
        <v>3.3651295508406801E-2</v>
      </c>
      <c r="AF284">
        <v>0</v>
      </c>
      <c r="AG284">
        <v>0.152876810692016</v>
      </c>
      <c r="AH284">
        <v>0.55687737191021103</v>
      </c>
      <c r="AI284">
        <v>0.20743815612038299</v>
      </c>
      <c r="AJ284" t="s">
        <v>74</v>
      </c>
      <c r="AK284">
        <v>0</v>
      </c>
      <c r="AL284" t="s">
        <v>77</v>
      </c>
      <c r="AM284">
        <v>0</v>
      </c>
      <c r="AN284">
        <v>0.99199999999999999</v>
      </c>
      <c r="AO284">
        <v>0</v>
      </c>
      <c r="AP284">
        <v>5.8245346242475203E-2</v>
      </c>
      <c r="AQ284">
        <v>0</v>
      </c>
      <c r="AR284">
        <v>1.6E-2</v>
      </c>
      <c r="AS284">
        <v>0</v>
      </c>
      <c r="AT284">
        <v>0</v>
      </c>
      <c r="AU284">
        <v>0</v>
      </c>
      <c r="AV284">
        <v>0</v>
      </c>
      <c r="AW284">
        <v>1</v>
      </c>
      <c r="AX284" t="s">
        <v>74</v>
      </c>
      <c r="AY284">
        <v>0</v>
      </c>
      <c r="AZ284" t="s">
        <v>76</v>
      </c>
      <c r="BA284">
        <v>-1.5707963267949001</v>
      </c>
      <c r="BB284">
        <v>0.99199999999999999</v>
      </c>
      <c r="BC284">
        <v>0</v>
      </c>
      <c r="BD284">
        <v>5.8245346242475203E-2</v>
      </c>
      <c r="BE284">
        <v>0</v>
      </c>
      <c r="BF284">
        <v>1.6E-2</v>
      </c>
      <c r="BG284">
        <v>0</v>
      </c>
      <c r="BH284">
        <v>0</v>
      </c>
      <c r="BI284">
        <v>0</v>
      </c>
      <c r="BJ284">
        <v>0</v>
      </c>
      <c r="BK284">
        <v>1</v>
      </c>
      <c r="BL284">
        <v>1.0035671026247701E-4</v>
      </c>
      <c r="BM284">
        <v>3.5487709130111399E-4</v>
      </c>
      <c r="BN284" s="1">
        <v>3.6579236063073698E-7</v>
      </c>
      <c r="BO284" s="1">
        <v>5.5743963147944596E-6</v>
      </c>
      <c r="BP284">
        <v>0</v>
      </c>
      <c r="BQ284">
        <v>0</v>
      </c>
      <c r="BR284" s="1">
        <v>5.4149389592434898E-5</v>
      </c>
      <c r="BS284">
        <v>1.96014141660459E-4</v>
      </c>
    </row>
    <row r="285" spans="1:71" x14ac:dyDescent="0.25">
      <c r="A285">
        <v>282</v>
      </c>
      <c r="B285" s="1">
        <v>1.36767238491461E-5</v>
      </c>
      <c r="C285">
        <v>0.106992407457646</v>
      </c>
      <c r="D285">
        <v>-3.1390110887009399E-4</v>
      </c>
      <c r="E285">
        <v>6.1312499999999995E-4</v>
      </c>
      <c r="F285">
        <v>-1.0699240745764599E-3</v>
      </c>
      <c r="G285" s="1">
        <v>1.0842021724855E-19</v>
      </c>
      <c r="H285" t="s">
        <v>74</v>
      </c>
      <c r="I285">
        <v>0</v>
      </c>
      <c r="J285" t="s">
        <v>75</v>
      </c>
      <c r="K285">
        <v>3.14159265358979</v>
      </c>
      <c r="L285">
        <v>0.51994714734450598</v>
      </c>
      <c r="M285">
        <v>0</v>
      </c>
      <c r="N285">
        <v>3.05287314766815E-2</v>
      </c>
      <c r="O285">
        <v>0</v>
      </c>
      <c r="P285">
        <v>1.6E-2</v>
      </c>
      <c r="Q285">
        <v>0</v>
      </c>
      <c r="R285">
        <v>0</v>
      </c>
      <c r="S285">
        <v>0</v>
      </c>
      <c r="T285">
        <v>0</v>
      </c>
      <c r="U285">
        <v>0.52414026948833503</v>
      </c>
      <c r="V285" t="s">
        <v>78</v>
      </c>
      <c r="W285">
        <v>2350999.2762705102</v>
      </c>
      <c r="X285" t="s">
        <v>76</v>
      </c>
      <c r="Y285">
        <v>-1.5707963267949001</v>
      </c>
      <c r="Z285">
        <v>0.512866550739426</v>
      </c>
      <c r="AA285">
        <v>0.469126679413152</v>
      </c>
      <c r="AB285">
        <v>2.7208164642197299E-2</v>
      </c>
      <c r="AC285">
        <v>2.6379140668247099E-2</v>
      </c>
      <c r="AD285">
        <v>3.15962234049988E-3</v>
      </c>
      <c r="AE285">
        <v>3.3768605217079202E-2</v>
      </c>
      <c r="AF285">
        <v>0</v>
      </c>
      <c r="AG285">
        <v>0.14985042434474499</v>
      </c>
      <c r="AH285">
        <v>0.56240826120537102</v>
      </c>
      <c r="AI285">
        <v>0.20533315356360199</v>
      </c>
      <c r="AJ285" t="s">
        <v>74</v>
      </c>
      <c r="AK285">
        <v>0</v>
      </c>
      <c r="AL285" t="s">
        <v>77</v>
      </c>
      <c r="AM285">
        <v>0</v>
      </c>
      <c r="AN285">
        <v>0.99199999999999999</v>
      </c>
      <c r="AO285">
        <v>0</v>
      </c>
      <c r="AP285">
        <v>5.8245346242475203E-2</v>
      </c>
      <c r="AQ285">
        <v>0</v>
      </c>
      <c r="AR285">
        <v>1.6E-2</v>
      </c>
      <c r="AS285">
        <v>0</v>
      </c>
      <c r="AT285">
        <v>0</v>
      </c>
      <c r="AU285">
        <v>0</v>
      </c>
      <c r="AV285">
        <v>0</v>
      </c>
      <c r="AW285">
        <v>1</v>
      </c>
      <c r="AX285" t="s">
        <v>74</v>
      </c>
      <c r="AY285">
        <v>0</v>
      </c>
      <c r="AZ285" t="s">
        <v>76</v>
      </c>
      <c r="BA285">
        <v>-1.5707963267949001</v>
      </c>
      <c r="BB285">
        <v>0.99199999999999999</v>
      </c>
      <c r="BC285">
        <v>0</v>
      </c>
      <c r="BD285">
        <v>5.8245346242475203E-2</v>
      </c>
      <c r="BE285">
        <v>0</v>
      </c>
      <c r="BF285">
        <v>1.6E-2</v>
      </c>
      <c r="BG285">
        <v>0</v>
      </c>
      <c r="BH285">
        <v>0</v>
      </c>
      <c r="BI285">
        <v>0</v>
      </c>
      <c r="BJ285">
        <v>0</v>
      </c>
      <c r="BK285">
        <v>1</v>
      </c>
      <c r="BL285">
        <v>1.00303364636038E-4</v>
      </c>
      <c r="BM285">
        <v>3.5612934277505802E-4</v>
      </c>
      <c r="BN285" s="1">
        <v>3.65622015393938E-7</v>
      </c>
      <c r="BO285" s="1">
        <v>5.59406663494942E-6</v>
      </c>
      <c r="BP285">
        <v>0</v>
      </c>
      <c r="BQ285">
        <v>0</v>
      </c>
      <c r="BR285" s="1">
        <v>5.4116074342228101E-5</v>
      </c>
      <c r="BS285">
        <v>1.9670863234664E-4</v>
      </c>
    </row>
    <row r="286" spans="1:71" x14ac:dyDescent="0.25">
      <c r="A286">
        <v>283</v>
      </c>
      <c r="B286" s="1">
        <v>1.3928285844621599E-5</v>
      </c>
      <c r="C286">
        <v>0.107006335743491</v>
      </c>
      <c r="D286">
        <v>-3.1397583230539201E-4</v>
      </c>
      <c r="E286">
        <v>6.1312499999999995E-4</v>
      </c>
      <c r="F286">
        <v>-1.07006335743491E-3</v>
      </c>
      <c r="G286">
        <v>0</v>
      </c>
      <c r="H286" t="s">
        <v>74</v>
      </c>
      <c r="I286">
        <v>0</v>
      </c>
      <c r="J286" t="s">
        <v>75</v>
      </c>
      <c r="K286">
        <v>3.14159265358979</v>
      </c>
      <c r="L286">
        <v>0.51828807507330998</v>
      </c>
      <c r="M286">
        <v>0</v>
      </c>
      <c r="N286">
        <v>3.0431318937490799E-2</v>
      </c>
      <c r="O286">
        <v>0</v>
      </c>
      <c r="P286">
        <v>1.6E-2</v>
      </c>
      <c r="Q286">
        <v>0</v>
      </c>
      <c r="R286">
        <v>0</v>
      </c>
      <c r="S286">
        <v>0</v>
      </c>
      <c r="T286">
        <v>0</v>
      </c>
      <c r="U286">
        <v>0.52246781760201799</v>
      </c>
      <c r="V286" t="s">
        <v>78</v>
      </c>
      <c r="W286">
        <v>2351644.1032468802</v>
      </c>
      <c r="X286" t="s">
        <v>76</v>
      </c>
      <c r="Y286">
        <v>-1.5707963267949001</v>
      </c>
      <c r="Z286">
        <v>0.51121030910641796</v>
      </c>
      <c r="AA286">
        <v>0.47099324235936302</v>
      </c>
      <c r="AB286">
        <v>2.7114420561893102E-2</v>
      </c>
      <c r="AC286">
        <v>2.6482268382433199E-2</v>
      </c>
      <c r="AD286">
        <v>3.0577147408760701E-3</v>
      </c>
      <c r="AE286">
        <v>3.3885759681969198E-2</v>
      </c>
      <c r="AF286">
        <v>0</v>
      </c>
      <c r="AG286">
        <v>0.14676399585441599</v>
      </c>
      <c r="AH286">
        <v>0.56799798700333703</v>
      </c>
      <c r="AI286">
        <v>0.20323627903261501</v>
      </c>
      <c r="AJ286" t="s">
        <v>74</v>
      </c>
      <c r="AK286">
        <v>0</v>
      </c>
      <c r="AL286" t="s">
        <v>77</v>
      </c>
      <c r="AM286">
        <v>0</v>
      </c>
      <c r="AN286">
        <v>0.99199999999999999</v>
      </c>
      <c r="AO286">
        <v>0</v>
      </c>
      <c r="AP286">
        <v>5.8245346242475203E-2</v>
      </c>
      <c r="AQ286">
        <v>0</v>
      </c>
      <c r="AR286">
        <v>1.6E-2</v>
      </c>
      <c r="AS286">
        <v>0</v>
      </c>
      <c r="AT286">
        <v>0</v>
      </c>
      <c r="AU286">
        <v>0</v>
      </c>
      <c r="AV286">
        <v>0</v>
      </c>
      <c r="AW286">
        <v>1</v>
      </c>
      <c r="AX286" t="s">
        <v>74</v>
      </c>
      <c r="AY286">
        <v>0</v>
      </c>
      <c r="AZ286" t="s">
        <v>76</v>
      </c>
      <c r="BA286">
        <v>-1.5707963267949001</v>
      </c>
      <c r="BB286">
        <v>0.99199999999999999</v>
      </c>
      <c r="BC286">
        <v>0</v>
      </c>
      <c r="BD286">
        <v>5.8245346242475203E-2</v>
      </c>
      <c r="BE286">
        <v>0</v>
      </c>
      <c r="BF286">
        <v>1.6E-2</v>
      </c>
      <c r="BG286">
        <v>0</v>
      </c>
      <c r="BH286">
        <v>0</v>
      </c>
      <c r="BI286">
        <v>0</v>
      </c>
      <c r="BJ286">
        <v>0</v>
      </c>
      <c r="BK286">
        <v>1</v>
      </c>
      <c r="BL286">
        <v>1.00259350183384E-4</v>
      </c>
      <c r="BM286">
        <v>3.5738099142887701E-4</v>
      </c>
      <c r="BN286" s="1">
        <v>3.6547092515722702E-7</v>
      </c>
      <c r="BO286" s="1">
        <v>5.6137274860279801E-6</v>
      </c>
      <c r="BP286">
        <v>0</v>
      </c>
      <c r="BQ286">
        <v>0</v>
      </c>
      <c r="BR286" s="1">
        <v>5.4087924701629001E-5</v>
      </c>
      <c r="BS286">
        <v>1.9740286182392801E-4</v>
      </c>
    </row>
    <row r="287" spans="1:71" x14ac:dyDescent="0.25">
      <c r="A287">
        <v>284</v>
      </c>
      <c r="B287" s="1">
        <v>1.4194420355950501E-5</v>
      </c>
      <c r="C287">
        <v>0.10702053016384699</v>
      </c>
      <c r="D287">
        <v>-3.1405197821432099E-4</v>
      </c>
      <c r="E287">
        <v>6.1312499999999995E-4</v>
      </c>
      <c r="F287">
        <v>-1.0702053016384699E-3</v>
      </c>
      <c r="G287">
        <v>0</v>
      </c>
      <c r="H287" t="s">
        <v>74</v>
      </c>
      <c r="I287">
        <v>0</v>
      </c>
      <c r="J287" t="s">
        <v>75</v>
      </c>
      <c r="K287">
        <v>3.14159265358979</v>
      </c>
      <c r="L287">
        <v>0.51662984837860404</v>
      </c>
      <c r="M287">
        <v>0</v>
      </c>
      <c r="N287">
        <v>3.0333956046380301E-2</v>
      </c>
      <c r="O287">
        <v>0</v>
      </c>
      <c r="P287">
        <v>1.6E-2</v>
      </c>
      <c r="Q287">
        <v>0</v>
      </c>
      <c r="R287">
        <v>0</v>
      </c>
      <c r="S287">
        <v>0</v>
      </c>
      <c r="T287">
        <v>0</v>
      </c>
      <c r="U287">
        <v>0.52079621811135801</v>
      </c>
      <c r="V287" t="s">
        <v>78</v>
      </c>
      <c r="W287">
        <v>2352301.2054802198</v>
      </c>
      <c r="X287" t="s">
        <v>76</v>
      </c>
      <c r="Y287">
        <v>-1.5707963267949001</v>
      </c>
      <c r="Z287">
        <v>0.509554622940526</v>
      </c>
      <c r="AA287">
        <v>0.47249337527380197</v>
      </c>
      <c r="AB287">
        <v>2.7020632239419001E-2</v>
      </c>
      <c r="AC287">
        <v>2.6574045182674401E-2</v>
      </c>
      <c r="AD287">
        <v>2.9561106974647202E-3</v>
      </c>
      <c r="AE287">
        <v>3.4002755986264198E-2</v>
      </c>
      <c r="AF287">
        <v>0</v>
      </c>
      <c r="AG287">
        <v>0.14361620548767001</v>
      </c>
      <c r="AH287">
        <v>0.57364779882651795</v>
      </c>
      <c r="AI287">
        <v>0.20114761856853</v>
      </c>
      <c r="AJ287" t="s">
        <v>74</v>
      </c>
      <c r="AK287">
        <v>0</v>
      </c>
      <c r="AL287" t="s">
        <v>77</v>
      </c>
      <c r="AM287">
        <v>0</v>
      </c>
      <c r="AN287">
        <v>0.99199999999999999</v>
      </c>
      <c r="AO287">
        <v>0</v>
      </c>
      <c r="AP287">
        <v>5.8245346242475203E-2</v>
      </c>
      <c r="AQ287">
        <v>0</v>
      </c>
      <c r="AR287">
        <v>1.6E-2</v>
      </c>
      <c r="AS287">
        <v>0</v>
      </c>
      <c r="AT287">
        <v>0</v>
      </c>
      <c r="AU287">
        <v>0</v>
      </c>
      <c r="AV287">
        <v>0</v>
      </c>
      <c r="AW287">
        <v>1</v>
      </c>
      <c r="AX287" t="s">
        <v>74</v>
      </c>
      <c r="AY287">
        <v>0</v>
      </c>
      <c r="AZ287" t="s">
        <v>76</v>
      </c>
      <c r="BA287">
        <v>-1.5707963267949001</v>
      </c>
      <c r="BB287">
        <v>0.99199999999999999</v>
      </c>
      <c r="BC287">
        <v>0</v>
      </c>
      <c r="BD287">
        <v>5.8245346242475203E-2</v>
      </c>
      <c r="BE287">
        <v>0</v>
      </c>
      <c r="BF287">
        <v>1.6E-2</v>
      </c>
      <c r="BG287">
        <v>0</v>
      </c>
      <c r="BH287">
        <v>0</v>
      </c>
      <c r="BI287">
        <v>0</v>
      </c>
      <c r="BJ287">
        <v>0</v>
      </c>
      <c r="BK287">
        <v>1</v>
      </c>
      <c r="BL287">
        <v>1.00209662976712E-4</v>
      </c>
      <c r="BM287">
        <v>3.5863200215709401E-4</v>
      </c>
      <c r="BN287" s="1">
        <v>3.6530911328267802E-7</v>
      </c>
      <c r="BO287" s="1">
        <v>5.6333783165946297E-6</v>
      </c>
      <c r="BP287">
        <v>0</v>
      </c>
      <c r="BQ287">
        <v>0</v>
      </c>
      <c r="BR287" s="1">
        <v>5.4056653934873203E-5</v>
      </c>
      <c r="BS287">
        <v>1.9809681425250999E-4</v>
      </c>
    </row>
    <row r="288" spans="1:71" x14ac:dyDescent="0.25">
      <c r="A288">
        <v>285</v>
      </c>
      <c r="B288" s="1">
        <v>1.44763899149968E-5</v>
      </c>
      <c r="C288">
        <v>0.107035006553762</v>
      </c>
      <c r="D288">
        <v>-3.14129631236186E-4</v>
      </c>
      <c r="E288">
        <v>6.1312499999999995E-4</v>
      </c>
      <c r="F288">
        <v>-1.0703500655376199E-3</v>
      </c>
      <c r="G288" s="1">
        <v>1.0842021724855E-19</v>
      </c>
      <c r="H288" t="s">
        <v>74</v>
      </c>
      <c r="I288">
        <v>0</v>
      </c>
      <c r="J288" t="s">
        <v>75</v>
      </c>
      <c r="K288">
        <v>3.14159265358979</v>
      </c>
      <c r="L288">
        <v>0.51497251787581499</v>
      </c>
      <c r="M288">
        <v>0</v>
      </c>
      <c r="N288">
        <v>3.0236645775237998E-2</v>
      </c>
      <c r="O288">
        <v>0</v>
      </c>
      <c r="P288">
        <v>1.6E-2</v>
      </c>
      <c r="Q288">
        <v>0</v>
      </c>
      <c r="R288">
        <v>0</v>
      </c>
      <c r="S288">
        <v>0</v>
      </c>
      <c r="T288">
        <v>0</v>
      </c>
      <c r="U288">
        <v>0.51912552203997298</v>
      </c>
      <c r="V288" t="s">
        <v>78</v>
      </c>
      <c r="W288">
        <v>2352971.3133666599</v>
      </c>
      <c r="X288" t="s">
        <v>76</v>
      </c>
      <c r="Y288">
        <v>-1.5707963267949001</v>
      </c>
      <c r="Z288">
        <v>0.50789952190454801</v>
      </c>
      <c r="AA288">
        <v>0.47423682633439501</v>
      </c>
      <c r="AB288">
        <v>2.6926795701896399E-2</v>
      </c>
      <c r="AC288">
        <v>2.6673636638630101E-2</v>
      </c>
      <c r="AD288">
        <v>2.85482502891631E-3</v>
      </c>
      <c r="AE288">
        <v>3.4119591046161898E-2</v>
      </c>
      <c r="AF288">
        <v>0</v>
      </c>
      <c r="AG288">
        <v>0.14040568546069901</v>
      </c>
      <c r="AH288">
        <v>0.57935898808744801</v>
      </c>
      <c r="AI288">
        <v>0.19906726275364101</v>
      </c>
      <c r="AJ288" t="s">
        <v>74</v>
      </c>
      <c r="AK288">
        <v>0</v>
      </c>
      <c r="AL288" t="s">
        <v>77</v>
      </c>
      <c r="AM288">
        <v>0</v>
      </c>
      <c r="AN288">
        <v>0.99199999999999999</v>
      </c>
      <c r="AO288">
        <v>0</v>
      </c>
      <c r="AP288">
        <v>5.8245346242475203E-2</v>
      </c>
      <c r="AQ288">
        <v>0</v>
      </c>
      <c r="AR288">
        <v>1.6E-2</v>
      </c>
      <c r="AS288">
        <v>0</v>
      </c>
      <c r="AT288">
        <v>0</v>
      </c>
      <c r="AU288">
        <v>0</v>
      </c>
      <c r="AV288">
        <v>0</v>
      </c>
      <c r="AW288">
        <v>1</v>
      </c>
      <c r="AX288" t="s">
        <v>74</v>
      </c>
      <c r="AY288">
        <v>0</v>
      </c>
      <c r="AZ288" t="s">
        <v>76</v>
      </c>
      <c r="BA288">
        <v>-1.5707963267949001</v>
      </c>
      <c r="BB288">
        <v>0.99199999999999999</v>
      </c>
      <c r="BC288">
        <v>0</v>
      </c>
      <c r="BD288">
        <v>5.8245346242475203E-2</v>
      </c>
      <c r="BE288">
        <v>0</v>
      </c>
      <c r="BF288">
        <v>1.6E-2</v>
      </c>
      <c r="BG288">
        <v>0</v>
      </c>
      <c r="BH288">
        <v>0</v>
      </c>
      <c r="BI288">
        <v>0</v>
      </c>
      <c r="BJ288">
        <v>0</v>
      </c>
      <c r="BK288">
        <v>1</v>
      </c>
      <c r="BL288">
        <v>1.00163885300357E-4</v>
      </c>
      <c r="BM288">
        <v>3.5988233677407402E-4</v>
      </c>
      <c r="BN288" s="1">
        <v>3.6515577843290198E-7</v>
      </c>
      <c r="BO288" s="1">
        <v>5.6530185268307898E-6</v>
      </c>
      <c r="BP288">
        <v>0</v>
      </c>
      <c r="BQ288">
        <v>0</v>
      </c>
      <c r="BR288" s="1">
        <v>5.4027555716812197E-5</v>
      </c>
      <c r="BS288">
        <v>1.9879047239411299E-4</v>
      </c>
    </row>
    <row r="289" spans="1:71" x14ac:dyDescent="0.25">
      <c r="A289">
        <v>286</v>
      </c>
      <c r="B289" s="1">
        <v>1.4775608554947E-5</v>
      </c>
      <c r="C289">
        <v>0.107049782162317</v>
      </c>
      <c r="D289">
        <v>-3.1420888356442601E-4</v>
      </c>
      <c r="E289">
        <v>6.1312499999999995E-4</v>
      </c>
      <c r="F289">
        <v>-1.07049782162317E-3</v>
      </c>
      <c r="G289" s="1">
        <v>1.0842021724855E-19</v>
      </c>
      <c r="H289" t="s">
        <v>74</v>
      </c>
      <c r="I289">
        <v>0</v>
      </c>
      <c r="J289" t="s">
        <v>75</v>
      </c>
      <c r="K289">
        <v>3.14159265358979</v>
      </c>
      <c r="L289">
        <v>0.51331613874204196</v>
      </c>
      <c r="M289">
        <v>0</v>
      </c>
      <c r="N289">
        <v>3.0139391363790999E-2</v>
      </c>
      <c r="O289">
        <v>0</v>
      </c>
      <c r="P289">
        <v>1.6E-2</v>
      </c>
      <c r="Q289">
        <v>0</v>
      </c>
      <c r="R289">
        <v>0</v>
      </c>
      <c r="S289">
        <v>0</v>
      </c>
      <c r="T289">
        <v>0</v>
      </c>
      <c r="U289">
        <v>0.51745578500993605</v>
      </c>
      <c r="V289" t="s">
        <v>78</v>
      </c>
      <c r="W289">
        <v>2353655.2224908201</v>
      </c>
      <c r="X289" t="s">
        <v>76</v>
      </c>
      <c r="Y289">
        <v>-1.5707963267949001</v>
      </c>
      <c r="Z289">
        <v>0.50624503829261203</v>
      </c>
      <c r="AA289">
        <v>0.47591903878402902</v>
      </c>
      <c r="AB289">
        <v>2.6832906611581098E-2</v>
      </c>
      <c r="AC289">
        <v>2.67714863293999E-2</v>
      </c>
      <c r="AD289">
        <v>2.7538737506983698E-3</v>
      </c>
      <c r="AE289">
        <v>3.4236261588900703E-2</v>
      </c>
      <c r="AF289">
        <v>0</v>
      </c>
      <c r="AG289">
        <v>0.137131019217795</v>
      </c>
      <c r="AH289">
        <v>0.58513288808766895</v>
      </c>
      <c r="AI289">
        <v>0.19699530721059</v>
      </c>
      <c r="AJ289" t="s">
        <v>74</v>
      </c>
      <c r="AK289">
        <v>0</v>
      </c>
      <c r="AL289" t="s">
        <v>77</v>
      </c>
      <c r="AM289">
        <v>0</v>
      </c>
      <c r="AN289">
        <v>0.99199999999999999</v>
      </c>
      <c r="AO289">
        <v>0</v>
      </c>
      <c r="AP289">
        <v>5.8245346242475203E-2</v>
      </c>
      <c r="AQ289">
        <v>0</v>
      </c>
      <c r="AR289">
        <v>1.6E-2</v>
      </c>
      <c r="AS289">
        <v>0</v>
      </c>
      <c r="AT289">
        <v>0</v>
      </c>
      <c r="AU289">
        <v>0</v>
      </c>
      <c r="AV289">
        <v>0</v>
      </c>
      <c r="AW289">
        <v>1</v>
      </c>
      <c r="AX289" t="s">
        <v>74</v>
      </c>
      <c r="AY289">
        <v>0</v>
      </c>
      <c r="AZ289" t="s">
        <v>76</v>
      </c>
      <c r="BA289">
        <v>-1.5707963267949001</v>
      </c>
      <c r="BB289">
        <v>0.99199999999999999</v>
      </c>
      <c r="BC289">
        <v>0</v>
      </c>
      <c r="BD289">
        <v>5.8245346242475203E-2</v>
      </c>
      <c r="BE289">
        <v>0</v>
      </c>
      <c r="BF289">
        <v>1.6E-2</v>
      </c>
      <c r="BG289">
        <v>0</v>
      </c>
      <c r="BH289">
        <v>0</v>
      </c>
      <c r="BI289">
        <v>0</v>
      </c>
      <c r="BJ289">
        <v>0</v>
      </c>
      <c r="BK289">
        <v>1</v>
      </c>
      <c r="BL289">
        <v>1.00117238394861E-4</v>
      </c>
      <c r="BM289">
        <v>3.6113195365273197E-4</v>
      </c>
      <c r="BN289" s="1">
        <v>3.6500140107272498E-7</v>
      </c>
      <c r="BO289" s="1">
        <v>5.6726474628597597E-6</v>
      </c>
      <c r="BP289">
        <v>0</v>
      </c>
      <c r="BQ289">
        <v>0</v>
      </c>
      <c r="BR289" s="1">
        <v>5.3997991292249802E-5</v>
      </c>
      <c r="BS289">
        <v>1.9948381744836299E-4</v>
      </c>
    </row>
    <row r="290" spans="1:71" x14ac:dyDescent="0.25">
      <c r="A290">
        <v>287</v>
      </c>
      <c r="B290" s="1">
        <v>1.5093665110542401E-5</v>
      </c>
      <c r="C290">
        <v>0.10706487582742701</v>
      </c>
      <c r="D290">
        <v>-3.1428983588011099E-4</v>
      </c>
      <c r="E290">
        <v>6.1312499999999995E-4</v>
      </c>
      <c r="F290">
        <v>-1.07064875827427E-3</v>
      </c>
      <c r="G290">
        <v>0</v>
      </c>
      <c r="H290" t="s">
        <v>74</v>
      </c>
      <c r="I290">
        <v>0</v>
      </c>
      <c r="J290" t="s">
        <v>75</v>
      </c>
      <c r="K290">
        <v>3.14159265358979</v>
      </c>
      <c r="L290">
        <v>0.51166077126524401</v>
      </c>
      <c r="M290">
        <v>0</v>
      </c>
      <c r="N290">
        <v>3.0042196351850799E-2</v>
      </c>
      <c r="O290">
        <v>0</v>
      </c>
      <c r="P290">
        <v>1.6E-2</v>
      </c>
      <c r="Q290">
        <v>0</v>
      </c>
      <c r="R290">
        <v>0</v>
      </c>
      <c r="S290">
        <v>0</v>
      </c>
      <c r="T290">
        <v>0</v>
      </c>
      <c r="U290">
        <v>0.51578706779539996</v>
      </c>
      <c r="V290" t="s">
        <v>78</v>
      </c>
      <c r="W290">
        <v>2354353.8016814599</v>
      </c>
      <c r="X290" t="s">
        <v>76</v>
      </c>
      <c r="Y290">
        <v>-1.5707963267949001</v>
      </c>
      <c r="Z290">
        <v>0.50459120733606999</v>
      </c>
      <c r="AA290">
        <v>0.47754023954125902</v>
      </c>
      <c r="AB290">
        <v>2.6738960218923E-2</v>
      </c>
      <c r="AC290">
        <v>2.6867613004535398E-2</v>
      </c>
      <c r="AD290">
        <v>2.6532742226048501E-3</v>
      </c>
      <c r="AE290">
        <v>3.4352764127156099E-2</v>
      </c>
      <c r="AF290">
        <v>0</v>
      </c>
      <c r="AG290">
        <v>0.133790741156041</v>
      </c>
      <c r="AH290">
        <v>0.59097087346438604</v>
      </c>
      <c r="AI290">
        <v>0.19493185317459699</v>
      </c>
      <c r="AJ290" t="s">
        <v>74</v>
      </c>
      <c r="AK290">
        <v>0</v>
      </c>
      <c r="AL290" t="s">
        <v>77</v>
      </c>
      <c r="AM290">
        <v>0</v>
      </c>
      <c r="AN290">
        <v>0.99199999999999999</v>
      </c>
      <c r="AO290">
        <v>0</v>
      </c>
      <c r="AP290">
        <v>5.8245346242475203E-2</v>
      </c>
      <c r="AQ290">
        <v>0</v>
      </c>
      <c r="AR290">
        <v>1.6E-2</v>
      </c>
      <c r="AS290">
        <v>0</v>
      </c>
      <c r="AT290">
        <v>0</v>
      </c>
      <c r="AU290">
        <v>0</v>
      </c>
      <c r="AV290">
        <v>0</v>
      </c>
      <c r="AW290">
        <v>1</v>
      </c>
      <c r="AX290" t="s">
        <v>74</v>
      </c>
      <c r="AY290">
        <v>0</v>
      </c>
      <c r="AZ290" t="s">
        <v>76</v>
      </c>
      <c r="BA290">
        <v>-1.5707963267949001</v>
      </c>
      <c r="BB290">
        <v>0.99199999999999999</v>
      </c>
      <c r="BC290">
        <v>0</v>
      </c>
      <c r="BD290">
        <v>5.8245346242475203E-2</v>
      </c>
      <c r="BE290">
        <v>0</v>
      </c>
      <c r="BF290">
        <v>1.6E-2</v>
      </c>
      <c r="BG290">
        <v>0</v>
      </c>
      <c r="BH290">
        <v>0</v>
      </c>
      <c r="BI290">
        <v>0</v>
      </c>
      <c r="BJ290">
        <v>0</v>
      </c>
      <c r="BK290">
        <v>1</v>
      </c>
      <c r="BL290">
        <v>1.0006973103013001E-4</v>
      </c>
      <c r="BM290">
        <v>3.62380807310214E-4</v>
      </c>
      <c r="BN290" s="1">
        <v>3.6484603943122502E-7</v>
      </c>
      <c r="BO290" s="1">
        <v>5.6922644102385304E-6</v>
      </c>
      <c r="BP290">
        <v>0</v>
      </c>
      <c r="BQ290">
        <v>0</v>
      </c>
      <c r="BR290" s="1">
        <v>5.3967966423619198E-5</v>
      </c>
      <c r="BS290">
        <v>2.0017682886533299E-4</v>
      </c>
    </row>
    <row r="291" spans="1:71" x14ac:dyDescent="0.25">
      <c r="A291">
        <v>288</v>
      </c>
      <c r="B291" s="1">
        <v>1.54323509209576E-5</v>
      </c>
      <c r="C291">
        <v>0.107080308178348</v>
      </c>
      <c r="D291">
        <v>-3.14372598433337E-4</v>
      </c>
      <c r="E291">
        <v>6.1312499999999995E-4</v>
      </c>
      <c r="F291">
        <v>-1.0708030817834801E-3</v>
      </c>
      <c r="G291">
        <v>0</v>
      </c>
      <c r="H291" t="s">
        <v>74</v>
      </c>
      <c r="I291">
        <v>0</v>
      </c>
      <c r="J291" t="s">
        <v>75</v>
      </c>
      <c r="K291">
        <v>3.14159265358979</v>
      </c>
      <c r="L291">
        <v>0.51000648147609995</v>
      </c>
      <c r="M291">
        <v>0</v>
      </c>
      <c r="N291">
        <v>2.9945064616413299E-2</v>
      </c>
      <c r="O291">
        <v>0</v>
      </c>
      <c r="P291">
        <v>1.6E-2</v>
      </c>
      <c r="Q291">
        <v>0</v>
      </c>
      <c r="R291">
        <v>0</v>
      </c>
      <c r="S291">
        <v>0</v>
      </c>
      <c r="T291">
        <v>0</v>
      </c>
      <c r="U291">
        <v>0.51411943695955198</v>
      </c>
      <c r="V291" t="s">
        <v>78</v>
      </c>
      <c r="W291">
        <v>2355068.0023434102</v>
      </c>
      <c r="X291" t="s">
        <v>76</v>
      </c>
      <c r="Y291">
        <v>-1.5707963267949001</v>
      </c>
      <c r="Z291">
        <v>0.50293806755301296</v>
      </c>
      <c r="AA291">
        <v>0.47936452089375098</v>
      </c>
      <c r="AB291">
        <v>2.6644951307870299E-2</v>
      </c>
      <c r="AC291">
        <v>2.6970326232527299E-2</v>
      </c>
      <c r="AD291">
        <v>2.55304531929776E-3</v>
      </c>
      <c r="AE291">
        <v>3.4469094929106103E-2</v>
      </c>
      <c r="AF291">
        <v>0</v>
      </c>
      <c r="AG291">
        <v>0.13038333696094301</v>
      </c>
      <c r="AH291">
        <v>0.59687435890145901</v>
      </c>
      <c r="AI291">
        <v>0.192877008151604</v>
      </c>
      <c r="AJ291" t="s">
        <v>74</v>
      </c>
      <c r="AK291">
        <v>0</v>
      </c>
      <c r="AL291" t="s">
        <v>77</v>
      </c>
      <c r="AM291">
        <v>0</v>
      </c>
      <c r="AN291">
        <v>0.99199999999999999</v>
      </c>
      <c r="AO291">
        <v>0</v>
      </c>
      <c r="AP291">
        <v>5.8245346242475203E-2</v>
      </c>
      <c r="AQ291">
        <v>0</v>
      </c>
      <c r="AR291">
        <v>1.6E-2</v>
      </c>
      <c r="AS291">
        <v>0</v>
      </c>
      <c r="AT291">
        <v>0</v>
      </c>
      <c r="AU291">
        <v>0</v>
      </c>
      <c r="AV291">
        <v>0</v>
      </c>
      <c r="AW291">
        <v>1</v>
      </c>
      <c r="AX291" t="s">
        <v>74</v>
      </c>
      <c r="AY291">
        <v>0</v>
      </c>
      <c r="AZ291" t="s">
        <v>76</v>
      </c>
      <c r="BA291">
        <v>-1.5707963267949001</v>
      </c>
      <c r="BB291">
        <v>0.99199999999999999</v>
      </c>
      <c r="BC291">
        <v>0</v>
      </c>
      <c r="BD291">
        <v>5.8245346242475203E-2</v>
      </c>
      <c r="BE291">
        <v>0</v>
      </c>
      <c r="BF291">
        <v>1.6E-2</v>
      </c>
      <c r="BG291">
        <v>0</v>
      </c>
      <c r="BH291">
        <v>0</v>
      </c>
      <c r="BI291">
        <v>0</v>
      </c>
      <c r="BJ291">
        <v>0</v>
      </c>
      <c r="BK291">
        <v>1</v>
      </c>
      <c r="BL291">
        <v>1.00025517320881E-4</v>
      </c>
      <c r="BM291">
        <v>3.6362884793120101E-4</v>
      </c>
      <c r="BN291" s="1">
        <v>3.6469804648829399E-7</v>
      </c>
      <c r="BO291" s="1">
        <v>5.7118685864699098E-6</v>
      </c>
      <c r="BP291">
        <v>0</v>
      </c>
      <c r="BQ291">
        <v>0</v>
      </c>
      <c r="BR291" s="1">
        <v>5.3939776861564701E-5</v>
      </c>
      <c r="BS291">
        <v>2.0086948413017001E-4</v>
      </c>
    </row>
    <row r="292" spans="1:71" x14ac:dyDescent="0.25">
      <c r="A292">
        <v>289</v>
      </c>
      <c r="B292" s="1">
        <v>1.5793692928158699E-5</v>
      </c>
      <c r="C292">
        <v>0.10709610187127599</v>
      </c>
      <c r="D292">
        <v>-3.1445729230131301E-4</v>
      </c>
      <c r="E292">
        <v>6.1312499999999995E-4</v>
      </c>
      <c r="F292">
        <v>-1.0709610187127599E-3</v>
      </c>
      <c r="G292" s="1">
        <v>1.0842021724855E-19</v>
      </c>
      <c r="H292" t="s">
        <v>74</v>
      </c>
      <c r="I292">
        <v>0</v>
      </c>
      <c r="J292" t="s">
        <v>75</v>
      </c>
      <c r="K292">
        <v>3.14159265358979</v>
      </c>
      <c r="L292">
        <v>0.508353341877397</v>
      </c>
      <c r="M292">
        <v>0</v>
      </c>
      <c r="N292">
        <v>2.98480004144842E-2</v>
      </c>
      <c r="O292">
        <v>0</v>
      </c>
      <c r="P292">
        <v>1.6E-2</v>
      </c>
      <c r="Q292">
        <v>0</v>
      </c>
      <c r="R292">
        <v>0</v>
      </c>
      <c r="S292">
        <v>0</v>
      </c>
      <c r="T292">
        <v>0</v>
      </c>
      <c r="U292">
        <v>0.51245296558987496</v>
      </c>
      <c r="V292" t="s">
        <v>78</v>
      </c>
      <c r="W292">
        <v>2355798.8693141998</v>
      </c>
      <c r="X292" t="s">
        <v>76</v>
      </c>
      <c r="Y292">
        <v>-1.5707963267949001</v>
      </c>
      <c r="Z292">
        <v>0.50128566114864404</v>
      </c>
      <c r="AA292">
        <v>0.48086443161716302</v>
      </c>
      <c r="AB292">
        <v>2.6550874131832901E-2</v>
      </c>
      <c r="AC292">
        <v>2.7063070498107501E-2</v>
      </c>
      <c r="AD292">
        <v>2.4532076282338402E-3</v>
      </c>
      <c r="AE292">
        <v>3.4585249983313901E-2</v>
      </c>
      <c r="AF292">
        <v>0</v>
      </c>
      <c r="AG292">
        <v>0.126907244769427</v>
      </c>
      <c r="AH292">
        <v>0.602844796865868</v>
      </c>
      <c r="AI292">
        <v>0.19083088667780301</v>
      </c>
      <c r="AJ292" t="s">
        <v>74</v>
      </c>
      <c r="AK292">
        <v>0</v>
      </c>
      <c r="AL292" t="s">
        <v>77</v>
      </c>
      <c r="AM292">
        <v>0</v>
      </c>
      <c r="AN292">
        <v>0.99199999999999999</v>
      </c>
      <c r="AO292">
        <v>0</v>
      </c>
      <c r="AP292">
        <v>5.8245346242475203E-2</v>
      </c>
      <c r="AQ292">
        <v>0</v>
      </c>
      <c r="AR292">
        <v>1.6E-2</v>
      </c>
      <c r="AS292">
        <v>0</v>
      </c>
      <c r="AT292">
        <v>0</v>
      </c>
      <c r="AU292">
        <v>0</v>
      </c>
      <c r="AV292">
        <v>0</v>
      </c>
      <c r="AW292">
        <v>1</v>
      </c>
      <c r="AX292" t="s">
        <v>74</v>
      </c>
      <c r="AY292">
        <v>0</v>
      </c>
      <c r="AZ292" t="s">
        <v>76</v>
      </c>
      <c r="BA292">
        <v>-1.5707963267949001</v>
      </c>
      <c r="BB292">
        <v>0.99199999999999999</v>
      </c>
      <c r="BC292">
        <v>0</v>
      </c>
      <c r="BD292">
        <v>5.8245346242475203E-2</v>
      </c>
      <c r="BE292">
        <v>0</v>
      </c>
      <c r="BF292">
        <v>1.6E-2</v>
      </c>
      <c r="BG292">
        <v>0</v>
      </c>
      <c r="BH292">
        <v>0</v>
      </c>
      <c r="BI292">
        <v>0</v>
      </c>
      <c r="BJ292">
        <v>0</v>
      </c>
      <c r="BK292">
        <v>1</v>
      </c>
      <c r="BL292" s="1">
        <v>9.9976318764687504E-5</v>
      </c>
      <c r="BM292">
        <v>3.6487602081764799E-4</v>
      </c>
      <c r="BN292" s="1">
        <v>3.64540915111541E-7</v>
      </c>
      <c r="BO292" s="1">
        <v>5.73145913235899E-6</v>
      </c>
      <c r="BP292">
        <v>0</v>
      </c>
      <c r="BQ292">
        <v>0</v>
      </c>
      <c r="BR292" s="1">
        <v>5.3908850686971203E-5</v>
      </c>
      <c r="BS292">
        <v>2.0156175851487399E-4</v>
      </c>
    </row>
    <row r="293" spans="1:71" x14ac:dyDescent="0.25">
      <c r="A293">
        <v>290</v>
      </c>
      <c r="B293" s="1">
        <v>1.6179993424476001E-5</v>
      </c>
      <c r="C293">
        <v>0.10711228186470099</v>
      </c>
      <c r="D293">
        <v>-3.1454405085860697E-4</v>
      </c>
      <c r="E293">
        <v>6.1312499999999995E-4</v>
      </c>
      <c r="F293">
        <v>-1.0711228186470101E-3</v>
      </c>
      <c r="G293">
        <v>0</v>
      </c>
      <c r="H293" t="s">
        <v>74</v>
      </c>
      <c r="I293">
        <v>0</v>
      </c>
      <c r="J293" t="s">
        <v>75</v>
      </c>
      <c r="K293">
        <v>3.14159265358979</v>
      </c>
      <c r="L293">
        <v>0.50670143228894104</v>
      </c>
      <c r="M293">
        <v>0</v>
      </c>
      <c r="N293">
        <v>2.9751008432689002E-2</v>
      </c>
      <c r="O293">
        <v>0</v>
      </c>
      <c r="P293">
        <v>1.6E-2</v>
      </c>
      <c r="Q293">
        <v>0</v>
      </c>
      <c r="R293">
        <v>0</v>
      </c>
      <c r="S293">
        <v>0</v>
      </c>
      <c r="T293">
        <v>0</v>
      </c>
      <c r="U293">
        <v>0.51078773414988599</v>
      </c>
      <c r="V293" t="s">
        <v>78</v>
      </c>
      <c r="W293">
        <v>2356547.5535516301</v>
      </c>
      <c r="X293" t="s">
        <v>76</v>
      </c>
      <c r="Y293">
        <v>-1.5707963267949001</v>
      </c>
      <c r="Z293">
        <v>0.49963403447502303</v>
      </c>
      <c r="AA293">
        <v>0.48254771094922999</v>
      </c>
      <c r="AB293">
        <v>2.6456722338332302E-2</v>
      </c>
      <c r="AC293">
        <v>2.7161812972747001E-2</v>
      </c>
      <c r="AD293">
        <v>2.3537836802980799E-3</v>
      </c>
      <c r="AE293">
        <v>3.4701224957386E-2</v>
      </c>
      <c r="AF293">
        <v>0</v>
      </c>
      <c r="AG293">
        <v>0.12336085744495</v>
      </c>
      <c r="AH293">
        <v>0.60888367405774602</v>
      </c>
      <c r="AI293">
        <v>0.18879361119927099</v>
      </c>
      <c r="AJ293" t="s">
        <v>74</v>
      </c>
      <c r="AK293">
        <v>0</v>
      </c>
      <c r="AL293" t="s">
        <v>77</v>
      </c>
      <c r="AM293">
        <v>0</v>
      </c>
      <c r="AN293">
        <v>0.99199999999999999</v>
      </c>
      <c r="AO293">
        <v>0</v>
      </c>
      <c r="AP293">
        <v>5.8245346242475203E-2</v>
      </c>
      <c r="AQ293">
        <v>0</v>
      </c>
      <c r="AR293">
        <v>1.6E-2</v>
      </c>
      <c r="AS293">
        <v>0</v>
      </c>
      <c r="AT293">
        <v>0</v>
      </c>
      <c r="AU293">
        <v>0</v>
      </c>
      <c r="AV293">
        <v>0</v>
      </c>
      <c r="AW293">
        <v>1</v>
      </c>
      <c r="AX293" t="s">
        <v>74</v>
      </c>
      <c r="AY293">
        <v>0</v>
      </c>
      <c r="AZ293" t="s">
        <v>76</v>
      </c>
      <c r="BA293">
        <v>-1.5707963267949001</v>
      </c>
      <c r="BB293">
        <v>0.99199999999999999</v>
      </c>
      <c r="BC293">
        <v>0</v>
      </c>
      <c r="BD293">
        <v>5.8245346242475203E-2</v>
      </c>
      <c r="BE293">
        <v>0</v>
      </c>
      <c r="BF293">
        <v>1.6E-2</v>
      </c>
      <c r="BG293">
        <v>0</v>
      </c>
      <c r="BH293">
        <v>0</v>
      </c>
      <c r="BI293">
        <v>0</v>
      </c>
      <c r="BJ293">
        <v>0</v>
      </c>
      <c r="BK293">
        <v>1</v>
      </c>
      <c r="BL293" s="1">
        <v>9.9930118114359399E-5</v>
      </c>
      <c r="BM293">
        <v>3.6612226575134799E-4</v>
      </c>
      <c r="BN293" s="1">
        <v>3.6439066556306301E-7</v>
      </c>
      <c r="BO293" s="1">
        <v>5.7510351020004203E-6</v>
      </c>
      <c r="BP293">
        <v>0</v>
      </c>
      <c r="BQ293">
        <v>0</v>
      </c>
      <c r="BR293" s="1">
        <v>5.3879598849621703E-5</v>
      </c>
      <c r="BS293">
        <v>2.0225362479127501E-4</v>
      </c>
    </row>
    <row r="294" spans="1:71" x14ac:dyDescent="0.25">
      <c r="A294">
        <v>291</v>
      </c>
      <c r="B294" s="1">
        <v>1.6593878044435701E-5</v>
      </c>
      <c r="C294">
        <v>0.107128875742745</v>
      </c>
      <c r="D294">
        <v>-3.1463302150357402E-4</v>
      </c>
      <c r="E294">
        <v>6.1312499999999995E-4</v>
      </c>
      <c r="F294">
        <v>-1.0712887574274501E-3</v>
      </c>
      <c r="G294">
        <v>0</v>
      </c>
      <c r="H294" t="s">
        <v>74</v>
      </c>
      <c r="I294">
        <v>0</v>
      </c>
      <c r="J294" t="s">
        <v>75</v>
      </c>
      <c r="K294">
        <v>3.14159265358979</v>
      </c>
      <c r="L294">
        <v>0.50505084082970497</v>
      </c>
      <c r="M294">
        <v>0</v>
      </c>
      <c r="N294">
        <v>2.96540938449389E-2</v>
      </c>
      <c r="O294">
        <v>0</v>
      </c>
      <c r="P294">
        <v>1.6E-2</v>
      </c>
      <c r="Q294">
        <v>0</v>
      </c>
      <c r="R294">
        <v>0</v>
      </c>
      <c r="S294">
        <v>0</v>
      </c>
      <c r="T294">
        <v>0</v>
      </c>
      <c r="U294">
        <v>0.50912383146919404</v>
      </c>
      <c r="V294" t="s">
        <v>78</v>
      </c>
      <c r="W294">
        <v>2357315.32703193</v>
      </c>
      <c r="X294" t="s">
        <v>76</v>
      </c>
      <c r="Y294">
        <v>-1.5707963267949001</v>
      </c>
      <c r="Z294">
        <v>0.49798323856016702</v>
      </c>
      <c r="AA294">
        <v>0.483927410440392</v>
      </c>
      <c r="AB294">
        <v>2.63624888798587E-2</v>
      </c>
      <c r="AC294">
        <v>2.7251272886097199E-2</v>
      </c>
      <c r="AD294">
        <v>2.2547982196728998E-3</v>
      </c>
      <c r="AE294">
        <v>3.4817015149130701E-2</v>
      </c>
      <c r="AF294">
        <v>0</v>
      </c>
      <c r="AG294">
        <v>0.119742526340164</v>
      </c>
      <c r="AH294">
        <v>0.61499250616580303</v>
      </c>
      <c r="AI294">
        <v>0.18676531309427399</v>
      </c>
      <c r="AJ294" t="s">
        <v>74</v>
      </c>
      <c r="AK294">
        <v>0</v>
      </c>
      <c r="AL294" t="s">
        <v>77</v>
      </c>
      <c r="AM294">
        <v>0</v>
      </c>
      <c r="AN294">
        <v>0.99199999999999999</v>
      </c>
      <c r="AO294">
        <v>0</v>
      </c>
      <c r="AP294">
        <v>5.8245346242475203E-2</v>
      </c>
      <c r="AQ294">
        <v>0</v>
      </c>
      <c r="AR294">
        <v>1.6E-2</v>
      </c>
      <c r="AS294">
        <v>0</v>
      </c>
      <c r="AT294">
        <v>0</v>
      </c>
      <c r="AU294">
        <v>0</v>
      </c>
      <c r="AV294">
        <v>0</v>
      </c>
      <c r="AW294">
        <v>1</v>
      </c>
      <c r="AX294" t="s">
        <v>74</v>
      </c>
      <c r="AY294">
        <v>0</v>
      </c>
      <c r="AZ294" t="s">
        <v>76</v>
      </c>
      <c r="BA294">
        <v>-1.5707963267949001</v>
      </c>
      <c r="BB294">
        <v>0.99199999999999999</v>
      </c>
      <c r="BC294">
        <v>0</v>
      </c>
      <c r="BD294">
        <v>5.8245346242475203E-2</v>
      </c>
      <c r="BE294">
        <v>0</v>
      </c>
      <c r="BF294">
        <v>1.6E-2</v>
      </c>
      <c r="BG294">
        <v>0</v>
      </c>
      <c r="BH294">
        <v>0</v>
      </c>
      <c r="BI294">
        <v>0</v>
      </c>
      <c r="BJ294">
        <v>0</v>
      </c>
      <c r="BK294">
        <v>1</v>
      </c>
      <c r="BL294" s="1">
        <v>9.9879274047922603E-5</v>
      </c>
      <c r="BM294">
        <v>3.6736751625298303E-4</v>
      </c>
      <c r="BN294" s="1">
        <v>3.6423207526201099E-7</v>
      </c>
      <c r="BO294" s="1">
        <v>5.7705954511395097E-6</v>
      </c>
      <c r="BP294">
        <v>0</v>
      </c>
      <c r="BQ294">
        <v>0</v>
      </c>
      <c r="BR294" s="1">
        <v>5.38478015137963E-5</v>
      </c>
      <c r="BS294">
        <v>2.0294505289811899E-4</v>
      </c>
    </row>
    <row r="295" spans="1:71" x14ac:dyDescent="0.25">
      <c r="A295">
        <v>292</v>
      </c>
      <c r="B295" s="1">
        <v>1.7038354041673699E-5</v>
      </c>
      <c r="C295">
        <v>0.107145914096787</v>
      </c>
      <c r="D295">
        <v>-3.1472436769581298E-4</v>
      </c>
      <c r="E295">
        <v>6.1312499999999995E-4</v>
      </c>
      <c r="F295">
        <v>-1.0714591409678701E-3</v>
      </c>
      <c r="G295">
        <v>0</v>
      </c>
      <c r="H295" t="s">
        <v>74</v>
      </c>
      <c r="I295">
        <v>0</v>
      </c>
      <c r="J295" t="s">
        <v>75</v>
      </c>
      <c r="K295">
        <v>3.14159265358979</v>
      </c>
      <c r="L295">
        <v>0.50340166506370798</v>
      </c>
      <c r="M295">
        <v>0</v>
      </c>
      <c r="N295">
        <v>2.9557262379711902E-2</v>
      </c>
      <c r="O295">
        <v>0</v>
      </c>
      <c r="P295">
        <v>1.6E-2</v>
      </c>
      <c r="Q295">
        <v>0</v>
      </c>
      <c r="R295">
        <v>0</v>
      </c>
      <c r="S295">
        <v>0</v>
      </c>
      <c r="T295">
        <v>0</v>
      </c>
      <c r="U295">
        <v>0.50746135589862496</v>
      </c>
      <c r="V295" t="s">
        <v>78</v>
      </c>
      <c r="W295">
        <v>2358103.6003321302</v>
      </c>
      <c r="X295" t="s">
        <v>76</v>
      </c>
      <c r="Y295">
        <v>-1.5707963267949001</v>
      </c>
      <c r="Z295">
        <v>0.496333329718331</v>
      </c>
      <c r="AA295">
        <v>0.48569456401760902</v>
      </c>
      <c r="AB295">
        <v>2.6268165907809001E-2</v>
      </c>
      <c r="AC295">
        <v>2.7353179958593599E-2</v>
      </c>
      <c r="AD295">
        <v>2.1562785210074899E-3</v>
      </c>
      <c r="AE295">
        <v>3.4932615428640901E-2</v>
      </c>
      <c r="AF295">
        <v>0</v>
      </c>
      <c r="AG295">
        <v>0.11605056704414</v>
      </c>
      <c r="AH295">
        <v>0.62117283039114002</v>
      </c>
      <c r="AI295">
        <v>0.18474613386577601</v>
      </c>
      <c r="AJ295" t="s">
        <v>74</v>
      </c>
      <c r="AK295">
        <v>0</v>
      </c>
      <c r="AL295" t="s">
        <v>77</v>
      </c>
      <c r="AM295">
        <v>0</v>
      </c>
      <c r="AN295">
        <v>0.99199999999999999</v>
      </c>
      <c r="AO295">
        <v>0</v>
      </c>
      <c r="AP295">
        <v>5.8245346242475203E-2</v>
      </c>
      <c r="AQ295">
        <v>0</v>
      </c>
      <c r="AR295">
        <v>1.6E-2</v>
      </c>
      <c r="AS295">
        <v>0</v>
      </c>
      <c r="AT295">
        <v>0</v>
      </c>
      <c r="AU295">
        <v>0</v>
      </c>
      <c r="AV295">
        <v>0</v>
      </c>
      <c r="AW295">
        <v>1</v>
      </c>
      <c r="AX295" t="s">
        <v>74</v>
      </c>
      <c r="AY295">
        <v>0</v>
      </c>
      <c r="AZ295" t="s">
        <v>76</v>
      </c>
      <c r="BA295">
        <v>-1.5707963267949001</v>
      </c>
      <c r="BB295">
        <v>0.99199999999999999</v>
      </c>
      <c r="BC295">
        <v>0</v>
      </c>
      <c r="BD295">
        <v>5.8245346242475203E-2</v>
      </c>
      <c r="BE295">
        <v>0</v>
      </c>
      <c r="BF295">
        <v>1.6E-2</v>
      </c>
      <c r="BG295">
        <v>0</v>
      </c>
      <c r="BH295">
        <v>0</v>
      </c>
      <c r="BI295">
        <v>0</v>
      </c>
      <c r="BJ295">
        <v>0</v>
      </c>
      <c r="BK295">
        <v>1</v>
      </c>
      <c r="BL295" s="1">
        <v>9.9834650365532499E-5</v>
      </c>
      <c r="BM295">
        <v>3.6861169871763998E-4</v>
      </c>
      <c r="BN295" s="1">
        <v>3.6408693960124901E-7</v>
      </c>
      <c r="BO295" s="1">
        <v>5.79013902359296E-6</v>
      </c>
      <c r="BP295">
        <v>0</v>
      </c>
      <c r="BQ295">
        <v>0</v>
      </c>
      <c r="BR295" s="1">
        <v>5.3819461675823E-5</v>
      </c>
      <c r="BS295">
        <v>2.03636009553608E-4</v>
      </c>
    </row>
    <row r="296" spans="1:71" x14ac:dyDescent="0.25">
      <c r="A296">
        <v>293</v>
      </c>
      <c r="B296" s="1">
        <v>1.7516881483355001E-5</v>
      </c>
      <c r="C296">
        <v>0.10716343097827</v>
      </c>
      <c r="D296">
        <v>-3.1481827137360498E-4</v>
      </c>
      <c r="E296">
        <v>6.1312499999999995E-4</v>
      </c>
      <c r="F296">
        <v>-1.0716343097827001E-3</v>
      </c>
      <c r="G296">
        <v>0</v>
      </c>
      <c r="H296" t="s">
        <v>74</v>
      </c>
      <c r="I296">
        <v>0</v>
      </c>
      <c r="J296" t="s">
        <v>75</v>
      </c>
      <c r="K296">
        <v>3.14159265358979</v>
      </c>
      <c r="L296">
        <v>0.50175401334180603</v>
      </c>
      <c r="M296">
        <v>0</v>
      </c>
      <c r="N296">
        <v>2.9460520398835701E-2</v>
      </c>
      <c r="O296">
        <v>0</v>
      </c>
      <c r="P296">
        <v>1.6E-2</v>
      </c>
      <c r="Q296">
        <v>0</v>
      </c>
      <c r="R296">
        <v>0</v>
      </c>
      <c r="S296">
        <v>0</v>
      </c>
      <c r="T296">
        <v>0</v>
      </c>
      <c r="U296">
        <v>0.50580041666283204</v>
      </c>
      <c r="V296" t="s">
        <v>78</v>
      </c>
      <c r="W296">
        <v>2358913.9434912498</v>
      </c>
      <c r="X296" t="s">
        <v>76</v>
      </c>
      <c r="Y296">
        <v>-1.5707963267949001</v>
      </c>
      <c r="Z296">
        <v>0.49468437025523698</v>
      </c>
      <c r="AA296">
        <v>0.48738246859724099</v>
      </c>
      <c r="AB296">
        <v>2.6173744645521201E-2</v>
      </c>
      <c r="AC296">
        <v>2.7452893782952102E-2</v>
      </c>
      <c r="AD296">
        <v>2.0582547638845401E-3</v>
      </c>
      <c r="AE296">
        <v>3.5048020169359803E-2</v>
      </c>
      <c r="AF296">
        <v>0</v>
      </c>
      <c r="AG296">
        <v>0.11228326777411</v>
      </c>
      <c r="AH296">
        <v>0.627426195030937</v>
      </c>
      <c r="AI296">
        <v>0.18273622653756899</v>
      </c>
      <c r="AJ296" t="s">
        <v>74</v>
      </c>
      <c r="AK296">
        <v>0</v>
      </c>
      <c r="AL296" t="s">
        <v>77</v>
      </c>
      <c r="AM296">
        <v>0</v>
      </c>
      <c r="AN296">
        <v>0.99199999999999999</v>
      </c>
      <c r="AO296">
        <v>0</v>
      </c>
      <c r="AP296">
        <v>5.8245346242475203E-2</v>
      </c>
      <c r="AQ296">
        <v>0</v>
      </c>
      <c r="AR296">
        <v>1.6E-2</v>
      </c>
      <c r="AS296">
        <v>0</v>
      </c>
      <c r="AT296">
        <v>0</v>
      </c>
      <c r="AU296">
        <v>0</v>
      </c>
      <c r="AV296">
        <v>0</v>
      </c>
      <c r="AW296">
        <v>1</v>
      </c>
      <c r="AX296" t="s">
        <v>74</v>
      </c>
      <c r="AY296">
        <v>0</v>
      </c>
      <c r="AZ296" t="s">
        <v>76</v>
      </c>
      <c r="BA296">
        <v>-1.5707963267949001</v>
      </c>
      <c r="BB296">
        <v>0.99199999999999999</v>
      </c>
      <c r="BC296">
        <v>0</v>
      </c>
      <c r="BD296">
        <v>5.8245346242475203E-2</v>
      </c>
      <c r="BE296">
        <v>0</v>
      </c>
      <c r="BF296">
        <v>1.6E-2</v>
      </c>
      <c r="BG296">
        <v>0</v>
      </c>
      <c r="BH296">
        <v>0</v>
      </c>
      <c r="BI296">
        <v>0</v>
      </c>
      <c r="BJ296">
        <v>0</v>
      </c>
      <c r="BK296">
        <v>1</v>
      </c>
      <c r="BL296" s="1">
        <v>9.9788925656129696E-5</v>
      </c>
      <c r="BM296">
        <v>3.6985473140252299E-4</v>
      </c>
      <c r="BN296" s="1">
        <v>3.6394069038420899E-7</v>
      </c>
      <c r="BO296" s="1">
        <v>5.8096645353479699E-6</v>
      </c>
      <c r="BP296">
        <v>0</v>
      </c>
      <c r="BQ296">
        <v>0</v>
      </c>
      <c r="BR296" s="1">
        <v>5.3790536507788701E-5</v>
      </c>
      <c r="BS296">
        <v>2.0432645780302399E-4</v>
      </c>
    </row>
    <row r="297" spans="1:71" x14ac:dyDescent="0.25">
      <c r="A297">
        <v>294</v>
      </c>
      <c r="B297" s="1">
        <v>1.8033460781134001E-5</v>
      </c>
      <c r="C297">
        <v>0.10718146443905199</v>
      </c>
      <c r="D297">
        <v>-3.1491493583845899E-4</v>
      </c>
      <c r="E297">
        <v>6.1312499999999995E-4</v>
      </c>
      <c r="F297">
        <v>-1.0718146443905101E-3</v>
      </c>
      <c r="G297">
        <v>0</v>
      </c>
      <c r="H297" t="s">
        <v>74</v>
      </c>
      <c r="I297">
        <v>0</v>
      </c>
      <c r="J297" t="s">
        <v>75</v>
      </c>
      <c r="K297">
        <v>3.14159265358979</v>
      </c>
      <c r="L297">
        <v>0.50010800637880004</v>
      </c>
      <c r="M297">
        <v>0</v>
      </c>
      <c r="N297">
        <v>2.9363874990087899E-2</v>
      </c>
      <c r="O297">
        <v>0</v>
      </c>
      <c r="P297">
        <v>1.6E-2</v>
      </c>
      <c r="Q297">
        <v>0</v>
      </c>
      <c r="R297">
        <v>0</v>
      </c>
      <c r="S297">
        <v>0</v>
      </c>
      <c r="T297">
        <v>0</v>
      </c>
      <c r="U297">
        <v>0.50414113545012296</v>
      </c>
      <c r="V297" t="s">
        <v>78</v>
      </c>
      <c r="W297">
        <v>2359748.1109026601</v>
      </c>
      <c r="X297" t="s">
        <v>76</v>
      </c>
      <c r="Y297">
        <v>-1.5707963267949001</v>
      </c>
      <c r="Z297">
        <v>0.49303642928428798</v>
      </c>
      <c r="AA297">
        <v>0.48919526772252397</v>
      </c>
      <c r="AB297">
        <v>2.6079215235290502E-2</v>
      </c>
      <c r="AC297">
        <v>2.75568526107711E-2</v>
      </c>
      <c r="AD297">
        <v>1.9607604770550801E-3</v>
      </c>
      <c r="AE297">
        <v>3.5163223165717503E-2</v>
      </c>
      <c r="AF297">
        <v>0</v>
      </c>
      <c r="AG297">
        <v>0.10843890129239001</v>
      </c>
      <c r="AH297">
        <v>0.63375414518190398</v>
      </c>
      <c r="AI297">
        <v>0.18073575729489599</v>
      </c>
      <c r="AJ297" t="s">
        <v>74</v>
      </c>
      <c r="AK297">
        <v>0</v>
      </c>
      <c r="AL297" t="s">
        <v>77</v>
      </c>
      <c r="AM297">
        <v>0</v>
      </c>
      <c r="AN297">
        <v>0.99199999999999999</v>
      </c>
      <c r="AO297">
        <v>0</v>
      </c>
      <c r="AP297">
        <v>5.8245346242475203E-2</v>
      </c>
      <c r="AQ297">
        <v>0</v>
      </c>
      <c r="AR297">
        <v>1.6E-2</v>
      </c>
      <c r="AS297">
        <v>0</v>
      </c>
      <c r="AT297">
        <v>0</v>
      </c>
      <c r="AU297">
        <v>0</v>
      </c>
      <c r="AV297">
        <v>0</v>
      </c>
      <c r="AW297">
        <v>1</v>
      </c>
      <c r="AX297" t="s">
        <v>74</v>
      </c>
      <c r="AY297">
        <v>0</v>
      </c>
      <c r="AZ297" t="s">
        <v>76</v>
      </c>
      <c r="BA297">
        <v>-1.5707963267949001</v>
      </c>
      <c r="BB297">
        <v>0.99199999999999999</v>
      </c>
      <c r="BC297">
        <v>0</v>
      </c>
      <c r="BD297">
        <v>5.8245346242475203E-2</v>
      </c>
      <c r="BE297">
        <v>0</v>
      </c>
      <c r="BF297">
        <v>1.6E-2</v>
      </c>
      <c r="BG297">
        <v>0</v>
      </c>
      <c r="BH297">
        <v>0</v>
      </c>
      <c r="BI297">
        <v>0</v>
      </c>
      <c r="BJ297">
        <v>0</v>
      </c>
      <c r="BK297">
        <v>1</v>
      </c>
      <c r="BL297" s="1">
        <v>9.9745317660550006E-5</v>
      </c>
      <c r="BM297">
        <v>3.7109652323714698E-4</v>
      </c>
      <c r="BN297" s="1">
        <v>3.6379984737107099E-7</v>
      </c>
      <c r="BO297" s="1">
        <v>5.8291705558726701E-6</v>
      </c>
      <c r="BP297">
        <v>0</v>
      </c>
      <c r="BQ297">
        <v>0</v>
      </c>
      <c r="BR297" s="1">
        <v>5.37628055579953E-5</v>
      </c>
      <c r="BS297">
        <v>2.05016356488849E-4</v>
      </c>
    </row>
    <row r="298" spans="1:71" x14ac:dyDescent="0.25">
      <c r="A298">
        <v>295</v>
      </c>
      <c r="B298" s="1">
        <v>1.85927410354914E-5</v>
      </c>
      <c r="C298">
        <v>0.107200057180087</v>
      </c>
      <c r="D298">
        <v>-3.1501458921782602E-4</v>
      </c>
      <c r="E298">
        <v>6.1312499999999995E-4</v>
      </c>
      <c r="F298">
        <v>-1.0720005718008699E-3</v>
      </c>
      <c r="G298">
        <v>0</v>
      </c>
      <c r="H298" t="s">
        <v>74</v>
      </c>
      <c r="I298">
        <v>0</v>
      </c>
      <c r="J298" t="s">
        <v>75</v>
      </c>
      <c r="K298">
        <v>3.14159265358979</v>
      </c>
      <c r="L298">
        <v>0.49846377911402101</v>
      </c>
      <c r="M298">
        <v>0</v>
      </c>
      <c r="N298">
        <v>2.9267334076440402E-2</v>
      </c>
      <c r="O298">
        <v>0</v>
      </c>
      <c r="P298">
        <v>1.6E-2</v>
      </c>
      <c r="Q298">
        <v>0</v>
      </c>
      <c r="R298">
        <v>0</v>
      </c>
      <c r="S298">
        <v>0</v>
      </c>
      <c r="T298">
        <v>0</v>
      </c>
      <c r="U298">
        <v>0.50248364828805003</v>
      </c>
      <c r="V298" t="s">
        <v>78</v>
      </c>
      <c r="W298">
        <v>2360608.0711955</v>
      </c>
      <c r="X298" t="s">
        <v>76</v>
      </c>
      <c r="Y298">
        <v>-1.5707963267949001</v>
      </c>
      <c r="Z298">
        <v>0.491389583672179</v>
      </c>
      <c r="AA298">
        <v>0.49072607005449198</v>
      </c>
      <c r="AB298">
        <v>2.59845665527462E-2</v>
      </c>
      <c r="AC298">
        <v>2.7652300991780301E-2</v>
      </c>
      <c r="AD298">
        <v>1.8638330680731099E-3</v>
      </c>
      <c r="AE298">
        <v>3.5278217534345603E-2</v>
      </c>
      <c r="AF298">
        <v>0</v>
      </c>
      <c r="AG298">
        <v>0.104515741529151</v>
      </c>
      <c r="AH298">
        <v>0.64015820331016504</v>
      </c>
      <c r="AI298">
        <v>0.178744907419459</v>
      </c>
      <c r="AJ298" t="s">
        <v>74</v>
      </c>
      <c r="AK298">
        <v>0</v>
      </c>
      <c r="AL298" t="s">
        <v>77</v>
      </c>
      <c r="AM298">
        <v>0</v>
      </c>
      <c r="AN298">
        <v>0.99199999999999999</v>
      </c>
      <c r="AO298">
        <v>0</v>
      </c>
      <c r="AP298">
        <v>5.8245346242475203E-2</v>
      </c>
      <c r="AQ298">
        <v>0</v>
      </c>
      <c r="AR298">
        <v>1.6E-2</v>
      </c>
      <c r="AS298">
        <v>0</v>
      </c>
      <c r="AT298">
        <v>0</v>
      </c>
      <c r="AU298">
        <v>0</v>
      </c>
      <c r="AV298">
        <v>0</v>
      </c>
      <c r="AW298">
        <v>1</v>
      </c>
      <c r="AX298" t="s">
        <v>74</v>
      </c>
      <c r="AY298">
        <v>0</v>
      </c>
      <c r="AZ298" t="s">
        <v>76</v>
      </c>
      <c r="BA298">
        <v>-1.5707963267949001</v>
      </c>
      <c r="BB298">
        <v>0.99199999999999999</v>
      </c>
      <c r="BC298">
        <v>0</v>
      </c>
      <c r="BD298">
        <v>5.8245346242475203E-2</v>
      </c>
      <c r="BE298">
        <v>0</v>
      </c>
      <c r="BF298">
        <v>1.6E-2</v>
      </c>
      <c r="BG298">
        <v>0</v>
      </c>
      <c r="BH298">
        <v>0</v>
      </c>
      <c r="BI298">
        <v>0</v>
      </c>
      <c r="BJ298">
        <v>0</v>
      </c>
      <c r="BK298">
        <v>1</v>
      </c>
      <c r="BL298" s="1">
        <v>9.9697447052958703E-5</v>
      </c>
      <c r="BM298">
        <v>3.72336972419658E-4</v>
      </c>
      <c r="BN298" s="1">
        <v>3.6365174613884102E-7</v>
      </c>
      <c r="BO298" s="1">
        <v>5.8486554860673197E-6</v>
      </c>
      <c r="BP298">
        <v>0</v>
      </c>
      <c r="BQ298">
        <v>0</v>
      </c>
      <c r="BR298" s="1">
        <v>5.37327466356281E-5</v>
      </c>
      <c r="BS298">
        <v>2.0570565962816099E-4</v>
      </c>
    </row>
    <row r="299" spans="1:71" x14ac:dyDescent="0.25">
      <c r="A299">
        <v>296</v>
      </c>
      <c r="B299" s="1">
        <v>1.9200155103510899E-5</v>
      </c>
      <c r="C299">
        <v>0.10721925733519</v>
      </c>
      <c r="D299">
        <v>-3.1511748864850801E-4</v>
      </c>
      <c r="E299">
        <v>6.1312499999999995E-4</v>
      </c>
      <c r="F299">
        <v>-1.0721925733519001E-3</v>
      </c>
      <c r="G299" s="1">
        <v>1.0842021724855E-19</v>
      </c>
      <c r="H299" t="s">
        <v>74</v>
      </c>
      <c r="I299">
        <v>0</v>
      </c>
      <c r="J299" t="s">
        <v>75</v>
      </c>
      <c r="K299">
        <v>3.14159265358979</v>
      </c>
      <c r="L299">
        <v>0.49682148291442502</v>
      </c>
      <c r="M299">
        <v>0</v>
      </c>
      <c r="N299">
        <v>2.9170906545413999E-2</v>
      </c>
      <c r="O299">
        <v>0</v>
      </c>
      <c r="P299">
        <v>1.6E-2</v>
      </c>
      <c r="Q299">
        <v>0</v>
      </c>
      <c r="R299">
        <v>0</v>
      </c>
      <c r="S299">
        <v>0</v>
      </c>
      <c r="T299">
        <v>0</v>
      </c>
      <c r="U299">
        <v>0.50082810776427</v>
      </c>
      <c r="V299" t="s">
        <v>78</v>
      </c>
      <c r="W299">
        <v>2361496.04333559</v>
      </c>
      <c r="X299" t="s">
        <v>76</v>
      </c>
      <c r="Y299">
        <v>-1.5707963267949001</v>
      </c>
      <c r="Z299">
        <v>0.48974391913467902</v>
      </c>
      <c r="AA299">
        <v>0.49236313730762898</v>
      </c>
      <c r="AB299">
        <v>2.5889785979931801E-2</v>
      </c>
      <c r="AC299">
        <v>2.7751468012738499E-2</v>
      </c>
      <c r="AD299">
        <v>1.76751445803402E-3</v>
      </c>
      <c r="AE299">
        <v>3.5392995595137901E-2</v>
      </c>
      <c r="AF299">
        <v>0</v>
      </c>
      <c r="AG299">
        <v>0.100512086502796</v>
      </c>
      <c r="AH299">
        <v>0.64663984300672805</v>
      </c>
      <c r="AI299">
        <v>0.176763875579871</v>
      </c>
      <c r="AJ299" t="s">
        <v>74</v>
      </c>
      <c r="AK299">
        <v>0</v>
      </c>
      <c r="AL299" t="s">
        <v>77</v>
      </c>
      <c r="AM299">
        <v>0</v>
      </c>
      <c r="AN299">
        <v>0.99199999999999999</v>
      </c>
      <c r="AO299">
        <v>0</v>
      </c>
      <c r="AP299">
        <v>5.8245346242475203E-2</v>
      </c>
      <c r="AQ299">
        <v>0</v>
      </c>
      <c r="AR299">
        <v>1.6E-2</v>
      </c>
      <c r="AS299">
        <v>0</v>
      </c>
      <c r="AT299">
        <v>0</v>
      </c>
      <c r="AU299">
        <v>0</v>
      </c>
      <c r="AV299">
        <v>0</v>
      </c>
      <c r="AW299">
        <v>1</v>
      </c>
      <c r="AX299" t="s">
        <v>74</v>
      </c>
      <c r="AY299">
        <v>0</v>
      </c>
      <c r="AZ299" t="s">
        <v>76</v>
      </c>
      <c r="BA299">
        <v>-1.5707963267949001</v>
      </c>
      <c r="BB299">
        <v>0.99199999999999999</v>
      </c>
      <c r="BC299">
        <v>0</v>
      </c>
      <c r="BD299">
        <v>5.8245346242475203E-2</v>
      </c>
      <c r="BE299">
        <v>0</v>
      </c>
      <c r="BF299">
        <v>1.6E-2</v>
      </c>
      <c r="BG299">
        <v>0</v>
      </c>
      <c r="BH299">
        <v>0</v>
      </c>
      <c r="BI299">
        <v>0</v>
      </c>
      <c r="BJ299">
        <v>0</v>
      </c>
      <c r="BK299">
        <v>1</v>
      </c>
      <c r="BL299" s="1">
        <v>9.96514265115174E-5</v>
      </c>
      <c r="BM299">
        <v>3.7357596475476199E-4</v>
      </c>
      <c r="BN299" s="1">
        <v>3.6350871891137702E-7</v>
      </c>
      <c r="BO299" s="1">
        <v>5.8681175321563998E-6</v>
      </c>
      <c r="BP299">
        <v>0</v>
      </c>
      <c r="BQ299">
        <v>0</v>
      </c>
      <c r="BR299" s="1">
        <v>5.3703739160655003E-5</v>
      </c>
      <c r="BS299">
        <v>2.06394315678994E-4</v>
      </c>
    </row>
    <row r="300" spans="1:71" x14ac:dyDescent="0.25">
      <c r="A300">
        <v>297</v>
      </c>
      <c r="B300" s="1">
        <v>1.9862089261131398E-5</v>
      </c>
      <c r="C300">
        <v>0.107239119424452</v>
      </c>
      <c r="D300">
        <v>-3.1522392536529199E-4</v>
      </c>
      <c r="E300">
        <v>6.1312499999999995E-4</v>
      </c>
      <c r="F300">
        <v>-1.07239119424452E-3</v>
      </c>
      <c r="G300">
        <v>0</v>
      </c>
      <c r="H300" t="s">
        <v>74</v>
      </c>
      <c r="I300">
        <v>0</v>
      </c>
      <c r="J300" t="s">
        <v>75</v>
      </c>
      <c r="K300">
        <v>3.14159265358979</v>
      </c>
      <c r="L300">
        <v>0.495181288192446</v>
      </c>
      <c r="M300">
        <v>0</v>
      </c>
      <c r="N300">
        <v>2.9074602402786202E-2</v>
      </c>
      <c r="O300">
        <v>0</v>
      </c>
      <c r="P300">
        <v>1.6E-2</v>
      </c>
      <c r="Q300">
        <v>0</v>
      </c>
      <c r="R300">
        <v>0</v>
      </c>
      <c r="S300">
        <v>0</v>
      </c>
      <c r="T300">
        <v>0</v>
      </c>
      <c r="U300">
        <v>0.49917468566551199</v>
      </c>
      <c r="V300" t="s">
        <v>78</v>
      </c>
      <c r="W300">
        <v>2362414.5405377601</v>
      </c>
      <c r="X300" t="s">
        <v>76</v>
      </c>
      <c r="Y300">
        <v>-1.5707963267949001</v>
      </c>
      <c r="Z300">
        <v>0.488099531505227</v>
      </c>
      <c r="AA300">
        <v>0.49391326401962099</v>
      </c>
      <c r="AB300">
        <v>2.57948591256612E-2</v>
      </c>
      <c r="AC300">
        <v>2.78483197179142E-2</v>
      </c>
      <c r="AD300">
        <v>1.67185184638367E-3</v>
      </c>
      <c r="AE300">
        <v>3.5507548727509601E-2</v>
      </c>
      <c r="AF300">
        <v>0</v>
      </c>
      <c r="AG300">
        <v>9.6426289696702402E-2</v>
      </c>
      <c r="AH300">
        <v>0.65320045366078605</v>
      </c>
      <c r="AI300">
        <v>0.174792880552086</v>
      </c>
      <c r="AJ300" t="s">
        <v>74</v>
      </c>
      <c r="AK300">
        <v>0</v>
      </c>
      <c r="AL300" t="s">
        <v>77</v>
      </c>
      <c r="AM300">
        <v>0</v>
      </c>
      <c r="AN300">
        <v>0.99199999999999999</v>
      </c>
      <c r="AO300">
        <v>0</v>
      </c>
      <c r="AP300">
        <v>5.8245346242475203E-2</v>
      </c>
      <c r="AQ300">
        <v>0</v>
      </c>
      <c r="AR300">
        <v>1.6E-2</v>
      </c>
      <c r="AS300">
        <v>0</v>
      </c>
      <c r="AT300">
        <v>0</v>
      </c>
      <c r="AU300">
        <v>0</v>
      </c>
      <c r="AV300">
        <v>0</v>
      </c>
      <c r="AW300">
        <v>1</v>
      </c>
      <c r="AX300" t="s">
        <v>74</v>
      </c>
      <c r="AY300">
        <v>0</v>
      </c>
      <c r="AZ300" t="s">
        <v>76</v>
      </c>
      <c r="BA300">
        <v>-1.5707963267949001</v>
      </c>
      <c r="BB300">
        <v>0.99199999999999999</v>
      </c>
      <c r="BC300">
        <v>0</v>
      </c>
      <c r="BD300">
        <v>5.8245346242475203E-2</v>
      </c>
      <c r="BE300">
        <v>0</v>
      </c>
      <c r="BF300">
        <v>1.6E-2</v>
      </c>
      <c r="BG300">
        <v>0</v>
      </c>
      <c r="BH300">
        <v>0</v>
      </c>
      <c r="BI300">
        <v>0</v>
      </c>
      <c r="BJ300">
        <v>0</v>
      </c>
      <c r="BK300">
        <v>1</v>
      </c>
      <c r="BL300" s="1">
        <v>9.9604236865655999E-5</v>
      </c>
      <c r="BM300">
        <v>3.7481337167874398E-4</v>
      </c>
      <c r="BN300" s="1">
        <v>3.6336484863469301E-7</v>
      </c>
      <c r="BO300" s="1">
        <v>5.8875546746658203E-6</v>
      </c>
      <c r="BP300">
        <v>0</v>
      </c>
      <c r="BQ300">
        <v>0</v>
      </c>
      <c r="BR300" s="1">
        <v>5.3674117848309197E-5</v>
      </c>
      <c r="BS300">
        <v>2.0708226667362801E-4</v>
      </c>
    </row>
    <row r="301" spans="1:71" x14ac:dyDescent="0.25">
      <c r="A301">
        <v>298</v>
      </c>
      <c r="B301" s="1">
        <v>2.0586098036863E-5</v>
      </c>
      <c r="C301">
        <v>0.10725970552248799</v>
      </c>
      <c r="D301">
        <v>-3.1533423093571002E-4</v>
      </c>
      <c r="E301">
        <v>6.1312499999999995E-4</v>
      </c>
      <c r="F301">
        <v>-1.07259705522488E-3</v>
      </c>
      <c r="G301">
        <v>0</v>
      </c>
      <c r="H301" t="s">
        <v>74</v>
      </c>
      <c r="I301">
        <v>0</v>
      </c>
      <c r="J301" t="s">
        <v>75</v>
      </c>
      <c r="K301">
        <v>3.14159265358979</v>
      </c>
      <c r="L301">
        <v>0.49354338752681498</v>
      </c>
      <c r="M301">
        <v>0</v>
      </c>
      <c r="N301">
        <v>2.8978432955830101E-2</v>
      </c>
      <c r="O301">
        <v>0</v>
      </c>
      <c r="P301">
        <v>1.6E-2</v>
      </c>
      <c r="Q301">
        <v>0</v>
      </c>
      <c r="R301">
        <v>0</v>
      </c>
      <c r="S301">
        <v>0</v>
      </c>
      <c r="T301">
        <v>0</v>
      </c>
      <c r="U301">
        <v>0.49752357612356002</v>
      </c>
      <c r="V301" t="s">
        <v>78</v>
      </c>
      <c r="W301">
        <v>2363366.4240688798</v>
      </c>
      <c r="X301" t="s">
        <v>76</v>
      </c>
      <c r="Y301">
        <v>-1.5707963267949001</v>
      </c>
      <c r="Z301">
        <v>0.48645652819976298</v>
      </c>
      <c r="AA301">
        <v>0.49554179843913498</v>
      </c>
      <c r="AB301">
        <v>2.5699769477899401E-2</v>
      </c>
      <c r="AC301">
        <v>2.7948091255935E-2</v>
      </c>
      <c r="AD301">
        <v>1.57689863760022E-3</v>
      </c>
      <c r="AE301">
        <v>3.5621867196061301E-2</v>
      </c>
      <c r="AF301">
        <v>0</v>
      </c>
      <c r="AG301">
        <v>9.2256802839051202E-2</v>
      </c>
      <c r="AH301">
        <v>0.659841292971032</v>
      </c>
      <c r="AI301">
        <v>0.17283216446057401</v>
      </c>
      <c r="AJ301" t="s">
        <v>74</v>
      </c>
      <c r="AK301">
        <v>0</v>
      </c>
      <c r="AL301" t="s">
        <v>77</v>
      </c>
      <c r="AM301">
        <v>0</v>
      </c>
      <c r="AN301">
        <v>0.99199999999999999</v>
      </c>
      <c r="AO301">
        <v>0</v>
      </c>
      <c r="AP301">
        <v>5.8245346242475203E-2</v>
      </c>
      <c r="AQ301">
        <v>0</v>
      </c>
      <c r="AR301">
        <v>1.6E-2</v>
      </c>
      <c r="AS301">
        <v>0</v>
      </c>
      <c r="AT301">
        <v>0</v>
      </c>
      <c r="AU301">
        <v>0</v>
      </c>
      <c r="AV301">
        <v>0</v>
      </c>
      <c r="AW301">
        <v>1</v>
      </c>
      <c r="AX301" t="s">
        <v>74</v>
      </c>
      <c r="AY301">
        <v>0</v>
      </c>
      <c r="AZ301" t="s">
        <v>76</v>
      </c>
      <c r="BA301">
        <v>-1.5707963267949001</v>
      </c>
      <c r="BB301">
        <v>0.99199999999999999</v>
      </c>
      <c r="BC301">
        <v>0</v>
      </c>
      <c r="BD301">
        <v>5.8245346242475203E-2</v>
      </c>
      <c r="BE301">
        <v>0</v>
      </c>
      <c r="BF301">
        <v>1.6E-2</v>
      </c>
      <c r="BG301">
        <v>0</v>
      </c>
      <c r="BH301">
        <v>0</v>
      </c>
      <c r="BI301">
        <v>0</v>
      </c>
      <c r="BJ301">
        <v>0</v>
      </c>
      <c r="BK301">
        <v>1</v>
      </c>
      <c r="BL301" s="1">
        <v>9.9558493087307406E-5</v>
      </c>
      <c r="BM301">
        <v>3.7604904790504201E-4</v>
      </c>
      <c r="BN301" s="1">
        <v>3.6322550336657997E-7</v>
      </c>
      <c r="BO301" s="1">
        <v>5.9069646314395699E-6</v>
      </c>
      <c r="BP301">
        <v>0</v>
      </c>
      <c r="BQ301">
        <v>0</v>
      </c>
      <c r="BR301" s="1">
        <v>5.3645330549511298E-5</v>
      </c>
      <c r="BS301">
        <v>2.0776944719263899E-4</v>
      </c>
    </row>
    <row r="302" spans="1:71" x14ac:dyDescent="0.25">
      <c r="A302">
        <v>299</v>
      </c>
      <c r="B302" s="1">
        <v>2.1381178568719301E-5</v>
      </c>
      <c r="C302">
        <v>0.107281086701057</v>
      </c>
      <c r="D302">
        <v>-3.1544878495834498E-4</v>
      </c>
      <c r="E302">
        <v>6.1312499999999995E-4</v>
      </c>
      <c r="F302">
        <v>-1.0728108670105701E-3</v>
      </c>
      <c r="G302" s="1">
        <v>1.0842021724855E-19</v>
      </c>
      <c r="H302" t="s">
        <v>74</v>
      </c>
      <c r="I302">
        <v>0</v>
      </c>
      <c r="J302" t="s">
        <v>75</v>
      </c>
      <c r="K302">
        <v>3.14159265358979</v>
      </c>
      <c r="L302">
        <v>0.49190799939343099</v>
      </c>
      <c r="M302">
        <v>0</v>
      </c>
      <c r="N302">
        <v>2.8882411032372601E-2</v>
      </c>
      <c r="O302">
        <v>0</v>
      </c>
      <c r="P302">
        <v>1.6E-2</v>
      </c>
      <c r="Q302">
        <v>0</v>
      </c>
      <c r="R302">
        <v>0</v>
      </c>
      <c r="S302">
        <v>0</v>
      </c>
      <c r="T302">
        <v>0</v>
      </c>
      <c r="U302">
        <v>0.49587499937621898</v>
      </c>
      <c r="V302" t="s">
        <v>78</v>
      </c>
      <c r="W302">
        <v>2364354.9696804699</v>
      </c>
      <c r="X302" t="s">
        <v>76</v>
      </c>
      <c r="Y302">
        <v>-1.5707963267949001</v>
      </c>
      <c r="Z302">
        <v>0.48481502989939401</v>
      </c>
      <c r="AA302">
        <v>0.497230323828659</v>
      </c>
      <c r="AB302">
        <v>2.5604497967590699E-2</v>
      </c>
      <c r="AC302">
        <v>2.8050250801063301E-2</v>
      </c>
      <c r="AD302">
        <v>1.48271557045492E-3</v>
      </c>
      <c r="AE302">
        <v>3.57359399384495E-2</v>
      </c>
      <c r="AF302">
        <v>0</v>
      </c>
      <c r="AG302">
        <v>8.8002234135953802E-2</v>
      </c>
      <c r="AH302">
        <v>0.66656342308318695</v>
      </c>
      <c r="AI302">
        <v>0.17088199664994599</v>
      </c>
      <c r="AJ302" t="s">
        <v>74</v>
      </c>
      <c r="AK302">
        <v>0</v>
      </c>
      <c r="AL302" t="s">
        <v>77</v>
      </c>
      <c r="AM302">
        <v>0</v>
      </c>
      <c r="AN302">
        <v>0.99199999999999999</v>
      </c>
      <c r="AO302">
        <v>0</v>
      </c>
      <c r="AP302">
        <v>5.8245346242475203E-2</v>
      </c>
      <c r="AQ302">
        <v>0</v>
      </c>
      <c r="AR302">
        <v>1.6E-2</v>
      </c>
      <c r="AS302">
        <v>0</v>
      </c>
      <c r="AT302">
        <v>0</v>
      </c>
      <c r="AU302">
        <v>0</v>
      </c>
      <c r="AV302">
        <v>0</v>
      </c>
      <c r="AW302">
        <v>1</v>
      </c>
      <c r="AX302" t="s">
        <v>74</v>
      </c>
      <c r="AY302">
        <v>0</v>
      </c>
      <c r="AZ302" t="s">
        <v>76</v>
      </c>
      <c r="BA302">
        <v>-1.5707963267949001</v>
      </c>
      <c r="BB302">
        <v>0.99199999999999999</v>
      </c>
      <c r="BC302">
        <v>0</v>
      </c>
      <c r="BD302">
        <v>5.8245346242475203E-2</v>
      </c>
      <c r="BE302">
        <v>0</v>
      </c>
      <c r="BF302">
        <v>1.6E-2</v>
      </c>
      <c r="BG302">
        <v>0</v>
      </c>
      <c r="BH302">
        <v>0</v>
      </c>
      <c r="BI302">
        <v>0</v>
      </c>
      <c r="BJ302">
        <v>0</v>
      </c>
      <c r="BK302">
        <v>1</v>
      </c>
      <c r="BL302" s="1">
        <v>9.9513926142988507E-5</v>
      </c>
      <c r="BM302">
        <v>3.7728282860957001E-4</v>
      </c>
      <c r="BN302" s="1">
        <v>3.63090303603662E-7</v>
      </c>
      <c r="BO302" s="1">
        <v>5.92634481342702E-6</v>
      </c>
      <c r="BP302">
        <v>0</v>
      </c>
      <c r="BQ302">
        <v>0</v>
      </c>
      <c r="BR302" s="1">
        <v>5.3617232221429801E-5</v>
      </c>
      <c r="BS302">
        <v>2.08455783149002E-4</v>
      </c>
    </row>
    <row r="303" spans="1:71" x14ac:dyDescent="0.25">
      <c r="A303">
        <v>300</v>
      </c>
      <c r="B303" s="1">
        <v>2.2258124151149101E-5</v>
      </c>
      <c r="C303">
        <v>0.10730334482520799</v>
      </c>
      <c r="D303">
        <v>-3.1556802464691099E-4</v>
      </c>
      <c r="E303">
        <v>6.1312499999999995E-4</v>
      </c>
      <c r="F303">
        <v>-1.0730334482520799E-3</v>
      </c>
      <c r="G303">
        <v>0</v>
      </c>
      <c r="H303" t="s">
        <v>74</v>
      </c>
      <c r="I303">
        <v>0</v>
      </c>
      <c r="J303" t="s">
        <v>75</v>
      </c>
      <c r="K303">
        <v>3.14159265358979</v>
      </c>
      <c r="L303">
        <v>0.49027537263478599</v>
      </c>
      <c r="M303">
        <v>0</v>
      </c>
      <c r="N303">
        <v>2.8786551243217402E-2</v>
      </c>
      <c r="O303">
        <v>0</v>
      </c>
      <c r="P303">
        <v>1.6E-2</v>
      </c>
      <c r="Q303">
        <v>0</v>
      </c>
      <c r="R303">
        <v>0</v>
      </c>
      <c r="S303">
        <v>0</v>
      </c>
      <c r="T303">
        <v>0</v>
      </c>
      <c r="U303">
        <v>0.494229206272773</v>
      </c>
      <c r="V303" t="s">
        <v>78</v>
      </c>
      <c r="W303">
        <v>2365383.9503146401</v>
      </c>
      <c r="X303" t="s">
        <v>76</v>
      </c>
      <c r="Y303">
        <v>-1.5707963267949001</v>
      </c>
      <c r="Z303">
        <v>0.48317517246554798</v>
      </c>
      <c r="AA303">
        <v>0.49881516183604802</v>
      </c>
      <c r="AB303">
        <v>2.5509022415815801E-2</v>
      </c>
      <c r="AC303">
        <v>2.8149710459577301E-2</v>
      </c>
      <c r="AD303">
        <v>1.3893721021797699E-3</v>
      </c>
      <c r="AE303">
        <v>3.5849754306575402E-2</v>
      </c>
      <c r="AF303">
        <v>0</v>
      </c>
      <c r="AG303">
        <v>8.3661427565493995E-2</v>
      </c>
      <c r="AH303">
        <v>0.67336762455225796</v>
      </c>
      <c r="AI303">
        <v>0.16894267831791901</v>
      </c>
      <c r="AJ303" t="s">
        <v>74</v>
      </c>
      <c r="AK303">
        <v>0</v>
      </c>
      <c r="AL303" t="s">
        <v>77</v>
      </c>
      <c r="AM303">
        <v>0</v>
      </c>
      <c r="AN303">
        <v>0.99199999999999999</v>
      </c>
      <c r="AO303">
        <v>0</v>
      </c>
      <c r="AP303">
        <v>5.8245346242475203E-2</v>
      </c>
      <c r="AQ303">
        <v>0</v>
      </c>
      <c r="AR303">
        <v>1.6E-2</v>
      </c>
      <c r="AS303">
        <v>0</v>
      </c>
      <c r="AT303">
        <v>0</v>
      </c>
      <c r="AU303">
        <v>0</v>
      </c>
      <c r="AV303">
        <v>0</v>
      </c>
      <c r="AW303">
        <v>1</v>
      </c>
      <c r="AX303" t="s">
        <v>74</v>
      </c>
      <c r="AY303">
        <v>0</v>
      </c>
      <c r="AZ303" t="s">
        <v>76</v>
      </c>
      <c r="BA303">
        <v>-1.5707963267949001</v>
      </c>
      <c r="BB303">
        <v>0.99199999999999999</v>
      </c>
      <c r="BC303">
        <v>0</v>
      </c>
      <c r="BD303">
        <v>5.8245346242475203E-2</v>
      </c>
      <c r="BE303">
        <v>0</v>
      </c>
      <c r="BF303">
        <v>1.6E-2</v>
      </c>
      <c r="BG303">
        <v>0</v>
      </c>
      <c r="BH303">
        <v>0</v>
      </c>
      <c r="BI303">
        <v>0</v>
      </c>
      <c r="BJ303">
        <v>0</v>
      </c>
      <c r="BK303">
        <v>1</v>
      </c>
      <c r="BL303" s="1">
        <v>9.9467988301780395E-5</v>
      </c>
      <c r="BM303">
        <v>3.7851452605887597E-4</v>
      </c>
      <c r="BN303" s="1">
        <v>3.6295433703584999E-7</v>
      </c>
      <c r="BO303" s="1">
        <v>5.9456922717179402E-6</v>
      </c>
      <c r="BP303">
        <v>0</v>
      </c>
      <c r="BQ303">
        <v>0</v>
      </c>
      <c r="BR303" s="1">
        <v>5.3588419293840502E-5</v>
      </c>
      <c r="BS303">
        <v>2.09141190347235E-4</v>
      </c>
    </row>
    <row r="304" spans="1:71" x14ac:dyDescent="0.25">
      <c r="A304">
        <v>301</v>
      </c>
      <c r="B304" s="1">
        <v>2.32299842055564E-5</v>
      </c>
      <c r="C304">
        <v>0.107326574809414</v>
      </c>
      <c r="D304">
        <v>-3.1569245686749502E-4</v>
      </c>
      <c r="E304">
        <v>6.1312499999999995E-4</v>
      </c>
      <c r="F304">
        <v>-1.0732657480941399E-3</v>
      </c>
      <c r="G304" s="1">
        <v>1.0842021724855E-19</v>
      </c>
      <c r="H304" t="s">
        <v>74</v>
      </c>
      <c r="I304">
        <v>0</v>
      </c>
      <c r="J304" t="s">
        <v>75</v>
      </c>
      <c r="K304">
        <v>3.14159265358979</v>
      </c>
      <c r="L304">
        <v>0.48864579181913298</v>
      </c>
      <c r="M304">
        <v>0</v>
      </c>
      <c r="N304">
        <v>2.86908702968083E-2</v>
      </c>
      <c r="O304">
        <v>0</v>
      </c>
      <c r="P304">
        <v>1.6E-2</v>
      </c>
      <c r="Q304">
        <v>0</v>
      </c>
      <c r="R304">
        <v>0</v>
      </c>
      <c r="S304">
        <v>0</v>
      </c>
      <c r="T304">
        <v>0</v>
      </c>
      <c r="U304">
        <v>0.49258648367638302</v>
      </c>
      <c r="V304" t="s">
        <v>78</v>
      </c>
      <c r="W304">
        <v>2366457.73997971</v>
      </c>
      <c r="X304" t="s">
        <v>76</v>
      </c>
      <c r="Y304">
        <v>-1.5707963267949001</v>
      </c>
      <c r="Z304">
        <v>0.48153710908574399</v>
      </c>
      <c r="AA304">
        <v>0.50043356049362897</v>
      </c>
      <c r="AB304">
        <v>2.54133168253633E-2</v>
      </c>
      <c r="AC304">
        <v>2.8250844851344801E-2</v>
      </c>
      <c r="AD304">
        <v>1.29694811504177E-3</v>
      </c>
      <c r="AE304">
        <v>3.5963295750252297E-2</v>
      </c>
      <c r="AF304">
        <v>0</v>
      </c>
      <c r="AG304">
        <v>7.9233571055893598E-2</v>
      </c>
      <c r="AH304">
        <v>0.68025428007816702</v>
      </c>
      <c r="AI304">
        <v>0.16701454806230001</v>
      </c>
      <c r="AJ304" t="s">
        <v>74</v>
      </c>
      <c r="AK304">
        <v>0</v>
      </c>
      <c r="AL304" t="s">
        <v>77</v>
      </c>
      <c r="AM304">
        <v>0</v>
      </c>
      <c r="AN304">
        <v>0.99199999999999999</v>
      </c>
      <c r="AO304">
        <v>0</v>
      </c>
      <c r="AP304">
        <v>5.8245346242475203E-2</v>
      </c>
      <c r="AQ304">
        <v>0</v>
      </c>
      <c r="AR304">
        <v>1.6E-2</v>
      </c>
      <c r="AS304">
        <v>0</v>
      </c>
      <c r="AT304">
        <v>0</v>
      </c>
      <c r="AU304">
        <v>0</v>
      </c>
      <c r="AV304">
        <v>0</v>
      </c>
      <c r="AW304">
        <v>1</v>
      </c>
      <c r="AX304" t="s">
        <v>74</v>
      </c>
      <c r="AY304">
        <v>0</v>
      </c>
      <c r="AZ304" t="s">
        <v>76</v>
      </c>
      <c r="BA304">
        <v>-1.5707963267949001</v>
      </c>
      <c r="BB304">
        <v>0.99199999999999999</v>
      </c>
      <c r="BC304">
        <v>0</v>
      </c>
      <c r="BD304">
        <v>5.8245346242475203E-2</v>
      </c>
      <c r="BE304">
        <v>0</v>
      </c>
      <c r="BF304">
        <v>1.6E-2</v>
      </c>
      <c r="BG304">
        <v>0</v>
      </c>
      <c r="BH304">
        <v>0</v>
      </c>
      <c r="BI304">
        <v>0</v>
      </c>
      <c r="BJ304">
        <v>0</v>
      </c>
      <c r="BK304">
        <v>1</v>
      </c>
      <c r="BL304" s="1">
        <v>9.9422862229233403E-5</v>
      </c>
      <c r="BM304">
        <v>3.7974392556703001E-4</v>
      </c>
      <c r="BN304" s="1">
        <v>3.6282218152898201E-7</v>
      </c>
      <c r="BO304" s="1">
        <v>5.9650036340336601E-6</v>
      </c>
      <c r="BP304">
        <v>0</v>
      </c>
      <c r="BQ304">
        <v>0</v>
      </c>
      <c r="BR304" s="1">
        <v>5.3560102463774297E-5</v>
      </c>
      <c r="BS304">
        <v>2.0982557277948101E-4</v>
      </c>
    </row>
    <row r="305" spans="1:71" x14ac:dyDescent="0.25">
      <c r="A305">
        <v>302</v>
      </c>
      <c r="B305" s="1">
        <v>2.43126687925409E-5</v>
      </c>
      <c r="C305">
        <v>0.10735088747820599</v>
      </c>
      <c r="D305">
        <v>-3.15822673399433E-4</v>
      </c>
      <c r="E305">
        <v>6.1312499999999995E-4</v>
      </c>
      <c r="F305">
        <v>-1.0735088747820601E-3</v>
      </c>
      <c r="G305" s="1">
        <v>1.0842021724855E-19</v>
      </c>
      <c r="H305" t="s">
        <v>74</v>
      </c>
      <c r="I305">
        <v>0</v>
      </c>
      <c r="J305" t="s">
        <v>75</v>
      </c>
      <c r="K305">
        <v>3.14159265358979</v>
      </c>
      <c r="L305">
        <v>0.48701958366099801</v>
      </c>
      <c r="M305">
        <v>0</v>
      </c>
      <c r="N305">
        <v>2.8595387376210601E-2</v>
      </c>
      <c r="O305">
        <v>0</v>
      </c>
      <c r="P305">
        <v>1.6E-2</v>
      </c>
      <c r="Q305">
        <v>0</v>
      </c>
      <c r="R305">
        <v>0</v>
      </c>
      <c r="S305">
        <v>0</v>
      </c>
      <c r="T305">
        <v>0</v>
      </c>
      <c r="U305">
        <v>0.49094716093637097</v>
      </c>
      <c r="V305" t="s">
        <v>78</v>
      </c>
      <c r="W305">
        <v>2367581.4454441001</v>
      </c>
      <c r="X305" t="s">
        <v>76</v>
      </c>
      <c r="Y305">
        <v>-1.5707963267949001</v>
      </c>
      <c r="Z305">
        <v>0.47990101261344098</v>
      </c>
      <c r="AA305">
        <v>0.50206808871507602</v>
      </c>
      <c r="AB305">
        <v>2.53173504620956E-2</v>
      </c>
      <c r="AC305">
        <v>2.8353180432934201E-2</v>
      </c>
      <c r="AD305">
        <v>1.2055360325658199E-3</v>
      </c>
      <c r="AE305">
        <v>3.6076547430412602E-2</v>
      </c>
      <c r="AF305">
        <v>0</v>
      </c>
      <c r="AG305">
        <v>7.4718344547658994E-2</v>
      </c>
      <c r="AH305">
        <v>0.68722321675598996</v>
      </c>
      <c r="AI305">
        <v>0.16509798851285001</v>
      </c>
      <c r="AJ305" t="s">
        <v>74</v>
      </c>
      <c r="AK305">
        <v>0</v>
      </c>
      <c r="AL305" t="s">
        <v>77</v>
      </c>
      <c r="AM305">
        <v>0</v>
      </c>
      <c r="AN305">
        <v>0.99199999999999999</v>
      </c>
      <c r="AO305">
        <v>0</v>
      </c>
      <c r="AP305">
        <v>5.8245346242475203E-2</v>
      </c>
      <c r="AQ305">
        <v>0</v>
      </c>
      <c r="AR305">
        <v>1.6E-2</v>
      </c>
      <c r="AS305">
        <v>0</v>
      </c>
      <c r="AT305">
        <v>0</v>
      </c>
      <c r="AU305">
        <v>0</v>
      </c>
      <c r="AV305">
        <v>0</v>
      </c>
      <c r="AW305">
        <v>1</v>
      </c>
      <c r="AX305" t="s">
        <v>74</v>
      </c>
      <c r="AY305">
        <v>0</v>
      </c>
      <c r="AZ305" t="s">
        <v>76</v>
      </c>
      <c r="BA305">
        <v>-1.5707963267949001</v>
      </c>
      <c r="BB305">
        <v>0.99199999999999999</v>
      </c>
      <c r="BC305">
        <v>0</v>
      </c>
      <c r="BD305">
        <v>5.8245346242475203E-2</v>
      </c>
      <c r="BE305">
        <v>0</v>
      </c>
      <c r="BF305">
        <v>1.6E-2</v>
      </c>
      <c r="BG305">
        <v>0</v>
      </c>
      <c r="BH305">
        <v>0</v>
      </c>
      <c r="BI305">
        <v>0</v>
      </c>
      <c r="BJ305">
        <v>0</v>
      </c>
      <c r="BK305">
        <v>1</v>
      </c>
      <c r="BL305" s="1">
        <v>9.9378305378095406E-5</v>
      </c>
      <c r="BM305">
        <v>3.8097078065182401E-4</v>
      </c>
      <c r="BN305" s="1">
        <v>3.6269360097635001E-7</v>
      </c>
      <c r="BO305" s="1">
        <v>5.9842750286407E-6</v>
      </c>
      <c r="BP305">
        <v>0</v>
      </c>
      <c r="BQ305">
        <v>0</v>
      </c>
      <c r="BR305" s="1">
        <v>5.3532153254349602E-5</v>
      </c>
      <c r="BS305">
        <v>2.10508820620856E-4</v>
      </c>
    </row>
    <row r="306" spans="1:71" x14ac:dyDescent="0.25">
      <c r="A306">
        <v>303</v>
      </c>
      <c r="B306" s="1">
        <v>2.5525751613840699E-5</v>
      </c>
      <c r="C306">
        <v>0.10737641322982</v>
      </c>
      <c r="D306">
        <v>-3.15959370477704E-4</v>
      </c>
      <c r="E306">
        <v>6.1312499999999995E-4</v>
      </c>
      <c r="F306">
        <v>-1.0737641322982E-3</v>
      </c>
      <c r="G306" s="1">
        <v>1.0842021724855E-19</v>
      </c>
      <c r="H306" t="s">
        <v>74</v>
      </c>
      <c r="I306">
        <v>0</v>
      </c>
      <c r="J306" t="s">
        <v>75</v>
      </c>
      <c r="K306">
        <v>3.14159265358979</v>
      </c>
      <c r="L306">
        <v>0.48539712468461399</v>
      </c>
      <c r="M306">
        <v>0</v>
      </c>
      <c r="N306">
        <v>2.8500124589069802E-2</v>
      </c>
      <c r="O306">
        <v>0</v>
      </c>
      <c r="P306">
        <v>1.6E-2</v>
      </c>
      <c r="Q306">
        <v>0</v>
      </c>
      <c r="R306">
        <v>0</v>
      </c>
      <c r="S306">
        <v>0</v>
      </c>
      <c r="T306">
        <v>0</v>
      </c>
      <c r="U306">
        <v>0.48931161761345598</v>
      </c>
      <c r="V306" t="s">
        <v>78</v>
      </c>
      <c r="W306">
        <v>2368761.0748777301</v>
      </c>
      <c r="X306" t="s">
        <v>76</v>
      </c>
      <c r="Y306">
        <v>-1.5707963267949001</v>
      </c>
      <c r="Z306">
        <v>0.47826707799764301</v>
      </c>
      <c r="AA306">
        <v>0.50370177453132403</v>
      </c>
      <c r="AB306">
        <v>2.5221086648282601E-2</v>
      </c>
      <c r="AC306">
        <v>2.8456271542953802E-2</v>
      </c>
      <c r="AD306">
        <v>1.1152434581141899E-3</v>
      </c>
      <c r="AE306">
        <v>3.6189489747041399E-2</v>
      </c>
      <c r="AF306">
        <v>0</v>
      </c>
      <c r="AG306">
        <v>7.0116123526912003E-2</v>
      </c>
      <c r="AH306">
        <v>0.69427349097962998</v>
      </c>
      <c r="AI306">
        <v>0.163193434224148</v>
      </c>
      <c r="AJ306" t="s">
        <v>74</v>
      </c>
      <c r="AK306">
        <v>0</v>
      </c>
      <c r="AL306" t="s">
        <v>77</v>
      </c>
      <c r="AM306">
        <v>0</v>
      </c>
      <c r="AN306">
        <v>0.99199999999999999</v>
      </c>
      <c r="AO306">
        <v>0</v>
      </c>
      <c r="AP306">
        <v>5.8245346242475203E-2</v>
      </c>
      <c r="AQ306">
        <v>0</v>
      </c>
      <c r="AR306">
        <v>1.6E-2</v>
      </c>
      <c r="AS306">
        <v>0</v>
      </c>
      <c r="AT306">
        <v>0</v>
      </c>
      <c r="AU306">
        <v>0</v>
      </c>
      <c r="AV306">
        <v>0</v>
      </c>
      <c r="AW306">
        <v>1</v>
      </c>
      <c r="AX306" t="s">
        <v>74</v>
      </c>
      <c r="AY306">
        <v>0</v>
      </c>
      <c r="AZ306" t="s">
        <v>76</v>
      </c>
      <c r="BA306">
        <v>-1.5707963267949001</v>
      </c>
      <c r="BB306">
        <v>0.99199999999999999</v>
      </c>
      <c r="BC306">
        <v>0</v>
      </c>
      <c r="BD306">
        <v>5.8245346242475203E-2</v>
      </c>
      <c r="BE306">
        <v>0</v>
      </c>
      <c r="BF306">
        <v>1.6E-2</v>
      </c>
      <c r="BG306">
        <v>0</v>
      </c>
      <c r="BH306">
        <v>0</v>
      </c>
      <c r="BI306">
        <v>0</v>
      </c>
      <c r="BJ306">
        <v>0</v>
      </c>
      <c r="BK306">
        <v>1</v>
      </c>
      <c r="BL306" s="1">
        <v>9.9334087632628294E-5</v>
      </c>
      <c r="BM306">
        <v>3.8219480725327099E-4</v>
      </c>
      <c r="BN306" s="1">
        <v>3.6256842865603301E-7</v>
      </c>
      <c r="BO306" s="1">
        <v>6.0035019935352098E-6</v>
      </c>
      <c r="BP306">
        <v>0</v>
      </c>
      <c r="BQ306">
        <v>0</v>
      </c>
      <c r="BR306" s="1">
        <v>5.35044510030992E-5</v>
      </c>
      <c r="BS306">
        <v>2.1119080789484999E-4</v>
      </c>
    </row>
    <row r="307" spans="1:71" x14ac:dyDescent="0.25">
      <c r="A307">
        <v>304</v>
      </c>
      <c r="B307" s="1">
        <v>2.6893548716519099E-5</v>
      </c>
      <c r="C307">
        <v>0.107403306778537</v>
      </c>
      <c r="D307">
        <v>-3.1610337408597301E-4</v>
      </c>
      <c r="E307">
        <v>6.1312499999999995E-4</v>
      </c>
      <c r="F307">
        <v>-1.07403306778537E-3</v>
      </c>
      <c r="G307">
        <v>0</v>
      </c>
      <c r="H307" t="s">
        <v>74</v>
      </c>
      <c r="I307">
        <v>0</v>
      </c>
      <c r="J307" t="s">
        <v>75</v>
      </c>
      <c r="K307">
        <v>3.14159265358979</v>
      </c>
      <c r="L307">
        <v>0.48377885029442302</v>
      </c>
      <c r="M307">
        <v>0</v>
      </c>
      <c r="N307">
        <v>2.84051075001867E-2</v>
      </c>
      <c r="O307">
        <v>0</v>
      </c>
      <c r="P307">
        <v>1.6E-2</v>
      </c>
      <c r="Q307">
        <v>0</v>
      </c>
      <c r="R307">
        <v>0</v>
      </c>
      <c r="S307">
        <v>0</v>
      </c>
      <c r="T307">
        <v>0</v>
      </c>
      <c r="U307">
        <v>0.48768029262340601</v>
      </c>
      <c r="V307" t="s">
        <v>78</v>
      </c>
      <c r="W307">
        <v>2370003.7561186999</v>
      </c>
      <c r="X307" t="s">
        <v>76</v>
      </c>
      <c r="Y307">
        <v>-1.5707963267949001</v>
      </c>
      <c r="Z307">
        <v>0.47663552456904101</v>
      </c>
      <c r="AA307">
        <v>0.50542674469163495</v>
      </c>
      <c r="AB307">
        <v>2.5124481155227699E-2</v>
      </c>
      <c r="AC307">
        <v>2.8563116822544199E-2</v>
      </c>
      <c r="AD307">
        <v>1.02619648082006E-3</v>
      </c>
      <c r="AE307">
        <v>3.6302099766192503E-2</v>
      </c>
      <c r="AF307">
        <v>0</v>
      </c>
      <c r="AG307">
        <v>6.5428260284422599E-2</v>
      </c>
      <c r="AH307">
        <v>0.70140309349672203</v>
      </c>
      <c r="AI307">
        <v>0.161301380978746</v>
      </c>
      <c r="AJ307" t="s">
        <v>74</v>
      </c>
      <c r="AK307">
        <v>0</v>
      </c>
      <c r="AL307" t="s">
        <v>77</v>
      </c>
      <c r="AM307">
        <v>0</v>
      </c>
      <c r="AN307">
        <v>0.99199999999999999</v>
      </c>
      <c r="AO307">
        <v>0</v>
      </c>
      <c r="AP307">
        <v>5.8245346242475203E-2</v>
      </c>
      <c r="AQ307">
        <v>0</v>
      </c>
      <c r="AR307">
        <v>1.6E-2</v>
      </c>
      <c r="AS307">
        <v>0</v>
      </c>
      <c r="AT307">
        <v>0</v>
      </c>
      <c r="AU307">
        <v>0</v>
      </c>
      <c r="AV307">
        <v>0</v>
      </c>
      <c r="AW307">
        <v>1</v>
      </c>
      <c r="AX307" t="s">
        <v>74</v>
      </c>
      <c r="AY307">
        <v>0</v>
      </c>
      <c r="AZ307" t="s">
        <v>76</v>
      </c>
      <c r="BA307">
        <v>-1.5707963267949001</v>
      </c>
      <c r="BB307">
        <v>0.99199999999999999</v>
      </c>
      <c r="BC307">
        <v>0</v>
      </c>
      <c r="BD307">
        <v>5.8245346242475203E-2</v>
      </c>
      <c r="BE307">
        <v>0</v>
      </c>
      <c r="BF307">
        <v>1.6E-2</v>
      </c>
      <c r="BG307">
        <v>0</v>
      </c>
      <c r="BH307">
        <v>0</v>
      </c>
      <c r="BI307">
        <v>0</v>
      </c>
      <c r="BJ307">
        <v>0</v>
      </c>
      <c r="BK307">
        <v>1</v>
      </c>
      <c r="BL307" s="1">
        <v>9.9291698981454499E-5</v>
      </c>
      <c r="BM307">
        <v>3.8341567689057198E-4</v>
      </c>
      <c r="BN307" s="1">
        <v>3.6244999346807702E-7</v>
      </c>
      <c r="BO307" s="1">
        <v>6.0226793689528999E-6</v>
      </c>
      <c r="BP307">
        <v>0</v>
      </c>
      <c r="BQ307">
        <v>0</v>
      </c>
      <c r="BR307" s="1">
        <v>5.3477826727382797E-5</v>
      </c>
      <c r="BS307">
        <v>2.1187138980495899E-4</v>
      </c>
    </row>
    <row r="308" spans="1:71" x14ac:dyDescent="0.25">
      <c r="A308">
        <v>305</v>
      </c>
      <c r="B308" s="1">
        <v>2.8446584652804998E-5</v>
      </c>
      <c r="C308">
        <v>0.10743175336319</v>
      </c>
      <c r="D308">
        <v>-3.1625567306447502E-4</v>
      </c>
      <c r="E308">
        <v>6.1312499999999995E-4</v>
      </c>
      <c r="F308">
        <v>-1.0743175336318999E-3</v>
      </c>
      <c r="G308">
        <v>0</v>
      </c>
      <c r="H308" t="s">
        <v>74</v>
      </c>
      <c r="I308">
        <v>0</v>
      </c>
      <c r="J308" t="s">
        <v>75</v>
      </c>
      <c r="K308">
        <v>3.14159265358979</v>
      </c>
      <c r="L308">
        <v>0.48216526533641801</v>
      </c>
      <c r="M308">
        <v>0</v>
      </c>
      <c r="N308">
        <v>2.8310365751627601E-2</v>
      </c>
      <c r="O308">
        <v>0</v>
      </c>
      <c r="P308">
        <v>1.6E-2</v>
      </c>
      <c r="Q308">
        <v>0</v>
      </c>
      <c r="R308">
        <v>0</v>
      </c>
      <c r="S308">
        <v>0</v>
      </c>
      <c r="T308">
        <v>0</v>
      </c>
      <c r="U308">
        <v>0.48605369488355799</v>
      </c>
      <c r="V308" t="s">
        <v>78</v>
      </c>
      <c r="W308">
        <v>2371318.0223782598</v>
      </c>
      <c r="X308" t="s">
        <v>76</v>
      </c>
      <c r="Y308">
        <v>-1.5707963267949001</v>
      </c>
      <c r="Z308">
        <v>0.47500659770791798</v>
      </c>
      <c r="AA308">
        <v>0.50691042500418104</v>
      </c>
      <c r="AB308">
        <v>2.5027480029226699E-2</v>
      </c>
      <c r="AC308">
        <v>2.8663393883266799E-2</v>
      </c>
      <c r="AD308">
        <v>9.3854383342176597E-4</v>
      </c>
      <c r="AE308">
        <v>3.6414350532541398E-2</v>
      </c>
      <c r="AF308">
        <v>0</v>
      </c>
      <c r="AG308">
        <v>6.0657474888263202E-2</v>
      </c>
      <c r="AH308">
        <v>0.70860854250045502</v>
      </c>
      <c r="AI308">
        <v>0.15942239655134999</v>
      </c>
      <c r="AJ308" t="s">
        <v>74</v>
      </c>
      <c r="AK308">
        <v>0</v>
      </c>
      <c r="AL308" t="s">
        <v>77</v>
      </c>
      <c r="AM308">
        <v>0</v>
      </c>
      <c r="AN308">
        <v>0.99199999999999999</v>
      </c>
      <c r="AO308">
        <v>0</v>
      </c>
      <c r="AP308">
        <v>5.8245346242475203E-2</v>
      </c>
      <c r="AQ308">
        <v>0</v>
      </c>
      <c r="AR308">
        <v>1.6E-2</v>
      </c>
      <c r="AS308">
        <v>0</v>
      </c>
      <c r="AT308">
        <v>0</v>
      </c>
      <c r="AU308">
        <v>0</v>
      </c>
      <c r="AV308">
        <v>0</v>
      </c>
      <c r="AW308">
        <v>1</v>
      </c>
      <c r="AX308" t="s">
        <v>74</v>
      </c>
      <c r="AY308">
        <v>0</v>
      </c>
      <c r="AZ308" t="s">
        <v>76</v>
      </c>
      <c r="BA308">
        <v>-1.5707963267949001</v>
      </c>
      <c r="BB308">
        <v>0.99199999999999999</v>
      </c>
      <c r="BC308">
        <v>0</v>
      </c>
      <c r="BD308">
        <v>5.8245346242475203E-2</v>
      </c>
      <c r="BE308">
        <v>0</v>
      </c>
      <c r="BF308">
        <v>1.6E-2</v>
      </c>
      <c r="BG308">
        <v>0</v>
      </c>
      <c r="BH308">
        <v>0</v>
      </c>
      <c r="BI308">
        <v>0</v>
      </c>
      <c r="BJ308">
        <v>0</v>
      </c>
      <c r="BK308">
        <v>1</v>
      </c>
      <c r="BL308" s="1">
        <v>9.9245966074535801E-5</v>
      </c>
      <c r="BM308">
        <v>3.8463300869435898E-4</v>
      </c>
      <c r="BN308" s="1">
        <v>3.6232836729699997E-7</v>
      </c>
      <c r="BO308" s="1">
        <v>6.0418011722116904E-6</v>
      </c>
      <c r="BP308">
        <v>0</v>
      </c>
      <c r="BQ308">
        <v>0</v>
      </c>
      <c r="BR308" s="1">
        <v>5.3449430815570998E-5</v>
      </c>
      <c r="BS308">
        <v>2.12550399788429E-4</v>
      </c>
    </row>
    <row r="309" spans="1:71" x14ac:dyDescent="0.25">
      <c r="A309">
        <v>306</v>
      </c>
      <c r="B309" s="1">
        <v>3.0223609601803402E-5</v>
      </c>
      <c r="C309">
        <v>0.107461976972791</v>
      </c>
      <c r="D309">
        <v>-3.1641746296732202E-4</v>
      </c>
      <c r="E309">
        <v>6.1312499999999995E-4</v>
      </c>
      <c r="F309">
        <v>-1.0746197697279101E-3</v>
      </c>
      <c r="G309">
        <v>0</v>
      </c>
      <c r="H309" t="s">
        <v>74</v>
      </c>
      <c r="I309">
        <v>0</v>
      </c>
      <c r="J309" t="s">
        <v>75</v>
      </c>
      <c r="K309">
        <v>3.14159265358979</v>
      </c>
      <c r="L309">
        <v>0.48055695601899201</v>
      </c>
      <c r="M309">
        <v>0</v>
      </c>
      <c r="N309">
        <v>2.8215933762657401E-2</v>
      </c>
      <c r="O309">
        <v>0</v>
      </c>
      <c r="P309">
        <v>1.6E-2</v>
      </c>
      <c r="Q309">
        <v>0</v>
      </c>
      <c r="R309">
        <v>0</v>
      </c>
      <c r="S309">
        <v>0</v>
      </c>
      <c r="T309">
        <v>0</v>
      </c>
      <c r="U309">
        <v>0.48443241532979098</v>
      </c>
      <c r="V309" t="s">
        <v>78</v>
      </c>
      <c r="W309">
        <v>2372714.1907080901</v>
      </c>
      <c r="X309" t="s">
        <v>76</v>
      </c>
      <c r="Y309">
        <v>-1.5707963267949001</v>
      </c>
      <c r="Z309">
        <v>0.47338056896820402</v>
      </c>
      <c r="AA309">
        <v>0.50862717482085795</v>
      </c>
      <c r="AB309">
        <v>2.49300166019269E-2</v>
      </c>
      <c r="AC309">
        <v>2.8772158538601499E-2</v>
      </c>
      <c r="AD309">
        <v>8.52462131744584E-4</v>
      </c>
      <c r="AE309">
        <v>3.6526210262912799E-2</v>
      </c>
      <c r="AF309">
        <v>0</v>
      </c>
      <c r="AG309">
        <v>5.5808402087311297E-2</v>
      </c>
      <c r="AH309">
        <v>0.71588431873926095</v>
      </c>
      <c r="AI309">
        <v>0.157557132734928</v>
      </c>
      <c r="AJ309" t="s">
        <v>74</v>
      </c>
      <c r="AK309">
        <v>0</v>
      </c>
      <c r="AL309" t="s">
        <v>77</v>
      </c>
      <c r="AM309">
        <v>0</v>
      </c>
      <c r="AN309">
        <v>0.99199999999999999</v>
      </c>
      <c r="AO309">
        <v>0</v>
      </c>
      <c r="AP309">
        <v>5.8245346242475203E-2</v>
      </c>
      <c r="AQ309">
        <v>0</v>
      </c>
      <c r="AR309">
        <v>1.6E-2</v>
      </c>
      <c r="AS309">
        <v>0</v>
      </c>
      <c r="AT309">
        <v>0</v>
      </c>
      <c r="AU309">
        <v>0</v>
      </c>
      <c r="AV309">
        <v>0</v>
      </c>
      <c r="AW309">
        <v>1</v>
      </c>
      <c r="AX309" t="s">
        <v>74</v>
      </c>
      <c r="AY309">
        <v>0</v>
      </c>
      <c r="AZ309" t="s">
        <v>76</v>
      </c>
      <c r="BA309">
        <v>-1.5707963267949001</v>
      </c>
      <c r="BB309">
        <v>0.99199999999999999</v>
      </c>
      <c r="BC309">
        <v>0</v>
      </c>
      <c r="BD309">
        <v>5.8245346242475203E-2</v>
      </c>
      <c r="BE309">
        <v>0</v>
      </c>
      <c r="BF309">
        <v>1.6E-2</v>
      </c>
      <c r="BG309">
        <v>0</v>
      </c>
      <c r="BH309">
        <v>0</v>
      </c>
      <c r="BI309">
        <v>0</v>
      </c>
      <c r="BJ309">
        <v>0</v>
      </c>
      <c r="BK309">
        <v>1</v>
      </c>
      <c r="BL309" s="1">
        <v>9.9204400694068103E-5</v>
      </c>
      <c r="BM309">
        <v>3.8584636041328599E-4</v>
      </c>
      <c r="BN309" s="1">
        <v>3.6221908110523302E-7</v>
      </c>
      <c r="BO309" s="1">
        <v>6.0608604564437E-6</v>
      </c>
      <c r="BP309">
        <v>0</v>
      </c>
      <c r="BQ309">
        <v>0</v>
      </c>
      <c r="BR309" s="1">
        <v>5.3423425252765998E-5</v>
      </c>
      <c r="BS309">
        <v>2.13227646476081E-4</v>
      </c>
    </row>
    <row r="310" spans="1:71" x14ac:dyDescent="0.25">
      <c r="A310">
        <v>307</v>
      </c>
      <c r="B310" s="1">
        <v>3.2274409064965803E-5</v>
      </c>
      <c r="C310">
        <v>0.107494251381856</v>
      </c>
      <c r="D310">
        <v>-3.16590204889507E-4</v>
      </c>
      <c r="E310">
        <v>6.1312499999999995E-4</v>
      </c>
      <c r="F310">
        <v>-1.0749425138185599E-3</v>
      </c>
      <c r="G310" s="1">
        <v>1.0842021724855E-19</v>
      </c>
      <c r="H310" t="s">
        <v>74</v>
      </c>
      <c r="I310">
        <v>0</v>
      </c>
      <c r="J310" t="s">
        <v>75</v>
      </c>
      <c r="K310">
        <v>3.14159265358979</v>
      </c>
      <c r="L310">
        <v>0.47895460256630001</v>
      </c>
      <c r="M310">
        <v>0</v>
      </c>
      <c r="N310">
        <v>2.8121851472682698E-2</v>
      </c>
      <c r="O310">
        <v>0</v>
      </c>
      <c r="P310">
        <v>1.6E-2</v>
      </c>
      <c r="Q310">
        <v>0</v>
      </c>
      <c r="R310">
        <v>0</v>
      </c>
      <c r="S310">
        <v>0</v>
      </c>
      <c r="T310">
        <v>0</v>
      </c>
      <c r="U310">
        <v>0.48281713967194301</v>
      </c>
      <c r="V310" t="s">
        <v>78</v>
      </c>
      <c r="W310">
        <v>2374204.8696487602</v>
      </c>
      <c r="X310" t="s">
        <v>76</v>
      </c>
      <c r="Y310">
        <v>-1.5707963267949001</v>
      </c>
      <c r="Z310">
        <v>0.47175773288851103</v>
      </c>
      <c r="AA310">
        <v>0.51026425868991898</v>
      </c>
      <c r="AB310">
        <v>2.4832007304427101E-2</v>
      </c>
      <c r="AC310">
        <v>2.8879774605396601E-2</v>
      </c>
      <c r="AD310">
        <v>7.6816246944589001E-4</v>
      </c>
      <c r="AE310">
        <v>3.6637641440454199E-2</v>
      </c>
      <c r="AF310">
        <v>0</v>
      </c>
      <c r="AG310">
        <v>5.0888361076535001E-2</v>
      </c>
      <c r="AH310">
        <v>0.72322207665944804</v>
      </c>
      <c r="AI310">
        <v>0.15570633786808999</v>
      </c>
      <c r="AJ310" t="s">
        <v>74</v>
      </c>
      <c r="AK310">
        <v>0</v>
      </c>
      <c r="AL310" t="s">
        <v>77</v>
      </c>
      <c r="AM310">
        <v>0</v>
      </c>
      <c r="AN310">
        <v>0.99199999999999999</v>
      </c>
      <c r="AO310">
        <v>0</v>
      </c>
      <c r="AP310">
        <v>5.8245346242475203E-2</v>
      </c>
      <c r="AQ310">
        <v>0</v>
      </c>
      <c r="AR310">
        <v>1.6E-2</v>
      </c>
      <c r="AS310">
        <v>0</v>
      </c>
      <c r="AT310">
        <v>0</v>
      </c>
      <c r="AU310">
        <v>0</v>
      </c>
      <c r="AV310">
        <v>0</v>
      </c>
      <c r="AW310">
        <v>1</v>
      </c>
      <c r="AX310" t="s">
        <v>74</v>
      </c>
      <c r="AY310">
        <v>0</v>
      </c>
      <c r="AZ310" t="s">
        <v>76</v>
      </c>
      <c r="BA310">
        <v>-1.5707963267949001</v>
      </c>
      <c r="BB310">
        <v>0.99199999999999999</v>
      </c>
      <c r="BC310">
        <v>0</v>
      </c>
      <c r="BD310">
        <v>5.8245346242475203E-2</v>
      </c>
      <c r="BE310">
        <v>0</v>
      </c>
      <c r="BF310">
        <v>1.6E-2</v>
      </c>
      <c r="BG310">
        <v>0</v>
      </c>
      <c r="BH310">
        <v>0</v>
      </c>
      <c r="BI310">
        <v>0</v>
      </c>
      <c r="BJ310">
        <v>0</v>
      </c>
      <c r="BK310">
        <v>1</v>
      </c>
      <c r="BL310" s="1">
        <v>9.9162162933728396E-5</v>
      </c>
      <c r="BM310">
        <v>3.8705521886799201E-4</v>
      </c>
      <c r="BN310" s="1">
        <v>3.6211307621290898E-7</v>
      </c>
      <c r="BO310" s="1">
        <v>6.0798491606463601E-6</v>
      </c>
      <c r="BP310">
        <v>0</v>
      </c>
      <c r="BQ310">
        <v>0</v>
      </c>
      <c r="BR310" s="1">
        <v>5.3397148849584999E-5</v>
      </c>
      <c r="BS310">
        <v>2.13902911005589E-4</v>
      </c>
    </row>
    <row r="311" spans="1:71" x14ac:dyDescent="0.25">
      <c r="A311">
        <v>308</v>
      </c>
      <c r="B311" s="1">
        <v>3.4663766119706401E-5</v>
      </c>
      <c r="C311">
        <v>0.107528915147976</v>
      </c>
      <c r="D311">
        <v>-3.1677570539860302E-4</v>
      </c>
      <c r="E311">
        <v>6.1312499999999995E-4</v>
      </c>
      <c r="F311">
        <v>-1.07528915147976E-3</v>
      </c>
      <c r="G311">
        <v>0</v>
      </c>
      <c r="H311" t="s">
        <v>74</v>
      </c>
      <c r="I311">
        <v>0</v>
      </c>
      <c r="J311" t="s">
        <v>75</v>
      </c>
      <c r="K311">
        <v>3.14159265358979</v>
      </c>
      <c r="L311">
        <v>0.47735899090582301</v>
      </c>
      <c r="M311">
        <v>0</v>
      </c>
      <c r="N311">
        <v>2.8028165027488099E-2</v>
      </c>
      <c r="O311">
        <v>0</v>
      </c>
      <c r="P311">
        <v>1.6E-2</v>
      </c>
      <c r="Q311">
        <v>0</v>
      </c>
      <c r="R311">
        <v>0</v>
      </c>
      <c r="S311">
        <v>0</v>
      </c>
      <c r="T311">
        <v>0</v>
      </c>
      <c r="U311">
        <v>0.48120866017561997</v>
      </c>
      <c r="V311" t="s">
        <v>78</v>
      </c>
      <c r="W311">
        <v>2375805.6490015499</v>
      </c>
      <c r="X311" t="s">
        <v>76</v>
      </c>
      <c r="Y311">
        <v>-1.5707963267949001</v>
      </c>
      <c r="Z311">
        <v>0.470138397132216</v>
      </c>
      <c r="AA311">
        <v>0.51173512008370003</v>
      </c>
      <c r="AB311">
        <v>2.4733345691144801E-2</v>
      </c>
      <c r="AC311">
        <v>2.8983758851796899E-2</v>
      </c>
      <c r="AD311">
        <v>6.8589866442436297E-4</v>
      </c>
      <c r="AE311">
        <v>3.6748599885999503E-2</v>
      </c>
      <c r="AF311">
        <v>0</v>
      </c>
      <c r="AG311">
        <v>4.5908444778631798E-2</v>
      </c>
      <c r="AH311">
        <v>0.73060953748874602</v>
      </c>
      <c r="AI311">
        <v>0.153870867906373</v>
      </c>
      <c r="AJ311" t="s">
        <v>74</v>
      </c>
      <c r="AK311">
        <v>0</v>
      </c>
      <c r="AL311" t="s">
        <v>77</v>
      </c>
      <c r="AM311">
        <v>0</v>
      </c>
      <c r="AN311">
        <v>0.99199999999999999</v>
      </c>
      <c r="AO311">
        <v>0</v>
      </c>
      <c r="AP311">
        <v>5.8245346242475203E-2</v>
      </c>
      <c r="AQ311">
        <v>0</v>
      </c>
      <c r="AR311">
        <v>1.6E-2</v>
      </c>
      <c r="AS311">
        <v>0</v>
      </c>
      <c r="AT311">
        <v>0</v>
      </c>
      <c r="AU311">
        <v>0</v>
      </c>
      <c r="AV311">
        <v>0</v>
      </c>
      <c r="AW311">
        <v>1</v>
      </c>
      <c r="AX311" t="s">
        <v>74</v>
      </c>
      <c r="AY311">
        <v>0</v>
      </c>
      <c r="AZ311" t="s">
        <v>76</v>
      </c>
      <c r="BA311">
        <v>-1.5707963267949001</v>
      </c>
      <c r="BB311">
        <v>0.99199999999999999</v>
      </c>
      <c r="BC311">
        <v>0</v>
      </c>
      <c r="BD311">
        <v>5.8245346242475203E-2</v>
      </c>
      <c r="BE311">
        <v>0</v>
      </c>
      <c r="BF311">
        <v>1.6E-2</v>
      </c>
      <c r="BG311">
        <v>0</v>
      </c>
      <c r="BH311">
        <v>0</v>
      </c>
      <c r="BI311">
        <v>0</v>
      </c>
      <c r="BJ311">
        <v>0</v>
      </c>
      <c r="BK311">
        <v>1</v>
      </c>
      <c r="BL311" s="1">
        <v>9.9117981027690093E-5</v>
      </c>
      <c r="BM311">
        <v>3.8825899113368901E-4</v>
      </c>
      <c r="BN311" s="1">
        <v>3.6200857909526598E-7</v>
      </c>
      <c r="BO311" s="1">
        <v>6.0987579711789104E-6</v>
      </c>
      <c r="BP311">
        <v>0</v>
      </c>
      <c r="BQ311">
        <v>0</v>
      </c>
      <c r="BR311" s="1">
        <v>5.3369915047773302E-5</v>
      </c>
      <c r="BS311">
        <v>2.14575945667055E-4</v>
      </c>
    </row>
    <row r="312" spans="1:71" x14ac:dyDescent="0.25">
      <c r="A312">
        <v>309</v>
      </c>
      <c r="B312" s="1">
        <v>3.7477115437224497E-5</v>
      </c>
      <c r="C312">
        <v>0.107566392263413</v>
      </c>
      <c r="D312">
        <v>-3.1697622657256801E-4</v>
      </c>
      <c r="E312">
        <v>6.1312499999999995E-4</v>
      </c>
      <c r="F312">
        <v>-1.07566392263413E-3</v>
      </c>
      <c r="G312">
        <v>0</v>
      </c>
      <c r="H312" t="s">
        <v>74</v>
      </c>
      <c r="I312">
        <v>0</v>
      </c>
      <c r="J312" t="s">
        <v>75</v>
      </c>
      <c r="K312">
        <v>3.14159265358979</v>
      </c>
      <c r="L312">
        <v>0.47577101944406702</v>
      </c>
      <c r="M312">
        <v>0</v>
      </c>
      <c r="N312">
        <v>2.7934927177071699E-2</v>
      </c>
      <c r="O312">
        <v>0</v>
      </c>
      <c r="P312">
        <v>1.6E-2</v>
      </c>
      <c r="Q312">
        <v>0</v>
      </c>
      <c r="R312">
        <v>0</v>
      </c>
      <c r="S312">
        <v>0</v>
      </c>
      <c r="T312">
        <v>0</v>
      </c>
      <c r="U312">
        <v>0.47960788249254599</v>
      </c>
      <c r="V312" t="s">
        <v>78</v>
      </c>
      <c r="W312">
        <v>2377536.0494012302</v>
      </c>
      <c r="X312" t="s">
        <v>76</v>
      </c>
      <c r="Y312">
        <v>-1.5707963267949001</v>
      </c>
      <c r="Z312">
        <v>0.46852285957800499</v>
      </c>
      <c r="AA312">
        <v>0.51343808410172598</v>
      </c>
      <c r="AB312">
        <v>2.4633893727107101E-2</v>
      </c>
      <c r="AC312">
        <v>2.9096923537886999E-2</v>
      </c>
      <c r="AD312">
        <v>6.0597740615602597E-4</v>
      </c>
      <c r="AE312">
        <v>3.6859034008917602E-2</v>
      </c>
      <c r="AF312">
        <v>0</v>
      </c>
      <c r="AG312">
        <v>4.0885066523320697E-2</v>
      </c>
      <c r="AH312">
        <v>0.738028932333468</v>
      </c>
      <c r="AI312">
        <v>0.1520516915929</v>
      </c>
      <c r="AJ312" t="s">
        <v>74</v>
      </c>
      <c r="AK312">
        <v>0</v>
      </c>
      <c r="AL312" t="s">
        <v>77</v>
      </c>
      <c r="AM312">
        <v>0</v>
      </c>
      <c r="AN312">
        <v>0.99199999999999999</v>
      </c>
      <c r="AO312">
        <v>0</v>
      </c>
      <c r="AP312">
        <v>5.8245346242475203E-2</v>
      </c>
      <c r="AQ312">
        <v>0</v>
      </c>
      <c r="AR312">
        <v>1.6E-2</v>
      </c>
      <c r="AS312">
        <v>0</v>
      </c>
      <c r="AT312">
        <v>0</v>
      </c>
      <c r="AU312">
        <v>0</v>
      </c>
      <c r="AV312">
        <v>0</v>
      </c>
      <c r="AW312">
        <v>1</v>
      </c>
      <c r="AX312" t="s">
        <v>74</v>
      </c>
      <c r="AY312">
        <v>0</v>
      </c>
      <c r="AZ312" t="s">
        <v>76</v>
      </c>
      <c r="BA312">
        <v>-1.5707963267949001</v>
      </c>
      <c r="BB312">
        <v>0.99199999999999999</v>
      </c>
      <c r="BC312">
        <v>0</v>
      </c>
      <c r="BD312">
        <v>5.8245346242475203E-2</v>
      </c>
      <c r="BE312">
        <v>0</v>
      </c>
      <c r="BF312">
        <v>1.6E-2</v>
      </c>
      <c r="BG312">
        <v>0</v>
      </c>
      <c r="BH312">
        <v>0</v>
      </c>
      <c r="BI312">
        <v>0</v>
      </c>
      <c r="BJ312">
        <v>0</v>
      </c>
      <c r="BK312">
        <v>1</v>
      </c>
      <c r="BL312" s="1">
        <v>9.9078218463508096E-5</v>
      </c>
      <c r="BM312">
        <v>3.8945699942839399E-4</v>
      </c>
      <c r="BN312" s="1">
        <v>3.6191928247404399E-7</v>
      </c>
      <c r="BO312" s="1">
        <v>6.1175762414668399E-6</v>
      </c>
      <c r="BP312">
        <v>0</v>
      </c>
      <c r="BQ312">
        <v>0</v>
      </c>
      <c r="BR312" s="1">
        <v>5.3345260951816401E-5</v>
      </c>
      <c r="BS312">
        <v>2.1524647592410399E-4</v>
      </c>
    </row>
    <row r="313" spans="1:71" x14ac:dyDescent="0.25">
      <c r="A313">
        <v>310</v>
      </c>
      <c r="B313" s="1">
        <v>4.0828697130711898E-5</v>
      </c>
      <c r="C313">
        <v>0.10760722096054399</v>
      </c>
      <c r="D313">
        <v>-3.1719463943747202E-4</v>
      </c>
      <c r="E313">
        <v>6.1312499999999995E-4</v>
      </c>
      <c r="F313">
        <v>-1.07607220960544E-3</v>
      </c>
      <c r="G313" s="1">
        <v>1.0842021724855E-19</v>
      </c>
      <c r="H313" t="s">
        <v>74</v>
      </c>
      <c r="I313">
        <v>0</v>
      </c>
      <c r="J313" t="s">
        <v>75</v>
      </c>
      <c r="K313">
        <v>3.14159265358979</v>
      </c>
      <c r="L313">
        <v>0.47419169233372599</v>
      </c>
      <c r="M313">
        <v>0</v>
      </c>
      <c r="N313">
        <v>2.7842196880325701E-2</v>
      </c>
      <c r="O313">
        <v>0</v>
      </c>
      <c r="P313">
        <v>1.6E-2</v>
      </c>
      <c r="Q313">
        <v>0</v>
      </c>
      <c r="R313">
        <v>0</v>
      </c>
      <c r="S313">
        <v>0</v>
      </c>
      <c r="T313">
        <v>0</v>
      </c>
      <c r="U313">
        <v>0.47801581887342198</v>
      </c>
      <c r="V313" t="s">
        <v>78</v>
      </c>
      <c r="W313">
        <v>2379420.8464092002</v>
      </c>
      <c r="X313" t="s">
        <v>76</v>
      </c>
      <c r="Y313">
        <v>-1.5707963267949001</v>
      </c>
      <c r="Z313">
        <v>0.46691136017832002</v>
      </c>
      <c r="AA313">
        <v>0.51499550184982101</v>
      </c>
      <c r="AB313">
        <v>2.45334687988467E-2</v>
      </c>
      <c r="AC313">
        <v>2.9207788435954701E-2</v>
      </c>
      <c r="AD313">
        <v>5.2877032324425495E-4</v>
      </c>
      <c r="AE313">
        <v>3.6968884709705302E-2</v>
      </c>
      <c r="AF313">
        <v>0</v>
      </c>
      <c r="AG313">
        <v>3.5842154923525799E-2</v>
      </c>
      <c r="AH313">
        <v>0.74545481746120001</v>
      </c>
      <c r="AI313">
        <v>0.15024988017306501</v>
      </c>
      <c r="AJ313" t="s">
        <v>74</v>
      </c>
      <c r="AK313">
        <v>0</v>
      </c>
      <c r="AL313" t="s">
        <v>77</v>
      </c>
      <c r="AM313">
        <v>0</v>
      </c>
      <c r="AN313">
        <v>0.99199999999999999</v>
      </c>
      <c r="AO313">
        <v>0</v>
      </c>
      <c r="AP313">
        <v>5.8245346242475203E-2</v>
      </c>
      <c r="AQ313">
        <v>0</v>
      </c>
      <c r="AR313">
        <v>1.6E-2</v>
      </c>
      <c r="AS313">
        <v>0</v>
      </c>
      <c r="AT313">
        <v>0</v>
      </c>
      <c r="AU313">
        <v>0</v>
      </c>
      <c r="AV313">
        <v>0</v>
      </c>
      <c r="AW313">
        <v>1</v>
      </c>
      <c r="AX313" t="s">
        <v>74</v>
      </c>
      <c r="AY313">
        <v>0</v>
      </c>
      <c r="AZ313" t="s">
        <v>76</v>
      </c>
      <c r="BA313">
        <v>-1.5707963267949001</v>
      </c>
      <c r="BB313">
        <v>0.99199999999999999</v>
      </c>
      <c r="BC313">
        <v>0</v>
      </c>
      <c r="BD313">
        <v>5.8245346242475203E-2</v>
      </c>
      <c r="BE313">
        <v>0</v>
      </c>
      <c r="BF313">
        <v>1.6E-2</v>
      </c>
      <c r="BG313">
        <v>0</v>
      </c>
      <c r="BH313">
        <v>0</v>
      </c>
      <c r="BI313">
        <v>0</v>
      </c>
      <c r="BJ313">
        <v>0</v>
      </c>
      <c r="BK313">
        <v>1</v>
      </c>
      <c r="BL313" s="1">
        <v>9.9037073300038803E-5</v>
      </c>
      <c r="BM313">
        <v>3.9064848619236301E-4</v>
      </c>
      <c r="BN313" s="1">
        <v>3.6183481047454199E-7</v>
      </c>
      <c r="BO313" s="1">
        <v>6.1362920717895098E-6</v>
      </c>
      <c r="BP313">
        <v>0</v>
      </c>
      <c r="BQ313">
        <v>0</v>
      </c>
      <c r="BR313" s="1">
        <v>5.3320005419582803E-5</v>
      </c>
      <c r="BS313">
        <v>2.1591420998415099E-4</v>
      </c>
    </row>
    <row r="314" spans="1:71" x14ac:dyDescent="0.25">
      <c r="A314">
        <v>311</v>
      </c>
      <c r="B314" s="1">
        <v>4.48734129946828E-5</v>
      </c>
      <c r="C314">
        <v>0.107652094373539</v>
      </c>
      <c r="D314">
        <v>-3.1743464048043102E-4</v>
      </c>
      <c r="E314">
        <v>6.1312499999999995E-4</v>
      </c>
      <c r="F314">
        <v>-1.07652094373539E-3</v>
      </c>
      <c r="G314">
        <v>0</v>
      </c>
      <c r="H314" t="s">
        <v>74</v>
      </c>
      <c r="I314">
        <v>0</v>
      </c>
      <c r="J314" t="s">
        <v>75</v>
      </c>
      <c r="K314">
        <v>3.14159265358979</v>
      </c>
      <c r="L314">
        <v>0.47262208107423498</v>
      </c>
      <c r="M314">
        <v>0</v>
      </c>
      <c r="N314">
        <v>2.7750037050411298E-2</v>
      </c>
      <c r="O314">
        <v>0</v>
      </c>
      <c r="P314">
        <v>1.6E-2</v>
      </c>
      <c r="Q314">
        <v>0</v>
      </c>
      <c r="R314">
        <v>0</v>
      </c>
      <c r="S314">
        <v>0</v>
      </c>
      <c r="T314">
        <v>0</v>
      </c>
      <c r="U314">
        <v>0.47643354945881</v>
      </c>
      <c r="V314" t="s">
        <v>78</v>
      </c>
      <c r="W314">
        <v>2381491.9389150301</v>
      </c>
      <c r="X314" t="s">
        <v>76</v>
      </c>
      <c r="Y314">
        <v>-1.5707963267949001</v>
      </c>
      <c r="Z314">
        <v>0.46530398413646301</v>
      </c>
      <c r="AA314">
        <v>0.51660066147290995</v>
      </c>
      <c r="AB314">
        <v>2.4431823891459901E-2</v>
      </c>
      <c r="AC314">
        <v>2.9322927957168801E-2</v>
      </c>
      <c r="AD314">
        <v>4.5472732838030601E-4</v>
      </c>
      <c r="AE314">
        <v>3.7078086976712499E-2</v>
      </c>
      <c r="AF314">
        <v>0</v>
      </c>
      <c r="AG314">
        <v>3.0814243165019701E-2</v>
      </c>
      <c r="AH314">
        <v>0.75285104295029903</v>
      </c>
      <c r="AI314">
        <v>0.148466561648291</v>
      </c>
      <c r="AJ314" t="s">
        <v>74</v>
      </c>
      <c r="AK314">
        <v>0</v>
      </c>
      <c r="AL314" t="s">
        <v>77</v>
      </c>
      <c r="AM314">
        <v>0</v>
      </c>
      <c r="AN314">
        <v>0.99199999999999999</v>
      </c>
      <c r="AO314">
        <v>0</v>
      </c>
      <c r="AP314">
        <v>5.8245346242475203E-2</v>
      </c>
      <c r="AQ314">
        <v>0</v>
      </c>
      <c r="AR314">
        <v>1.6E-2</v>
      </c>
      <c r="AS314">
        <v>0</v>
      </c>
      <c r="AT314">
        <v>0</v>
      </c>
      <c r="AU314">
        <v>0</v>
      </c>
      <c r="AV314">
        <v>0</v>
      </c>
      <c r="AW314">
        <v>1</v>
      </c>
      <c r="AX314" t="s">
        <v>74</v>
      </c>
      <c r="AY314">
        <v>0</v>
      </c>
      <c r="AZ314" t="s">
        <v>76</v>
      </c>
      <c r="BA314">
        <v>-1.5707963267949001</v>
      </c>
      <c r="BB314">
        <v>0.99199999999999999</v>
      </c>
      <c r="BC314">
        <v>0</v>
      </c>
      <c r="BD314">
        <v>5.8245346242475203E-2</v>
      </c>
      <c r="BE314">
        <v>0</v>
      </c>
      <c r="BF314">
        <v>1.6E-2</v>
      </c>
      <c r="BG314">
        <v>0</v>
      </c>
      <c r="BH314">
        <v>0</v>
      </c>
      <c r="BI314">
        <v>0</v>
      </c>
      <c r="BJ314">
        <v>0</v>
      </c>
      <c r="BK314">
        <v>1</v>
      </c>
      <c r="BL314" s="1">
        <v>9.8997740691995206E-5</v>
      </c>
      <c r="BM314">
        <v>3.9183264305765899E-4</v>
      </c>
      <c r="BN314" s="1">
        <v>3.6176313688217298E-7</v>
      </c>
      <c r="BO314" s="1">
        <v>6.15489276433307E-6</v>
      </c>
      <c r="BP314">
        <v>0</v>
      </c>
      <c r="BQ314">
        <v>0</v>
      </c>
      <c r="BR314" s="1">
        <v>5.3295946460830503E-5</v>
      </c>
      <c r="BS314">
        <v>2.1657886436432001E-4</v>
      </c>
    </row>
    <row r="315" spans="1:71" x14ac:dyDescent="0.25">
      <c r="A315">
        <v>312</v>
      </c>
      <c r="B315" s="1">
        <v>4.9824143664995803E-5</v>
      </c>
      <c r="C315">
        <v>0.107701918517204</v>
      </c>
      <c r="D315">
        <v>-3.1770106023100002E-4</v>
      </c>
      <c r="E315">
        <v>6.1312499999999995E-4</v>
      </c>
      <c r="F315">
        <v>-1.0770191851720401E-3</v>
      </c>
      <c r="G315">
        <v>0</v>
      </c>
      <c r="H315" t="s">
        <v>74</v>
      </c>
      <c r="I315">
        <v>0</v>
      </c>
      <c r="J315" t="s">
        <v>75</v>
      </c>
      <c r="K315">
        <v>3.14159265358979</v>
      </c>
      <c r="L315">
        <v>0.47106321671221102</v>
      </c>
      <c r="M315">
        <v>0</v>
      </c>
      <c r="N315">
        <v>2.7658508225299298E-2</v>
      </c>
      <c r="O315">
        <v>0</v>
      </c>
      <c r="P315">
        <v>1.6E-2</v>
      </c>
      <c r="Q315">
        <v>0</v>
      </c>
      <c r="R315">
        <v>0</v>
      </c>
      <c r="S315">
        <v>0</v>
      </c>
      <c r="T315">
        <v>0</v>
      </c>
      <c r="U315">
        <v>0.47486211361021602</v>
      </c>
      <c r="V315" t="s">
        <v>78</v>
      </c>
      <c r="W315">
        <v>2383791.0120440801</v>
      </c>
      <c r="X315" t="s">
        <v>76</v>
      </c>
      <c r="Y315">
        <v>-1.5707963267949001</v>
      </c>
      <c r="Z315">
        <v>0.46370047090998101</v>
      </c>
      <c r="AA315">
        <v>0.51814865193175297</v>
      </c>
      <c r="AB315">
        <v>2.4328616602055399E-2</v>
      </c>
      <c r="AC315">
        <v>2.9439714839712999E-2</v>
      </c>
      <c r="AD315">
        <v>3.8438897934634002E-4</v>
      </c>
      <c r="AE315">
        <v>3.7186575408108699E-2</v>
      </c>
      <c r="AF315">
        <v>0</v>
      </c>
      <c r="AG315">
        <v>2.5850718577163902E-2</v>
      </c>
      <c r="AH315">
        <v>0.76016666577291803</v>
      </c>
      <c r="AI315">
        <v>0.14670279827232499</v>
      </c>
      <c r="AJ315" t="s">
        <v>74</v>
      </c>
      <c r="AK315">
        <v>0</v>
      </c>
      <c r="AL315" t="s">
        <v>77</v>
      </c>
      <c r="AM315">
        <v>0</v>
      </c>
      <c r="AN315">
        <v>0.99199999999999999</v>
      </c>
      <c r="AO315">
        <v>0</v>
      </c>
      <c r="AP315">
        <v>5.8245346242475203E-2</v>
      </c>
      <c r="AQ315">
        <v>0</v>
      </c>
      <c r="AR315">
        <v>1.6E-2</v>
      </c>
      <c r="AS315">
        <v>0</v>
      </c>
      <c r="AT315">
        <v>0</v>
      </c>
      <c r="AU315">
        <v>0</v>
      </c>
      <c r="AV315">
        <v>0</v>
      </c>
      <c r="AW315">
        <v>1</v>
      </c>
      <c r="AX315" t="s">
        <v>74</v>
      </c>
      <c r="AY315">
        <v>0</v>
      </c>
      <c r="AZ315" t="s">
        <v>76</v>
      </c>
      <c r="BA315">
        <v>-1.5707963267949001</v>
      </c>
      <c r="BB315">
        <v>0.99199999999999999</v>
      </c>
      <c r="BC315">
        <v>0</v>
      </c>
      <c r="BD315">
        <v>5.8245346242475203E-2</v>
      </c>
      <c r="BE315">
        <v>0</v>
      </c>
      <c r="BF315">
        <v>1.6E-2</v>
      </c>
      <c r="BG315">
        <v>0</v>
      </c>
      <c r="BH315">
        <v>0</v>
      </c>
      <c r="BI315">
        <v>0</v>
      </c>
      <c r="BJ315">
        <v>0</v>
      </c>
      <c r="BK315">
        <v>1</v>
      </c>
      <c r="BL315" s="1">
        <v>9.8958766076008995E-5</v>
      </c>
      <c r="BM315">
        <v>3.93008692175041E-4</v>
      </c>
      <c r="BN315" s="1">
        <v>3.6170342432691099E-7</v>
      </c>
      <c r="BO315" s="1">
        <v>6.1733661006702101E-6</v>
      </c>
      <c r="BP315">
        <v>0</v>
      </c>
      <c r="BQ315">
        <v>0</v>
      </c>
      <c r="BR315" s="1">
        <v>5.3272321097862601E-5</v>
      </c>
      <c r="BS315">
        <v>2.17240222483632E-4</v>
      </c>
    </row>
    <row r="316" spans="1:71" x14ac:dyDescent="0.25">
      <c r="A316">
        <v>313</v>
      </c>
      <c r="B316" s="1">
        <v>5.5977027993748097E-5</v>
      </c>
      <c r="C316">
        <v>0.107757895545197</v>
      </c>
      <c r="D316">
        <v>-3.18000306128783E-4</v>
      </c>
      <c r="E316">
        <v>6.1312499999999995E-4</v>
      </c>
      <c r="F316">
        <v>-1.07757895545197E-3</v>
      </c>
      <c r="G316" s="1">
        <v>1.0842021724855E-19</v>
      </c>
      <c r="H316" t="s">
        <v>74</v>
      </c>
      <c r="I316">
        <v>0</v>
      </c>
      <c r="J316" t="s">
        <v>75</v>
      </c>
      <c r="K316">
        <v>3.14159265358979</v>
      </c>
      <c r="L316">
        <v>0.46951583507778299</v>
      </c>
      <c r="M316">
        <v>0</v>
      </c>
      <c r="N316">
        <v>2.7567653609304799E-2</v>
      </c>
      <c r="O316">
        <v>0</v>
      </c>
      <c r="P316">
        <v>1.6E-2</v>
      </c>
      <c r="Q316">
        <v>0</v>
      </c>
      <c r="R316">
        <v>0</v>
      </c>
      <c r="S316">
        <v>0</v>
      </c>
      <c r="T316">
        <v>0</v>
      </c>
      <c r="U316">
        <v>0.47330225309187401</v>
      </c>
      <c r="V316" t="s">
        <v>78</v>
      </c>
      <c r="W316">
        <v>2386373.3588899798</v>
      </c>
      <c r="X316" t="s">
        <v>76</v>
      </c>
      <c r="Y316">
        <v>-1.5707963267949001</v>
      </c>
      <c r="Z316">
        <v>0.46209984026913298</v>
      </c>
      <c r="AA316">
        <v>0.51974274610918303</v>
      </c>
      <c r="AB316">
        <v>2.4223359531021799E-2</v>
      </c>
      <c r="AC316">
        <v>2.9562300626489998E-2</v>
      </c>
      <c r="AD316">
        <v>3.1839199688055701E-4</v>
      </c>
      <c r="AE316">
        <v>3.7294298326627603E-2</v>
      </c>
      <c r="AF316">
        <v>0</v>
      </c>
      <c r="AG316">
        <v>2.1021364723426798E-2</v>
      </c>
      <c r="AH316">
        <v>0.76733079210558996</v>
      </c>
      <c r="AI316">
        <v>0.144959302869967</v>
      </c>
      <c r="AJ316" t="s">
        <v>74</v>
      </c>
      <c r="AK316">
        <v>0</v>
      </c>
      <c r="AL316" t="s">
        <v>77</v>
      </c>
      <c r="AM316">
        <v>0</v>
      </c>
      <c r="AN316">
        <v>0.99199999999999999</v>
      </c>
      <c r="AO316">
        <v>0</v>
      </c>
      <c r="AP316">
        <v>5.8245346242475203E-2</v>
      </c>
      <c r="AQ316">
        <v>0</v>
      </c>
      <c r="AR316">
        <v>1.6E-2</v>
      </c>
      <c r="AS316">
        <v>0</v>
      </c>
      <c r="AT316">
        <v>0</v>
      </c>
      <c r="AU316">
        <v>0</v>
      </c>
      <c r="AV316">
        <v>0</v>
      </c>
      <c r="AW316">
        <v>1</v>
      </c>
      <c r="AX316" t="s">
        <v>74</v>
      </c>
      <c r="AY316">
        <v>0</v>
      </c>
      <c r="AZ316" t="s">
        <v>76</v>
      </c>
      <c r="BA316">
        <v>-1.5707963267949001</v>
      </c>
      <c r="BB316">
        <v>0.99199999999999999</v>
      </c>
      <c r="BC316">
        <v>0</v>
      </c>
      <c r="BD316">
        <v>5.8245346242475203E-2</v>
      </c>
      <c r="BE316">
        <v>0</v>
      </c>
      <c r="BF316">
        <v>1.6E-2</v>
      </c>
      <c r="BG316">
        <v>0</v>
      </c>
      <c r="BH316">
        <v>0</v>
      </c>
      <c r="BI316">
        <v>0</v>
      </c>
      <c r="BJ316">
        <v>0</v>
      </c>
      <c r="BK316">
        <v>1</v>
      </c>
      <c r="BL316" s="1">
        <v>9.8922003125883503E-5</v>
      </c>
      <c r="BM316">
        <v>3.94176078414508E-4</v>
      </c>
      <c r="BN316" s="1">
        <v>3.6166212979245302E-7</v>
      </c>
      <c r="BO316" s="1">
        <v>6.1917033608392697E-6</v>
      </c>
      <c r="BP316">
        <v>0</v>
      </c>
      <c r="BQ316">
        <v>0</v>
      </c>
      <c r="BR316" s="1">
        <v>5.3250206642112899E-5</v>
      </c>
      <c r="BS316">
        <v>2.1789826052799301E-4</v>
      </c>
    </row>
    <row r="317" spans="1:71" x14ac:dyDescent="0.25">
      <c r="A317">
        <v>314</v>
      </c>
      <c r="B317" s="1">
        <v>6.37482165030983E-5</v>
      </c>
      <c r="C317">
        <v>0.107821643761701</v>
      </c>
      <c r="D317">
        <v>-3.1834100040578102E-4</v>
      </c>
      <c r="E317">
        <v>6.1312499999999995E-4</v>
      </c>
      <c r="F317">
        <v>-1.078216437617E-3</v>
      </c>
      <c r="G317" s="1">
        <v>1.0842021724855E-19</v>
      </c>
      <c r="H317" t="s">
        <v>74</v>
      </c>
      <c r="I317">
        <v>0</v>
      </c>
      <c r="J317" t="s">
        <v>75</v>
      </c>
      <c r="K317">
        <v>3.14159265358979</v>
      </c>
      <c r="L317">
        <v>0.46797981729048899</v>
      </c>
      <c r="M317">
        <v>0</v>
      </c>
      <c r="N317">
        <v>2.74774662223536E-2</v>
      </c>
      <c r="O317">
        <v>0</v>
      </c>
      <c r="P317">
        <v>1.6E-2</v>
      </c>
      <c r="Q317">
        <v>0</v>
      </c>
      <c r="R317">
        <v>0</v>
      </c>
      <c r="S317">
        <v>0</v>
      </c>
      <c r="T317">
        <v>0</v>
      </c>
      <c r="U317">
        <v>0.47175384806458998</v>
      </c>
      <c r="V317" t="s">
        <v>78</v>
      </c>
      <c r="W317">
        <v>2389313.38512974</v>
      </c>
      <c r="X317" t="s">
        <v>76</v>
      </c>
      <c r="Y317">
        <v>-1.5707963267949001</v>
      </c>
      <c r="Z317">
        <v>0.46049966174226098</v>
      </c>
      <c r="AA317">
        <v>0.521300831945401</v>
      </c>
      <c r="AB317">
        <v>2.4115338971164899E-2</v>
      </c>
      <c r="AC317">
        <v>2.9689361307801702E-2</v>
      </c>
      <c r="AD317">
        <v>2.5745479809200899E-4</v>
      </c>
      <c r="AE317">
        <v>3.7401249999629398E-2</v>
      </c>
      <c r="AF317">
        <v>0</v>
      </c>
      <c r="AG317">
        <v>1.6422731512393499E-2</v>
      </c>
      <c r="AH317">
        <v>0.77424705141294903</v>
      </c>
      <c r="AI317">
        <v>0.143235823141383</v>
      </c>
      <c r="AJ317" t="s">
        <v>74</v>
      </c>
      <c r="AK317">
        <v>0</v>
      </c>
      <c r="AL317" t="s">
        <v>77</v>
      </c>
      <c r="AM317">
        <v>0</v>
      </c>
      <c r="AN317">
        <v>0.99199999999999999</v>
      </c>
      <c r="AO317">
        <v>0</v>
      </c>
      <c r="AP317">
        <v>5.8245346242475203E-2</v>
      </c>
      <c r="AQ317">
        <v>0</v>
      </c>
      <c r="AR317">
        <v>1.6E-2</v>
      </c>
      <c r="AS317">
        <v>0</v>
      </c>
      <c r="AT317">
        <v>0</v>
      </c>
      <c r="AU317">
        <v>0</v>
      </c>
      <c r="AV317">
        <v>0</v>
      </c>
      <c r="AW317">
        <v>1</v>
      </c>
      <c r="AX317" t="s">
        <v>74</v>
      </c>
      <c r="AY317">
        <v>0</v>
      </c>
      <c r="AZ317" t="s">
        <v>76</v>
      </c>
      <c r="BA317">
        <v>-1.5707963267949001</v>
      </c>
      <c r="BB317">
        <v>0.99199999999999999</v>
      </c>
      <c r="BC317">
        <v>0</v>
      </c>
      <c r="BD317">
        <v>5.8245346242475203E-2</v>
      </c>
      <c r="BE317">
        <v>0</v>
      </c>
      <c r="BF317">
        <v>1.6E-2</v>
      </c>
      <c r="BG317">
        <v>0</v>
      </c>
      <c r="BH317">
        <v>0</v>
      </c>
      <c r="BI317">
        <v>0</v>
      </c>
      <c r="BJ317">
        <v>0</v>
      </c>
      <c r="BK317">
        <v>1</v>
      </c>
      <c r="BL317" s="1">
        <v>9.8886429493135299E-5</v>
      </c>
      <c r="BM317">
        <v>3.95334891462671E-4</v>
      </c>
      <c r="BN317" s="1">
        <v>3.6164090842148202E-7</v>
      </c>
      <c r="BO317" s="1">
        <v>6.2099059536342298E-6</v>
      </c>
      <c r="BP317">
        <v>0</v>
      </c>
      <c r="BQ317">
        <v>0</v>
      </c>
      <c r="BR317" s="1">
        <v>5.3229105931179499E-5</v>
      </c>
      <c r="BS317">
        <v>2.1855340914808701E-4</v>
      </c>
    </row>
    <row r="318" spans="1:71" x14ac:dyDescent="0.25">
      <c r="A318">
        <v>315</v>
      </c>
      <c r="B318" s="1">
        <v>7.3727702565271294E-5</v>
      </c>
      <c r="C318">
        <v>0.107895371464266</v>
      </c>
      <c r="D318">
        <v>-3.1873490319029598E-4</v>
      </c>
      <c r="E318">
        <v>6.1312499999999995E-4</v>
      </c>
      <c r="F318">
        <v>-1.0789537146426601E-3</v>
      </c>
      <c r="G318" s="1">
        <v>1.0842021724855E-19</v>
      </c>
      <c r="H318" t="s">
        <v>74</v>
      </c>
      <c r="I318">
        <v>0</v>
      </c>
      <c r="J318" t="s">
        <v>75</v>
      </c>
      <c r="K318">
        <v>3.14159265358979</v>
      </c>
      <c r="L318">
        <v>0.46645300754994401</v>
      </c>
      <c r="M318">
        <v>0</v>
      </c>
      <c r="N318">
        <v>2.7387819486482199E-2</v>
      </c>
      <c r="O318">
        <v>0</v>
      </c>
      <c r="P318">
        <v>1.6E-2</v>
      </c>
      <c r="Q318">
        <v>0</v>
      </c>
      <c r="R318">
        <v>0</v>
      </c>
      <c r="S318">
        <v>0</v>
      </c>
      <c r="T318">
        <v>0</v>
      </c>
      <c r="U318">
        <v>0.47021472535210801</v>
      </c>
      <c r="V318" t="s">
        <v>78</v>
      </c>
      <c r="W318">
        <v>2392712.5749623198</v>
      </c>
      <c r="X318" t="s">
        <v>76</v>
      </c>
      <c r="Y318">
        <v>-1.5707963267949001</v>
      </c>
      <c r="Z318">
        <v>0.45889462638220102</v>
      </c>
      <c r="AA318">
        <v>0.522900875187014</v>
      </c>
      <c r="AB318">
        <v>2.40034782208998E-2</v>
      </c>
      <c r="AC318">
        <v>2.9825119500377199E-2</v>
      </c>
      <c r="AD318">
        <v>2.02317182851855E-4</v>
      </c>
      <c r="AE318">
        <v>3.7507539615915901E-2</v>
      </c>
      <c r="AF318">
        <v>0</v>
      </c>
      <c r="AG318">
        <v>1.21831127167456E-2</v>
      </c>
      <c r="AH318">
        <v>0.78079040270966904</v>
      </c>
      <c r="AI318">
        <v>0.14152985138832699</v>
      </c>
      <c r="AJ318" t="s">
        <v>74</v>
      </c>
      <c r="AK318">
        <v>0</v>
      </c>
      <c r="AL318" t="s">
        <v>77</v>
      </c>
      <c r="AM318">
        <v>0</v>
      </c>
      <c r="AN318">
        <v>0.99199999999999999</v>
      </c>
      <c r="AO318">
        <v>0</v>
      </c>
      <c r="AP318">
        <v>5.8245346242475203E-2</v>
      </c>
      <c r="AQ318">
        <v>0</v>
      </c>
      <c r="AR318">
        <v>1.6E-2</v>
      </c>
      <c r="AS318">
        <v>0</v>
      </c>
      <c r="AT318">
        <v>0</v>
      </c>
      <c r="AU318">
        <v>0</v>
      </c>
      <c r="AV318">
        <v>0</v>
      </c>
      <c r="AW318">
        <v>1</v>
      </c>
      <c r="AX318" t="s">
        <v>74</v>
      </c>
      <c r="AY318">
        <v>0</v>
      </c>
      <c r="AZ318" t="s">
        <v>76</v>
      </c>
      <c r="BA318">
        <v>-1.5707963267949001</v>
      </c>
      <c r="BB318">
        <v>0.99199999999999999</v>
      </c>
      <c r="BC318">
        <v>0</v>
      </c>
      <c r="BD318">
        <v>5.8245346242475203E-2</v>
      </c>
      <c r="BE318">
        <v>0</v>
      </c>
      <c r="BF318">
        <v>1.6E-2</v>
      </c>
      <c r="BG318">
        <v>0</v>
      </c>
      <c r="BH318">
        <v>0</v>
      </c>
      <c r="BI318">
        <v>0</v>
      </c>
      <c r="BJ318">
        <v>0</v>
      </c>
      <c r="BK318">
        <v>1</v>
      </c>
      <c r="BL318" s="1">
        <v>9.8853554846354798E-5</v>
      </c>
      <c r="BM318">
        <v>3.96486757713207E-4</v>
      </c>
      <c r="BN318" s="1">
        <v>3.6164781983396698E-7</v>
      </c>
      <c r="BO318" s="1">
        <v>6.2279994263872403E-6</v>
      </c>
      <c r="BP318">
        <v>0</v>
      </c>
      <c r="BQ318">
        <v>0</v>
      </c>
      <c r="BR318" s="1">
        <v>5.3209940883051197E-5</v>
      </c>
      <c r="BS318">
        <v>2.1920708777647401E-4</v>
      </c>
    </row>
    <row r="319" spans="1:71" x14ac:dyDescent="0.25">
      <c r="A319">
        <v>316</v>
      </c>
      <c r="B319" s="1">
        <v>8.6764589877684904E-5</v>
      </c>
      <c r="C319">
        <v>0.107982136054144</v>
      </c>
      <c r="D319">
        <v>-3.19198286877454E-4</v>
      </c>
      <c r="E319">
        <v>6.1312499999999995E-4</v>
      </c>
      <c r="F319">
        <v>-1.07982136054143E-3</v>
      </c>
      <c r="G319">
        <v>0</v>
      </c>
      <c r="H319" t="s">
        <v>74</v>
      </c>
      <c r="I319">
        <v>0</v>
      </c>
      <c r="J319" t="s">
        <v>75</v>
      </c>
      <c r="K319">
        <v>3.14159265358979</v>
      </c>
      <c r="L319">
        <v>0.46492875806408901</v>
      </c>
      <c r="M319">
        <v>0</v>
      </c>
      <c r="N319">
        <v>2.7298323076135899E-2</v>
      </c>
      <c r="O319">
        <v>0</v>
      </c>
      <c r="P319">
        <v>1.6E-2</v>
      </c>
      <c r="Q319">
        <v>0</v>
      </c>
      <c r="R319">
        <v>0</v>
      </c>
      <c r="S319">
        <v>0</v>
      </c>
      <c r="T319">
        <v>0</v>
      </c>
      <c r="U319">
        <v>0.46867818352252899</v>
      </c>
      <c r="V319" t="s">
        <v>78</v>
      </c>
      <c r="W319">
        <v>2396711.3512591398</v>
      </c>
      <c r="X319" t="s">
        <v>76</v>
      </c>
      <c r="Y319">
        <v>-1.5707963267949001</v>
      </c>
      <c r="Z319">
        <v>0.457273729458189</v>
      </c>
      <c r="AA319">
        <v>0.52447566385249</v>
      </c>
      <c r="AB319">
        <v>2.3886098688236601E-2</v>
      </c>
      <c r="AC319">
        <v>2.9970026197426499E-2</v>
      </c>
      <c r="AD319">
        <v>1.5359255027391899E-4</v>
      </c>
      <c r="AE319">
        <v>3.7613531728890301E-2</v>
      </c>
      <c r="AF319">
        <v>0</v>
      </c>
      <c r="AG319">
        <v>8.4598459325834503E-3</v>
      </c>
      <c r="AH319">
        <v>0.78681353894518202</v>
      </c>
      <c r="AI319">
        <v>0.139833962810331</v>
      </c>
      <c r="AJ319" t="s">
        <v>74</v>
      </c>
      <c r="AK319">
        <v>0</v>
      </c>
      <c r="AL319" t="s">
        <v>77</v>
      </c>
      <c r="AM319">
        <v>0</v>
      </c>
      <c r="AN319">
        <v>0.99199999999999999</v>
      </c>
      <c r="AO319">
        <v>0</v>
      </c>
      <c r="AP319">
        <v>5.8245346242475203E-2</v>
      </c>
      <c r="AQ319">
        <v>0</v>
      </c>
      <c r="AR319">
        <v>1.6E-2</v>
      </c>
      <c r="AS319">
        <v>0</v>
      </c>
      <c r="AT319">
        <v>0</v>
      </c>
      <c r="AU319">
        <v>0</v>
      </c>
      <c r="AV319">
        <v>0</v>
      </c>
      <c r="AW319">
        <v>1</v>
      </c>
      <c r="AX319" t="s">
        <v>74</v>
      </c>
      <c r="AY319">
        <v>0</v>
      </c>
      <c r="AZ319" t="s">
        <v>76</v>
      </c>
      <c r="BA319">
        <v>-1.5707963267949001</v>
      </c>
      <c r="BB319">
        <v>0.99199999999999999</v>
      </c>
      <c r="BC319">
        <v>0</v>
      </c>
      <c r="BD319">
        <v>5.8245346242475203E-2</v>
      </c>
      <c r="BE319">
        <v>0</v>
      </c>
      <c r="BF319">
        <v>1.6E-2</v>
      </c>
      <c r="BG319">
        <v>0</v>
      </c>
      <c r="BH319">
        <v>0</v>
      </c>
      <c r="BI319">
        <v>0</v>
      </c>
      <c r="BJ319">
        <v>0</v>
      </c>
      <c r="BK319">
        <v>1</v>
      </c>
      <c r="BL319" s="1">
        <v>9.88225702233747E-5</v>
      </c>
      <c r="BM319">
        <v>3.9763669243888302E-4</v>
      </c>
      <c r="BN319" s="1">
        <v>3.6168819952700599E-7</v>
      </c>
      <c r="BO319" s="1">
        <v>6.2460625588186897E-6</v>
      </c>
      <c r="BP319">
        <v>0</v>
      </c>
      <c r="BQ319">
        <v>0</v>
      </c>
      <c r="BR319" s="1">
        <v>5.3192375255786902E-5</v>
      </c>
      <c r="BS319">
        <v>2.1986279044683199E-4</v>
      </c>
    </row>
    <row r="320" spans="1:71" x14ac:dyDescent="0.25">
      <c r="A320">
        <v>317</v>
      </c>
      <c r="B320">
        <v>1.04143430331134E-4</v>
      </c>
      <c r="C320">
        <v>0.108086279484475</v>
      </c>
      <c r="D320">
        <v>-3.1975424445439998E-4</v>
      </c>
      <c r="E320">
        <v>6.1312499999999995E-4</v>
      </c>
      <c r="F320">
        <v>-1.0808627948447501E-3</v>
      </c>
      <c r="G320">
        <v>0</v>
      </c>
      <c r="H320" t="s">
        <v>74</v>
      </c>
      <c r="I320">
        <v>0</v>
      </c>
      <c r="J320" t="s">
        <v>75</v>
      </c>
      <c r="K320">
        <v>3.14159265358979</v>
      </c>
      <c r="L320">
        <v>0.46339070578182001</v>
      </c>
      <c r="M320">
        <v>0</v>
      </c>
      <c r="N320">
        <v>2.72080162336765E-2</v>
      </c>
      <c r="O320">
        <v>0</v>
      </c>
      <c r="P320">
        <v>1.6E-2</v>
      </c>
      <c r="Q320">
        <v>0</v>
      </c>
      <c r="R320">
        <v>0</v>
      </c>
      <c r="S320">
        <v>0</v>
      </c>
      <c r="T320">
        <v>0</v>
      </c>
      <c r="U320">
        <v>0.46712772759273202</v>
      </c>
      <c r="V320" t="s">
        <v>78</v>
      </c>
      <c r="W320">
        <v>2401508.9952900801</v>
      </c>
      <c r="X320" t="s">
        <v>76</v>
      </c>
      <c r="Y320">
        <v>-1.5707963267949001</v>
      </c>
      <c r="Z320">
        <v>0.45561445082378699</v>
      </c>
      <c r="AA320">
        <v>0.52608305988498705</v>
      </c>
      <c r="AB320">
        <v>2.3760462763175699E-2</v>
      </c>
      <c r="AC320">
        <v>3.0129734259637699E-2</v>
      </c>
      <c r="AD320">
        <v>1.11492061551583E-4</v>
      </c>
      <c r="AE320">
        <v>3.7720121689135501E-2</v>
      </c>
      <c r="AF320">
        <v>0</v>
      </c>
      <c r="AG320">
        <v>5.4159511684456598E-3</v>
      </c>
      <c r="AH320">
        <v>0.79217812956088296</v>
      </c>
      <c r="AI320">
        <v>0.13813018474609501</v>
      </c>
      <c r="AJ320" t="s">
        <v>74</v>
      </c>
      <c r="AK320">
        <v>0</v>
      </c>
      <c r="AL320" t="s">
        <v>77</v>
      </c>
      <c r="AM320">
        <v>0</v>
      </c>
      <c r="AN320">
        <v>0.99199999999999999</v>
      </c>
      <c r="AO320">
        <v>0</v>
      </c>
      <c r="AP320">
        <v>5.8245346242475203E-2</v>
      </c>
      <c r="AQ320">
        <v>0</v>
      </c>
      <c r="AR320">
        <v>1.6E-2</v>
      </c>
      <c r="AS320">
        <v>0</v>
      </c>
      <c r="AT320">
        <v>0</v>
      </c>
      <c r="AU320">
        <v>0</v>
      </c>
      <c r="AV320">
        <v>0</v>
      </c>
      <c r="AW320">
        <v>1</v>
      </c>
      <c r="AX320" t="s">
        <v>74</v>
      </c>
      <c r="AY320">
        <v>0</v>
      </c>
      <c r="AZ320" t="s">
        <v>76</v>
      </c>
      <c r="BA320">
        <v>-1.5707963267949001</v>
      </c>
      <c r="BB320">
        <v>0.99199999999999999</v>
      </c>
      <c r="BC320">
        <v>0</v>
      </c>
      <c r="BD320">
        <v>5.8245346242475203E-2</v>
      </c>
      <c r="BE320">
        <v>0</v>
      </c>
      <c r="BF320">
        <v>1.6E-2</v>
      </c>
      <c r="BG320">
        <v>0</v>
      </c>
      <c r="BH320">
        <v>0</v>
      </c>
      <c r="BI320">
        <v>0</v>
      </c>
      <c r="BJ320">
        <v>0</v>
      </c>
      <c r="BK320">
        <v>1</v>
      </c>
      <c r="BL320" s="1">
        <v>9.8794452870720203E-5</v>
      </c>
      <c r="BM320">
        <v>3.9879704036466397E-4</v>
      </c>
      <c r="BN320" s="1">
        <v>3.6177380062716502E-7</v>
      </c>
      <c r="BO320" s="1">
        <v>6.26428926141491E-6</v>
      </c>
      <c r="BP320">
        <v>0</v>
      </c>
      <c r="BQ320">
        <v>0</v>
      </c>
      <c r="BR320" s="1">
        <v>5.3177088110609198E-5</v>
      </c>
      <c r="BS320">
        <v>2.20528368914793E-4</v>
      </c>
    </row>
    <row r="321" spans="1:71" x14ac:dyDescent="0.25">
      <c r="A321">
        <v>318</v>
      </c>
      <c r="B321">
        <v>1.2813103266512299E-4</v>
      </c>
      <c r="C321">
        <v>0.10821441051713999</v>
      </c>
      <c r="D321">
        <v>-3.2043790087633303E-4</v>
      </c>
      <c r="E321">
        <v>6.1312499999999995E-4</v>
      </c>
      <c r="F321">
        <v>-1.0821441051714E-3</v>
      </c>
      <c r="G321">
        <v>0</v>
      </c>
      <c r="H321" t="s">
        <v>74</v>
      </c>
      <c r="I321">
        <v>0</v>
      </c>
      <c r="J321" t="s">
        <v>75</v>
      </c>
      <c r="K321">
        <v>3.14159265358979</v>
      </c>
      <c r="L321">
        <v>0.46179997891456098</v>
      </c>
      <c r="M321">
        <v>0</v>
      </c>
      <c r="N321">
        <v>2.71146165994419E-2</v>
      </c>
      <c r="O321">
        <v>0</v>
      </c>
      <c r="P321">
        <v>1.6E-2</v>
      </c>
      <c r="Q321">
        <v>0</v>
      </c>
      <c r="R321">
        <v>0</v>
      </c>
      <c r="S321">
        <v>0</v>
      </c>
      <c r="T321">
        <v>0</v>
      </c>
      <c r="U321">
        <v>0.46552417228199999</v>
      </c>
      <c r="V321" t="s">
        <v>78</v>
      </c>
      <c r="W321">
        <v>2407408.6183690899</v>
      </c>
      <c r="X321" t="s">
        <v>76</v>
      </c>
      <c r="Y321">
        <v>-1.5707963267949001</v>
      </c>
      <c r="Z321">
        <v>0.45386865551440198</v>
      </c>
      <c r="AA321">
        <v>0.52777145069363895</v>
      </c>
      <c r="AB321">
        <v>2.3621691065627299E-2</v>
      </c>
      <c r="AC321">
        <v>3.0311969212614798E-2</v>
      </c>
      <c r="AD321" s="1">
        <v>7.5454976022693005E-5</v>
      </c>
      <c r="AE321">
        <v>3.7829291814099802E-2</v>
      </c>
      <c r="AF321">
        <v>0</v>
      </c>
      <c r="AG321">
        <v>3.1599645804521099E-3</v>
      </c>
      <c r="AH321">
        <v>0.79683429024203001</v>
      </c>
      <c r="AI321">
        <v>0.136376260929858</v>
      </c>
      <c r="AJ321" t="s">
        <v>74</v>
      </c>
      <c r="AK321">
        <v>0</v>
      </c>
      <c r="AL321" t="s">
        <v>77</v>
      </c>
      <c r="AM321">
        <v>0</v>
      </c>
      <c r="AN321">
        <v>0.99199999999999999</v>
      </c>
      <c r="AO321">
        <v>0</v>
      </c>
      <c r="AP321">
        <v>5.8245346242475203E-2</v>
      </c>
      <c r="AQ321">
        <v>0</v>
      </c>
      <c r="AR321">
        <v>1.6E-2</v>
      </c>
      <c r="AS321">
        <v>0</v>
      </c>
      <c r="AT321">
        <v>0</v>
      </c>
      <c r="AU321">
        <v>0</v>
      </c>
      <c r="AV321">
        <v>0</v>
      </c>
      <c r="AW321">
        <v>1</v>
      </c>
      <c r="AX321" t="s">
        <v>74</v>
      </c>
      <c r="AY321">
        <v>0</v>
      </c>
      <c r="AZ321" t="s">
        <v>76</v>
      </c>
      <c r="BA321">
        <v>-1.5707963267949001</v>
      </c>
      <c r="BB321">
        <v>0.99199999999999999</v>
      </c>
      <c r="BC321">
        <v>0</v>
      </c>
      <c r="BD321">
        <v>5.8245346242475203E-2</v>
      </c>
      <c r="BE321">
        <v>0</v>
      </c>
      <c r="BF321">
        <v>1.6E-2</v>
      </c>
      <c r="BG321">
        <v>0</v>
      </c>
      <c r="BH321">
        <v>0</v>
      </c>
      <c r="BI321">
        <v>0</v>
      </c>
      <c r="BJ321">
        <v>0</v>
      </c>
      <c r="BK321">
        <v>1</v>
      </c>
      <c r="BL321" s="1">
        <v>9.8769484681317205E-5</v>
      </c>
      <c r="BM321">
        <v>3.9999712741124098E-4</v>
      </c>
      <c r="BN321" s="1">
        <v>3.61919819018921E-7</v>
      </c>
      <c r="BO321" s="1">
        <v>6.2831401846608798E-6</v>
      </c>
      <c r="BP321">
        <v>0</v>
      </c>
      <c r="BQ321">
        <v>0</v>
      </c>
      <c r="BR321" s="1">
        <v>5.3164408491037099E-5</v>
      </c>
      <c r="BS321">
        <v>2.2122160483175699E-4</v>
      </c>
    </row>
    <row r="322" spans="1:71" x14ac:dyDescent="0.25">
      <c r="A322">
        <v>319</v>
      </c>
      <c r="B322">
        <v>1.64201167824074E-4</v>
      </c>
      <c r="C322">
        <v>0.108378611684964</v>
      </c>
      <c r="D322">
        <v>-3.2131345196176802E-4</v>
      </c>
      <c r="E322">
        <v>6.1312499999999995E-4</v>
      </c>
      <c r="F322">
        <v>-1.08378611684964E-3</v>
      </c>
      <c r="G322" s="1">
        <v>1.0842021724855E-19</v>
      </c>
      <c r="H322" t="s">
        <v>74</v>
      </c>
      <c r="I322">
        <v>0</v>
      </c>
      <c r="J322" t="s">
        <v>75</v>
      </c>
      <c r="K322">
        <v>3.14159265358979</v>
      </c>
      <c r="L322">
        <v>0.46083372629558</v>
      </c>
      <c r="M322">
        <v>0</v>
      </c>
      <c r="N322">
        <v>2.7057883012395201E-2</v>
      </c>
      <c r="O322">
        <v>0</v>
      </c>
      <c r="P322">
        <v>1.6E-2</v>
      </c>
      <c r="Q322">
        <v>0</v>
      </c>
      <c r="R322">
        <v>0</v>
      </c>
      <c r="S322">
        <v>0</v>
      </c>
      <c r="T322">
        <v>0</v>
      </c>
      <c r="U322">
        <v>0.46455012731234602</v>
      </c>
      <c r="V322" t="s">
        <v>79</v>
      </c>
      <c r="W322">
        <v>2414964.19924973</v>
      </c>
      <c r="X322" t="s">
        <v>76</v>
      </c>
      <c r="Y322">
        <v>-1.5707963267949001</v>
      </c>
      <c r="Z322">
        <v>0.45268317892222398</v>
      </c>
      <c r="AA322">
        <v>0.52889157737793602</v>
      </c>
      <c r="AB322">
        <v>2.3499016945022801E-2</v>
      </c>
      <c r="AC322">
        <v>3.0492658123412099E-2</v>
      </c>
      <c r="AD322" s="1">
        <v>8.0290065547054904E-5</v>
      </c>
      <c r="AE322">
        <v>3.79677489359872E-2</v>
      </c>
      <c r="AF322">
        <v>0</v>
      </c>
      <c r="AG322">
        <v>1.69497660692748E-3</v>
      </c>
      <c r="AH322">
        <v>0.79975721203892502</v>
      </c>
      <c r="AI322">
        <v>0.13531213279218501</v>
      </c>
      <c r="AJ322" t="s">
        <v>74</v>
      </c>
      <c r="AK322">
        <v>0</v>
      </c>
      <c r="AL322" t="s">
        <v>77</v>
      </c>
      <c r="AM322">
        <v>0</v>
      </c>
      <c r="AN322">
        <v>0.99199999999999999</v>
      </c>
      <c r="AO322">
        <v>0</v>
      </c>
      <c r="AP322">
        <v>5.8245346242475203E-2</v>
      </c>
      <c r="AQ322">
        <v>0</v>
      </c>
      <c r="AR322">
        <v>1.6E-2</v>
      </c>
      <c r="AS322">
        <v>0</v>
      </c>
      <c r="AT322">
        <v>0</v>
      </c>
      <c r="AU322">
        <v>0</v>
      </c>
      <c r="AV322">
        <v>0</v>
      </c>
      <c r="AW322">
        <v>1</v>
      </c>
      <c r="AX322" t="s">
        <v>74</v>
      </c>
      <c r="AY322">
        <v>0</v>
      </c>
      <c r="AZ322" t="s">
        <v>76</v>
      </c>
      <c r="BA322">
        <v>-1.5707963267949001</v>
      </c>
      <c r="BB322">
        <v>0.99199999999999999</v>
      </c>
      <c r="BC322">
        <v>0</v>
      </c>
      <c r="BD322">
        <v>5.8245346242475203E-2</v>
      </c>
      <c r="BE322">
        <v>0</v>
      </c>
      <c r="BF322">
        <v>1.6E-2</v>
      </c>
      <c r="BG322">
        <v>0</v>
      </c>
      <c r="BH322">
        <v>0</v>
      </c>
      <c r="BI322">
        <v>0</v>
      </c>
      <c r="BJ322">
        <v>0</v>
      </c>
      <c r="BK322">
        <v>1</v>
      </c>
      <c r="BL322" s="1">
        <v>9.8770125282890295E-5</v>
      </c>
      <c r="BM322">
        <v>4.00726094322926E-4</v>
      </c>
      <c r="BN322" s="1">
        <v>3.6223633001190697E-7</v>
      </c>
      <c r="BO322" s="1">
        <v>6.2945907701331799E-6</v>
      </c>
      <c r="BP322">
        <v>0</v>
      </c>
      <c r="BQ322">
        <v>0</v>
      </c>
      <c r="BR322" s="1">
        <v>5.3169114098627897E-5</v>
      </c>
      <c r="BS322">
        <v>2.2166277233509499E-4</v>
      </c>
    </row>
    <row r="323" spans="1:71" x14ac:dyDescent="0.25">
      <c r="A323">
        <v>320</v>
      </c>
      <c r="B323">
        <v>1.34179743525485E-4</v>
      </c>
      <c r="C323">
        <v>0.10851279142848901</v>
      </c>
      <c r="D323">
        <v>-3.220283358379E-4</v>
      </c>
      <c r="E323">
        <v>6.1312499999999995E-4</v>
      </c>
      <c r="F323">
        <v>-1.08512791428489E-3</v>
      </c>
      <c r="G323">
        <v>0</v>
      </c>
      <c r="H323" t="s">
        <v>74</v>
      </c>
      <c r="I323">
        <v>0</v>
      </c>
      <c r="J323" t="s">
        <v>75</v>
      </c>
      <c r="K323">
        <v>3.14159265358979</v>
      </c>
      <c r="L323">
        <v>0.45939289513030002</v>
      </c>
      <c r="M323">
        <v>0</v>
      </c>
      <c r="N323">
        <v>2.6973284514311899E-2</v>
      </c>
      <c r="O323">
        <v>0</v>
      </c>
      <c r="P323">
        <v>1.6E-2</v>
      </c>
      <c r="Q323">
        <v>0</v>
      </c>
      <c r="R323">
        <v>0</v>
      </c>
      <c r="S323">
        <v>0</v>
      </c>
      <c r="T323">
        <v>0</v>
      </c>
      <c r="U323">
        <v>0.46309767653526102</v>
      </c>
      <c r="V323" t="s">
        <v>79</v>
      </c>
      <c r="W323">
        <v>2421133.3001008802</v>
      </c>
      <c r="X323" t="s">
        <v>76</v>
      </c>
      <c r="Y323">
        <v>-1.5707963267949001</v>
      </c>
      <c r="Z323">
        <v>0.45107289270193102</v>
      </c>
      <c r="AA323">
        <v>0.53044993613716696</v>
      </c>
      <c r="AB323">
        <v>2.33657875825568E-2</v>
      </c>
      <c r="AC323">
        <v>3.06750315443131E-2</v>
      </c>
      <c r="AD323" s="1">
        <v>7.0743481397062197E-5</v>
      </c>
      <c r="AE323">
        <v>3.8081666692422203E-2</v>
      </c>
      <c r="AF323">
        <v>0</v>
      </c>
      <c r="AG323">
        <v>1.48220124127057E-3</v>
      </c>
      <c r="AH323">
        <v>0.80214399081565901</v>
      </c>
      <c r="AI323">
        <v>0.13373389252449</v>
      </c>
      <c r="AJ323" t="s">
        <v>74</v>
      </c>
      <c r="AK323">
        <v>0</v>
      </c>
      <c r="AL323" t="s">
        <v>77</v>
      </c>
      <c r="AM323">
        <v>0</v>
      </c>
      <c r="AN323">
        <v>0.99199999999999999</v>
      </c>
      <c r="AO323">
        <v>0</v>
      </c>
      <c r="AP323">
        <v>5.8245346242475203E-2</v>
      </c>
      <c r="AQ323">
        <v>0</v>
      </c>
      <c r="AR323">
        <v>1.6E-2</v>
      </c>
      <c r="AS323">
        <v>0</v>
      </c>
      <c r="AT323">
        <v>0</v>
      </c>
      <c r="AU323">
        <v>0</v>
      </c>
      <c r="AV323">
        <v>0</v>
      </c>
      <c r="AW323">
        <v>1</v>
      </c>
      <c r="AX323" t="s">
        <v>74</v>
      </c>
      <c r="AY323">
        <v>0</v>
      </c>
      <c r="AZ323" t="s">
        <v>76</v>
      </c>
      <c r="BA323">
        <v>-1.5707963267949001</v>
      </c>
      <c r="BB323">
        <v>0.99199999999999999</v>
      </c>
      <c r="BC323">
        <v>0</v>
      </c>
      <c r="BD323">
        <v>5.8245346242475203E-2</v>
      </c>
      <c r="BE323">
        <v>0</v>
      </c>
      <c r="BF323">
        <v>1.6E-2</v>
      </c>
      <c r="BG323">
        <v>0</v>
      </c>
      <c r="BH323">
        <v>0</v>
      </c>
      <c r="BI323">
        <v>0</v>
      </c>
      <c r="BJ323">
        <v>0</v>
      </c>
      <c r="BK323">
        <v>1</v>
      </c>
      <c r="BL323" s="1">
        <v>9.8752398063066104E-5</v>
      </c>
      <c r="BM323">
        <v>4.0181309602846502E-4</v>
      </c>
      <c r="BN323" s="1">
        <v>3.62433228721379E-7</v>
      </c>
      <c r="BO323" s="1">
        <v>6.31166535299598E-6</v>
      </c>
      <c r="BP323">
        <v>0</v>
      </c>
      <c r="BQ323">
        <v>0</v>
      </c>
      <c r="BR323" s="1">
        <v>5.3161081058447899E-5</v>
      </c>
      <c r="BS323">
        <v>2.2229518351969099E-4</v>
      </c>
    </row>
    <row r="324" spans="1:71" x14ac:dyDescent="0.25">
      <c r="A324">
        <v>321</v>
      </c>
      <c r="B324">
        <v>1.34087080475647E-4</v>
      </c>
      <c r="C324">
        <v>0.108646878508965</v>
      </c>
      <c r="D324">
        <v>-3.22742246739658E-4</v>
      </c>
      <c r="E324">
        <v>6.1312499999999995E-4</v>
      </c>
      <c r="F324">
        <v>-1.0864687850896499E-3</v>
      </c>
      <c r="G324" s="1">
        <v>1.0842021724855E-19</v>
      </c>
      <c r="H324" t="s">
        <v>74</v>
      </c>
      <c r="I324">
        <v>0</v>
      </c>
      <c r="J324" t="s">
        <v>75</v>
      </c>
      <c r="K324">
        <v>3.14159265358979</v>
      </c>
      <c r="L324">
        <v>0.45795258424058</v>
      </c>
      <c r="M324">
        <v>0</v>
      </c>
      <c r="N324">
        <v>2.6888716564242798E-2</v>
      </c>
      <c r="O324">
        <v>0</v>
      </c>
      <c r="P324">
        <v>1.6E-2</v>
      </c>
      <c r="Q324">
        <v>0</v>
      </c>
      <c r="R324">
        <v>0</v>
      </c>
      <c r="S324">
        <v>0</v>
      </c>
      <c r="T324">
        <v>0</v>
      </c>
      <c r="U324">
        <v>0.46164575023531401</v>
      </c>
      <c r="V324" t="s">
        <v>79</v>
      </c>
      <c r="W324">
        <v>2427294.0046554701</v>
      </c>
      <c r="X324" t="s">
        <v>76</v>
      </c>
      <c r="Y324">
        <v>-1.5707963267949001</v>
      </c>
      <c r="Z324">
        <v>0.44946190821854198</v>
      </c>
      <c r="AA324">
        <v>0.53200231163868295</v>
      </c>
      <c r="AB324">
        <v>2.3232910069778099E-2</v>
      </c>
      <c r="AC324">
        <v>3.0858386464694899E-2</v>
      </c>
      <c r="AD324" s="1">
        <v>6.1885392726486701E-5</v>
      </c>
      <c r="AE324">
        <v>3.8195664620099802E-2</v>
      </c>
      <c r="AF324">
        <v>0</v>
      </c>
      <c r="AG324">
        <v>1.2861769895356999E-3</v>
      </c>
      <c r="AH324">
        <v>0.80451323345877601</v>
      </c>
      <c r="AI324">
        <v>0.132162855534254</v>
      </c>
      <c r="AJ324" t="s">
        <v>74</v>
      </c>
      <c r="AK324">
        <v>0</v>
      </c>
      <c r="AL324" t="s">
        <v>77</v>
      </c>
      <c r="AM324">
        <v>0</v>
      </c>
      <c r="AN324">
        <v>0.99199999999999999</v>
      </c>
      <c r="AO324">
        <v>0</v>
      </c>
      <c r="AP324">
        <v>5.8245346242475203E-2</v>
      </c>
      <c r="AQ324">
        <v>0</v>
      </c>
      <c r="AR324">
        <v>1.6E-2</v>
      </c>
      <c r="AS324">
        <v>0</v>
      </c>
      <c r="AT324">
        <v>0</v>
      </c>
      <c r="AU324">
        <v>0</v>
      </c>
      <c r="AV324">
        <v>0</v>
      </c>
      <c r="AW324">
        <v>1</v>
      </c>
      <c r="AX324" t="s">
        <v>74</v>
      </c>
      <c r="AY324">
        <v>0</v>
      </c>
      <c r="AZ324" t="s">
        <v>76</v>
      </c>
      <c r="BA324">
        <v>-1.5707963267949001</v>
      </c>
      <c r="BB324">
        <v>0.99199999999999999</v>
      </c>
      <c r="BC324">
        <v>0</v>
      </c>
      <c r="BD324">
        <v>5.8245346242475203E-2</v>
      </c>
      <c r="BE324">
        <v>0</v>
      </c>
      <c r="BF324">
        <v>1.6E-2</v>
      </c>
      <c r="BG324">
        <v>0</v>
      </c>
      <c r="BH324">
        <v>0</v>
      </c>
      <c r="BI324">
        <v>0</v>
      </c>
      <c r="BJ324">
        <v>0</v>
      </c>
      <c r="BK324">
        <v>1</v>
      </c>
      <c r="BL324" s="1">
        <v>9.8735352791833096E-5</v>
      </c>
      <c r="BM324">
        <v>4.02899705224156E-4</v>
      </c>
      <c r="BN324" s="1">
        <v>3.6263855421845601E-7</v>
      </c>
      <c r="BO324" s="1">
        <v>6.3287337703285103E-6</v>
      </c>
      <c r="BP324">
        <v>0</v>
      </c>
      <c r="BQ324">
        <v>0</v>
      </c>
      <c r="BR324" s="1">
        <v>5.3153410851882501E-5</v>
      </c>
      <c r="BS324">
        <v>2.2292751857699801E-4</v>
      </c>
    </row>
    <row r="325" spans="1:71" x14ac:dyDescent="0.25">
      <c r="A325">
        <v>322</v>
      </c>
      <c r="B325">
        <v>1.34957498912005E-4</v>
      </c>
      <c r="C325">
        <v>0.108781836007877</v>
      </c>
      <c r="D325">
        <v>-3.2346031021411001E-4</v>
      </c>
      <c r="E325">
        <v>6.1312499999999995E-4</v>
      </c>
      <c r="F325">
        <v>-1.0878183600787699E-3</v>
      </c>
      <c r="G325" s="1">
        <v>1.0842021724855E-19</v>
      </c>
      <c r="H325" t="s">
        <v>74</v>
      </c>
      <c r="I325">
        <v>0</v>
      </c>
      <c r="J325" t="s">
        <v>75</v>
      </c>
      <c r="K325">
        <v>3.14159265358979</v>
      </c>
      <c r="L325">
        <v>0.45649636584539399</v>
      </c>
      <c r="M325">
        <v>0</v>
      </c>
      <c r="N325">
        <v>2.6803214603928101E-2</v>
      </c>
      <c r="O325">
        <v>0</v>
      </c>
      <c r="P325">
        <v>1.6E-2</v>
      </c>
      <c r="Q325">
        <v>0</v>
      </c>
      <c r="R325">
        <v>0</v>
      </c>
      <c r="S325">
        <v>0</v>
      </c>
      <c r="T325">
        <v>0</v>
      </c>
      <c r="U325">
        <v>0.46017778814327298</v>
      </c>
      <c r="V325" t="s">
        <v>79</v>
      </c>
      <c r="W325">
        <v>2433490.5438967599</v>
      </c>
      <c r="X325" t="s">
        <v>76</v>
      </c>
      <c r="Y325">
        <v>-1.5707963267949001</v>
      </c>
      <c r="Z325">
        <v>0.44783267563018098</v>
      </c>
      <c r="AA325">
        <v>0.53357449980695404</v>
      </c>
      <c r="AB325">
        <v>2.30991144231684E-2</v>
      </c>
      <c r="AC325">
        <v>3.1044643622620299E-2</v>
      </c>
      <c r="AD325" s="1">
        <v>5.40993552582924E-5</v>
      </c>
      <c r="AE325">
        <v>3.8310552040921403E-2</v>
      </c>
      <c r="AF325">
        <v>0</v>
      </c>
      <c r="AG325">
        <v>1.11517340055332E-3</v>
      </c>
      <c r="AH325">
        <v>0.80688145753735896</v>
      </c>
      <c r="AI325">
        <v>0.13058135095694701</v>
      </c>
      <c r="AJ325" t="s">
        <v>74</v>
      </c>
      <c r="AK325">
        <v>0</v>
      </c>
      <c r="AL325" t="s">
        <v>77</v>
      </c>
      <c r="AM325">
        <v>0</v>
      </c>
      <c r="AN325">
        <v>0.99199999999999999</v>
      </c>
      <c r="AO325">
        <v>0</v>
      </c>
      <c r="AP325">
        <v>5.8245346242475203E-2</v>
      </c>
      <c r="AQ325">
        <v>0</v>
      </c>
      <c r="AR325">
        <v>1.6E-2</v>
      </c>
      <c r="AS325">
        <v>0</v>
      </c>
      <c r="AT325">
        <v>0</v>
      </c>
      <c r="AU325">
        <v>0</v>
      </c>
      <c r="AV325">
        <v>0</v>
      </c>
      <c r="AW325">
        <v>1</v>
      </c>
      <c r="AX325" t="s">
        <v>74</v>
      </c>
      <c r="AY325">
        <v>0</v>
      </c>
      <c r="AZ325" t="s">
        <v>76</v>
      </c>
      <c r="BA325">
        <v>-1.5707963267949001</v>
      </c>
      <c r="BB325">
        <v>0.99199999999999999</v>
      </c>
      <c r="BC325">
        <v>0</v>
      </c>
      <c r="BD325">
        <v>5.8245346242475203E-2</v>
      </c>
      <c r="BE325">
        <v>0</v>
      </c>
      <c r="BF325">
        <v>1.6E-2</v>
      </c>
      <c r="BG325">
        <v>0</v>
      </c>
      <c r="BH325">
        <v>0</v>
      </c>
      <c r="BI325">
        <v>0</v>
      </c>
      <c r="BJ325">
        <v>0</v>
      </c>
      <c r="BK325">
        <v>1</v>
      </c>
      <c r="BL325" s="1">
        <v>9.8718832567333502E-5</v>
      </c>
      <c r="BM325">
        <v>4.03998315468956E-4</v>
      </c>
      <c r="BN325" s="1">
        <v>3.62853462944975E-7</v>
      </c>
      <c r="BO325" s="1">
        <v>6.3459906996996197E-6</v>
      </c>
      <c r="BP325">
        <v>0</v>
      </c>
      <c r="BQ325">
        <v>0</v>
      </c>
      <c r="BR325" s="1">
        <v>5.3146012733880101E-5</v>
      </c>
      <c r="BS325">
        <v>2.2356686026041899E-4</v>
      </c>
    </row>
    <row r="326" spans="1:71" x14ac:dyDescent="0.25">
      <c r="A326">
        <v>323</v>
      </c>
      <c r="B326">
        <v>1.35867930961504E-4</v>
      </c>
      <c r="C326">
        <v>0.108917703938839</v>
      </c>
      <c r="D326">
        <v>-3.2418272998238699E-4</v>
      </c>
      <c r="E326">
        <v>6.1312499999999995E-4</v>
      </c>
      <c r="F326">
        <v>-1.0891770393883799E-3</v>
      </c>
      <c r="G326" s="1">
        <v>1.0842021724855E-19</v>
      </c>
      <c r="H326" t="s">
        <v>74</v>
      </c>
      <c r="I326">
        <v>0</v>
      </c>
      <c r="J326" t="s">
        <v>75</v>
      </c>
      <c r="K326">
        <v>3.14159265358979</v>
      </c>
      <c r="L326">
        <v>0.45502680009686802</v>
      </c>
      <c r="M326">
        <v>0</v>
      </c>
      <c r="N326">
        <v>2.6716928952870599E-2</v>
      </c>
      <c r="O326">
        <v>0</v>
      </c>
      <c r="P326">
        <v>1.6E-2</v>
      </c>
      <c r="Q326">
        <v>0</v>
      </c>
      <c r="R326">
        <v>0</v>
      </c>
      <c r="S326">
        <v>0</v>
      </c>
      <c r="T326">
        <v>0</v>
      </c>
      <c r="U326">
        <v>0.45869637105799599</v>
      </c>
      <c r="V326" t="s">
        <v>79</v>
      </c>
      <c r="W326">
        <v>2439724.67583925</v>
      </c>
      <c r="X326" t="s">
        <v>76</v>
      </c>
      <c r="Y326">
        <v>-1.5707963267949001</v>
      </c>
      <c r="Z326">
        <v>0.446187627055953</v>
      </c>
      <c r="AA326">
        <v>0.53516347945270504</v>
      </c>
      <c r="AB326">
        <v>2.2964510038026499E-2</v>
      </c>
      <c r="AC326">
        <v>3.1233726187305799E-2</v>
      </c>
      <c r="AD326" s="1">
        <v>4.7250763575499003E-5</v>
      </c>
      <c r="AE326">
        <v>3.8426344321549497E-2</v>
      </c>
      <c r="AF326">
        <v>0</v>
      </c>
      <c r="AG326">
        <v>9.6578626873237104E-4</v>
      </c>
      <c r="AH326">
        <v>0.80924820436203404</v>
      </c>
      <c r="AI326">
        <v>0.12899238763996401</v>
      </c>
      <c r="AJ326" t="s">
        <v>74</v>
      </c>
      <c r="AK326">
        <v>0</v>
      </c>
      <c r="AL326" t="s">
        <v>77</v>
      </c>
      <c r="AM326">
        <v>0</v>
      </c>
      <c r="AN326">
        <v>0.99199999999999999</v>
      </c>
      <c r="AO326">
        <v>0</v>
      </c>
      <c r="AP326">
        <v>5.8245346242475203E-2</v>
      </c>
      <c r="AQ326">
        <v>0</v>
      </c>
      <c r="AR326">
        <v>1.6E-2</v>
      </c>
      <c r="AS326">
        <v>0</v>
      </c>
      <c r="AT326">
        <v>0</v>
      </c>
      <c r="AU326">
        <v>0</v>
      </c>
      <c r="AV326">
        <v>0</v>
      </c>
      <c r="AW326">
        <v>1</v>
      </c>
      <c r="AX326" t="s">
        <v>74</v>
      </c>
      <c r="AY326">
        <v>0</v>
      </c>
      <c r="AZ326" t="s">
        <v>76</v>
      </c>
      <c r="BA326">
        <v>-1.5707963267949001</v>
      </c>
      <c r="BB326">
        <v>0.99199999999999999</v>
      </c>
      <c r="BC326">
        <v>0</v>
      </c>
      <c r="BD326">
        <v>5.8245346242475203E-2</v>
      </c>
      <c r="BE326">
        <v>0</v>
      </c>
      <c r="BF326">
        <v>1.6E-2</v>
      </c>
      <c r="BG326">
        <v>0</v>
      </c>
      <c r="BH326">
        <v>0</v>
      </c>
      <c r="BI326">
        <v>0</v>
      </c>
      <c r="BJ326">
        <v>0</v>
      </c>
      <c r="BK326">
        <v>1</v>
      </c>
      <c r="BL326" s="1">
        <v>9.8702928831576598E-5</v>
      </c>
      <c r="BM326">
        <v>4.0510699531538298E-4</v>
      </c>
      <c r="BN326" s="1">
        <v>3.6307850867120699E-7</v>
      </c>
      <c r="BO326" s="1">
        <v>6.3634058020032098E-6</v>
      </c>
      <c r="BP326">
        <v>0</v>
      </c>
      <c r="BQ326">
        <v>0</v>
      </c>
      <c r="BR326" s="1">
        <v>5.3138945853455202E-5</v>
      </c>
      <c r="BS326">
        <v>2.2421215323818901E-4</v>
      </c>
    </row>
    <row r="327" spans="1:71" x14ac:dyDescent="0.25">
      <c r="A327">
        <v>324</v>
      </c>
      <c r="B327">
        <v>1.3684123506789301E-4</v>
      </c>
      <c r="C327">
        <v>0.109054545173906</v>
      </c>
      <c r="D327">
        <v>-3.2490983059601798E-4</v>
      </c>
      <c r="E327">
        <v>6.1312499999999995E-4</v>
      </c>
      <c r="F327">
        <v>-1.0905454517390601E-3</v>
      </c>
      <c r="G327">
        <v>0</v>
      </c>
      <c r="H327" t="s">
        <v>74</v>
      </c>
      <c r="I327">
        <v>0</v>
      </c>
      <c r="J327" t="s">
        <v>75</v>
      </c>
      <c r="K327">
        <v>3.14159265358979</v>
      </c>
      <c r="L327">
        <v>0.45354555575063099</v>
      </c>
      <c r="M327">
        <v>0</v>
      </c>
      <c r="N327">
        <v>2.6629957592168699E-2</v>
      </c>
      <c r="O327">
        <v>0</v>
      </c>
      <c r="P327">
        <v>1.6E-2</v>
      </c>
      <c r="Q327">
        <v>0</v>
      </c>
      <c r="R327">
        <v>0</v>
      </c>
      <c r="S327">
        <v>0</v>
      </c>
      <c r="T327">
        <v>0</v>
      </c>
      <c r="U327">
        <v>0.45720318119280301</v>
      </c>
      <c r="V327" t="s">
        <v>79</v>
      </c>
      <c r="W327">
        <v>2445999.2012050999</v>
      </c>
      <c r="X327" t="s">
        <v>76</v>
      </c>
      <c r="Y327">
        <v>-1.5707963267949001</v>
      </c>
      <c r="Z327">
        <v>0.44452827938108003</v>
      </c>
      <c r="AA327">
        <v>0.53675939899150804</v>
      </c>
      <c r="AB327">
        <v>2.2829150970117399E-2</v>
      </c>
      <c r="AC327">
        <v>3.14253822739737E-2</v>
      </c>
      <c r="AD327" s="1">
        <v>4.1232100769163197E-5</v>
      </c>
      <c r="AE327">
        <v>3.8543078462037098E-2</v>
      </c>
      <c r="AF327">
        <v>0</v>
      </c>
      <c r="AG327">
        <v>8.3545925394784798E-4</v>
      </c>
      <c r="AH327">
        <v>0.81161351236484602</v>
      </c>
      <c r="AI327">
        <v>0.12739797784586601</v>
      </c>
      <c r="AJ327" t="s">
        <v>74</v>
      </c>
      <c r="AK327">
        <v>0</v>
      </c>
      <c r="AL327" t="s">
        <v>77</v>
      </c>
      <c r="AM327">
        <v>0</v>
      </c>
      <c r="AN327">
        <v>0.99199999999999999</v>
      </c>
      <c r="AO327">
        <v>0</v>
      </c>
      <c r="AP327">
        <v>5.8245346242475203E-2</v>
      </c>
      <c r="AQ327">
        <v>0</v>
      </c>
      <c r="AR327">
        <v>1.6E-2</v>
      </c>
      <c r="AS327">
        <v>0</v>
      </c>
      <c r="AT327">
        <v>0</v>
      </c>
      <c r="AU327">
        <v>0</v>
      </c>
      <c r="AV327">
        <v>0</v>
      </c>
      <c r="AW327">
        <v>1</v>
      </c>
      <c r="AX327" t="s">
        <v>74</v>
      </c>
      <c r="AY327">
        <v>0</v>
      </c>
      <c r="AZ327" t="s">
        <v>76</v>
      </c>
      <c r="BA327">
        <v>-1.5707963267949001</v>
      </c>
      <c r="BB327">
        <v>0.99199999999999999</v>
      </c>
      <c r="BC327">
        <v>0</v>
      </c>
      <c r="BD327">
        <v>5.8245346242475203E-2</v>
      </c>
      <c r="BE327">
        <v>0</v>
      </c>
      <c r="BF327">
        <v>1.6E-2</v>
      </c>
      <c r="BG327">
        <v>0</v>
      </c>
      <c r="BH327">
        <v>0</v>
      </c>
      <c r="BI327">
        <v>0</v>
      </c>
      <c r="BJ327">
        <v>0</v>
      </c>
      <c r="BK327">
        <v>1</v>
      </c>
      <c r="BL327" s="1">
        <v>9.8687591660605097E-5</v>
      </c>
      <c r="BM327">
        <v>4.06224485809397E-4</v>
      </c>
      <c r="BN327" s="1">
        <v>3.6331398709104799E-7</v>
      </c>
      <c r="BO327" s="1">
        <v>6.3809593016354603E-6</v>
      </c>
      <c r="BP327">
        <v>0</v>
      </c>
      <c r="BQ327">
        <v>0</v>
      </c>
      <c r="BR327" s="1">
        <v>5.3132189687708898E-5</v>
      </c>
      <c r="BS327">
        <v>2.2486271931167399E-4</v>
      </c>
    </row>
    <row r="328" spans="1:71" x14ac:dyDescent="0.25">
      <c r="A328">
        <v>325</v>
      </c>
      <c r="B328">
        <v>1.37872698148063E-4</v>
      </c>
      <c r="C328">
        <v>0.109192417872054</v>
      </c>
      <c r="D328">
        <v>-3.2564191061224299E-4</v>
      </c>
      <c r="E328">
        <v>6.1312499999999995E-4</v>
      </c>
      <c r="F328">
        <v>-1.0919241787205401E-3</v>
      </c>
      <c r="G328" s="1">
        <v>1.0842021724855E-19</v>
      </c>
      <c r="H328" t="s">
        <v>74</v>
      </c>
      <c r="I328">
        <v>0</v>
      </c>
      <c r="J328" t="s">
        <v>75</v>
      </c>
      <c r="K328">
        <v>3.14159265358979</v>
      </c>
      <c r="L328">
        <v>0.45205414077670902</v>
      </c>
      <c r="M328">
        <v>0</v>
      </c>
      <c r="N328">
        <v>2.6542389062383102E-2</v>
      </c>
      <c r="O328">
        <v>0</v>
      </c>
      <c r="P328">
        <v>1.6E-2</v>
      </c>
      <c r="Q328">
        <v>0</v>
      </c>
      <c r="R328">
        <v>0</v>
      </c>
      <c r="S328">
        <v>0</v>
      </c>
      <c r="T328">
        <v>0</v>
      </c>
      <c r="U328">
        <v>0.45569973867876501</v>
      </c>
      <c r="V328" t="s">
        <v>79</v>
      </c>
      <c r="W328">
        <v>2452316.6963983602</v>
      </c>
      <c r="X328" t="s">
        <v>76</v>
      </c>
      <c r="Y328">
        <v>-1.5707963267949001</v>
      </c>
      <c r="Z328">
        <v>0.44285599243595603</v>
      </c>
      <c r="AA328">
        <v>0.53837436844171904</v>
      </c>
      <c r="AB328">
        <v>2.2693086053828498E-2</v>
      </c>
      <c r="AC328">
        <v>3.1620053093973401E-2</v>
      </c>
      <c r="AD328" s="1">
        <v>3.5947276080096901E-5</v>
      </c>
      <c r="AE328">
        <v>3.8660788949910103E-2</v>
      </c>
      <c r="AF328">
        <v>0</v>
      </c>
      <c r="AG328">
        <v>7.2190045408073204E-4</v>
      </c>
      <c r="AH328">
        <v>0.81397739814178804</v>
      </c>
      <c r="AI328">
        <v>0.12579993417014201</v>
      </c>
      <c r="AJ328" t="s">
        <v>74</v>
      </c>
      <c r="AK328">
        <v>0</v>
      </c>
      <c r="AL328" t="s">
        <v>77</v>
      </c>
      <c r="AM328">
        <v>0</v>
      </c>
      <c r="AN328">
        <v>0.99199999999999999</v>
      </c>
      <c r="AO328">
        <v>0</v>
      </c>
      <c r="AP328">
        <v>5.8245346242475203E-2</v>
      </c>
      <c r="AQ328">
        <v>0</v>
      </c>
      <c r="AR328">
        <v>1.6E-2</v>
      </c>
      <c r="AS328">
        <v>0</v>
      </c>
      <c r="AT328">
        <v>0</v>
      </c>
      <c r="AU328">
        <v>0</v>
      </c>
      <c r="AV328">
        <v>0</v>
      </c>
      <c r="AW328">
        <v>1</v>
      </c>
      <c r="AX328" t="s">
        <v>74</v>
      </c>
      <c r="AY328">
        <v>0</v>
      </c>
      <c r="AZ328" t="s">
        <v>76</v>
      </c>
      <c r="BA328">
        <v>-1.5707963267949001</v>
      </c>
      <c r="BB328">
        <v>0.99199999999999999</v>
      </c>
      <c r="BC328">
        <v>0</v>
      </c>
      <c r="BD328">
        <v>5.8245346242475203E-2</v>
      </c>
      <c r="BE328">
        <v>0</v>
      </c>
      <c r="BF328">
        <v>1.6E-2</v>
      </c>
      <c r="BG328">
        <v>0</v>
      </c>
      <c r="BH328">
        <v>0</v>
      </c>
      <c r="BI328">
        <v>0</v>
      </c>
      <c r="BJ328">
        <v>0</v>
      </c>
      <c r="BK328">
        <v>1</v>
      </c>
      <c r="BL328" s="1">
        <v>9.8673110347567694E-5</v>
      </c>
      <c r="BM328">
        <v>4.0734964929793399E-4</v>
      </c>
      <c r="BN328" s="1">
        <v>3.63560872151999E-7</v>
      </c>
      <c r="BO328" s="1">
        <v>6.3986333283838404E-6</v>
      </c>
      <c r="BP328">
        <v>0</v>
      </c>
      <c r="BQ328">
        <v>0</v>
      </c>
      <c r="BR328" s="1">
        <v>5.3125910867578897E-5</v>
      </c>
      <c r="BS328">
        <v>2.2551794611007801E-4</v>
      </c>
    </row>
    <row r="329" spans="1:71" x14ac:dyDescent="0.25">
      <c r="A329">
        <v>326</v>
      </c>
      <c r="B329">
        <v>1.38959092328374E-4</v>
      </c>
      <c r="C329">
        <v>0.109331376964383</v>
      </c>
      <c r="D329">
        <v>-3.2637925054649399E-4</v>
      </c>
      <c r="E329">
        <v>6.1312499999999995E-4</v>
      </c>
      <c r="F329">
        <v>-1.0933137696438301E-3</v>
      </c>
      <c r="G329">
        <v>0</v>
      </c>
      <c r="H329" t="s">
        <v>74</v>
      </c>
      <c r="I329">
        <v>0</v>
      </c>
      <c r="J329" t="s">
        <v>75</v>
      </c>
      <c r="K329">
        <v>3.14159265358979</v>
      </c>
      <c r="L329">
        <v>0.45055389647531102</v>
      </c>
      <c r="M329">
        <v>0</v>
      </c>
      <c r="N329">
        <v>2.6454302118045201E-2</v>
      </c>
      <c r="O329">
        <v>0</v>
      </c>
      <c r="P329">
        <v>1.6E-2</v>
      </c>
      <c r="Q329">
        <v>0</v>
      </c>
      <c r="R329">
        <v>0</v>
      </c>
      <c r="S329">
        <v>0</v>
      </c>
      <c r="T329">
        <v>0</v>
      </c>
      <c r="U329">
        <v>0.45418739563302502</v>
      </c>
      <c r="V329" t="s">
        <v>79</v>
      </c>
      <c r="W329">
        <v>2458679.5821310598</v>
      </c>
      <c r="X329" t="s">
        <v>76</v>
      </c>
      <c r="Y329">
        <v>-1.5707963267949001</v>
      </c>
      <c r="Z329">
        <v>0.44117196142614801</v>
      </c>
      <c r="AA329">
        <v>0.53999936552051897</v>
      </c>
      <c r="AB329">
        <v>2.2556358596937099E-2</v>
      </c>
      <c r="AC329">
        <v>3.1817520280723599E-2</v>
      </c>
      <c r="AD329" s="1">
        <v>3.1310823382625397E-5</v>
      </c>
      <c r="AE329">
        <v>3.8779508856883201E-2</v>
      </c>
      <c r="AF329">
        <v>0</v>
      </c>
      <c r="AG329">
        <v>6.2307245875501598E-4</v>
      </c>
      <c r="AH329">
        <v>0.81633987527747298</v>
      </c>
      <c r="AI329">
        <v>0.12419986643045799</v>
      </c>
      <c r="AJ329" t="s">
        <v>74</v>
      </c>
      <c r="AK329">
        <v>0</v>
      </c>
      <c r="AL329" t="s">
        <v>77</v>
      </c>
      <c r="AM329">
        <v>0</v>
      </c>
      <c r="AN329">
        <v>0.99199999999999999</v>
      </c>
      <c r="AO329">
        <v>0</v>
      </c>
      <c r="AP329">
        <v>5.8245346242475203E-2</v>
      </c>
      <c r="AQ329">
        <v>0</v>
      </c>
      <c r="AR329">
        <v>1.6E-2</v>
      </c>
      <c r="AS329">
        <v>0</v>
      </c>
      <c r="AT329">
        <v>0</v>
      </c>
      <c r="AU329">
        <v>0</v>
      </c>
      <c r="AV329">
        <v>0</v>
      </c>
      <c r="AW329">
        <v>1</v>
      </c>
      <c r="AX329" t="s">
        <v>74</v>
      </c>
      <c r="AY329">
        <v>0</v>
      </c>
      <c r="AZ329" t="s">
        <v>76</v>
      </c>
      <c r="BA329">
        <v>-1.5707963267949001</v>
      </c>
      <c r="BB329">
        <v>0.99199999999999999</v>
      </c>
      <c r="BC329">
        <v>0</v>
      </c>
      <c r="BD329">
        <v>5.8245346242475203E-2</v>
      </c>
      <c r="BE329">
        <v>0</v>
      </c>
      <c r="BF329">
        <v>1.6E-2</v>
      </c>
      <c r="BG329">
        <v>0</v>
      </c>
      <c r="BH329">
        <v>0</v>
      </c>
      <c r="BI329">
        <v>0</v>
      </c>
      <c r="BJ329">
        <v>0</v>
      </c>
      <c r="BK329">
        <v>1</v>
      </c>
      <c r="BL329" s="1">
        <v>9.8659436740328098E-5</v>
      </c>
      <c r="BM329">
        <v>4.08481473868114E-4</v>
      </c>
      <c r="BN329" s="1">
        <v>3.6381946763710701E-7</v>
      </c>
      <c r="BO329" s="1">
        <v>6.4164119871579899E-6</v>
      </c>
      <c r="BP329">
        <v>0</v>
      </c>
      <c r="BQ329">
        <v>0</v>
      </c>
      <c r="BR329" s="1">
        <v>5.3120088688928698E-5</v>
      </c>
      <c r="BS329">
        <v>2.2617728992821201E-4</v>
      </c>
    </row>
    <row r="330" spans="1:71" x14ac:dyDescent="0.25">
      <c r="A330">
        <v>327</v>
      </c>
      <c r="B330">
        <v>1.4009757849128899E-4</v>
      </c>
      <c r="C330">
        <v>0.10947147454287399</v>
      </c>
      <c r="D330">
        <v>-3.27122114978987E-4</v>
      </c>
      <c r="E330">
        <v>6.1312499999999995E-4</v>
      </c>
      <c r="F330">
        <v>-1.0947147454287401E-3</v>
      </c>
      <c r="G330">
        <v>0</v>
      </c>
      <c r="H330" t="s">
        <v>74</v>
      </c>
      <c r="I330">
        <v>0</v>
      </c>
      <c r="J330" t="s">
        <v>75</v>
      </c>
      <c r="K330">
        <v>3.14159265358979</v>
      </c>
      <c r="L330">
        <v>0.44904601436425201</v>
      </c>
      <c r="M330">
        <v>0</v>
      </c>
      <c r="N330">
        <v>2.6365766719203002E-2</v>
      </c>
      <c r="O330">
        <v>0</v>
      </c>
      <c r="P330">
        <v>1.6E-2</v>
      </c>
      <c r="Q330">
        <v>0</v>
      </c>
      <c r="R330">
        <v>0</v>
      </c>
      <c r="S330">
        <v>0</v>
      </c>
      <c r="T330">
        <v>0</v>
      </c>
      <c r="U330">
        <v>0.45266735318241003</v>
      </c>
      <c r="V330" t="s">
        <v>79</v>
      </c>
      <c r="W330">
        <v>2465090.14160203</v>
      </c>
      <c r="X330" t="s">
        <v>76</v>
      </c>
      <c r="Y330">
        <v>-1.5707963267949001</v>
      </c>
      <c r="Z330">
        <v>0.43947723326547</v>
      </c>
      <c r="AA330">
        <v>0.54163587073198205</v>
      </c>
      <c r="AB330">
        <v>2.2419007659612501E-2</v>
      </c>
      <c r="AC330">
        <v>3.2017899626995402E-2</v>
      </c>
      <c r="AD330" s="1">
        <v>2.7246768079484298E-5</v>
      </c>
      <c r="AE330">
        <v>3.8899270006327299E-2</v>
      </c>
      <c r="AF330">
        <v>0</v>
      </c>
      <c r="AG330">
        <v>5.3716722334007404E-4</v>
      </c>
      <c r="AH330">
        <v>0.81870095399048703</v>
      </c>
      <c r="AI330">
        <v>0.122599202870865</v>
      </c>
      <c r="AJ330" t="s">
        <v>74</v>
      </c>
      <c r="AK330">
        <v>0</v>
      </c>
      <c r="AL330" t="s">
        <v>77</v>
      </c>
      <c r="AM330">
        <v>0</v>
      </c>
      <c r="AN330">
        <v>0.99199999999999999</v>
      </c>
      <c r="AO330">
        <v>0</v>
      </c>
      <c r="AP330">
        <v>5.8245346242475203E-2</v>
      </c>
      <c r="AQ330">
        <v>0</v>
      </c>
      <c r="AR330">
        <v>1.6E-2</v>
      </c>
      <c r="AS330">
        <v>0</v>
      </c>
      <c r="AT330">
        <v>0</v>
      </c>
      <c r="AU330">
        <v>0</v>
      </c>
      <c r="AV330">
        <v>0</v>
      </c>
      <c r="AW330">
        <v>1</v>
      </c>
      <c r="AX330" t="s">
        <v>74</v>
      </c>
      <c r="AY330">
        <v>0</v>
      </c>
      <c r="AZ330" t="s">
        <v>76</v>
      </c>
      <c r="BA330">
        <v>-1.5707963267949001</v>
      </c>
      <c r="BB330">
        <v>0.99199999999999999</v>
      </c>
      <c r="BC330">
        <v>0</v>
      </c>
      <c r="BD330">
        <v>5.8245346242475203E-2</v>
      </c>
      <c r="BE330">
        <v>0</v>
      </c>
      <c r="BF330">
        <v>1.6E-2</v>
      </c>
      <c r="BG330">
        <v>0</v>
      </c>
      <c r="BH330">
        <v>0</v>
      </c>
      <c r="BI330">
        <v>0</v>
      </c>
      <c r="BJ330">
        <v>0</v>
      </c>
      <c r="BK330">
        <v>1</v>
      </c>
      <c r="BL330" s="1">
        <v>9.8646683245380605E-5</v>
      </c>
      <c r="BM330">
        <v>4.09619060606913E-4</v>
      </c>
      <c r="BN330" s="1">
        <v>3.6409040662218701E-7</v>
      </c>
      <c r="BO330" s="1">
        <v>6.43428115786516E-6</v>
      </c>
      <c r="BP330">
        <v>0</v>
      </c>
      <c r="BQ330">
        <v>0</v>
      </c>
      <c r="BR330" s="1">
        <v>5.3114790825510099E-5</v>
      </c>
      <c r="BS330">
        <v>2.2684026879910799E-4</v>
      </c>
    </row>
    <row r="331" spans="1:71" x14ac:dyDescent="0.25">
      <c r="A331">
        <v>328</v>
      </c>
      <c r="B331">
        <v>1.41285698321869E-4</v>
      </c>
      <c r="C331">
        <v>0.109612760241196</v>
      </c>
      <c r="D331">
        <v>-3.2787075461103199E-4</v>
      </c>
      <c r="E331">
        <v>6.1312499999999995E-4</v>
      </c>
      <c r="F331">
        <v>-1.0961276024119601E-3</v>
      </c>
      <c r="G331" s="1">
        <v>1.0842021724855E-19</v>
      </c>
      <c r="H331" t="s">
        <v>74</v>
      </c>
      <c r="I331">
        <v>0</v>
      </c>
      <c r="J331" t="s">
        <v>75</v>
      </c>
      <c r="K331">
        <v>3.14159265358979</v>
      </c>
      <c r="L331">
        <v>0.44753155118148302</v>
      </c>
      <c r="M331">
        <v>0</v>
      </c>
      <c r="N331">
        <v>2.6276844912295899E-2</v>
      </c>
      <c r="O331">
        <v>0</v>
      </c>
      <c r="P331">
        <v>1.6E-2</v>
      </c>
      <c r="Q331">
        <v>0</v>
      </c>
      <c r="R331">
        <v>0</v>
      </c>
      <c r="S331">
        <v>0</v>
      </c>
      <c r="T331">
        <v>0</v>
      </c>
      <c r="U331">
        <v>0.45114067658694601</v>
      </c>
      <c r="V331" t="s">
        <v>79</v>
      </c>
      <c r="W331">
        <v>2471550.5382418898</v>
      </c>
      <c r="X331" t="s">
        <v>76</v>
      </c>
      <c r="Y331">
        <v>-1.5707963267949001</v>
      </c>
      <c r="Z331">
        <v>0.43777272100994802</v>
      </c>
      <c r="AA331">
        <v>0.54328082915820097</v>
      </c>
      <c r="AB331">
        <v>2.2281069161060499E-2</v>
      </c>
      <c r="AC331">
        <v>3.22211686080087E-2</v>
      </c>
      <c r="AD331" s="1">
        <v>2.36876215706106E-5</v>
      </c>
      <c r="AE331">
        <v>3.9020103152507001E-2</v>
      </c>
      <c r="AF331">
        <v>0</v>
      </c>
      <c r="AG331">
        <v>4.6258318715467601E-4</v>
      </c>
      <c r="AH331">
        <v>0.82106064137856405</v>
      </c>
      <c r="AI331">
        <v>0.120999209033855</v>
      </c>
      <c r="AJ331" t="s">
        <v>74</v>
      </c>
      <c r="AK331">
        <v>0</v>
      </c>
      <c r="AL331" t="s">
        <v>77</v>
      </c>
      <c r="AM331">
        <v>0</v>
      </c>
      <c r="AN331">
        <v>0.99199999999999999</v>
      </c>
      <c r="AO331">
        <v>0</v>
      </c>
      <c r="AP331">
        <v>5.8245346242475203E-2</v>
      </c>
      <c r="AQ331">
        <v>0</v>
      </c>
      <c r="AR331">
        <v>1.6E-2</v>
      </c>
      <c r="AS331">
        <v>0</v>
      </c>
      <c r="AT331">
        <v>0</v>
      </c>
      <c r="AU331">
        <v>0</v>
      </c>
      <c r="AV331">
        <v>0</v>
      </c>
      <c r="AW331">
        <v>1</v>
      </c>
      <c r="AX331" t="s">
        <v>74</v>
      </c>
      <c r="AY331">
        <v>0</v>
      </c>
      <c r="AZ331" t="s">
        <v>76</v>
      </c>
      <c r="BA331">
        <v>-1.5707963267949001</v>
      </c>
      <c r="BB331">
        <v>0.99199999999999999</v>
      </c>
      <c r="BC331">
        <v>0</v>
      </c>
      <c r="BD331">
        <v>5.8245346242475203E-2</v>
      </c>
      <c r="BE331">
        <v>0</v>
      </c>
      <c r="BF331">
        <v>1.6E-2</v>
      </c>
      <c r="BG331">
        <v>0</v>
      </c>
      <c r="BH331">
        <v>0</v>
      </c>
      <c r="BI331">
        <v>0</v>
      </c>
      <c r="BJ331">
        <v>0</v>
      </c>
      <c r="BK331">
        <v>1</v>
      </c>
      <c r="BL331" s="1">
        <v>9.8634887583157706E-5</v>
      </c>
      <c r="BM331">
        <v>4.1076161228285901E-4</v>
      </c>
      <c r="BN331" s="1">
        <v>3.6437418419819598E-7</v>
      </c>
      <c r="BO331" s="1">
        <v>6.4522283176226496E-6</v>
      </c>
      <c r="BP331">
        <v>0</v>
      </c>
      <c r="BQ331">
        <v>0</v>
      </c>
      <c r="BR331" s="1">
        <v>5.3110043156100497E-5</v>
      </c>
      <c r="BS331">
        <v>2.27506456347969E-4</v>
      </c>
    </row>
    <row r="332" spans="1:71" x14ac:dyDescent="0.25">
      <c r="A332">
        <v>329</v>
      </c>
      <c r="B332">
        <v>1.4252133659542601E-4</v>
      </c>
      <c r="C332">
        <v>0.10975528157779101</v>
      </c>
      <c r="D332">
        <v>-3.2862540811359699E-4</v>
      </c>
      <c r="E332">
        <v>6.1312499999999995E-4</v>
      </c>
      <c r="F332">
        <v>-1.09755281577791E-3</v>
      </c>
      <c r="G332">
        <v>0</v>
      </c>
      <c r="H332" t="s">
        <v>74</v>
      </c>
      <c r="I332">
        <v>0</v>
      </c>
      <c r="J332" t="s">
        <v>75</v>
      </c>
      <c r="K332">
        <v>3.14159265358979</v>
      </c>
      <c r="L332">
        <v>0.44601144273744298</v>
      </c>
      <c r="M332">
        <v>0</v>
      </c>
      <c r="N332">
        <v>2.61875916434962E-2</v>
      </c>
      <c r="O332">
        <v>0</v>
      </c>
      <c r="P332">
        <v>1.6E-2</v>
      </c>
      <c r="Q332">
        <v>0</v>
      </c>
      <c r="R332">
        <v>0</v>
      </c>
      <c r="S332">
        <v>0</v>
      </c>
      <c r="T332">
        <v>0</v>
      </c>
      <c r="U332">
        <v>0.44960830920392802</v>
      </c>
      <c r="V332" t="s">
        <v>79</v>
      </c>
      <c r="W332">
        <v>2478062.83166525</v>
      </c>
      <c r="X332" t="s">
        <v>76</v>
      </c>
      <c r="Y332">
        <v>-1.5707963267949001</v>
      </c>
      <c r="Z332">
        <v>0.43605921716344198</v>
      </c>
      <c r="AA332">
        <v>0.54493255711357302</v>
      </c>
      <c r="AB332">
        <v>2.2142576841798801E-2</v>
      </c>
      <c r="AC332">
        <v>3.2427351899852498E-2</v>
      </c>
      <c r="AD332" s="1">
        <v>2.0573478169093701E-5</v>
      </c>
      <c r="AE332">
        <v>3.91420381434655E-2</v>
      </c>
      <c r="AF332">
        <v>0</v>
      </c>
      <c r="AG332">
        <v>3.9790415021188002E-4</v>
      </c>
      <c r="AH332">
        <v>0.82341894164066298</v>
      </c>
      <c r="AI332">
        <v>0.119401005104216</v>
      </c>
      <c r="AJ332" t="s">
        <v>74</v>
      </c>
      <c r="AK332">
        <v>0</v>
      </c>
      <c r="AL332" t="s">
        <v>77</v>
      </c>
      <c r="AM332">
        <v>0</v>
      </c>
      <c r="AN332">
        <v>0.99199999999999999</v>
      </c>
      <c r="AO332">
        <v>0</v>
      </c>
      <c r="AP332">
        <v>5.8245346242475203E-2</v>
      </c>
      <c r="AQ332">
        <v>0</v>
      </c>
      <c r="AR332">
        <v>1.6E-2</v>
      </c>
      <c r="AS332">
        <v>0</v>
      </c>
      <c r="AT332">
        <v>0</v>
      </c>
      <c r="AU332">
        <v>0</v>
      </c>
      <c r="AV332">
        <v>0</v>
      </c>
      <c r="AW332">
        <v>1</v>
      </c>
      <c r="AX332" t="s">
        <v>74</v>
      </c>
      <c r="AY332">
        <v>0</v>
      </c>
      <c r="AZ332" t="s">
        <v>76</v>
      </c>
      <c r="BA332">
        <v>-1.5707963267949001</v>
      </c>
      <c r="BB332">
        <v>0.99199999999999999</v>
      </c>
      <c r="BC332">
        <v>0</v>
      </c>
      <c r="BD332">
        <v>5.8245346242475203E-2</v>
      </c>
      <c r="BE332">
        <v>0</v>
      </c>
      <c r="BF332">
        <v>1.6E-2</v>
      </c>
      <c r="BG332">
        <v>0</v>
      </c>
      <c r="BH332">
        <v>0</v>
      </c>
      <c r="BI332">
        <v>0</v>
      </c>
      <c r="BJ332">
        <v>0</v>
      </c>
      <c r="BK332">
        <v>1</v>
      </c>
      <c r="BL332" s="1">
        <v>9.8624106435049003E-5</v>
      </c>
      <c r="BM332">
        <v>4.1190842289543699E-4</v>
      </c>
      <c r="BN332" s="1">
        <v>3.6467134758406602E-7</v>
      </c>
      <c r="BO332" s="1">
        <v>6.4702423766003201E-6</v>
      </c>
      <c r="BP332">
        <v>0</v>
      </c>
      <c r="BQ332">
        <v>0</v>
      </c>
      <c r="BR332" s="1">
        <v>5.3105881661351301E-5</v>
      </c>
      <c r="BS332">
        <v>2.2817547611411401E-4</v>
      </c>
    </row>
    <row r="333" spans="1:71" x14ac:dyDescent="0.25">
      <c r="A333">
        <v>330</v>
      </c>
      <c r="B333">
        <v>1.43802688392673E-4</v>
      </c>
      <c r="C333">
        <v>0.109899084266184</v>
      </c>
      <c r="D333">
        <v>-3.2938630379511502E-4</v>
      </c>
      <c r="E333">
        <v>6.1312499999999995E-4</v>
      </c>
      <c r="F333">
        <v>-1.09899084266184E-3</v>
      </c>
      <c r="G333">
        <v>0</v>
      </c>
      <c r="H333" t="s">
        <v>74</v>
      </c>
      <c r="I333">
        <v>0</v>
      </c>
      <c r="J333" t="s">
        <v>75</v>
      </c>
      <c r="K333">
        <v>3.14159265358979</v>
      </c>
      <c r="L333">
        <v>0.444486516623464</v>
      </c>
      <c r="M333">
        <v>0</v>
      </c>
      <c r="N333">
        <v>2.60980555048844E-2</v>
      </c>
      <c r="O333">
        <v>0</v>
      </c>
      <c r="P333">
        <v>1.6E-2</v>
      </c>
      <c r="Q333">
        <v>0</v>
      </c>
      <c r="R333">
        <v>0</v>
      </c>
      <c r="S333">
        <v>0</v>
      </c>
      <c r="T333">
        <v>0</v>
      </c>
      <c r="U333">
        <v>0.44807108529881101</v>
      </c>
      <c r="V333" t="s">
        <v>79</v>
      </c>
      <c r="W333">
        <v>2484628.9920630599</v>
      </c>
      <c r="X333" t="s">
        <v>76</v>
      </c>
      <c r="Y333">
        <v>-1.5707963267949001</v>
      </c>
      <c r="Z333">
        <v>0.43433740585869202</v>
      </c>
      <c r="AA333">
        <v>0.54659351679928703</v>
      </c>
      <c r="AB333">
        <v>2.20035630571246E-2</v>
      </c>
      <c r="AC333">
        <v>3.26366085633506E-2</v>
      </c>
      <c r="AD333" s="1">
        <v>1.7851204189899298E-5</v>
      </c>
      <c r="AE333">
        <v>3.9265104069828097E-2</v>
      </c>
      <c r="AF333">
        <v>0</v>
      </c>
      <c r="AG333">
        <v>3.4187988437800498E-4</v>
      </c>
      <c r="AH333">
        <v>0.82577585629068395</v>
      </c>
      <c r="AI333">
        <v>0.117805581748437</v>
      </c>
      <c r="AJ333" t="s">
        <v>74</v>
      </c>
      <c r="AK333">
        <v>0</v>
      </c>
      <c r="AL333" t="s">
        <v>77</v>
      </c>
      <c r="AM333">
        <v>0</v>
      </c>
      <c r="AN333">
        <v>0.99199999999999999</v>
      </c>
      <c r="AO333">
        <v>0</v>
      </c>
      <c r="AP333">
        <v>5.8245346242475203E-2</v>
      </c>
      <c r="AQ333">
        <v>0</v>
      </c>
      <c r="AR333">
        <v>1.6E-2</v>
      </c>
      <c r="AS333">
        <v>0</v>
      </c>
      <c r="AT333">
        <v>0</v>
      </c>
      <c r="AU333">
        <v>0</v>
      </c>
      <c r="AV333">
        <v>0</v>
      </c>
      <c r="AW333">
        <v>1</v>
      </c>
      <c r="AX333" t="s">
        <v>74</v>
      </c>
      <c r="AY333">
        <v>0</v>
      </c>
      <c r="AZ333" t="s">
        <v>76</v>
      </c>
      <c r="BA333">
        <v>-1.5707963267949001</v>
      </c>
      <c r="BB333">
        <v>0.99199999999999999</v>
      </c>
      <c r="BC333">
        <v>0</v>
      </c>
      <c r="BD333">
        <v>5.8245346242475203E-2</v>
      </c>
      <c r="BE333">
        <v>0</v>
      </c>
      <c r="BF333">
        <v>1.6E-2</v>
      </c>
      <c r="BG333">
        <v>0</v>
      </c>
      <c r="BH333">
        <v>0</v>
      </c>
      <c r="BI333">
        <v>0</v>
      </c>
      <c r="BJ333">
        <v>0</v>
      </c>
      <c r="BK333">
        <v>1</v>
      </c>
      <c r="BL333" s="1">
        <v>9.8614459805154998E-5</v>
      </c>
      <c r="BM333">
        <v>4.1305886808753101E-4</v>
      </c>
      <c r="BN333" s="1">
        <v>3.6498258726215701E-7</v>
      </c>
      <c r="BO333" s="1">
        <v>6.48831352741952E-6</v>
      </c>
      <c r="BP333">
        <v>0</v>
      </c>
      <c r="BQ333">
        <v>0</v>
      </c>
      <c r="BR333" s="1">
        <v>5.3102377056565997E-5</v>
      </c>
      <c r="BS333">
        <v>2.28846996339859E-4</v>
      </c>
    </row>
    <row r="334" spans="1:71" x14ac:dyDescent="0.25">
      <c r="A334">
        <v>331</v>
      </c>
      <c r="B334">
        <v>1.4512822977382601E-4</v>
      </c>
      <c r="C334">
        <v>0.110044212495958</v>
      </c>
      <c r="D334">
        <v>-3.3015366110754601E-4</v>
      </c>
      <c r="E334">
        <v>6.1312499999999995E-4</v>
      </c>
      <c r="F334">
        <v>-1.1004421249595801E-3</v>
      </c>
      <c r="G334" s="1">
        <v>1.0842021724855E-19</v>
      </c>
      <c r="H334" t="s">
        <v>74</v>
      </c>
      <c r="I334">
        <v>0</v>
      </c>
      <c r="J334" t="s">
        <v>75</v>
      </c>
      <c r="K334">
        <v>3.14159265358979</v>
      </c>
      <c r="L334">
        <v>0.44295750381771098</v>
      </c>
      <c r="M334">
        <v>0</v>
      </c>
      <c r="N334">
        <v>2.6008279415892298E-2</v>
      </c>
      <c r="O334">
        <v>0</v>
      </c>
      <c r="P334">
        <v>1.6E-2</v>
      </c>
      <c r="Q334">
        <v>0</v>
      </c>
      <c r="R334">
        <v>0</v>
      </c>
      <c r="S334">
        <v>0</v>
      </c>
      <c r="T334">
        <v>0</v>
      </c>
      <c r="U334">
        <v>0.44652974174474103</v>
      </c>
      <c r="V334" t="s">
        <v>79</v>
      </c>
      <c r="W334">
        <v>2491250.9131992101</v>
      </c>
      <c r="X334" t="s">
        <v>76</v>
      </c>
      <c r="Y334">
        <v>-1.5707963267949001</v>
      </c>
      <c r="Z334">
        <v>0.43260787395377298</v>
      </c>
      <c r="AA334">
        <v>0.54826109480760898</v>
      </c>
      <c r="AB334">
        <v>2.1864059379998298E-2</v>
      </c>
      <c r="AC334">
        <v>3.2848942342495899E-2</v>
      </c>
      <c r="AD334" s="1">
        <v>1.5473709872685999E-5</v>
      </c>
      <c r="AE334">
        <v>3.9389329400795099E-2</v>
      </c>
      <c r="AF334">
        <v>0</v>
      </c>
      <c r="AG334">
        <v>2.9340841889734801E-4</v>
      </c>
      <c r="AH334">
        <v>0.82813138436028999</v>
      </c>
      <c r="AI334">
        <v>0.11621381451358299</v>
      </c>
      <c r="AJ334" t="s">
        <v>74</v>
      </c>
      <c r="AK334">
        <v>0</v>
      </c>
      <c r="AL334" t="s">
        <v>77</v>
      </c>
      <c r="AM334">
        <v>0</v>
      </c>
      <c r="AN334">
        <v>0.99199999999999999</v>
      </c>
      <c r="AO334">
        <v>0</v>
      </c>
      <c r="AP334">
        <v>5.8245346242475203E-2</v>
      </c>
      <c r="AQ334">
        <v>0</v>
      </c>
      <c r="AR334">
        <v>1.6E-2</v>
      </c>
      <c r="AS334">
        <v>0</v>
      </c>
      <c r="AT334">
        <v>0</v>
      </c>
      <c r="AU334">
        <v>0</v>
      </c>
      <c r="AV334">
        <v>0</v>
      </c>
      <c r="AW334">
        <v>1</v>
      </c>
      <c r="AX334" t="s">
        <v>74</v>
      </c>
      <c r="AY334">
        <v>0</v>
      </c>
      <c r="AZ334" t="s">
        <v>76</v>
      </c>
      <c r="BA334">
        <v>-1.5707963267949001</v>
      </c>
      <c r="BB334">
        <v>0.99199999999999999</v>
      </c>
      <c r="BC334">
        <v>0</v>
      </c>
      <c r="BD334">
        <v>5.8245346242475203E-2</v>
      </c>
      <c r="BE334">
        <v>0</v>
      </c>
      <c r="BF334">
        <v>1.6E-2</v>
      </c>
      <c r="BG334">
        <v>0</v>
      </c>
      <c r="BH334">
        <v>0</v>
      </c>
      <c r="BI334">
        <v>0</v>
      </c>
      <c r="BJ334">
        <v>0</v>
      </c>
      <c r="BK334">
        <v>1</v>
      </c>
      <c r="BL334" s="1">
        <v>9.8605986811668399E-5</v>
      </c>
      <c r="BM334">
        <v>4.1421239638959401E-4</v>
      </c>
      <c r="BN334" s="1">
        <v>3.6530845042727902E-7</v>
      </c>
      <c r="BO334" s="1">
        <v>6.5064331076168602E-6</v>
      </c>
      <c r="BP334">
        <v>0</v>
      </c>
      <c r="BQ334">
        <v>0</v>
      </c>
      <c r="BR334" s="1">
        <v>5.3099554953427898E-5</v>
      </c>
      <c r="BS334">
        <v>2.2952072521013E-4</v>
      </c>
    </row>
    <row r="335" spans="1:71" x14ac:dyDescent="0.25">
      <c r="A335">
        <v>332</v>
      </c>
      <c r="B335">
        <v>1.46496691552361E-4</v>
      </c>
      <c r="C335">
        <v>0.11019070918751001</v>
      </c>
      <c r="D335">
        <v>-3.3092769200774799E-4</v>
      </c>
      <c r="E335">
        <v>6.1312499999999995E-4</v>
      </c>
      <c r="F335">
        <v>-1.1019070918751E-3</v>
      </c>
      <c r="G335">
        <v>0</v>
      </c>
      <c r="H335" t="s">
        <v>74</v>
      </c>
      <c r="I335">
        <v>0</v>
      </c>
      <c r="J335" t="s">
        <v>75</v>
      </c>
      <c r="K335">
        <v>3.14159265358979</v>
      </c>
      <c r="L335">
        <v>0.44142504924058001</v>
      </c>
      <c r="M335">
        <v>0</v>
      </c>
      <c r="N335">
        <v>2.5918301243063699E-2</v>
      </c>
      <c r="O335">
        <v>0</v>
      </c>
      <c r="P335">
        <v>1.6E-2</v>
      </c>
      <c r="Q335">
        <v>0</v>
      </c>
      <c r="R335">
        <v>0</v>
      </c>
      <c r="S335">
        <v>0</v>
      </c>
      <c r="T335">
        <v>0</v>
      </c>
      <c r="U335">
        <v>0.44498492866308198</v>
      </c>
      <c r="V335" t="s">
        <v>79</v>
      </c>
      <c r="W335">
        <v>2497930.4241585201</v>
      </c>
      <c r="X335" t="s">
        <v>76</v>
      </c>
      <c r="Y335">
        <v>-1.5707963267949001</v>
      </c>
      <c r="Z335">
        <v>0.43087112109426601</v>
      </c>
      <c r="AA335">
        <v>0.549935106623472</v>
      </c>
      <c r="AB335">
        <v>2.1724096993408999E-2</v>
      </c>
      <c r="AC335">
        <v>3.3064437478837097E-2</v>
      </c>
      <c r="AD335" s="1">
        <v>1.3399295859941299E-5</v>
      </c>
      <c r="AE335">
        <v>3.95147421085148E-2</v>
      </c>
      <c r="AF335">
        <v>0</v>
      </c>
      <c r="AG335">
        <v>2.5151992330729901E-4</v>
      </c>
      <c r="AH335">
        <v>0.83048552258942698</v>
      </c>
      <c r="AI335">
        <v>0.114626476862052</v>
      </c>
      <c r="AJ335" t="s">
        <v>74</v>
      </c>
      <c r="AK335">
        <v>0</v>
      </c>
      <c r="AL335" t="s">
        <v>77</v>
      </c>
      <c r="AM335">
        <v>0</v>
      </c>
      <c r="AN335">
        <v>0.99199999999999999</v>
      </c>
      <c r="AO335">
        <v>0</v>
      </c>
      <c r="AP335">
        <v>5.8245346242475203E-2</v>
      </c>
      <c r="AQ335">
        <v>0</v>
      </c>
      <c r="AR335">
        <v>1.6E-2</v>
      </c>
      <c r="AS335">
        <v>0</v>
      </c>
      <c r="AT335">
        <v>0</v>
      </c>
      <c r="AU335">
        <v>0</v>
      </c>
      <c r="AV335">
        <v>0</v>
      </c>
      <c r="AW335">
        <v>1</v>
      </c>
      <c r="AX335" t="s">
        <v>74</v>
      </c>
      <c r="AY335">
        <v>0</v>
      </c>
      <c r="AZ335" t="s">
        <v>76</v>
      </c>
      <c r="BA335">
        <v>-1.5707963267949001</v>
      </c>
      <c r="BB335">
        <v>0.99199999999999999</v>
      </c>
      <c r="BC335">
        <v>0</v>
      </c>
      <c r="BD335">
        <v>5.8245346242475203E-2</v>
      </c>
      <c r="BE335">
        <v>0</v>
      </c>
      <c r="BF335">
        <v>1.6E-2</v>
      </c>
      <c r="BG335">
        <v>0</v>
      </c>
      <c r="BH335">
        <v>0</v>
      </c>
      <c r="BI335">
        <v>0</v>
      </c>
      <c r="BJ335">
        <v>0</v>
      </c>
      <c r="BK335">
        <v>1</v>
      </c>
      <c r="BL335" s="1">
        <v>9.8598764100130099E-5</v>
      </c>
      <c r="BM335">
        <v>4.1536852125636701E-4</v>
      </c>
      <c r="BN335" s="1">
        <v>3.6564957913028098E-7</v>
      </c>
      <c r="BO335" s="1">
        <v>6.5245934745573003E-6</v>
      </c>
      <c r="BP335">
        <v>0</v>
      </c>
      <c r="BQ335">
        <v>0</v>
      </c>
      <c r="BR335" s="1">
        <v>5.3097461490111503E-5</v>
      </c>
      <c r="BS335">
        <v>2.30196406522183E-4</v>
      </c>
    </row>
    <row r="336" spans="1:71" x14ac:dyDescent="0.25">
      <c r="A336">
        <v>333</v>
      </c>
      <c r="B336">
        <v>1.4790703583599801E-4</v>
      </c>
      <c r="C336">
        <v>0.11033861622334599</v>
      </c>
      <c r="D336">
        <v>-3.3170860218936901E-4</v>
      </c>
      <c r="E336">
        <v>6.1312499999999995E-4</v>
      </c>
      <c r="F336">
        <v>-1.10338616223346E-3</v>
      </c>
      <c r="G336" s="1">
        <v>1.0842021724855E-19</v>
      </c>
      <c r="H336" t="s">
        <v>74</v>
      </c>
      <c r="I336">
        <v>0</v>
      </c>
      <c r="J336" t="s">
        <v>75</v>
      </c>
      <c r="K336">
        <v>3.14159265358979</v>
      </c>
      <c r="L336">
        <v>0.43988972131893</v>
      </c>
      <c r="M336">
        <v>0</v>
      </c>
      <c r="N336">
        <v>2.582815436162E-2</v>
      </c>
      <c r="O336">
        <v>0</v>
      </c>
      <c r="P336">
        <v>1.6E-2</v>
      </c>
      <c r="Q336">
        <v>0</v>
      </c>
      <c r="R336">
        <v>0</v>
      </c>
      <c r="S336">
        <v>0</v>
      </c>
      <c r="T336">
        <v>0</v>
      </c>
      <c r="U336">
        <v>0.44343721906478201</v>
      </c>
      <c r="V336" t="s">
        <v>79</v>
      </c>
      <c r="W336">
        <v>2504669.29997731</v>
      </c>
      <c r="X336" t="s">
        <v>76</v>
      </c>
      <c r="Y336">
        <v>-1.5707963267949001</v>
      </c>
      <c r="Z336">
        <v>0.42912756879876601</v>
      </c>
      <c r="AA336">
        <v>0.55161612138702298</v>
      </c>
      <c r="AB336">
        <v>2.15837068555947E-2</v>
      </c>
      <c r="AC336">
        <v>3.3283206133842599E-2</v>
      </c>
      <c r="AD336" s="1">
        <v>1.1591066839809899E-5</v>
      </c>
      <c r="AE336">
        <v>3.9641369781926103E-2</v>
      </c>
      <c r="AF336">
        <v>0</v>
      </c>
      <c r="AG336">
        <v>2.1536209898890299E-4</v>
      </c>
      <c r="AH336">
        <v>0.83283826560375296</v>
      </c>
      <c r="AI336">
        <v>0.113044251926973</v>
      </c>
      <c r="AJ336" t="s">
        <v>74</v>
      </c>
      <c r="AK336">
        <v>0</v>
      </c>
      <c r="AL336" t="s">
        <v>77</v>
      </c>
      <c r="AM336">
        <v>0</v>
      </c>
      <c r="AN336">
        <v>0.99199999999999999</v>
      </c>
      <c r="AO336">
        <v>0</v>
      </c>
      <c r="AP336">
        <v>5.8245346242475203E-2</v>
      </c>
      <c r="AQ336">
        <v>0</v>
      </c>
      <c r="AR336">
        <v>1.6E-2</v>
      </c>
      <c r="AS336">
        <v>0</v>
      </c>
      <c r="AT336">
        <v>0</v>
      </c>
      <c r="AU336">
        <v>0</v>
      </c>
      <c r="AV336">
        <v>0</v>
      </c>
      <c r="AW336">
        <v>1</v>
      </c>
      <c r="AX336" t="s">
        <v>74</v>
      </c>
      <c r="AY336">
        <v>0</v>
      </c>
      <c r="AZ336" t="s">
        <v>76</v>
      </c>
      <c r="BA336">
        <v>-1.5707963267949001</v>
      </c>
      <c r="BB336">
        <v>0.99199999999999999</v>
      </c>
      <c r="BC336">
        <v>0</v>
      </c>
      <c r="BD336">
        <v>5.8245346242475203E-2</v>
      </c>
      <c r="BE336">
        <v>0</v>
      </c>
      <c r="BF336">
        <v>1.6E-2</v>
      </c>
      <c r="BG336">
        <v>0</v>
      </c>
      <c r="BH336">
        <v>0</v>
      </c>
      <c r="BI336">
        <v>0</v>
      </c>
      <c r="BJ336">
        <v>0</v>
      </c>
      <c r="BK336">
        <v>1</v>
      </c>
      <c r="BL336" s="1">
        <v>9.8592879918003797E-5</v>
      </c>
      <c r="BM336">
        <v>4.1652681385137102E-4</v>
      </c>
      <c r="BN336" s="1">
        <v>3.6600665909047602E-7</v>
      </c>
      <c r="BO336" s="1">
        <v>6.5427878920931499E-6</v>
      </c>
      <c r="BP336">
        <v>0</v>
      </c>
      <c r="BQ336">
        <v>0</v>
      </c>
      <c r="BR336" s="1">
        <v>5.3096149012903499E-5</v>
      </c>
      <c r="BS336">
        <v>2.30873815761565E-4</v>
      </c>
    </row>
    <row r="337" spans="1:71" x14ac:dyDescent="0.25">
      <c r="A337">
        <v>334</v>
      </c>
      <c r="B337">
        <v>1.49358435046846E-4</v>
      </c>
      <c r="C337">
        <v>0.110487974658393</v>
      </c>
      <c r="D337">
        <v>-3.3249659219882399E-4</v>
      </c>
      <c r="E337">
        <v>6.1312499999999995E-4</v>
      </c>
      <c r="F337">
        <v>-1.1048797465839299E-3</v>
      </c>
      <c r="G337">
        <v>0</v>
      </c>
      <c r="H337" t="s">
        <v>74</v>
      </c>
      <c r="I337">
        <v>0</v>
      </c>
      <c r="J337" t="s">
        <v>75</v>
      </c>
      <c r="K337">
        <v>3.14159265358979</v>
      </c>
      <c r="L337">
        <v>0.43835202062303302</v>
      </c>
      <c r="M337">
        <v>0</v>
      </c>
      <c r="N337">
        <v>2.5737868162577799E-2</v>
      </c>
      <c r="O337">
        <v>0</v>
      </c>
      <c r="P337">
        <v>1.6E-2</v>
      </c>
      <c r="Q337">
        <v>0</v>
      </c>
      <c r="R337">
        <v>0</v>
      </c>
      <c r="S337">
        <v>0</v>
      </c>
      <c r="T337">
        <v>0</v>
      </c>
      <c r="U337">
        <v>0.44188711755696403</v>
      </c>
      <c r="V337" t="s">
        <v>79</v>
      </c>
      <c r="W337">
        <v>2511469.27127381</v>
      </c>
      <c r="X337" t="s">
        <v>76</v>
      </c>
      <c r="Y337">
        <v>-1.5707963267949001</v>
      </c>
      <c r="Z337">
        <v>0.427377568629767</v>
      </c>
      <c r="AA337">
        <v>0.5533033286222</v>
      </c>
      <c r="AB337">
        <v>2.14429196270026E-2</v>
      </c>
      <c r="AC337">
        <v>3.3505321461378898E-2</v>
      </c>
      <c r="AD337" s="1">
        <v>1.0016405724769199E-5</v>
      </c>
      <c r="AE337">
        <v>3.9769239731079598E-2</v>
      </c>
      <c r="AF337">
        <v>0</v>
      </c>
      <c r="AG337">
        <v>1.8418698332878101E-4</v>
      </c>
      <c r="AH337">
        <v>0.83518960607858395</v>
      </c>
      <c r="AI337">
        <v>0.111467743077582</v>
      </c>
      <c r="AJ337" t="s">
        <v>74</v>
      </c>
      <c r="AK337">
        <v>0</v>
      </c>
      <c r="AL337" t="s">
        <v>77</v>
      </c>
      <c r="AM337">
        <v>0</v>
      </c>
      <c r="AN337">
        <v>0.99199999999999999</v>
      </c>
      <c r="AO337">
        <v>0</v>
      </c>
      <c r="AP337">
        <v>5.8245346242475203E-2</v>
      </c>
      <c r="AQ337">
        <v>0</v>
      </c>
      <c r="AR337">
        <v>1.6E-2</v>
      </c>
      <c r="AS337">
        <v>0</v>
      </c>
      <c r="AT337">
        <v>0</v>
      </c>
      <c r="AU337">
        <v>0</v>
      </c>
      <c r="AV337">
        <v>0</v>
      </c>
      <c r="AW337">
        <v>1</v>
      </c>
      <c r="AX337" t="s">
        <v>74</v>
      </c>
      <c r="AY337">
        <v>0</v>
      </c>
      <c r="AZ337" t="s">
        <v>76</v>
      </c>
      <c r="BA337">
        <v>-1.5707963267949001</v>
      </c>
      <c r="BB337">
        <v>0.99199999999999999</v>
      </c>
      <c r="BC337">
        <v>0</v>
      </c>
      <c r="BD337">
        <v>5.8245346242475203E-2</v>
      </c>
      <c r="BE337">
        <v>0</v>
      </c>
      <c r="BF337">
        <v>1.6E-2</v>
      </c>
      <c r="BG337">
        <v>0</v>
      </c>
      <c r="BH337">
        <v>0</v>
      </c>
      <c r="BI337">
        <v>0</v>
      </c>
      <c r="BJ337">
        <v>0</v>
      </c>
      <c r="BK337">
        <v>1</v>
      </c>
      <c r="BL337" s="1">
        <v>9.8588400867954905E-5</v>
      </c>
      <c r="BM337">
        <v>4.1768689653095599E-4</v>
      </c>
      <c r="BN337" s="1">
        <v>3.6638035321163397E-7</v>
      </c>
      <c r="BO337" s="1">
        <v>6.5610104282118697E-6</v>
      </c>
      <c r="BP337">
        <v>0</v>
      </c>
      <c r="BQ337">
        <v>0</v>
      </c>
      <c r="BR337" s="1">
        <v>5.3095657682885202E-5</v>
      </c>
      <c r="BS337">
        <v>2.3155275655849499E-4</v>
      </c>
    </row>
    <row r="338" spans="1:71" x14ac:dyDescent="0.25">
      <c r="A338">
        <v>335</v>
      </c>
      <c r="B338">
        <v>1.5085025316946701E-4</v>
      </c>
      <c r="C338">
        <v>0.110638824911563</v>
      </c>
      <c r="D338">
        <v>-3.3329185844759002E-4</v>
      </c>
      <c r="E338">
        <v>6.1312499999999995E-4</v>
      </c>
      <c r="F338">
        <v>-1.1063882491156201E-3</v>
      </c>
      <c r="G338" s="1">
        <v>1.0842021724855E-19</v>
      </c>
      <c r="H338" t="s">
        <v>74</v>
      </c>
      <c r="I338">
        <v>0</v>
      </c>
      <c r="J338" t="s">
        <v>75</v>
      </c>
      <c r="K338">
        <v>3.14159265358979</v>
      </c>
      <c r="L338">
        <v>0.43681238764228397</v>
      </c>
      <c r="M338">
        <v>0</v>
      </c>
      <c r="N338">
        <v>2.56474685093015E-2</v>
      </c>
      <c r="O338">
        <v>0</v>
      </c>
      <c r="P338">
        <v>1.6E-2</v>
      </c>
      <c r="Q338">
        <v>0</v>
      </c>
      <c r="R338">
        <v>0</v>
      </c>
      <c r="S338">
        <v>0</v>
      </c>
      <c r="T338">
        <v>0</v>
      </c>
      <c r="U338">
        <v>0.44033506818135798</v>
      </c>
      <c r="V338" t="s">
        <v>79</v>
      </c>
      <c r="W338">
        <v>2518332.0329837198</v>
      </c>
      <c r="X338" t="s">
        <v>76</v>
      </c>
      <c r="Y338">
        <v>-1.5707963267949001</v>
      </c>
      <c r="Z338">
        <v>0.42562140951407901</v>
      </c>
      <c r="AA338">
        <v>0.55499452784049097</v>
      </c>
      <c r="AB338">
        <v>2.1301765356300802E-2</v>
      </c>
      <c r="AC338">
        <v>3.3730817369937903E-2</v>
      </c>
      <c r="AD338" s="1">
        <v>8.64650239974952E-6</v>
      </c>
      <c r="AE338">
        <v>3.9898379082860501E-2</v>
      </c>
      <c r="AF338">
        <v>0</v>
      </c>
      <c r="AG338">
        <v>1.5733906684061401E-4</v>
      </c>
      <c r="AH338">
        <v>0.83753953488936095</v>
      </c>
      <c r="AI338">
        <v>0.10989748338552401</v>
      </c>
      <c r="AJ338" t="s">
        <v>74</v>
      </c>
      <c r="AK338">
        <v>0</v>
      </c>
      <c r="AL338" t="s">
        <v>77</v>
      </c>
      <c r="AM338">
        <v>0</v>
      </c>
      <c r="AN338">
        <v>0.99199999999999999</v>
      </c>
      <c r="AO338">
        <v>0</v>
      </c>
      <c r="AP338">
        <v>5.8245346242475203E-2</v>
      </c>
      <c r="AQ338">
        <v>0</v>
      </c>
      <c r="AR338">
        <v>1.6E-2</v>
      </c>
      <c r="AS338">
        <v>0</v>
      </c>
      <c r="AT338">
        <v>0</v>
      </c>
      <c r="AU338">
        <v>0</v>
      </c>
      <c r="AV338">
        <v>0</v>
      </c>
      <c r="AW338">
        <v>1</v>
      </c>
      <c r="AX338" t="s">
        <v>74</v>
      </c>
      <c r="AY338">
        <v>0</v>
      </c>
      <c r="AZ338" t="s">
        <v>76</v>
      </c>
      <c r="BA338">
        <v>-1.5707963267949001</v>
      </c>
      <c r="BB338">
        <v>0.99199999999999999</v>
      </c>
      <c r="BC338">
        <v>0</v>
      </c>
      <c r="BD338">
        <v>5.8245346242475203E-2</v>
      </c>
      <c r="BE338">
        <v>0</v>
      </c>
      <c r="BF338">
        <v>1.6E-2</v>
      </c>
      <c r="BG338">
        <v>0</v>
      </c>
      <c r="BH338">
        <v>0</v>
      </c>
      <c r="BI338">
        <v>0</v>
      </c>
      <c r="BJ338">
        <v>0</v>
      </c>
      <c r="BK338">
        <v>1</v>
      </c>
      <c r="BL338" s="1">
        <v>9.8585371860245306E-5</v>
      </c>
      <c r="BM338">
        <v>4.1884843697810099E-4</v>
      </c>
      <c r="BN338" s="1">
        <v>3.6677130079327102E-7</v>
      </c>
      <c r="BO338" s="1">
        <v>6.5792558628898403E-6</v>
      </c>
      <c r="BP338">
        <v>0</v>
      </c>
      <c r="BQ338">
        <v>0</v>
      </c>
      <c r="BR338" s="1">
        <v>5.3096015469849198E-5</v>
      </c>
      <c r="BS338">
        <v>2.3223305749783699E-4</v>
      </c>
    </row>
    <row r="339" spans="1:71" x14ac:dyDescent="0.25">
      <c r="A339">
        <v>336</v>
      </c>
      <c r="B339">
        <v>1.5238202900500099E-4</v>
      </c>
      <c r="C339">
        <v>0.110791206940568</v>
      </c>
      <c r="D339">
        <v>-3.3409459413176598E-4</v>
      </c>
      <c r="E339">
        <v>6.1312499999999995E-4</v>
      </c>
      <c r="F339">
        <v>-1.10791206940567E-3</v>
      </c>
      <c r="G339" s="1">
        <v>1.0842021724855E-19</v>
      </c>
      <c r="H339" t="s">
        <v>74</v>
      </c>
      <c r="I339">
        <v>0</v>
      </c>
      <c r="J339" t="s">
        <v>75</v>
      </c>
      <c r="K339">
        <v>3.14159265358979</v>
      </c>
      <c r="L339">
        <v>0.43527120976606798</v>
      </c>
      <c r="M339">
        <v>0</v>
      </c>
      <c r="N339">
        <v>2.55569781473848E-2</v>
      </c>
      <c r="O339">
        <v>0</v>
      </c>
      <c r="P339">
        <v>1.6E-2</v>
      </c>
      <c r="Q339">
        <v>0</v>
      </c>
      <c r="R339">
        <v>0</v>
      </c>
      <c r="S339">
        <v>0</v>
      </c>
      <c r="T339">
        <v>0</v>
      </c>
      <c r="U339">
        <v>0.43878146145145602</v>
      </c>
      <c r="V339" t="s">
        <v>79</v>
      </c>
      <c r="W339">
        <v>2525259.25229561</v>
      </c>
      <c r="X339" t="s">
        <v>76</v>
      </c>
      <c r="Y339">
        <v>-1.5707963267949001</v>
      </c>
      <c r="Z339">
        <v>0.42385932427721901</v>
      </c>
      <c r="AA339">
        <v>0.55669272427576399</v>
      </c>
      <c r="AB339">
        <v>2.11602729345007E-2</v>
      </c>
      <c r="AC339">
        <v>3.3959895858402499E-2</v>
      </c>
      <c r="AD339" s="1">
        <v>7.4559316562048699E-6</v>
      </c>
      <c r="AE339">
        <v>4.00288148689689E-2</v>
      </c>
      <c r="AF339">
        <v>0</v>
      </c>
      <c r="AG339">
        <v>1.3424462283756299E-4</v>
      </c>
      <c r="AH339">
        <v>0.83988804124886596</v>
      </c>
      <c r="AI339">
        <v>0.10833394408229299</v>
      </c>
      <c r="AJ339" t="s">
        <v>74</v>
      </c>
      <c r="AK339">
        <v>0</v>
      </c>
      <c r="AL339" t="s">
        <v>77</v>
      </c>
      <c r="AM339">
        <v>0</v>
      </c>
      <c r="AN339">
        <v>0.99199999999999999</v>
      </c>
      <c r="AO339">
        <v>0</v>
      </c>
      <c r="AP339">
        <v>5.8245346242475203E-2</v>
      </c>
      <c r="AQ339">
        <v>0</v>
      </c>
      <c r="AR339">
        <v>1.6E-2</v>
      </c>
      <c r="AS339">
        <v>0</v>
      </c>
      <c r="AT339">
        <v>0</v>
      </c>
      <c r="AU339">
        <v>0</v>
      </c>
      <c r="AV339">
        <v>0</v>
      </c>
      <c r="AW339">
        <v>1</v>
      </c>
      <c r="AX339" t="s">
        <v>74</v>
      </c>
      <c r="AY339">
        <v>0</v>
      </c>
      <c r="AZ339" t="s">
        <v>76</v>
      </c>
      <c r="BA339">
        <v>-1.5707963267949001</v>
      </c>
      <c r="BB339">
        <v>0.99199999999999999</v>
      </c>
      <c r="BC339">
        <v>0</v>
      </c>
      <c r="BD339">
        <v>5.8245346242475203E-2</v>
      </c>
      <c r="BE339">
        <v>0</v>
      </c>
      <c r="BF339">
        <v>1.6E-2</v>
      </c>
      <c r="BG339">
        <v>0</v>
      </c>
      <c r="BH339">
        <v>0</v>
      </c>
      <c r="BI339">
        <v>0</v>
      </c>
      <c r="BJ339">
        <v>0</v>
      </c>
      <c r="BK339">
        <v>1</v>
      </c>
      <c r="BL339" s="1">
        <v>9.8583919712619202E-5</v>
      </c>
      <c r="BM339">
        <v>4.2001114293585198E-4</v>
      </c>
      <c r="BN339" s="1">
        <v>3.6718032339389302E-7</v>
      </c>
      <c r="BO339" s="1">
        <v>6.59751960536563E-6</v>
      </c>
      <c r="BP339">
        <v>0</v>
      </c>
      <c r="BQ339">
        <v>0</v>
      </c>
      <c r="BR339" s="1">
        <v>5.3097295620207902E-5</v>
      </c>
      <c r="BS339">
        <v>2.3291456925563799E-4</v>
      </c>
    </row>
    <row r="340" spans="1:71" x14ac:dyDescent="0.25">
      <c r="A340">
        <v>337</v>
      </c>
      <c r="B340">
        <v>1.53953461235648E-4</v>
      </c>
      <c r="C340">
        <v>0.11094516040180299</v>
      </c>
      <c r="D340">
        <v>-3.3490499006878901E-4</v>
      </c>
      <c r="E340">
        <v>6.1312499999999995E-4</v>
      </c>
      <c r="F340">
        <v>-1.1094516040180301E-3</v>
      </c>
      <c r="G340">
        <v>0</v>
      </c>
      <c r="H340" t="s">
        <v>74</v>
      </c>
      <c r="I340">
        <v>0</v>
      </c>
      <c r="J340" t="s">
        <v>75</v>
      </c>
      <c r="K340">
        <v>3.14159265358979</v>
      </c>
      <c r="L340">
        <v>0.43372882753508402</v>
      </c>
      <c r="M340">
        <v>0</v>
      </c>
      <c r="N340">
        <v>2.5466417071697299E-2</v>
      </c>
      <c r="O340">
        <v>0</v>
      </c>
      <c r="P340">
        <v>1.6E-2</v>
      </c>
      <c r="Q340">
        <v>0</v>
      </c>
      <c r="R340">
        <v>0</v>
      </c>
      <c r="S340">
        <v>0</v>
      </c>
      <c r="T340">
        <v>0</v>
      </c>
      <c r="U340">
        <v>0.43722664065424899</v>
      </c>
      <c r="V340" t="s">
        <v>79</v>
      </c>
      <c r="W340">
        <v>2532252.5758713302</v>
      </c>
      <c r="X340" t="s">
        <v>76</v>
      </c>
      <c r="Y340">
        <v>-1.5707963267949001</v>
      </c>
      <c r="Z340">
        <v>0.42209149545506702</v>
      </c>
      <c r="AA340">
        <v>0.55839444943206396</v>
      </c>
      <c r="AB340">
        <v>2.10184693412095E-2</v>
      </c>
      <c r="AC340">
        <v>3.4192560224244099E-2</v>
      </c>
      <c r="AD340" s="1">
        <v>6.4222754465159104E-6</v>
      </c>
      <c r="AE340">
        <v>4.0160574106939503E-2</v>
      </c>
      <c r="AF340">
        <v>0</v>
      </c>
      <c r="AG340">
        <v>1.14402150691413E-4</v>
      </c>
      <c r="AH340">
        <v>0.84223511283164498</v>
      </c>
      <c r="AI340">
        <v>0.106777542095621</v>
      </c>
      <c r="AJ340" t="s">
        <v>74</v>
      </c>
      <c r="AK340">
        <v>0</v>
      </c>
      <c r="AL340" t="s">
        <v>77</v>
      </c>
      <c r="AM340">
        <v>0</v>
      </c>
      <c r="AN340">
        <v>0.99199999999999999</v>
      </c>
      <c r="AO340">
        <v>0</v>
      </c>
      <c r="AP340">
        <v>5.8245346242475203E-2</v>
      </c>
      <c r="AQ340">
        <v>0</v>
      </c>
      <c r="AR340">
        <v>1.6E-2</v>
      </c>
      <c r="AS340">
        <v>0</v>
      </c>
      <c r="AT340">
        <v>0</v>
      </c>
      <c r="AU340">
        <v>0</v>
      </c>
      <c r="AV340">
        <v>0</v>
      </c>
      <c r="AW340">
        <v>1</v>
      </c>
      <c r="AX340" t="s">
        <v>74</v>
      </c>
      <c r="AY340">
        <v>0</v>
      </c>
      <c r="AZ340" t="s">
        <v>76</v>
      </c>
      <c r="BA340">
        <v>-1.5707963267949001</v>
      </c>
      <c r="BB340">
        <v>0.99199999999999999</v>
      </c>
      <c r="BC340">
        <v>0</v>
      </c>
      <c r="BD340">
        <v>5.8245346242475203E-2</v>
      </c>
      <c r="BE340">
        <v>0</v>
      </c>
      <c r="BF340">
        <v>1.6E-2</v>
      </c>
      <c r="BG340">
        <v>0</v>
      </c>
      <c r="BH340">
        <v>0</v>
      </c>
      <c r="BI340">
        <v>0</v>
      </c>
      <c r="BJ340">
        <v>0</v>
      </c>
      <c r="BK340">
        <v>1</v>
      </c>
      <c r="BL340" s="1">
        <v>9.8584069561050703E-5</v>
      </c>
      <c r="BM340">
        <v>4.2117475749116801E-4</v>
      </c>
      <c r="BN340" s="1">
        <v>3.6760805571706599E-7</v>
      </c>
      <c r="BO340" s="1">
        <v>6.6157976200585796E-6</v>
      </c>
      <c r="BP340">
        <v>0</v>
      </c>
      <c r="BQ340">
        <v>0</v>
      </c>
      <c r="BR340" s="1">
        <v>5.30995148927525E-5</v>
      </c>
      <c r="BS340">
        <v>2.3359716203558199E-4</v>
      </c>
    </row>
    <row r="341" spans="1:71" x14ac:dyDescent="0.25">
      <c r="A341">
        <v>338</v>
      </c>
      <c r="B341">
        <v>1.5556439512527399E-4</v>
      </c>
      <c r="C341">
        <v>0.11110072479692901</v>
      </c>
      <c r="D341">
        <v>-3.3572323546021302E-4</v>
      </c>
      <c r="E341">
        <v>6.1312499999999995E-4</v>
      </c>
      <c r="F341">
        <v>-1.1110072479692801E-3</v>
      </c>
      <c r="G341" s="1">
        <v>1.0842021724855E-19</v>
      </c>
      <c r="H341" t="s">
        <v>74</v>
      </c>
      <c r="I341">
        <v>0</v>
      </c>
      <c r="J341" t="s">
        <v>75</v>
      </c>
      <c r="K341">
        <v>3.14159265358979</v>
      </c>
      <c r="L341">
        <v>0.43218554022627098</v>
      </c>
      <c r="M341">
        <v>0</v>
      </c>
      <c r="N341">
        <v>2.53758028543048E-2</v>
      </c>
      <c r="O341">
        <v>0</v>
      </c>
      <c r="P341">
        <v>1.6E-2</v>
      </c>
      <c r="Q341">
        <v>0</v>
      </c>
      <c r="R341">
        <v>0</v>
      </c>
      <c r="S341">
        <v>0</v>
      </c>
      <c r="T341">
        <v>0</v>
      </c>
      <c r="U341">
        <v>0.43567090748020298</v>
      </c>
      <c r="V341" t="s">
        <v>79</v>
      </c>
      <c r="W341">
        <v>2539313.63642846</v>
      </c>
      <c r="X341" t="s">
        <v>76</v>
      </c>
      <c r="Y341">
        <v>-1.5707963267949001</v>
      </c>
      <c r="Z341">
        <v>0.42031806044395897</v>
      </c>
      <c r="AA341">
        <v>0.56010186839966103</v>
      </c>
      <c r="AB341">
        <v>2.08763787243848E-2</v>
      </c>
      <c r="AC341">
        <v>3.44289955736099E-2</v>
      </c>
      <c r="AD341" s="1">
        <v>5.5257850566776599E-6</v>
      </c>
      <c r="AE341">
        <v>4.0293683874925899E-2</v>
      </c>
      <c r="AF341">
        <v>0</v>
      </c>
      <c r="AG341" s="1">
        <v>9.7373836792581398E-5</v>
      </c>
      <c r="AH341">
        <v>0.84458073588619098</v>
      </c>
      <c r="AI341">
        <v>0.105228646748941</v>
      </c>
      <c r="AJ341" t="s">
        <v>74</v>
      </c>
      <c r="AK341">
        <v>0</v>
      </c>
      <c r="AL341" t="s">
        <v>77</v>
      </c>
      <c r="AM341">
        <v>0</v>
      </c>
      <c r="AN341">
        <v>0.99199999999999999</v>
      </c>
      <c r="AO341">
        <v>0</v>
      </c>
      <c r="AP341">
        <v>5.8245346242475203E-2</v>
      </c>
      <c r="AQ341">
        <v>0</v>
      </c>
      <c r="AR341">
        <v>1.6E-2</v>
      </c>
      <c r="AS341">
        <v>0</v>
      </c>
      <c r="AT341">
        <v>0</v>
      </c>
      <c r="AU341">
        <v>0</v>
      </c>
      <c r="AV341">
        <v>0</v>
      </c>
      <c r="AW341">
        <v>1</v>
      </c>
      <c r="AX341" t="s">
        <v>74</v>
      </c>
      <c r="AY341">
        <v>0</v>
      </c>
      <c r="AZ341" t="s">
        <v>76</v>
      </c>
      <c r="BA341">
        <v>-1.5707963267949001</v>
      </c>
      <c r="BB341">
        <v>0.99199999999999999</v>
      </c>
      <c r="BC341">
        <v>0</v>
      </c>
      <c r="BD341">
        <v>5.8245346242475203E-2</v>
      </c>
      <c r="BE341">
        <v>0</v>
      </c>
      <c r="BF341">
        <v>1.6E-2</v>
      </c>
      <c r="BG341">
        <v>0</v>
      </c>
      <c r="BH341">
        <v>0</v>
      </c>
      <c r="BI341">
        <v>0</v>
      </c>
      <c r="BJ341">
        <v>0</v>
      </c>
      <c r="BK341">
        <v>1</v>
      </c>
      <c r="BL341" s="1">
        <v>9.8585934818624994E-5</v>
      </c>
      <c r="BM341">
        <v>4.2233905486149201E-4</v>
      </c>
      <c r="BN341" s="1">
        <v>3.6805532313451598E-7</v>
      </c>
      <c r="BO341" s="1">
        <v>6.6340863603845896E-6</v>
      </c>
      <c r="BP341">
        <v>0</v>
      </c>
      <c r="BQ341">
        <v>0</v>
      </c>
      <c r="BR341" s="1">
        <v>5.3102738909944598E-5</v>
      </c>
      <c r="BS341">
        <v>2.3428072327953301E-4</v>
      </c>
    </row>
    <row r="342" spans="1:71" x14ac:dyDescent="0.25">
      <c r="A342">
        <v>339</v>
      </c>
      <c r="B342">
        <v>1.5721481070065399E-4</v>
      </c>
      <c r="C342">
        <v>0.111257939607629</v>
      </c>
      <c r="D342">
        <v>-3.36549518588612E-4</v>
      </c>
      <c r="E342">
        <v>6.1312499999999995E-4</v>
      </c>
      <c r="F342">
        <v>-1.1125793960762901E-3</v>
      </c>
      <c r="G342">
        <v>0</v>
      </c>
      <c r="H342" t="s">
        <v>74</v>
      </c>
      <c r="I342">
        <v>0</v>
      </c>
      <c r="J342" t="s">
        <v>75</v>
      </c>
      <c r="K342">
        <v>3.14159265358979</v>
      </c>
      <c r="L342">
        <v>0.43064161083167302</v>
      </c>
      <c r="M342">
        <v>0</v>
      </c>
      <c r="N342">
        <v>2.5285150936802499E-2</v>
      </c>
      <c r="O342">
        <v>0</v>
      </c>
      <c r="P342">
        <v>1.6E-2</v>
      </c>
      <c r="Q342">
        <v>0</v>
      </c>
      <c r="R342">
        <v>0</v>
      </c>
      <c r="S342">
        <v>0</v>
      </c>
      <c r="T342">
        <v>0</v>
      </c>
      <c r="U342">
        <v>0.434114527042261</v>
      </c>
      <c r="V342" t="s">
        <v>79</v>
      </c>
      <c r="W342">
        <v>2546444.0587542201</v>
      </c>
      <c r="X342" t="s">
        <v>76</v>
      </c>
      <c r="Y342">
        <v>-1.5707963267949001</v>
      </c>
      <c r="Z342">
        <v>0.41853911604747102</v>
      </c>
      <c r="AA342">
        <v>0.56181412142822995</v>
      </c>
      <c r="AB342">
        <v>2.0734021373057802E-2</v>
      </c>
      <c r="AC342">
        <v>3.4669296972377903E-2</v>
      </c>
      <c r="AD342" s="1">
        <v>4.7490792125568398E-6</v>
      </c>
      <c r="AE342">
        <v>4.0428171380911197E-2</v>
      </c>
      <c r="AF342">
        <v>0</v>
      </c>
      <c r="AG342" s="1">
        <v>8.2777941566992204E-5</v>
      </c>
      <c r="AH342">
        <v>0.84692489533556603</v>
      </c>
      <c r="AI342">
        <v>0.10368758570358701</v>
      </c>
      <c r="AJ342" t="s">
        <v>74</v>
      </c>
      <c r="AK342">
        <v>0</v>
      </c>
      <c r="AL342" t="s">
        <v>77</v>
      </c>
      <c r="AM342">
        <v>0</v>
      </c>
      <c r="AN342">
        <v>0.99199999999999999</v>
      </c>
      <c r="AO342">
        <v>0</v>
      </c>
      <c r="AP342">
        <v>5.8245346242475203E-2</v>
      </c>
      <c r="AQ342">
        <v>0</v>
      </c>
      <c r="AR342">
        <v>1.6E-2</v>
      </c>
      <c r="AS342">
        <v>0</v>
      </c>
      <c r="AT342">
        <v>0</v>
      </c>
      <c r="AU342">
        <v>0</v>
      </c>
      <c r="AV342">
        <v>0</v>
      </c>
      <c r="AW342">
        <v>1</v>
      </c>
      <c r="AX342" t="s">
        <v>74</v>
      </c>
      <c r="AY342">
        <v>0</v>
      </c>
      <c r="AZ342" t="s">
        <v>76</v>
      </c>
      <c r="BA342">
        <v>-1.5707963267949001</v>
      </c>
      <c r="BB342">
        <v>0.99199999999999999</v>
      </c>
      <c r="BC342">
        <v>0</v>
      </c>
      <c r="BD342">
        <v>5.8245346242475203E-2</v>
      </c>
      <c r="BE342">
        <v>0</v>
      </c>
      <c r="BF342">
        <v>1.6E-2</v>
      </c>
      <c r="BG342">
        <v>0</v>
      </c>
      <c r="BH342">
        <v>0</v>
      </c>
      <c r="BI342">
        <v>0</v>
      </c>
      <c r="BJ342">
        <v>0</v>
      </c>
      <c r="BK342">
        <v>1</v>
      </c>
      <c r="BL342" s="1">
        <v>9.8589580883594305E-5</v>
      </c>
      <c r="BM342">
        <v>4.2350383663856598E-4</v>
      </c>
      <c r="BN342" s="1">
        <v>3.68522866429924E-7</v>
      </c>
      <c r="BO342" s="1">
        <v>6.65238270975406E-6</v>
      </c>
      <c r="BP342">
        <v>0</v>
      </c>
      <c r="BQ342">
        <v>0</v>
      </c>
      <c r="BR342" s="1">
        <v>5.31070066008299E-5</v>
      </c>
      <c r="BS342">
        <v>2.34965155627502E-4</v>
      </c>
    </row>
    <row r="343" spans="1:71" x14ac:dyDescent="0.25">
      <c r="A343">
        <v>340</v>
      </c>
      <c r="B343">
        <v>1.58904812274316E-4</v>
      </c>
      <c r="C343">
        <v>0.111416844419904</v>
      </c>
      <c r="D343">
        <v>-3.3738402745586498E-4</v>
      </c>
      <c r="E343">
        <v>6.1312499999999995E-4</v>
      </c>
      <c r="F343">
        <v>-1.11416844419903E-3</v>
      </c>
      <c r="G343" s="1">
        <v>1.0842021724855E-19</v>
      </c>
      <c r="H343" t="s">
        <v>74</v>
      </c>
      <c r="I343">
        <v>0</v>
      </c>
      <c r="J343" t="s">
        <v>75</v>
      </c>
      <c r="K343">
        <v>3.14159265358979</v>
      </c>
      <c r="L343">
        <v>0.42909727048814</v>
      </c>
      <c r="M343">
        <v>0</v>
      </c>
      <c r="N343">
        <v>2.5194474890406E-2</v>
      </c>
      <c r="O343">
        <v>0</v>
      </c>
      <c r="P343">
        <v>1.6E-2</v>
      </c>
      <c r="Q343">
        <v>0</v>
      </c>
      <c r="R343">
        <v>0</v>
      </c>
      <c r="S343">
        <v>0</v>
      </c>
      <c r="T343">
        <v>0</v>
      </c>
      <c r="U343">
        <v>0.43255773234127998</v>
      </c>
      <c r="V343" t="s">
        <v>79</v>
      </c>
      <c r="W343">
        <v>2553645.4652135801</v>
      </c>
      <c r="X343" t="s">
        <v>76</v>
      </c>
      <c r="Y343">
        <v>-1.5707963267949001</v>
      </c>
      <c r="Z343">
        <v>0.41675472247480599</v>
      </c>
      <c r="AA343">
        <v>0.563531113263116</v>
      </c>
      <c r="AB343">
        <v>2.05914126589389E-2</v>
      </c>
      <c r="AC343">
        <v>3.4913588665644903E-2</v>
      </c>
      <c r="AD343" s="1">
        <v>4.0768745122512399E-6</v>
      </c>
      <c r="AE343">
        <v>4.0564064026956101E-2</v>
      </c>
      <c r="AF343">
        <v>0</v>
      </c>
      <c r="AG343" s="1">
        <v>7.0282025928134696E-5</v>
      </c>
      <c r="AH343">
        <v>0.84926757486716897</v>
      </c>
      <c r="AI343">
        <v>0.102154650218322</v>
      </c>
      <c r="AJ343" t="s">
        <v>74</v>
      </c>
      <c r="AK343">
        <v>0</v>
      </c>
      <c r="AL343" t="s">
        <v>77</v>
      </c>
      <c r="AM343">
        <v>0</v>
      </c>
      <c r="AN343">
        <v>0.99199999999999999</v>
      </c>
      <c r="AO343">
        <v>0</v>
      </c>
      <c r="AP343">
        <v>5.8245346242475203E-2</v>
      </c>
      <c r="AQ343">
        <v>0</v>
      </c>
      <c r="AR343">
        <v>1.6E-2</v>
      </c>
      <c r="AS343">
        <v>0</v>
      </c>
      <c r="AT343">
        <v>0</v>
      </c>
      <c r="AU343">
        <v>0</v>
      </c>
      <c r="AV343">
        <v>0</v>
      </c>
      <c r="AW343">
        <v>1</v>
      </c>
      <c r="AX343" t="s">
        <v>74</v>
      </c>
      <c r="AY343">
        <v>0</v>
      </c>
      <c r="AZ343" t="s">
        <v>76</v>
      </c>
      <c r="BA343">
        <v>-1.5707963267949001</v>
      </c>
      <c r="BB343">
        <v>0.99199999999999999</v>
      </c>
      <c r="BC343">
        <v>0</v>
      </c>
      <c r="BD343">
        <v>5.8245346242475203E-2</v>
      </c>
      <c r="BE343">
        <v>0</v>
      </c>
      <c r="BF343">
        <v>1.6E-2</v>
      </c>
      <c r="BG343">
        <v>0</v>
      </c>
      <c r="BH343">
        <v>0</v>
      </c>
      <c r="BI343">
        <v>0</v>
      </c>
      <c r="BJ343">
        <v>0</v>
      </c>
      <c r="BK343">
        <v>1</v>
      </c>
      <c r="BL343" s="1">
        <v>9.8595084349970097E-5</v>
      </c>
      <c r="BM343">
        <v>4.2466892844654898E-4</v>
      </c>
      <c r="BN343" s="1">
        <v>3.6901145750079302E-7</v>
      </c>
      <c r="BO343" s="1">
        <v>6.6706839290776297E-6</v>
      </c>
      <c r="BP343">
        <v>0</v>
      </c>
      <c r="BQ343">
        <v>0</v>
      </c>
      <c r="BR343" s="1">
        <v>5.3112363053669202E-5</v>
      </c>
      <c r="BS343">
        <v>2.3565037510370299E-4</v>
      </c>
    </row>
    <row r="344" spans="1:71" x14ac:dyDescent="0.25">
      <c r="A344">
        <v>341</v>
      </c>
      <c r="B344">
        <v>1.6063461918446701E-4</v>
      </c>
      <c r="C344">
        <v>0.111577479039088</v>
      </c>
      <c r="D344">
        <v>-3.3822695036942602E-4</v>
      </c>
      <c r="E344">
        <v>6.1312499999999995E-4</v>
      </c>
      <c r="F344">
        <v>-1.1157747903908801E-3</v>
      </c>
      <c r="G344" s="1">
        <v>1.0842021724855E-19</v>
      </c>
      <c r="H344" t="s">
        <v>74</v>
      </c>
      <c r="I344">
        <v>0</v>
      </c>
      <c r="J344" t="s">
        <v>75</v>
      </c>
      <c r="K344">
        <v>3.14159265358979</v>
      </c>
      <c r="L344">
        <v>0.42755272241116599</v>
      </c>
      <c r="M344">
        <v>0</v>
      </c>
      <c r="N344">
        <v>2.5103786646926699E-2</v>
      </c>
      <c r="O344">
        <v>0</v>
      </c>
      <c r="P344">
        <v>1.6E-2</v>
      </c>
      <c r="Q344">
        <v>0</v>
      </c>
      <c r="R344">
        <v>0</v>
      </c>
      <c r="S344">
        <v>0</v>
      </c>
      <c r="T344">
        <v>0</v>
      </c>
      <c r="U344">
        <v>0.43100072823159002</v>
      </c>
      <c r="V344" t="s">
        <v>79</v>
      </c>
      <c r="W344">
        <v>2560919.4808084401</v>
      </c>
      <c r="X344" t="s">
        <v>76</v>
      </c>
      <c r="Y344">
        <v>-1.5707963267949001</v>
      </c>
      <c r="Z344">
        <v>0.41496490684200399</v>
      </c>
      <c r="AA344">
        <v>0.56525277134817098</v>
      </c>
      <c r="AB344">
        <v>2.0448562034797502E-2</v>
      </c>
      <c r="AC344">
        <v>3.5162000963797402E-2</v>
      </c>
      <c r="AD344" s="1">
        <v>3.4957449190765898E-6</v>
      </c>
      <c r="AE344">
        <v>4.07013894690436E-2</v>
      </c>
      <c r="AF344">
        <v>0</v>
      </c>
      <c r="AG344" s="1">
        <v>5.9596936040159699E-5</v>
      </c>
      <c r="AH344">
        <v>0.85160875701238703</v>
      </c>
      <c r="AI344">
        <v>0.10063009979554401</v>
      </c>
      <c r="AJ344" t="s">
        <v>74</v>
      </c>
      <c r="AK344">
        <v>0</v>
      </c>
      <c r="AL344" t="s">
        <v>77</v>
      </c>
      <c r="AM344">
        <v>0</v>
      </c>
      <c r="AN344">
        <v>0.99199999999999999</v>
      </c>
      <c r="AO344">
        <v>0</v>
      </c>
      <c r="AP344">
        <v>5.8245346242475203E-2</v>
      </c>
      <c r="AQ344">
        <v>0</v>
      </c>
      <c r="AR344">
        <v>1.6E-2</v>
      </c>
      <c r="AS344">
        <v>0</v>
      </c>
      <c r="AT344">
        <v>0</v>
      </c>
      <c r="AU344">
        <v>0</v>
      </c>
      <c r="AV344">
        <v>0</v>
      </c>
      <c r="AW344">
        <v>1</v>
      </c>
      <c r="AX344" t="s">
        <v>74</v>
      </c>
      <c r="AY344">
        <v>0</v>
      </c>
      <c r="AZ344" t="s">
        <v>76</v>
      </c>
      <c r="BA344">
        <v>-1.5707963267949001</v>
      </c>
      <c r="BB344">
        <v>0.99199999999999999</v>
      </c>
      <c r="BC344">
        <v>0</v>
      </c>
      <c r="BD344">
        <v>5.8245346242475203E-2</v>
      </c>
      <c r="BE344">
        <v>0</v>
      </c>
      <c r="BF344">
        <v>1.6E-2</v>
      </c>
      <c r="BG344">
        <v>0</v>
      </c>
      <c r="BH344">
        <v>0</v>
      </c>
      <c r="BI344">
        <v>0</v>
      </c>
      <c r="BJ344">
        <v>0</v>
      </c>
      <c r="BK344">
        <v>1</v>
      </c>
      <c r="BL344" s="1">
        <v>9.8602521065236005E-5</v>
      </c>
      <c r="BM344">
        <v>4.2583417697421403E-4</v>
      </c>
      <c r="BN344" s="1">
        <v>3.6952187298650201E-7</v>
      </c>
      <c r="BO344" s="1">
        <v>6.6889876101482303E-6</v>
      </c>
      <c r="BP344">
        <v>0</v>
      </c>
      <c r="BQ344">
        <v>0</v>
      </c>
      <c r="BR344" s="1">
        <v>5.3118852909449402E-5</v>
      </c>
      <c r="BS344">
        <v>2.36336309506862E-4</v>
      </c>
    </row>
    <row r="345" spans="1:71" x14ac:dyDescent="0.25">
      <c r="A345">
        <v>342</v>
      </c>
      <c r="B345">
        <v>1.6240455763980599E-4</v>
      </c>
      <c r="C345">
        <v>0.111739883596728</v>
      </c>
      <c r="D345">
        <v>-3.39078476482526E-4</v>
      </c>
      <c r="E345">
        <v>6.1312499999999995E-4</v>
      </c>
      <c r="F345">
        <v>-1.1173988359672799E-3</v>
      </c>
      <c r="G345" s="1">
        <v>1.0842021724855E-19</v>
      </c>
      <c r="H345" t="s">
        <v>74</v>
      </c>
      <c r="I345">
        <v>0</v>
      </c>
      <c r="J345" t="s">
        <v>75</v>
      </c>
      <c r="K345">
        <v>3.14159265358979</v>
      </c>
      <c r="L345">
        <v>0.426008145382342</v>
      </c>
      <c r="M345">
        <v>0</v>
      </c>
      <c r="N345">
        <v>2.5013096703537501E-2</v>
      </c>
      <c r="O345">
        <v>0</v>
      </c>
      <c r="P345">
        <v>1.6E-2</v>
      </c>
      <c r="Q345">
        <v>0</v>
      </c>
      <c r="R345">
        <v>0</v>
      </c>
      <c r="S345">
        <v>0</v>
      </c>
      <c r="T345">
        <v>0</v>
      </c>
      <c r="U345">
        <v>0.42944369493656498</v>
      </c>
      <c r="V345" t="s">
        <v>79</v>
      </c>
      <c r="W345">
        <v>2568267.7378393998</v>
      </c>
      <c r="X345" t="s">
        <v>76</v>
      </c>
      <c r="Y345">
        <v>-1.5707963267949001</v>
      </c>
      <c r="Z345">
        <v>0.41316966622340601</v>
      </c>
      <c r="AA345">
        <v>0.56697889032962001</v>
      </c>
      <c r="AB345">
        <v>2.0305472182298501E-2</v>
      </c>
      <c r="AC345">
        <v>3.5414665561707401E-2</v>
      </c>
      <c r="AD345" s="1">
        <v>2.99390736031284E-6</v>
      </c>
      <c r="AE345">
        <v>4.0840175673036203E-2</v>
      </c>
      <c r="AF345">
        <v>0</v>
      </c>
      <c r="AG345" s="1">
        <v>5.0471471001770103E-5</v>
      </c>
      <c r="AH345">
        <v>0.85394842321686404</v>
      </c>
      <c r="AI345">
        <v>9.9114166278094107E-2</v>
      </c>
      <c r="AJ345" t="s">
        <v>74</v>
      </c>
      <c r="AK345">
        <v>0</v>
      </c>
      <c r="AL345" t="s">
        <v>77</v>
      </c>
      <c r="AM345">
        <v>0</v>
      </c>
      <c r="AN345">
        <v>0.99199999999999999</v>
      </c>
      <c r="AO345">
        <v>0</v>
      </c>
      <c r="AP345">
        <v>5.8245346242475203E-2</v>
      </c>
      <c r="AQ345">
        <v>0</v>
      </c>
      <c r="AR345">
        <v>1.6E-2</v>
      </c>
      <c r="AS345">
        <v>0</v>
      </c>
      <c r="AT345">
        <v>0</v>
      </c>
      <c r="AU345">
        <v>0</v>
      </c>
      <c r="AV345">
        <v>0</v>
      </c>
      <c r="AW345">
        <v>1</v>
      </c>
      <c r="AX345" t="s">
        <v>74</v>
      </c>
      <c r="AY345">
        <v>0</v>
      </c>
      <c r="AZ345" t="s">
        <v>76</v>
      </c>
      <c r="BA345">
        <v>-1.5707963267949001</v>
      </c>
      <c r="BB345">
        <v>0.99199999999999999</v>
      </c>
      <c r="BC345">
        <v>0</v>
      </c>
      <c r="BD345">
        <v>5.8245346242475203E-2</v>
      </c>
      <c r="BE345">
        <v>0</v>
      </c>
      <c r="BF345">
        <v>1.6E-2</v>
      </c>
      <c r="BG345">
        <v>0</v>
      </c>
      <c r="BH345">
        <v>0</v>
      </c>
      <c r="BI345">
        <v>0</v>
      </c>
      <c r="BJ345">
        <v>0</v>
      </c>
      <c r="BK345">
        <v>1</v>
      </c>
      <c r="BL345" s="1">
        <v>9.8611963466246896E-5</v>
      </c>
      <c r="BM345">
        <v>4.2699944734393301E-4</v>
      </c>
      <c r="BN345" s="1">
        <v>3.7005488697164499E-7</v>
      </c>
      <c r="BO345" s="1">
        <v>6.7072916343130101E-6</v>
      </c>
      <c r="BP345">
        <v>0</v>
      </c>
      <c r="BQ345">
        <v>0</v>
      </c>
      <c r="BR345" s="1">
        <v>5.3126518897591303E-5</v>
      </c>
      <c r="BS345">
        <v>2.37022896984489E-4</v>
      </c>
    </row>
    <row r="346" spans="1:71" x14ac:dyDescent="0.25">
      <c r="A346">
        <v>343</v>
      </c>
      <c r="B346">
        <v>1.64215053568883E-4</v>
      </c>
      <c r="C346">
        <v>0.111904098650297</v>
      </c>
      <c r="D346">
        <v>-3.3993879629372001E-4</v>
      </c>
      <c r="E346">
        <v>6.1312499999999995E-4</v>
      </c>
      <c r="F346">
        <v>-1.11904098650297E-3</v>
      </c>
      <c r="G346">
        <v>0</v>
      </c>
      <c r="H346" t="s">
        <v>74</v>
      </c>
      <c r="I346">
        <v>0</v>
      </c>
      <c r="J346" t="s">
        <v>75</v>
      </c>
      <c r="K346">
        <v>3.14159265358979</v>
      </c>
      <c r="L346">
        <v>0.42446369683604601</v>
      </c>
      <c r="M346">
        <v>0</v>
      </c>
      <c r="N346">
        <v>2.49224143040086E-2</v>
      </c>
      <c r="O346">
        <v>0</v>
      </c>
      <c r="P346">
        <v>1.6E-2</v>
      </c>
      <c r="Q346">
        <v>0</v>
      </c>
      <c r="R346">
        <v>0</v>
      </c>
      <c r="S346">
        <v>0</v>
      </c>
      <c r="T346">
        <v>0</v>
      </c>
      <c r="U346">
        <v>0.42788679116021799</v>
      </c>
      <c r="V346" t="s">
        <v>79</v>
      </c>
      <c r="W346">
        <v>2575691.8802164998</v>
      </c>
      <c r="X346" t="s">
        <v>76</v>
      </c>
      <c r="Y346">
        <v>-1.5707963267949001</v>
      </c>
      <c r="Z346">
        <v>0.41136897029695502</v>
      </c>
      <c r="AA346">
        <v>0.56871007030221299</v>
      </c>
      <c r="AB346">
        <v>2.0162138397641E-2</v>
      </c>
      <c r="AC346">
        <v>3.5671745232403698E-2</v>
      </c>
      <c r="AD346" s="1">
        <v>2.56103075924232E-6</v>
      </c>
      <c r="AE346">
        <v>4.09804509672149E-2</v>
      </c>
      <c r="AF346">
        <v>0</v>
      </c>
      <c r="AG346" s="1">
        <v>4.2687663847909803E-5</v>
      </c>
      <c r="AH346">
        <v>0.85628655390211805</v>
      </c>
      <c r="AI346">
        <v>9.7607057455293494E-2</v>
      </c>
      <c r="AJ346" t="s">
        <v>74</v>
      </c>
      <c r="AK346">
        <v>0</v>
      </c>
      <c r="AL346" t="s">
        <v>77</v>
      </c>
      <c r="AM346">
        <v>0</v>
      </c>
      <c r="AN346">
        <v>0.99199999999999999</v>
      </c>
      <c r="AO346">
        <v>0</v>
      </c>
      <c r="AP346">
        <v>5.8245346242475203E-2</v>
      </c>
      <c r="AQ346">
        <v>0</v>
      </c>
      <c r="AR346">
        <v>1.6E-2</v>
      </c>
      <c r="AS346">
        <v>0</v>
      </c>
      <c r="AT346">
        <v>0</v>
      </c>
      <c r="AU346">
        <v>0</v>
      </c>
      <c r="AV346">
        <v>0</v>
      </c>
      <c r="AW346">
        <v>1</v>
      </c>
      <c r="AX346" t="s">
        <v>74</v>
      </c>
      <c r="AY346">
        <v>0</v>
      </c>
      <c r="AZ346" t="s">
        <v>76</v>
      </c>
      <c r="BA346">
        <v>-1.5707963267949001</v>
      </c>
      <c r="BB346">
        <v>0.99199999999999999</v>
      </c>
      <c r="BC346">
        <v>0</v>
      </c>
      <c r="BD346">
        <v>5.8245346242475203E-2</v>
      </c>
      <c r="BE346">
        <v>0</v>
      </c>
      <c r="BF346">
        <v>1.6E-2</v>
      </c>
      <c r="BG346">
        <v>0</v>
      </c>
      <c r="BH346">
        <v>0</v>
      </c>
      <c r="BI346">
        <v>0</v>
      </c>
      <c r="BJ346">
        <v>0</v>
      </c>
      <c r="BK346">
        <v>1</v>
      </c>
      <c r="BL346" s="1">
        <v>9.8623495209501899E-5</v>
      </c>
      <c r="BM346">
        <v>4.2816462078298299E-4</v>
      </c>
      <c r="BN346" s="1">
        <v>3.7061129907264701E-7</v>
      </c>
      <c r="BO346" s="1">
        <v>6.7255941358943999E-6</v>
      </c>
      <c r="BP346">
        <v>0</v>
      </c>
      <c r="BQ346">
        <v>0</v>
      </c>
      <c r="BR346" s="1">
        <v>5.3135409970359099E-5</v>
      </c>
      <c r="BS346">
        <v>2.37710084772369E-4</v>
      </c>
    </row>
    <row r="347" spans="1:71" x14ac:dyDescent="0.25">
      <c r="A347">
        <v>344</v>
      </c>
      <c r="B347">
        <v>1.6606662638348301E-4</v>
      </c>
      <c r="C347">
        <v>0.11207016527668</v>
      </c>
      <c r="D347">
        <v>-3.4080810211066103E-4</v>
      </c>
      <c r="E347">
        <v>6.1312499999999995E-4</v>
      </c>
      <c r="F347">
        <v>-1.1207016527668E-3</v>
      </c>
      <c r="G347" s="1">
        <v>1.0842021724855E-19</v>
      </c>
      <c r="H347" t="s">
        <v>74</v>
      </c>
      <c r="I347">
        <v>0</v>
      </c>
      <c r="J347" t="s">
        <v>75</v>
      </c>
      <c r="K347">
        <v>3.14159265358979</v>
      </c>
      <c r="L347">
        <v>0.42291951558729701</v>
      </c>
      <c r="M347">
        <v>0</v>
      </c>
      <c r="N347">
        <v>2.4831747598873001E-2</v>
      </c>
      <c r="O347">
        <v>0</v>
      </c>
      <c r="P347">
        <v>1.6E-2</v>
      </c>
      <c r="Q347">
        <v>0</v>
      </c>
      <c r="R347">
        <v>0</v>
      </c>
      <c r="S347">
        <v>0</v>
      </c>
      <c r="T347">
        <v>0</v>
      </c>
      <c r="U347">
        <v>0.42633015683704201</v>
      </c>
      <c r="V347" t="s">
        <v>79</v>
      </c>
      <c r="W347">
        <v>2583193.5674614501</v>
      </c>
      <c r="X347" t="s">
        <v>76</v>
      </c>
      <c r="Y347">
        <v>-1.5707963267949001</v>
      </c>
      <c r="Z347">
        <v>0.40956276362315402</v>
      </c>
      <c r="AA347">
        <v>0.57044618769857403</v>
      </c>
      <c r="AB347">
        <v>2.0018548289322698E-2</v>
      </c>
      <c r="AC347">
        <v>3.5933386024762003E-2</v>
      </c>
      <c r="AD347" s="1">
        <v>2.18806608490494E-6</v>
      </c>
      <c r="AE347">
        <v>4.1122244091834903E-2</v>
      </c>
      <c r="AF347">
        <v>0</v>
      </c>
      <c r="AG347" s="1">
        <v>3.6056611970474501E-5</v>
      </c>
      <c r="AH347">
        <v>0.85862312851920897</v>
      </c>
      <c r="AI347">
        <v>9.6108960231659796E-2</v>
      </c>
      <c r="AJ347" t="s">
        <v>74</v>
      </c>
      <c r="AK347">
        <v>0</v>
      </c>
      <c r="AL347" t="s">
        <v>77</v>
      </c>
      <c r="AM347">
        <v>0</v>
      </c>
      <c r="AN347">
        <v>0.99199999999999999</v>
      </c>
      <c r="AO347">
        <v>0</v>
      </c>
      <c r="AP347">
        <v>5.8245346242475203E-2</v>
      </c>
      <c r="AQ347">
        <v>0</v>
      </c>
      <c r="AR347">
        <v>1.6E-2</v>
      </c>
      <c r="AS347">
        <v>0</v>
      </c>
      <c r="AT347">
        <v>0</v>
      </c>
      <c r="AU347">
        <v>0</v>
      </c>
      <c r="AV347">
        <v>0</v>
      </c>
      <c r="AW347">
        <v>1</v>
      </c>
      <c r="AX347" t="s">
        <v>74</v>
      </c>
      <c r="AY347">
        <v>0</v>
      </c>
      <c r="AZ347" t="s">
        <v>76</v>
      </c>
      <c r="BA347">
        <v>-1.5707963267949001</v>
      </c>
      <c r="BB347">
        <v>0.99199999999999999</v>
      </c>
      <c r="BC347">
        <v>0</v>
      </c>
      <c r="BD347">
        <v>5.8245346242475203E-2</v>
      </c>
      <c r="BE347">
        <v>0</v>
      </c>
      <c r="BF347">
        <v>1.6E-2</v>
      </c>
      <c r="BG347">
        <v>0</v>
      </c>
      <c r="BH347">
        <v>0</v>
      </c>
      <c r="BI347">
        <v>0</v>
      </c>
      <c r="BJ347">
        <v>0</v>
      </c>
      <c r="BK347">
        <v>1</v>
      </c>
      <c r="BL347" s="1">
        <v>9.8637187198954103E-5</v>
      </c>
      <c r="BM347">
        <v>4.2932959256559002E-4</v>
      </c>
      <c r="BN347" s="1">
        <v>3.7119188635074299E-7</v>
      </c>
      <c r="BO347" s="1">
        <v>6.7438934698637803E-6</v>
      </c>
      <c r="BP347">
        <v>0</v>
      </c>
      <c r="BQ347">
        <v>0</v>
      </c>
      <c r="BR347" s="1">
        <v>5.3145568009260497E-5</v>
      </c>
      <c r="BS347">
        <v>2.38397828082086E-4</v>
      </c>
    </row>
    <row r="348" spans="1:71" x14ac:dyDescent="0.25">
      <c r="A348">
        <v>345</v>
      </c>
      <c r="B348">
        <v>1.6795988357454499E-4</v>
      </c>
      <c r="C348">
        <v>0.112238125160255</v>
      </c>
      <c r="D348">
        <v>-3.4168658848256499E-4</v>
      </c>
      <c r="E348">
        <v>6.1312499999999995E-4</v>
      </c>
      <c r="F348">
        <v>-1.12238125160255E-3</v>
      </c>
      <c r="G348" s="1">
        <v>1.0842021724855E-19</v>
      </c>
      <c r="H348" t="s">
        <v>74</v>
      </c>
      <c r="I348">
        <v>0</v>
      </c>
      <c r="J348" t="s">
        <v>75</v>
      </c>
      <c r="K348">
        <v>3.14159265358979</v>
      </c>
      <c r="L348">
        <v>0.42137572423898101</v>
      </c>
      <c r="M348">
        <v>0</v>
      </c>
      <c r="N348">
        <v>2.4741103786767402E-2</v>
      </c>
      <c r="O348">
        <v>0</v>
      </c>
      <c r="P348">
        <v>1.6E-2</v>
      </c>
      <c r="Q348">
        <v>0</v>
      </c>
      <c r="R348">
        <v>0</v>
      </c>
      <c r="S348">
        <v>0</v>
      </c>
      <c r="T348">
        <v>0</v>
      </c>
      <c r="U348">
        <v>0.42477391555865601</v>
      </c>
      <c r="V348" t="s">
        <v>79</v>
      </c>
      <c r="W348">
        <v>2590774.4784395499</v>
      </c>
      <c r="X348" t="s">
        <v>76</v>
      </c>
      <c r="Y348">
        <v>-1.5707963267949001</v>
      </c>
      <c r="Z348">
        <v>0.40775096759382601</v>
      </c>
      <c r="AA348">
        <v>0.57218668711736898</v>
      </c>
      <c r="AB348">
        <v>1.98746818398369E-2</v>
      </c>
      <c r="AC348">
        <v>3.6199726684781802E-2</v>
      </c>
      <c r="AD348" s="1">
        <v>1.8670952376943299E-6</v>
      </c>
      <c r="AE348">
        <v>4.12655842460945E-2</v>
      </c>
      <c r="AF348">
        <v>0</v>
      </c>
      <c r="AG348" s="1">
        <v>3.0414798581442799E-5</v>
      </c>
      <c r="AH348">
        <v>0.86095812559510598</v>
      </c>
      <c r="AI348">
        <v>9.46200434068145E-2</v>
      </c>
      <c r="AJ348" t="s">
        <v>74</v>
      </c>
      <c r="AK348">
        <v>0</v>
      </c>
      <c r="AL348" t="s">
        <v>77</v>
      </c>
      <c r="AM348">
        <v>0</v>
      </c>
      <c r="AN348">
        <v>0.99199999999999999</v>
      </c>
      <c r="AO348">
        <v>0</v>
      </c>
      <c r="AP348">
        <v>5.8245346242475203E-2</v>
      </c>
      <c r="AQ348">
        <v>0</v>
      </c>
      <c r="AR348">
        <v>1.6E-2</v>
      </c>
      <c r="AS348">
        <v>0</v>
      </c>
      <c r="AT348">
        <v>0</v>
      </c>
      <c r="AU348">
        <v>0</v>
      </c>
      <c r="AV348">
        <v>0</v>
      </c>
      <c r="AW348">
        <v>1</v>
      </c>
      <c r="AX348" t="s">
        <v>74</v>
      </c>
      <c r="AY348">
        <v>0</v>
      </c>
      <c r="AZ348" t="s">
        <v>76</v>
      </c>
      <c r="BA348">
        <v>-1.5707963267949001</v>
      </c>
      <c r="BB348">
        <v>0.99199999999999999</v>
      </c>
      <c r="BC348">
        <v>0</v>
      </c>
      <c r="BD348">
        <v>5.8245346242475203E-2</v>
      </c>
      <c r="BE348">
        <v>0</v>
      </c>
      <c r="BF348">
        <v>1.6E-2</v>
      </c>
      <c r="BG348">
        <v>0</v>
      </c>
      <c r="BH348">
        <v>0</v>
      </c>
      <c r="BI348">
        <v>0</v>
      </c>
      <c r="BJ348">
        <v>0</v>
      </c>
      <c r="BK348">
        <v>1</v>
      </c>
      <c r="BL348" s="1">
        <v>9.8653102398168197E-5</v>
      </c>
      <c r="BM348">
        <v>4.3049427019684403E-4</v>
      </c>
      <c r="BN348" s="1">
        <v>3.7179741398599698E-7</v>
      </c>
      <c r="BO348" s="1">
        <v>6.7621881833145197E-6</v>
      </c>
      <c r="BP348">
        <v>0</v>
      </c>
      <c r="BQ348">
        <v>0</v>
      </c>
      <c r="BR348" s="1">
        <v>5.3157030502830201E-5</v>
      </c>
      <c r="BS348">
        <v>2.3908608912088001E-4</v>
      </c>
    </row>
    <row r="349" spans="1:71" x14ac:dyDescent="0.25">
      <c r="A349">
        <v>346</v>
      </c>
      <c r="B349">
        <v>1.6989551606798301E-4</v>
      </c>
      <c r="C349">
        <v>0.11240802067632299</v>
      </c>
      <c r="D349">
        <v>-3.4257445260537999E-4</v>
      </c>
      <c r="E349">
        <v>6.1312499999999995E-4</v>
      </c>
      <c r="F349">
        <v>-1.12408020676322E-3</v>
      </c>
      <c r="G349" s="1">
        <v>1.0842021724855E-19</v>
      </c>
      <c r="H349" t="s">
        <v>74</v>
      </c>
      <c r="I349">
        <v>0</v>
      </c>
      <c r="J349" t="s">
        <v>75</v>
      </c>
      <c r="K349">
        <v>3.14159265358979</v>
      </c>
      <c r="L349">
        <v>0.41983243130326298</v>
      </c>
      <c r="M349">
        <v>0</v>
      </c>
      <c r="N349">
        <v>2.46504892389907E-2</v>
      </c>
      <c r="O349">
        <v>0</v>
      </c>
      <c r="P349">
        <v>1.6E-2</v>
      </c>
      <c r="Q349">
        <v>0</v>
      </c>
      <c r="R349">
        <v>0</v>
      </c>
      <c r="S349">
        <v>0</v>
      </c>
      <c r="T349">
        <v>0</v>
      </c>
      <c r="U349">
        <v>0.42321817671232198</v>
      </c>
      <c r="V349" t="s">
        <v>79</v>
      </c>
      <c r="W349">
        <v>2598436.3148561199</v>
      </c>
      <c r="X349" t="s">
        <v>76</v>
      </c>
      <c r="Y349">
        <v>-1.5707963267949001</v>
      </c>
      <c r="Z349">
        <v>0.40593348208336999</v>
      </c>
      <c r="AA349">
        <v>0.57393222262393895</v>
      </c>
      <c r="AB349">
        <v>1.9730511854929501E-2</v>
      </c>
      <c r="AC349">
        <v>3.6470950491138597E-2</v>
      </c>
      <c r="AD349" s="1">
        <v>1.5911968014735201E-6</v>
      </c>
      <c r="AE349">
        <v>4.1410501132880501E-2</v>
      </c>
      <c r="AF349">
        <v>0</v>
      </c>
      <c r="AG349" s="1">
        <v>2.56208521133859E-5</v>
      </c>
      <c r="AH349">
        <v>0.86329152277239896</v>
      </c>
      <c r="AI349">
        <v>9.3140460110444995E-2</v>
      </c>
      <c r="AJ349" t="s">
        <v>74</v>
      </c>
      <c r="AK349">
        <v>0</v>
      </c>
      <c r="AL349" t="s">
        <v>77</v>
      </c>
      <c r="AM349">
        <v>0</v>
      </c>
      <c r="AN349">
        <v>0.99199999999999999</v>
      </c>
      <c r="AO349">
        <v>0</v>
      </c>
      <c r="AP349">
        <v>5.8245346242475203E-2</v>
      </c>
      <c r="AQ349">
        <v>0</v>
      </c>
      <c r="AR349">
        <v>1.6E-2</v>
      </c>
      <c r="AS349">
        <v>0</v>
      </c>
      <c r="AT349">
        <v>0</v>
      </c>
      <c r="AU349">
        <v>0</v>
      </c>
      <c r="AV349">
        <v>0</v>
      </c>
      <c r="AW349">
        <v>1</v>
      </c>
      <c r="AX349" t="s">
        <v>74</v>
      </c>
      <c r="AY349">
        <v>0</v>
      </c>
      <c r="AZ349" t="s">
        <v>76</v>
      </c>
      <c r="BA349">
        <v>-1.5707963267949001</v>
      </c>
      <c r="BB349">
        <v>0.99199999999999999</v>
      </c>
      <c r="BC349">
        <v>0</v>
      </c>
      <c r="BD349">
        <v>5.8245346242475203E-2</v>
      </c>
      <c r="BE349">
        <v>0</v>
      </c>
      <c r="BF349">
        <v>1.6E-2</v>
      </c>
      <c r="BG349">
        <v>0</v>
      </c>
      <c r="BH349">
        <v>0</v>
      </c>
      <c r="BI349">
        <v>0</v>
      </c>
      <c r="BJ349">
        <v>0</v>
      </c>
      <c r="BK349">
        <v>1</v>
      </c>
      <c r="BL349" s="1">
        <v>9.8671322035004597E-5</v>
      </c>
      <c r="BM349">
        <v>4.3165857181225599E-4</v>
      </c>
      <c r="BN349" s="1">
        <v>3.72428690004809E-7</v>
      </c>
      <c r="BO349" s="1">
        <v>6.7804769903222303E-6</v>
      </c>
      <c r="BP349">
        <v>0</v>
      </c>
      <c r="BQ349">
        <v>0</v>
      </c>
      <c r="BR349" s="1">
        <v>5.3169845109084003E-5</v>
      </c>
      <c r="BS349">
        <v>2.3977483622953801E-4</v>
      </c>
    </row>
    <row r="350" spans="1:71" x14ac:dyDescent="0.25">
      <c r="A350">
        <v>347</v>
      </c>
      <c r="B350">
        <v>1.7187429427441099E-4</v>
      </c>
      <c r="C350">
        <v>0.11257989497059701</v>
      </c>
      <c r="D350">
        <v>-3.4347189470334898E-4</v>
      </c>
      <c r="E350">
        <v>6.1312499999999995E-4</v>
      </c>
      <c r="F350">
        <v>-1.12579894970597E-3</v>
      </c>
      <c r="G350" s="1">
        <v>1.0842021724855E-19</v>
      </c>
      <c r="H350" t="s">
        <v>74</v>
      </c>
      <c r="I350">
        <v>0</v>
      </c>
      <c r="J350" t="s">
        <v>75</v>
      </c>
      <c r="K350">
        <v>3.14159265358979</v>
      </c>
      <c r="L350">
        <v>0.41828973306866901</v>
      </c>
      <c r="M350">
        <v>0</v>
      </c>
      <c r="N350">
        <v>2.4559909609130199E-2</v>
      </c>
      <c r="O350">
        <v>0</v>
      </c>
      <c r="P350">
        <v>1.6E-2</v>
      </c>
      <c r="Q350">
        <v>0</v>
      </c>
      <c r="R350">
        <v>0</v>
      </c>
      <c r="S350">
        <v>0</v>
      </c>
      <c r="T350">
        <v>0</v>
      </c>
      <c r="U350">
        <v>0.42166303736308802</v>
      </c>
      <c r="V350" t="s">
        <v>79</v>
      </c>
      <c r="W350">
        <v>2606180.80454918</v>
      </c>
      <c r="X350" t="s">
        <v>76</v>
      </c>
      <c r="Y350">
        <v>-1.5707963267949001</v>
      </c>
      <c r="Z350">
        <v>0.40411018683184302</v>
      </c>
      <c r="AA350">
        <v>0.57568294640989304</v>
      </c>
      <c r="AB350">
        <v>1.95860047941438E-2</v>
      </c>
      <c r="AC350">
        <v>3.67472317886227E-2</v>
      </c>
      <c r="AD350" s="1">
        <v>1.3543268861209599E-6</v>
      </c>
      <c r="AE350">
        <v>4.1557025001626703E-2</v>
      </c>
      <c r="AF350">
        <v>0</v>
      </c>
      <c r="AG350" s="1">
        <v>2.1552695428369099E-5</v>
      </c>
      <c r="AH350">
        <v>0.86562329684292605</v>
      </c>
      <c r="AI350">
        <v>9.1670349931821202E-2</v>
      </c>
      <c r="AJ350" t="s">
        <v>74</v>
      </c>
      <c r="AK350">
        <v>0</v>
      </c>
      <c r="AL350" t="s">
        <v>77</v>
      </c>
      <c r="AM350">
        <v>0</v>
      </c>
      <c r="AN350">
        <v>0.99199999999999999</v>
      </c>
      <c r="AO350">
        <v>0</v>
      </c>
      <c r="AP350">
        <v>5.8245346242475203E-2</v>
      </c>
      <c r="AQ350">
        <v>0</v>
      </c>
      <c r="AR350">
        <v>1.6E-2</v>
      </c>
      <c r="AS350">
        <v>0</v>
      </c>
      <c r="AT350">
        <v>0</v>
      </c>
      <c r="AU350">
        <v>0</v>
      </c>
      <c r="AV350">
        <v>0</v>
      </c>
      <c r="AW350">
        <v>1</v>
      </c>
      <c r="AX350" t="s">
        <v>74</v>
      </c>
      <c r="AY350">
        <v>0</v>
      </c>
      <c r="AZ350" t="s">
        <v>76</v>
      </c>
      <c r="BA350">
        <v>-1.5707963267949001</v>
      </c>
      <c r="BB350">
        <v>0.99199999999999999</v>
      </c>
      <c r="BC350">
        <v>0</v>
      </c>
      <c r="BD350">
        <v>5.8245346242475203E-2</v>
      </c>
      <c r="BE350">
        <v>0</v>
      </c>
      <c r="BF350">
        <v>1.6E-2</v>
      </c>
      <c r="BG350">
        <v>0</v>
      </c>
      <c r="BH350">
        <v>0</v>
      </c>
      <c r="BI350">
        <v>0</v>
      </c>
      <c r="BJ350">
        <v>0</v>
      </c>
      <c r="BK350">
        <v>1</v>
      </c>
      <c r="BL350" s="1">
        <v>9.8691919338423606E-5</v>
      </c>
      <c r="BM350">
        <v>4.32822424769177E-4</v>
      </c>
      <c r="BN350" s="1">
        <v>3.7308651632494903E-7</v>
      </c>
      <c r="BO350" s="1">
        <v>6.7987587498188397E-6</v>
      </c>
      <c r="BP350">
        <v>0</v>
      </c>
      <c r="BQ350">
        <v>0</v>
      </c>
      <c r="BR350" s="1">
        <v>5.3184055082864598E-5</v>
      </c>
      <c r="BS350">
        <v>2.4046404312539799E-4</v>
      </c>
    </row>
    <row r="351" spans="1:71" x14ac:dyDescent="0.25">
      <c r="A351">
        <v>348</v>
      </c>
      <c r="B351">
        <v>1.73897064774169E-4</v>
      </c>
      <c r="C351">
        <v>0.112753792035371</v>
      </c>
      <c r="D351">
        <v>-3.4437911839028598E-4</v>
      </c>
      <c r="E351">
        <v>6.1312499999999995E-4</v>
      </c>
      <c r="F351">
        <v>-1.12753792035371E-3</v>
      </c>
      <c r="G351" s="1">
        <v>1.0842021724855E-19</v>
      </c>
      <c r="H351" t="s">
        <v>74</v>
      </c>
      <c r="I351">
        <v>0</v>
      </c>
      <c r="J351" t="s">
        <v>75</v>
      </c>
      <c r="K351">
        <v>3.14159265358979</v>
      </c>
      <c r="L351">
        <v>0.41674771524131499</v>
      </c>
      <c r="M351">
        <v>0</v>
      </c>
      <c r="N351">
        <v>2.4469369929426301E-2</v>
      </c>
      <c r="O351">
        <v>0</v>
      </c>
      <c r="P351">
        <v>1.6E-2</v>
      </c>
      <c r="Q351">
        <v>0</v>
      </c>
      <c r="R351">
        <v>0</v>
      </c>
      <c r="S351">
        <v>0</v>
      </c>
      <c r="T351">
        <v>0</v>
      </c>
      <c r="U351">
        <v>0.42010858390824601</v>
      </c>
      <c r="V351" t="s">
        <v>79</v>
      </c>
      <c r="W351">
        <v>2614009.7046071198</v>
      </c>
      <c r="X351" t="s">
        <v>76</v>
      </c>
      <c r="Y351">
        <v>-1.5707963267949001</v>
      </c>
      <c r="Z351">
        <v>0.40228094258615998</v>
      </c>
      <c r="AA351">
        <v>0.57743879212111504</v>
      </c>
      <c r="AB351">
        <v>1.94411219489256E-2</v>
      </c>
      <c r="AC351">
        <v>3.7028745208463103E-2</v>
      </c>
      <c r="AD351" s="1">
        <v>1.15121345998041E-6</v>
      </c>
      <c r="AE351">
        <v>4.1705186689592298E-2</v>
      </c>
      <c r="AF351">
        <v>0</v>
      </c>
      <c r="AG351" s="1">
        <v>1.8105041360533701E-5</v>
      </c>
      <c r="AH351">
        <v>0.86795342377586604</v>
      </c>
      <c r="AI351">
        <v>9.0209840779338302E-2</v>
      </c>
      <c r="AJ351" t="s">
        <v>74</v>
      </c>
      <c r="AK351">
        <v>0</v>
      </c>
      <c r="AL351" t="s">
        <v>77</v>
      </c>
      <c r="AM351">
        <v>0</v>
      </c>
      <c r="AN351">
        <v>0.99199999999999999</v>
      </c>
      <c r="AO351">
        <v>0</v>
      </c>
      <c r="AP351">
        <v>5.8245346242475203E-2</v>
      </c>
      <c r="AQ351">
        <v>0</v>
      </c>
      <c r="AR351">
        <v>1.6E-2</v>
      </c>
      <c r="AS351">
        <v>0</v>
      </c>
      <c r="AT351">
        <v>0</v>
      </c>
      <c r="AU351">
        <v>0</v>
      </c>
      <c r="AV351">
        <v>0</v>
      </c>
      <c r="AW351">
        <v>1</v>
      </c>
      <c r="AX351" t="s">
        <v>74</v>
      </c>
      <c r="AY351">
        <v>0</v>
      </c>
      <c r="AZ351" t="s">
        <v>76</v>
      </c>
      <c r="BA351">
        <v>-1.5707963267949001</v>
      </c>
      <c r="BB351">
        <v>0.99199999999999999</v>
      </c>
      <c r="BC351">
        <v>0</v>
      </c>
      <c r="BD351">
        <v>5.8245346242475203E-2</v>
      </c>
      <c r="BE351">
        <v>0</v>
      </c>
      <c r="BF351">
        <v>1.6E-2</v>
      </c>
      <c r="BG351">
        <v>0</v>
      </c>
      <c r="BH351">
        <v>0</v>
      </c>
      <c r="BI351">
        <v>0</v>
      </c>
      <c r="BJ351">
        <v>0</v>
      </c>
      <c r="BK351">
        <v>1</v>
      </c>
      <c r="BL351" s="1">
        <v>9.8714964785882699E-5</v>
      </c>
      <c r="BM351">
        <v>4.3398576440861303E-4</v>
      </c>
      <c r="BN351" s="1">
        <v>3.7377170396817197E-7</v>
      </c>
      <c r="BO351" s="1">
        <v>6.8170324461432497E-6</v>
      </c>
      <c r="BP351">
        <v>0</v>
      </c>
      <c r="BQ351">
        <v>0</v>
      </c>
      <c r="BR351" s="1">
        <v>5.3199702196611801E-5</v>
      </c>
      <c r="BS351">
        <v>2.4115368823876399E-4</v>
      </c>
    </row>
    <row r="352" spans="1:71" x14ac:dyDescent="0.25">
      <c r="A352">
        <v>349</v>
      </c>
      <c r="B352">
        <v>1.75964747585083E-4</v>
      </c>
      <c r="C352">
        <v>0.112929756782956</v>
      </c>
      <c r="D352">
        <v>-3.4529633101361499E-4</v>
      </c>
      <c r="E352">
        <v>6.1312499999999995E-4</v>
      </c>
      <c r="F352">
        <v>-1.1292975678295601E-3</v>
      </c>
      <c r="G352" s="1">
        <v>1.0842021724855E-19</v>
      </c>
      <c r="H352" t="s">
        <v>74</v>
      </c>
      <c r="I352">
        <v>0</v>
      </c>
      <c r="J352" t="s">
        <v>75</v>
      </c>
      <c r="K352">
        <v>3.14159265358979</v>
      </c>
      <c r="L352">
        <v>0.41520645438588299</v>
      </c>
      <c r="M352">
        <v>0</v>
      </c>
      <c r="N352">
        <v>2.4378874695379301E-2</v>
      </c>
      <c r="O352">
        <v>0</v>
      </c>
      <c r="P352">
        <v>1.6E-2</v>
      </c>
      <c r="Q352">
        <v>0</v>
      </c>
      <c r="R352">
        <v>0</v>
      </c>
      <c r="S352">
        <v>0</v>
      </c>
      <c r="T352">
        <v>0</v>
      </c>
      <c r="U352">
        <v>0.41855489352993602</v>
      </c>
      <c r="V352" t="s">
        <v>79</v>
      </c>
      <c r="W352">
        <v>2621924.8043375602</v>
      </c>
      <c r="X352" t="s">
        <v>76</v>
      </c>
      <c r="Y352">
        <v>-1.5707963267949001</v>
      </c>
      <c r="Z352">
        <v>0.40044559202279101</v>
      </c>
      <c r="AA352">
        <v>0.57919979611090999</v>
      </c>
      <c r="AB352">
        <v>1.9295820912987E-2</v>
      </c>
      <c r="AC352">
        <v>3.7315676107020301E-2</v>
      </c>
      <c r="AD352" s="1">
        <v>9.7726273108117896E-7</v>
      </c>
      <c r="AE352">
        <v>4.1855017661842603E-2</v>
      </c>
      <c r="AF352">
        <v>0</v>
      </c>
      <c r="AG352" s="1">
        <v>1.5187195437921901E-5</v>
      </c>
      <c r="AH352">
        <v>0.870281878740788</v>
      </c>
      <c r="AI352">
        <v>8.8759050501840506E-2</v>
      </c>
      <c r="AJ352" t="s">
        <v>74</v>
      </c>
      <c r="AK352">
        <v>0</v>
      </c>
      <c r="AL352" t="s">
        <v>77</v>
      </c>
      <c r="AM352">
        <v>0</v>
      </c>
      <c r="AN352">
        <v>0.99199999999999999</v>
      </c>
      <c r="AO352">
        <v>0</v>
      </c>
      <c r="AP352">
        <v>5.8245346242475203E-2</v>
      </c>
      <c r="AQ352">
        <v>0</v>
      </c>
      <c r="AR352">
        <v>1.6E-2</v>
      </c>
      <c r="AS352">
        <v>0</v>
      </c>
      <c r="AT352">
        <v>0</v>
      </c>
      <c r="AU352">
        <v>0</v>
      </c>
      <c r="AV352">
        <v>0</v>
      </c>
      <c r="AW352">
        <v>1</v>
      </c>
      <c r="AX352" t="s">
        <v>74</v>
      </c>
      <c r="AY352">
        <v>0</v>
      </c>
      <c r="AZ352" t="s">
        <v>76</v>
      </c>
      <c r="BA352">
        <v>-1.5707963267949001</v>
      </c>
      <c r="BB352">
        <v>0.99199999999999999</v>
      </c>
      <c r="BC352">
        <v>0</v>
      </c>
      <c r="BD352">
        <v>5.8245346242475203E-2</v>
      </c>
      <c r="BE352">
        <v>0</v>
      </c>
      <c r="BF352">
        <v>1.6E-2</v>
      </c>
      <c r="BG352">
        <v>0</v>
      </c>
      <c r="BH352">
        <v>0</v>
      </c>
      <c r="BI352">
        <v>0</v>
      </c>
      <c r="BJ352">
        <v>0</v>
      </c>
      <c r="BK352">
        <v>1</v>
      </c>
      <c r="BL352" s="1">
        <v>9.8740532100168594E-5</v>
      </c>
      <c r="BM352">
        <v>4.35148532968113E-4</v>
      </c>
      <c r="BN352" s="1">
        <v>3.7448509074950398E-7</v>
      </c>
      <c r="BO352" s="1">
        <v>6.8352971719649904E-6</v>
      </c>
      <c r="BP352">
        <v>0</v>
      </c>
      <c r="BQ352">
        <v>0</v>
      </c>
      <c r="BR352" s="1">
        <v>5.3216830080086603E-5</v>
      </c>
      <c r="BS352">
        <v>2.4184375413222701E-4</v>
      </c>
    </row>
    <row r="353" spans="1:71" x14ac:dyDescent="0.25">
      <c r="A353">
        <v>350</v>
      </c>
      <c r="B353">
        <v>1.78078333965811E-4</v>
      </c>
      <c r="C353">
        <v>0.113107835116922</v>
      </c>
      <c r="D353">
        <v>-3.4622374398395202E-4</v>
      </c>
      <c r="E353">
        <v>6.1312499999999995E-4</v>
      </c>
      <c r="F353">
        <v>-1.13107835116922E-3</v>
      </c>
      <c r="G353" s="1">
        <v>1.0842021724855E-19</v>
      </c>
      <c r="H353" t="s">
        <v>74</v>
      </c>
      <c r="I353">
        <v>0</v>
      </c>
      <c r="J353" t="s">
        <v>75</v>
      </c>
      <c r="K353">
        <v>3.14159265358979</v>
      </c>
      <c r="L353">
        <v>0.41366601918936602</v>
      </c>
      <c r="M353">
        <v>0</v>
      </c>
      <c r="N353">
        <v>2.4288427939950601E-2</v>
      </c>
      <c r="O353">
        <v>0</v>
      </c>
      <c r="P353">
        <v>1.6E-2</v>
      </c>
      <c r="Q353">
        <v>0</v>
      </c>
      <c r="R353">
        <v>0</v>
      </c>
      <c r="S353">
        <v>0</v>
      </c>
      <c r="T353">
        <v>0</v>
      </c>
      <c r="U353">
        <v>0.41700203546907799</v>
      </c>
      <c r="V353" t="s">
        <v>79</v>
      </c>
      <c r="W353">
        <v>2629927.9281114899</v>
      </c>
      <c r="X353" t="s">
        <v>76</v>
      </c>
      <c r="Y353">
        <v>-1.5707963267949001</v>
      </c>
      <c r="Z353">
        <v>0.39860396047264601</v>
      </c>
      <c r="AA353">
        <v>0.58096632300476503</v>
      </c>
      <c r="AB353">
        <v>1.9150057275902799E-2</v>
      </c>
      <c r="AC353">
        <v>3.7608228028587001E-2</v>
      </c>
      <c r="AD353" s="1">
        <v>8.28476280598364E-7</v>
      </c>
      <c r="AE353">
        <v>4.2006550050194803E-2</v>
      </c>
      <c r="AF353">
        <v>0</v>
      </c>
      <c r="AG353" s="1">
        <v>1.27211306138191E-5</v>
      </c>
      <c r="AH353">
        <v>0.87260863612611705</v>
      </c>
      <c r="AI353">
        <v>8.73180883000787E-2</v>
      </c>
      <c r="AJ353" t="s">
        <v>74</v>
      </c>
      <c r="AK353">
        <v>0</v>
      </c>
      <c r="AL353" t="s">
        <v>77</v>
      </c>
      <c r="AM353">
        <v>0</v>
      </c>
      <c r="AN353">
        <v>0.99199999999999999</v>
      </c>
      <c r="AO353">
        <v>0</v>
      </c>
      <c r="AP353">
        <v>5.8245346242475203E-2</v>
      </c>
      <c r="AQ353">
        <v>0</v>
      </c>
      <c r="AR353">
        <v>1.6E-2</v>
      </c>
      <c r="AS353">
        <v>0</v>
      </c>
      <c r="AT353">
        <v>0</v>
      </c>
      <c r="AU353">
        <v>0</v>
      </c>
      <c r="AV353">
        <v>0</v>
      </c>
      <c r="AW353">
        <v>1</v>
      </c>
      <c r="AX353" t="s">
        <v>74</v>
      </c>
      <c r="AY353">
        <v>0</v>
      </c>
      <c r="AZ353" t="s">
        <v>76</v>
      </c>
      <c r="BA353">
        <v>-1.5707963267949001</v>
      </c>
      <c r="BB353">
        <v>0.99199999999999999</v>
      </c>
      <c r="BC353">
        <v>0</v>
      </c>
      <c r="BD353">
        <v>5.8245346242475203E-2</v>
      </c>
      <c r="BE353">
        <v>0</v>
      </c>
      <c r="BF353">
        <v>1.6E-2</v>
      </c>
      <c r="BG353">
        <v>0</v>
      </c>
      <c r="BH353">
        <v>0</v>
      </c>
      <c r="BI353">
        <v>0</v>
      </c>
      <c r="BJ353">
        <v>0</v>
      </c>
      <c r="BK353">
        <v>1</v>
      </c>
      <c r="BL353" s="1">
        <v>9.8768702864695401E-5</v>
      </c>
      <c r="BM353">
        <v>4.3631067862836501E-4</v>
      </c>
      <c r="BN353" s="1">
        <v>3.7522755696967102E-7</v>
      </c>
      <c r="BO353" s="1">
        <v>6.8535521133082498E-6</v>
      </c>
      <c r="BP353">
        <v>0</v>
      </c>
      <c r="BQ353">
        <v>0</v>
      </c>
      <c r="BR353" s="1">
        <v>5.3235486795244401E-5</v>
      </c>
      <c r="BS353">
        <v>2.42534226993438E-4</v>
      </c>
    </row>
    <row r="354" spans="1:71" x14ac:dyDescent="0.25">
      <c r="A354">
        <v>351</v>
      </c>
      <c r="B354">
        <v>1.80238884713044E-4</v>
      </c>
      <c r="C354">
        <v>0.113288074001635</v>
      </c>
      <c r="D354">
        <v>-3.4716157309274998E-4</v>
      </c>
      <c r="E354">
        <v>6.1312499999999995E-4</v>
      </c>
      <c r="F354">
        <v>-1.13288074001635E-3</v>
      </c>
      <c r="G354">
        <v>0</v>
      </c>
      <c r="H354" t="s">
        <v>74</v>
      </c>
      <c r="I354">
        <v>0</v>
      </c>
      <c r="J354" t="s">
        <v>75</v>
      </c>
      <c r="K354">
        <v>3.14159265358979</v>
      </c>
      <c r="L354">
        <v>0.412126471568179</v>
      </c>
      <c r="M354">
        <v>0</v>
      </c>
      <c r="N354">
        <v>2.41980332985667E-2</v>
      </c>
      <c r="O354">
        <v>0</v>
      </c>
      <c r="P354">
        <v>1.6E-2</v>
      </c>
      <c r="Q354">
        <v>0</v>
      </c>
      <c r="R354">
        <v>0</v>
      </c>
      <c r="S354">
        <v>0</v>
      </c>
      <c r="T354">
        <v>0</v>
      </c>
      <c r="U354">
        <v>0.415450072141413</v>
      </c>
      <c r="V354" t="s">
        <v>79</v>
      </c>
      <c r="W354">
        <v>2638020.93810442</v>
      </c>
      <c r="X354" t="s">
        <v>76</v>
      </c>
      <c r="Y354">
        <v>-1.5707963267949001</v>
      </c>
      <c r="Z354">
        <v>0.396755856466392</v>
      </c>
      <c r="AA354">
        <v>0.58273845376632405</v>
      </c>
      <c r="AB354">
        <v>1.9003786465219899E-2</v>
      </c>
      <c r="AC354">
        <v>3.7906603886136703E-2</v>
      </c>
      <c r="AD354" s="1">
        <v>7.0137778309806699E-7</v>
      </c>
      <c r="AE354">
        <v>4.2159816691368902E-2</v>
      </c>
      <c r="AF354">
        <v>0</v>
      </c>
      <c r="AG354" s="1">
        <v>1.06398024931506E-5</v>
      </c>
      <c r="AH354">
        <v>0.87493366955343599</v>
      </c>
      <c r="AI354">
        <v>8.5887055953563093E-2</v>
      </c>
      <c r="AJ354" t="s">
        <v>74</v>
      </c>
      <c r="AK354">
        <v>0</v>
      </c>
      <c r="AL354" t="s">
        <v>77</v>
      </c>
      <c r="AM354">
        <v>0</v>
      </c>
      <c r="AN354">
        <v>0.99199999999999999</v>
      </c>
      <c r="AO354">
        <v>0</v>
      </c>
      <c r="AP354">
        <v>5.8245346242475203E-2</v>
      </c>
      <c r="AQ354">
        <v>0</v>
      </c>
      <c r="AR354">
        <v>1.6E-2</v>
      </c>
      <c r="AS354">
        <v>0</v>
      </c>
      <c r="AT354">
        <v>0</v>
      </c>
      <c r="AU354">
        <v>0</v>
      </c>
      <c r="AV354">
        <v>0</v>
      </c>
      <c r="AW354">
        <v>1</v>
      </c>
      <c r="AX354" t="s">
        <v>74</v>
      </c>
      <c r="AY354">
        <v>0</v>
      </c>
      <c r="AZ354" t="s">
        <v>76</v>
      </c>
      <c r="BA354">
        <v>-1.5707963267949001</v>
      </c>
      <c r="BB354">
        <v>0.99199999999999999</v>
      </c>
      <c r="BC354">
        <v>0</v>
      </c>
      <c r="BD354">
        <v>5.8245346242475203E-2</v>
      </c>
      <c r="BE354">
        <v>0</v>
      </c>
      <c r="BF354">
        <v>1.6E-2</v>
      </c>
      <c r="BG354">
        <v>0</v>
      </c>
      <c r="BH354">
        <v>0</v>
      </c>
      <c r="BI354">
        <v>0</v>
      </c>
      <c r="BJ354">
        <v>0</v>
      </c>
      <c r="BK354">
        <v>1</v>
      </c>
      <c r="BL354" s="1">
        <v>9.8799558067436894E-5</v>
      </c>
      <c r="BM354">
        <v>4.3747215467796402E-4</v>
      </c>
      <c r="BN354" s="1">
        <v>3.7600001549905401E-7</v>
      </c>
      <c r="BO354" s="1">
        <v>6.8717965364319497E-6</v>
      </c>
      <c r="BP354">
        <v>0</v>
      </c>
      <c r="BQ354">
        <v>0</v>
      </c>
      <c r="BR354" s="1">
        <v>5.3255720146189403E-5</v>
      </c>
      <c r="BS354">
        <v>2.43225096192877E-4</v>
      </c>
    </row>
    <row r="355" spans="1:71" x14ac:dyDescent="0.25">
      <c r="A355">
        <v>352</v>
      </c>
      <c r="B355">
        <v>1.8244752891546399E-4</v>
      </c>
      <c r="C355">
        <v>0.113470521530551</v>
      </c>
      <c r="D355">
        <v>-3.48110038820347E-4</v>
      </c>
      <c r="E355">
        <v>6.1312499999999995E-4</v>
      </c>
      <c r="F355">
        <v>-1.1347052153054999E-3</v>
      </c>
      <c r="G355" s="1">
        <v>1.0842021724855E-19</v>
      </c>
      <c r="H355" t="s">
        <v>74</v>
      </c>
      <c r="I355">
        <v>0</v>
      </c>
      <c r="J355" t="s">
        <v>75</v>
      </c>
      <c r="K355">
        <v>3.14159265358979</v>
      </c>
      <c r="L355">
        <v>0.41058786763708</v>
      </c>
      <c r="M355">
        <v>0</v>
      </c>
      <c r="N355">
        <v>2.4107694066009398E-2</v>
      </c>
      <c r="O355">
        <v>0</v>
      </c>
      <c r="P355">
        <v>1.6E-2</v>
      </c>
      <c r="Q355">
        <v>0</v>
      </c>
      <c r="R355">
        <v>0</v>
      </c>
      <c r="S355">
        <v>0</v>
      </c>
      <c r="T355">
        <v>0</v>
      </c>
      <c r="U355">
        <v>0.41389906011423799</v>
      </c>
      <c r="V355" t="s">
        <v>79</v>
      </c>
      <c r="W355">
        <v>2646205.7369546499</v>
      </c>
      <c r="X355" t="s">
        <v>76</v>
      </c>
      <c r="Y355">
        <v>-1.5707963267949001</v>
      </c>
      <c r="Z355">
        <v>0.39490107211617398</v>
      </c>
      <c r="AA355">
        <v>0.58451642881928401</v>
      </c>
      <c r="AB355">
        <v>1.8856965663191901E-2</v>
      </c>
      <c r="AC355">
        <v>3.82110203212652E-2</v>
      </c>
      <c r="AD355" s="1">
        <v>5.9294826682753905E-7</v>
      </c>
      <c r="AE355">
        <v>4.2314851164567402E-2</v>
      </c>
      <c r="AF355">
        <v>0</v>
      </c>
      <c r="AG355" s="1">
        <v>8.8856768768973093E-6</v>
      </c>
      <c r="AH355">
        <v>0.87725695188798403</v>
      </c>
      <c r="AI355">
        <v>8.4466048885259395E-2</v>
      </c>
      <c r="AJ355" t="s">
        <v>74</v>
      </c>
      <c r="AK355">
        <v>0</v>
      </c>
      <c r="AL355" t="s">
        <v>77</v>
      </c>
      <c r="AM355">
        <v>0</v>
      </c>
      <c r="AN355">
        <v>0.99199999999999999</v>
      </c>
      <c r="AO355">
        <v>0</v>
      </c>
      <c r="AP355">
        <v>5.8245346242475203E-2</v>
      </c>
      <c r="AQ355">
        <v>0</v>
      </c>
      <c r="AR355">
        <v>1.6E-2</v>
      </c>
      <c r="AS355">
        <v>0</v>
      </c>
      <c r="AT355">
        <v>0</v>
      </c>
      <c r="AU355">
        <v>0</v>
      </c>
      <c r="AV355">
        <v>0</v>
      </c>
      <c r="AW355">
        <v>1</v>
      </c>
      <c r="AX355" t="s">
        <v>74</v>
      </c>
      <c r="AY355">
        <v>0</v>
      </c>
      <c r="AZ355" t="s">
        <v>76</v>
      </c>
      <c r="BA355">
        <v>-1.5707963267949001</v>
      </c>
      <c r="BB355">
        <v>0.99199999999999999</v>
      </c>
      <c r="BC355">
        <v>0</v>
      </c>
      <c r="BD355">
        <v>5.8245346242475203E-2</v>
      </c>
      <c r="BE355">
        <v>0</v>
      </c>
      <c r="BF355">
        <v>1.6E-2</v>
      </c>
      <c r="BG355">
        <v>0</v>
      </c>
      <c r="BH355">
        <v>0</v>
      </c>
      <c r="BI355">
        <v>0</v>
      </c>
      <c r="BJ355">
        <v>0</v>
      </c>
      <c r="BK355">
        <v>1</v>
      </c>
      <c r="BL355" s="1">
        <v>9.8833186267708405E-5</v>
      </c>
      <c r="BM355">
        <v>4.3863291878243099E-4</v>
      </c>
      <c r="BN355" s="1">
        <v>3.7680343542114399E-7</v>
      </c>
      <c r="BO355" s="1">
        <v>6.8900297763476601E-6</v>
      </c>
      <c r="BP355">
        <v>0</v>
      </c>
      <c r="BQ355">
        <v>0</v>
      </c>
      <c r="BR355" s="1">
        <v>5.32775822272839E-5</v>
      </c>
      <c r="BS355">
        <v>2.43916353899064E-4</v>
      </c>
    </row>
    <row r="356" spans="1:71" x14ac:dyDescent="0.25">
      <c r="A356">
        <v>353</v>
      </c>
      <c r="B356">
        <v>1.8470546313145201E-4</v>
      </c>
      <c r="C356">
        <v>0.113655226993682</v>
      </c>
      <c r="D356">
        <v>-3.4906936663654499E-4</v>
      </c>
      <c r="E356">
        <v>6.1312499999999995E-4</v>
      </c>
      <c r="F356">
        <v>-1.13655226993682E-3</v>
      </c>
      <c r="G356">
        <v>0</v>
      </c>
      <c r="H356" t="s">
        <v>74</v>
      </c>
      <c r="I356">
        <v>0</v>
      </c>
      <c r="J356" t="s">
        <v>75</v>
      </c>
      <c r="K356">
        <v>3.14159265358979</v>
      </c>
      <c r="L356">
        <v>0.40905025855631899</v>
      </c>
      <c r="M356">
        <v>0</v>
      </c>
      <c r="N356">
        <v>2.4017413246156E-2</v>
      </c>
      <c r="O356">
        <v>0</v>
      </c>
      <c r="P356">
        <v>1.6E-2</v>
      </c>
      <c r="Q356">
        <v>0</v>
      </c>
      <c r="R356">
        <v>0</v>
      </c>
      <c r="S356">
        <v>0</v>
      </c>
      <c r="T356">
        <v>0</v>
      </c>
      <c r="U356">
        <v>0.41234905096038399</v>
      </c>
      <c r="V356" t="s">
        <v>79</v>
      </c>
      <c r="W356">
        <v>2654484.2703570998</v>
      </c>
      <c r="X356" t="s">
        <v>76</v>
      </c>
      <c r="Y356">
        <v>-1.5707963267949001</v>
      </c>
      <c r="Z356">
        <v>0.39303938334758098</v>
      </c>
      <c r="AA356">
        <v>0.58630039167044401</v>
      </c>
      <c r="AB356">
        <v>1.8709555728920201E-2</v>
      </c>
      <c r="AC356">
        <v>3.8521700123405202E-2</v>
      </c>
      <c r="AD356" s="1">
        <v>5.0056897473670503E-7</v>
      </c>
      <c r="AE356">
        <v>4.2471687828690798E-2</v>
      </c>
      <c r="AF356">
        <v>0</v>
      </c>
      <c r="AG356" s="1">
        <v>7.4094444823997402E-6</v>
      </c>
      <c r="AH356">
        <v>0.87957845524571399</v>
      </c>
      <c r="AI356">
        <v>8.3055157084046802E-2</v>
      </c>
      <c r="AJ356" t="s">
        <v>74</v>
      </c>
      <c r="AK356">
        <v>0</v>
      </c>
      <c r="AL356" t="s">
        <v>77</v>
      </c>
      <c r="AM356">
        <v>0</v>
      </c>
      <c r="AN356">
        <v>0.99199999999999999</v>
      </c>
      <c r="AO356">
        <v>0</v>
      </c>
      <c r="AP356">
        <v>5.8245346242475203E-2</v>
      </c>
      <c r="AQ356">
        <v>0</v>
      </c>
      <c r="AR356">
        <v>1.6E-2</v>
      </c>
      <c r="AS356">
        <v>0</v>
      </c>
      <c r="AT356">
        <v>0</v>
      </c>
      <c r="AU356">
        <v>0</v>
      </c>
      <c r="AV356">
        <v>0</v>
      </c>
      <c r="AW356">
        <v>1</v>
      </c>
      <c r="AX356" t="s">
        <v>74</v>
      </c>
      <c r="AY356">
        <v>0</v>
      </c>
      <c r="AZ356" t="s">
        <v>76</v>
      </c>
      <c r="BA356">
        <v>-1.5707963267949001</v>
      </c>
      <c r="BB356">
        <v>0.99199999999999999</v>
      </c>
      <c r="BC356">
        <v>0</v>
      </c>
      <c r="BD356">
        <v>5.8245346242475203E-2</v>
      </c>
      <c r="BE356">
        <v>0</v>
      </c>
      <c r="BF356">
        <v>1.6E-2</v>
      </c>
      <c r="BG356">
        <v>0</v>
      </c>
      <c r="BH356">
        <v>0</v>
      </c>
      <c r="BI356">
        <v>0</v>
      </c>
      <c r="BJ356">
        <v>0</v>
      </c>
      <c r="BK356">
        <v>1</v>
      </c>
      <c r="BL356" s="1">
        <v>9.8869680791715894E-5</v>
      </c>
      <c r="BM356">
        <v>4.3979293234509798E-4</v>
      </c>
      <c r="BN356" s="1">
        <v>3.7763884384291602E-7</v>
      </c>
      <c r="BO356" s="1">
        <v>6.9082512267803701E-6</v>
      </c>
      <c r="BP356">
        <v>0</v>
      </c>
      <c r="BQ356">
        <v>0</v>
      </c>
      <c r="BR356" s="1">
        <v>5.3301127874056101E-5</v>
      </c>
      <c r="BS356">
        <v>2.44607994744463E-4</v>
      </c>
    </row>
    <row r="357" spans="1:71" x14ac:dyDescent="0.25">
      <c r="A357">
        <v>354</v>
      </c>
      <c r="B357">
        <v>1.8701395096198299E-4</v>
      </c>
      <c r="C357">
        <v>0.113842240944644</v>
      </c>
      <c r="D357">
        <v>-3.5003978729567398E-4</v>
      </c>
      <c r="E357">
        <v>6.1312499999999995E-4</v>
      </c>
      <c r="F357">
        <v>-1.1384224094464399E-3</v>
      </c>
      <c r="G357">
        <v>0</v>
      </c>
      <c r="H357" t="s">
        <v>74</v>
      </c>
      <c r="I357">
        <v>0</v>
      </c>
      <c r="J357" t="s">
        <v>75</v>
      </c>
      <c r="K357">
        <v>3.14159265358979</v>
      </c>
      <c r="L357">
        <v>0.40751369127166698</v>
      </c>
      <c r="M357">
        <v>0</v>
      </c>
      <c r="N357">
        <v>2.3927193595430801E-2</v>
      </c>
      <c r="O357">
        <v>0</v>
      </c>
      <c r="P357">
        <v>1.6E-2</v>
      </c>
      <c r="Q357">
        <v>0</v>
      </c>
      <c r="R357">
        <v>0</v>
      </c>
      <c r="S357">
        <v>0</v>
      </c>
      <c r="T357">
        <v>0</v>
      </c>
      <c r="U357">
        <v>0.41080009200421802</v>
      </c>
      <c r="V357" t="s">
        <v>79</v>
      </c>
      <c r="W357">
        <v>2662858.5296096699</v>
      </c>
      <c r="X357" t="s">
        <v>76</v>
      </c>
      <c r="Y357">
        <v>-1.5707963267949001</v>
      </c>
      <c r="Z357">
        <v>0.39117054999385098</v>
      </c>
      <c r="AA357">
        <v>0.58809060429589299</v>
      </c>
      <c r="AB357">
        <v>1.8561523061961498E-2</v>
      </c>
      <c r="AC357">
        <v>3.8838879505327301E-2</v>
      </c>
      <c r="AD357" s="1">
        <v>4.2197098404546802E-7</v>
      </c>
      <c r="AE357">
        <v>4.2630361859382897E-2</v>
      </c>
      <c r="AF357">
        <v>0</v>
      </c>
      <c r="AG357" s="1">
        <v>6.1689004474506503E-6</v>
      </c>
      <c r="AH357">
        <v>0.88189815099718805</v>
      </c>
      <c r="AI357">
        <v>8.1654465902564796E-2</v>
      </c>
      <c r="AJ357" t="s">
        <v>74</v>
      </c>
      <c r="AK357">
        <v>0</v>
      </c>
      <c r="AL357" t="s">
        <v>77</v>
      </c>
      <c r="AM357">
        <v>0</v>
      </c>
      <c r="AN357">
        <v>0.99199999999999999</v>
      </c>
      <c r="AO357">
        <v>0</v>
      </c>
      <c r="AP357">
        <v>5.8245346242475203E-2</v>
      </c>
      <c r="AQ357">
        <v>0</v>
      </c>
      <c r="AR357">
        <v>1.6E-2</v>
      </c>
      <c r="AS357">
        <v>0</v>
      </c>
      <c r="AT357">
        <v>0</v>
      </c>
      <c r="AU357">
        <v>0</v>
      </c>
      <c r="AV357">
        <v>0</v>
      </c>
      <c r="AW357">
        <v>1</v>
      </c>
      <c r="AX357" t="s">
        <v>74</v>
      </c>
      <c r="AY357">
        <v>0</v>
      </c>
      <c r="AZ357" t="s">
        <v>76</v>
      </c>
      <c r="BA357">
        <v>-1.5707963267949001</v>
      </c>
      <c r="BB357">
        <v>0.99199999999999999</v>
      </c>
      <c r="BC357">
        <v>0</v>
      </c>
      <c r="BD357">
        <v>5.8245346242475203E-2</v>
      </c>
      <c r="BE357">
        <v>0</v>
      </c>
      <c r="BF357">
        <v>1.6E-2</v>
      </c>
      <c r="BG357">
        <v>0</v>
      </c>
      <c r="BH357">
        <v>0</v>
      </c>
      <c r="BI357">
        <v>0</v>
      </c>
      <c r="BJ357">
        <v>0</v>
      </c>
      <c r="BK357">
        <v>1</v>
      </c>
      <c r="BL357" s="1">
        <v>9.8909144323834999E-5</v>
      </c>
      <c r="BM357">
        <v>4.4095215994881801E-4</v>
      </c>
      <c r="BN357" s="1">
        <v>3.7850734242504501E-7</v>
      </c>
      <c r="BO357" s="1">
        <v>6.9264603313987898E-6</v>
      </c>
      <c r="BP357">
        <v>0</v>
      </c>
      <c r="BQ357">
        <v>0</v>
      </c>
      <c r="BR357" s="1">
        <v>5.3326417226427199E-5</v>
      </c>
      <c r="BS357">
        <v>2.4530001553609102E-4</v>
      </c>
    </row>
    <row r="358" spans="1:71" x14ac:dyDescent="0.25">
      <c r="A358">
        <v>355</v>
      </c>
      <c r="B358">
        <v>1.8937432299330701E-4</v>
      </c>
      <c r="C358">
        <v>0.114031615267637</v>
      </c>
      <c r="D358">
        <v>-3.5102153712798198E-4</v>
      </c>
      <c r="E358">
        <v>6.1312499999999995E-4</v>
      </c>
      <c r="F358">
        <v>-1.14031615267637E-3</v>
      </c>
      <c r="G358">
        <v>0</v>
      </c>
      <c r="H358" t="s">
        <v>74</v>
      </c>
      <c r="I358">
        <v>0</v>
      </c>
      <c r="J358" t="s">
        <v>75</v>
      </c>
      <c r="K358">
        <v>3.14159265358979</v>
      </c>
      <c r="L358">
        <v>0.405978209160333</v>
      </c>
      <c r="M358">
        <v>0</v>
      </c>
      <c r="N358">
        <v>2.3837037660729501E-2</v>
      </c>
      <c r="O358">
        <v>0</v>
      </c>
      <c r="P358">
        <v>1.6E-2</v>
      </c>
      <c r="Q358">
        <v>0</v>
      </c>
      <c r="R358">
        <v>0</v>
      </c>
      <c r="S358">
        <v>0</v>
      </c>
      <c r="T358">
        <v>0</v>
      </c>
      <c r="U358">
        <v>0.40925222697276598</v>
      </c>
      <c r="V358" t="s">
        <v>79</v>
      </c>
      <c r="W358">
        <v>2671330.5541276601</v>
      </c>
      <c r="X358" t="s">
        <v>76</v>
      </c>
      <c r="Y358">
        <v>-1.5707963267949001</v>
      </c>
      <c r="Z358">
        <v>0.38929431576247198</v>
      </c>
      <c r="AA358">
        <v>0.58988730271623302</v>
      </c>
      <c r="AB358">
        <v>1.8412841346232799E-2</v>
      </c>
      <c r="AC358">
        <v>3.9162804113088402E-2</v>
      </c>
      <c r="AD358" s="1">
        <v>3.5519082991204101E-7</v>
      </c>
      <c r="AE358">
        <v>4.2790909286086698E-2</v>
      </c>
      <c r="AF358">
        <v>0</v>
      </c>
      <c r="AG358" s="1">
        <v>5.1279687101907197E-6</v>
      </c>
      <c r="AH358">
        <v>0.88421600976860504</v>
      </c>
      <c r="AI358">
        <v>8.0264056746035498E-2</v>
      </c>
      <c r="AJ358" t="s">
        <v>74</v>
      </c>
      <c r="AK358">
        <v>0</v>
      </c>
      <c r="AL358" t="s">
        <v>77</v>
      </c>
      <c r="AM358">
        <v>0</v>
      </c>
      <c r="AN358">
        <v>0.99199999999999999</v>
      </c>
      <c r="AO358">
        <v>0</v>
      </c>
      <c r="AP358">
        <v>5.8245346242475203E-2</v>
      </c>
      <c r="AQ358">
        <v>0</v>
      </c>
      <c r="AR358">
        <v>1.6E-2</v>
      </c>
      <c r="AS358">
        <v>0</v>
      </c>
      <c r="AT358">
        <v>0</v>
      </c>
      <c r="AU358">
        <v>0</v>
      </c>
      <c r="AV358">
        <v>0</v>
      </c>
      <c r="AW358">
        <v>1</v>
      </c>
      <c r="AX358" t="s">
        <v>74</v>
      </c>
      <c r="AY358">
        <v>0</v>
      </c>
      <c r="AZ358" t="s">
        <v>76</v>
      </c>
      <c r="BA358">
        <v>-1.5707963267949001</v>
      </c>
      <c r="BB358">
        <v>0.99199999999999999</v>
      </c>
      <c r="BC358">
        <v>0</v>
      </c>
      <c r="BD358">
        <v>5.8245346242475203E-2</v>
      </c>
      <c r="BE358">
        <v>0</v>
      </c>
      <c r="BF358">
        <v>1.6E-2</v>
      </c>
      <c r="BG358">
        <v>0</v>
      </c>
      <c r="BH358">
        <v>0</v>
      </c>
      <c r="BI358">
        <v>0</v>
      </c>
      <c r="BJ358">
        <v>0</v>
      </c>
      <c r="BK358">
        <v>1</v>
      </c>
      <c r="BL358" s="1">
        <v>9.8951687802500604E-5</v>
      </c>
      <c r="BM358">
        <v>4.4211056886865802E-4</v>
      </c>
      <c r="BN358" s="1">
        <v>3.7941011228905001E-7</v>
      </c>
      <c r="BO358" s="1">
        <v>6.9446565761608996E-6</v>
      </c>
      <c r="BP358">
        <v>0</v>
      </c>
      <c r="BQ358">
        <v>0</v>
      </c>
      <c r="BR358" s="1">
        <v>5.3353515125896897E-5</v>
      </c>
      <c r="BS358">
        <v>2.4599241500549801E-4</v>
      </c>
    </row>
    <row r="359" spans="1:71" x14ac:dyDescent="0.25">
      <c r="A359">
        <v>356</v>
      </c>
      <c r="B359">
        <v>1.9178797708789501E-4</v>
      </c>
      <c r="C359">
        <v>0.11422340324472501</v>
      </c>
      <c r="D359">
        <v>-3.5201485832899999E-4</v>
      </c>
      <c r="E359">
        <v>6.1312499999999995E-4</v>
      </c>
      <c r="F359">
        <v>-1.14223403244725E-3</v>
      </c>
      <c r="G359" s="1">
        <v>1.0842021724855E-19</v>
      </c>
      <c r="H359" t="s">
        <v>74</v>
      </c>
      <c r="I359">
        <v>0</v>
      </c>
      <c r="J359" t="s">
        <v>75</v>
      </c>
      <c r="K359">
        <v>3.14159265358979</v>
      </c>
      <c r="L359">
        <v>0.40444385259432603</v>
      </c>
      <c r="M359">
        <v>0</v>
      </c>
      <c r="N359">
        <v>2.3746947812497098E-2</v>
      </c>
      <c r="O359">
        <v>0</v>
      </c>
      <c r="P359">
        <v>1.6E-2</v>
      </c>
      <c r="Q359">
        <v>0</v>
      </c>
      <c r="R359">
        <v>0</v>
      </c>
      <c r="S359">
        <v>0</v>
      </c>
      <c r="T359">
        <v>0</v>
      </c>
      <c r="U359">
        <v>0.40770549656361599</v>
      </c>
      <c r="V359" t="s">
        <v>79</v>
      </c>
      <c r="W359">
        <v>2679902.4339409601</v>
      </c>
      <c r="X359" t="s">
        <v>76</v>
      </c>
      <c r="Y359">
        <v>-1.5707963267949001</v>
      </c>
      <c r="Z359">
        <v>0.38741040808278998</v>
      </c>
      <c r="AA359">
        <v>0.59169074822628498</v>
      </c>
      <c r="AB359">
        <v>1.8263493110897901E-2</v>
      </c>
      <c r="AC359">
        <v>3.9493731221356597E-2</v>
      </c>
      <c r="AD359" s="1">
        <v>2.9853145794905002E-7</v>
      </c>
      <c r="AE359">
        <v>4.29533670292793E-2</v>
      </c>
      <c r="AF359">
        <v>0</v>
      </c>
      <c r="AG359" s="1">
        <v>4.2558535944707201E-6</v>
      </c>
      <c r="AH359">
        <v>0.88653200144018895</v>
      </c>
      <c r="AI359">
        <v>7.8884007665803904E-2</v>
      </c>
      <c r="AJ359" t="s">
        <v>74</v>
      </c>
      <c r="AK359">
        <v>0</v>
      </c>
      <c r="AL359" t="s">
        <v>77</v>
      </c>
      <c r="AM359">
        <v>0</v>
      </c>
      <c r="AN359">
        <v>0.99199999999999999</v>
      </c>
      <c r="AO359">
        <v>0</v>
      </c>
      <c r="AP359">
        <v>5.8245346242475203E-2</v>
      </c>
      <c r="AQ359">
        <v>0</v>
      </c>
      <c r="AR359">
        <v>1.6E-2</v>
      </c>
      <c r="AS359">
        <v>0</v>
      </c>
      <c r="AT359">
        <v>0</v>
      </c>
      <c r="AU359">
        <v>0</v>
      </c>
      <c r="AV359">
        <v>0</v>
      </c>
      <c r="AW359">
        <v>1</v>
      </c>
      <c r="AX359" t="s">
        <v>74</v>
      </c>
      <c r="AY359">
        <v>0</v>
      </c>
      <c r="AZ359" t="s">
        <v>76</v>
      </c>
      <c r="BA359">
        <v>-1.5707963267949001</v>
      </c>
      <c r="BB359">
        <v>0.99199999999999999</v>
      </c>
      <c r="BC359">
        <v>0</v>
      </c>
      <c r="BD359">
        <v>5.8245346242475203E-2</v>
      </c>
      <c r="BE359">
        <v>0</v>
      </c>
      <c r="BF359">
        <v>1.6E-2</v>
      </c>
      <c r="BG359">
        <v>0</v>
      </c>
      <c r="BH359">
        <v>0</v>
      </c>
      <c r="BI359">
        <v>0</v>
      </c>
      <c r="BJ359">
        <v>0</v>
      </c>
      <c r="BK359">
        <v>1</v>
      </c>
      <c r="BL359" s="1">
        <v>9.8997432314851006E-5</v>
      </c>
      <c r="BM359">
        <v>4.4326812864689199E-4</v>
      </c>
      <c r="BN359" s="1">
        <v>3.8034842453293703E-7</v>
      </c>
      <c r="BO359" s="1">
        <v>6.9628394826378602E-6</v>
      </c>
      <c r="BP359">
        <v>0</v>
      </c>
      <c r="BQ359">
        <v>0</v>
      </c>
      <c r="BR359" s="1">
        <v>5.3382492180913401E-5</v>
      </c>
      <c r="BS359">
        <v>2.4668519359340602E-4</v>
      </c>
    </row>
    <row r="360" spans="1:71" x14ac:dyDescent="0.25">
      <c r="A360">
        <v>357</v>
      </c>
      <c r="B360">
        <v>1.9425637900458801E-4</v>
      </c>
      <c r="C360">
        <v>0.11441765962373</v>
      </c>
      <c r="D360">
        <v>-3.5301999924848597E-4</v>
      </c>
      <c r="E360">
        <v>6.1312499999999995E-4</v>
      </c>
      <c r="F360">
        <v>-1.1441765962373E-3</v>
      </c>
      <c r="G360" s="1">
        <v>1.0842021724855E-19</v>
      </c>
      <c r="H360" t="s">
        <v>74</v>
      </c>
      <c r="I360">
        <v>0</v>
      </c>
      <c r="J360" t="s">
        <v>75</v>
      </c>
      <c r="K360">
        <v>3.14159265358979</v>
      </c>
      <c r="L360">
        <v>0.40291065943148102</v>
      </c>
      <c r="M360">
        <v>0</v>
      </c>
      <c r="N360">
        <v>2.3656926273559101E-2</v>
      </c>
      <c r="O360">
        <v>0</v>
      </c>
      <c r="P360">
        <v>1.6E-2</v>
      </c>
      <c r="Q360">
        <v>0</v>
      </c>
      <c r="R360">
        <v>0</v>
      </c>
      <c r="S360">
        <v>0</v>
      </c>
      <c r="T360">
        <v>0</v>
      </c>
      <c r="U360">
        <v>0.40615993893990798</v>
      </c>
      <c r="V360" t="s">
        <v>79</v>
      </c>
      <c r="W360">
        <v>2688576.3121874202</v>
      </c>
      <c r="X360" t="s">
        <v>76</v>
      </c>
      <c r="Y360">
        <v>-1.5707963267949001</v>
      </c>
      <c r="Z360">
        <v>0.38551853784170098</v>
      </c>
      <c r="AA360">
        <v>0.59350120730229605</v>
      </c>
      <c r="AB360">
        <v>1.8113471036573101E-2</v>
      </c>
      <c r="AC360">
        <v>3.9831929729106298E-2</v>
      </c>
      <c r="AD360" s="1">
        <v>2.5052790174861102E-7</v>
      </c>
      <c r="AE360">
        <v>4.3117772938048901E-2</v>
      </c>
      <c r="AF360">
        <v>0</v>
      </c>
      <c r="AG360" s="1">
        <v>3.5263029409603902E-6</v>
      </c>
      <c r="AH360">
        <v>0.88884609514216395</v>
      </c>
      <c r="AI360">
        <v>7.7514393869706003E-2</v>
      </c>
      <c r="AJ360" t="s">
        <v>74</v>
      </c>
      <c r="AK360">
        <v>0</v>
      </c>
      <c r="AL360" t="s">
        <v>77</v>
      </c>
      <c r="AM360">
        <v>0</v>
      </c>
      <c r="AN360">
        <v>0.99199999999999999</v>
      </c>
      <c r="AO360">
        <v>0</v>
      </c>
      <c r="AP360">
        <v>5.8245346242475203E-2</v>
      </c>
      <c r="AQ360">
        <v>0</v>
      </c>
      <c r="AR360">
        <v>1.6E-2</v>
      </c>
      <c r="AS360">
        <v>0</v>
      </c>
      <c r="AT360">
        <v>0</v>
      </c>
      <c r="AU360">
        <v>0</v>
      </c>
      <c r="AV360">
        <v>0</v>
      </c>
      <c r="AW360">
        <v>1</v>
      </c>
      <c r="AX360" t="s">
        <v>74</v>
      </c>
      <c r="AY360">
        <v>0</v>
      </c>
      <c r="AZ360" t="s">
        <v>76</v>
      </c>
      <c r="BA360">
        <v>-1.5707963267949001</v>
      </c>
      <c r="BB360">
        <v>0.99199999999999999</v>
      </c>
      <c r="BC360">
        <v>0</v>
      </c>
      <c r="BD360">
        <v>5.8245346242475203E-2</v>
      </c>
      <c r="BE360">
        <v>0</v>
      </c>
      <c r="BF360">
        <v>1.6E-2</v>
      </c>
      <c r="BG360">
        <v>0</v>
      </c>
      <c r="BH360">
        <v>0</v>
      </c>
      <c r="BI360">
        <v>0</v>
      </c>
      <c r="BJ360">
        <v>0</v>
      </c>
      <c r="BK360">
        <v>1</v>
      </c>
      <c r="BL360" s="1">
        <v>9.9046509762094502E-5</v>
      </c>
      <c r="BM360">
        <v>4.4442481072255301E-4</v>
      </c>
      <c r="BN360" s="1">
        <v>3.8132364773362802E-7</v>
      </c>
      <c r="BO360" s="1">
        <v>6.9810086021950304E-6</v>
      </c>
      <c r="BP360">
        <v>0</v>
      </c>
      <c r="BQ360">
        <v>0</v>
      </c>
      <c r="BR360" s="1">
        <v>5.3413425149350097E-5</v>
      </c>
      <c r="BS360">
        <v>2.4737835326480199E-4</v>
      </c>
    </row>
    <row r="361" spans="1:71" x14ac:dyDescent="0.25">
      <c r="A361">
        <v>358</v>
      </c>
      <c r="B361">
        <v>1.9678106333263499E-4</v>
      </c>
      <c r="C361">
        <v>0.114614440687063</v>
      </c>
      <c r="D361">
        <v>-3.5403721468038401E-4</v>
      </c>
      <c r="E361">
        <v>6.1312499999999995E-4</v>
      </c>
      <c r="F361">
        <v>-1.1461444068706201E-3</v>
      </c>
      <c r="G361" s="1">
        <v>1.0842021724855E-19</v>
      </c>
      <c r="H361" t="s">
        <v>74</v>
      </c>
      <c r="I361">
        <v>0</v>
      </c>
      <c r="J361" t="s">
        <v>75</v>
      </c>
      <c r="K361">
        <v>3.14159265358979</v>
      </c>
      <c r="L361">
        <v>0.40137866544323397</v>
      </c>
      <c r="M361">
        <v>0</v>
      </c>
      <c r="N361">
        <v>2.3566975144237699E-2</v>
      </c>
      <c r="O361">
        <v>0</v>
      </c>
      <c r="P361">
        <v>1.6E-2</v>
      </c>
      <c r="Q361">
        <v>0</v>
      </c>
      <c r="R361">
        <v>0</v>
      </c>
      <c r="S361">
        <v>0</v>
      </c>
      <c r="T361">
        <v>0</v>
      </c>
      <c r="U361">
        <v>0.40461559016155801</v>
      </c>
      <c r="V361" t="s">
        <v>79</v>
      </c>
      <c r="W361">
        <v>2697354.3876151098</v>
      </c>
      <c r="X361" t="s">
        <v>76</v>
      </c>
      <c r="Y361">
        <v>-1.5707963267949001</v>
      </c>
      <c r="Z361">
        <v>0.38361839901316802</v>
      </c>
      <c r="AA361">
        <v>0.59531895818466696</v>
      </c>
      <c r="AB361">
        <v>1.79627789208823E-2</v>
      </c>
      <c r="AC361">
        <v>4.0177681035167098E-2</v>
      </c>
      <c r="AD361" s="1">
        <v>2.0991714592188399E-7</v>
      </c>
      <c r="AE361">
        <v>4.3284165828163398E-2</v>
      </c>
      <c r="AF361">
        <v>0</v>
      </c>
      <c r="AG361" s="1">
        <v>2.9169689267922298E-6</v>
      </c>
      <c r="AH361">
        <v>0.89115825924849101</v>
      </c>
      <c r="AI361">
        <v>7.6155288159911294E-2</v>
      </c>
      <c r="AJ361" t="s">
        <v>74</v>
      </c>
      <c r="AK361">
        <v>0</v>
      </c>
      <c r="AL361" t="s">
        <v>77</v>
      </c>
      <c r="AM361">
        <v>0</v>
      </c>
      <c r="AN361">
        <v>0.99199999999999999</v>
      </c>
      <c r="AO361">
        <v>0</v>
      </c>
      <c r="AP361">
        <v>5.8245346242475203E-2</v>
      </c>
      <c r="AQ361">
        <v>0</v>
      </c>
      <c r="AR361">
        <v>1.6E-2</v>
      </c>
      <c r="AS361">
        <v>0</v>
      </c>
      <c r="AT361">
        <v>0</v>
      </c>
      <c r="AU361">
        <v>0</v>
      </c>
      <c r="AV361">
        <v>0</v>
      </c>
      <c r="AW361">
        <v>1</v>
      </c>
      <c r="AX361" t="s">
        <v>74</v>
      </c>
      <c r="AY361">
        <v>0</v>
      </c>
      <c r="AZ361" t="s">
        <v>76</v>
      </c>
      <c r="BA361">
        <v>-1.5707963267949001</v>
      </c>
      <c r="BB361">
        <v>0.99199999999999999</v>
      </c>
      <c r="BC361">
        <v>0</v>
      </c>
      <c r="BD361">
        <v>5.8245346242475203E-2</v>
      </c>
      <c r="BE361">
        <v>0</v>
      </c>
      <c r="BF361">
        <v>1.6E-2</v>
      </c>
      <c r="BG361">
        <v>0</v>
      </c>
      <c r="BH361">
        <v>0</v>
      </c>
      <c r="BI361">
        <v>0</v>
      </c>
      <c r="BJ361">
        <v>0</v>
      </c>
      <c r="BK361">
        <v>1</v>
      </c>
      <c r="BL361" s="1">
        <v>9.9099063792618697E-5</v>
      </c>
      <c r="BM361">
        <v>4.4558058810870898E-4</v>
      </c>
      <c r="BN361" s="1">
        <v>3.8233725523618801E-7</v>
      </c>
      <c r="BO361" s="1">
        <v>6.9991635109226999E-6</v>
      </c>
      <c r="BP361">
        <v>0</v>
      </c>
      <c r="BQ361">
        <v>0</v>
      </c>
      <c r="BR361" s="1">
        <v>5.3446397470680497E-5</v>
      </c>
      <c r="BS361">
        <v>2.48071897350829E-4</v>
      </c>
    </row>
    <row r="362" spans="1:71" x14ac:dyDescent="0.25">
      <c r="A362">
        <v>359</v>
      </c>
      <c r="B362">
        <v>1.9936363472649899E-4</v>
      </c>
      <c r="C362">
        <v>0.114813804321789</v>
      </c>
      <c r="D362">
        <v>-3.55066766155205E-4</v>
      </c>
      <c r="E362">
        <v>6.1312499999999995E-4</v>
      </c>
      <c r="F362">
        <v>-1.1481380432178899E-3</v>
      </c>
      <c r="G362">
        <v>0</v>
      </c>
      <c r="H362" t="s">
        <v>74</v>
      </c>
      <c r="I362">
        <v>0</v>
      </c>
      <c r="J362" t="s">
        <v>75</v>
      </c>
      <c r="K362">
        <v>3.14159265358979</v>
      </c>
      <c r="L362">
        <v>0.40137866544323397</v>
      </c>
      <c r="M362">
        <v>0</v>
      </c>
      <c r="N362">
        <v>2.3566975144237699E-2</v>
      </c>
      <c r="O362">
        <v>0</v>
      </c>
      <c r="P362">
        <v>1.6E-2</v>
      </c>
      <c r="Q362">
        <v>0</v>
      </c>
      <c r="R362">
        <v>0</v>
      </c>
      <c r="S362">
        <v>0</v>
      </c>
      <c r="T362">
        <v>0</v>
      </c>
      <c r="U362">
        <v>0.40461559016455101</v>
      </c>
      <c r="V362" t="s">
        <v>80</v>
      </c>
      <c r="W362">
        <v>2706238.9171053902</v>
      </c>
      <c r="X362" t="s">
        <v>76</v>
      </c>
      <c r="Y362">
        <v>-1.5707963267949001</v>
      </c>
      <c r="Z362">
        <v>0.38317098928697002</v>
      </c>
      <c r="AA362">
        <v>0.59568215806504599</v>
      </c>
      <c r="AB362">
        <v>1.7879620730695999E-2</v>
      </c>
      <c r="AC362">
        <v>4.0462937554162998E-2</v>
      </c>
      <c r="AD362">
        <v>0</v>
      </c>
      <c r="AE362">
        <v>4.3284165828163398E-2</v>
      </c>
      <c r="AF362">
        <v>0</v>
      </c>
      <c r="AG362">
        <v>0</v>
      </c>
      <c r="AH362">
        <v>0.89116117621741797</v>
      </c>
      <c r="AI362">
        <v>7.6155288159911294E-2</v>
      </c>
      <c r="AJ362" t="s">
        <v>74</v>
      </c>
      <c r="AK362">
        <v>0</v>
      </c>
      <c r="AL362" t="s">
        <v>77</v>
      </c>
      <c r="AM362">
        <v>0</v>
      </c>
      <c r="AN362">
        <v>0.99199999999999999</v>
      </c>
      <c r="AO362">
        <v>0</v>
      </c>
      <c r="AP362">
        <v>5.8245346242475203E-2</v>
      </c>
      <c r="AQ362">
        <v>0</v>
      </c>
      <c r="AR362">
        <v>1.6E-2</v>
      </c>
      <c r="AS362">
        <v>0</v>
      </c>
      <c r="AT362">
        <v>0</v>
      </c>
      <c r="AU362">
        <v>0</v>
      </c>
      <c r="AV362">
        <v>0</v>
      </c>
      <c r="AW362">
        <v>1</v>
      </c>
      <c r="AX362" t="s">
        <v>74</v>
      </c>
      <c r="AY362">
        <v>0</v>
      </c>
      <c r="AZ362" t="s">
        <v>76</v>
      </c>
      <c r="BA362">
        <v>-1.5707963267949001</v>
      </c>
      <c r="BB362">
        <v>0.99199999999999999</v>
      </c>
      <c r="BC362">
        <v>0</v>
      </c>
      <c r="BD362">
        <v>5.8245346242475203E-2</v>
      </c>
      <c r="BE362">
        <v>0</v>
      </c>
      <c r="BF362">
        <v>1.6E-2</v>
      </c>
      <c r="BG362">
        <v>0</v>
      </c>
      <c r="BH362">
        <v>0</v>
      </c>
      <c r="BI362">
        <v>0</v>
      </c>
      <c r="BJ362">
        <v>0</v>
      </c>
      <c r="BK362">
        <v>1</v>
      </c>
      <c r="BL362" s="1">
        <v>9.9200112957023603E-5</v>
      </c>
      <c r="BM362">
        <v>4.4558058810870898E-4</v>
      </c>
      <c r="BN362" s="1">
        <v>3.8355819154357802E-7</v>
      </c>
      <c r="BO362" s="1">
        <v>6.9991635109226999E-6</v>
      </c>
      <c r="BP362">
        <v>0</v>
      </c>
      <c r="BQ362">
        <v>0</v>
      </c>
      <c r="BR362" s="1">
        <v>5.3510901397285502E-5</v>
      </c>
      <c r="BS362">
        <v>2.4812275074988802E-4</v>
      </c>
    </row>
    <row r="363" spans="1:71" x14ac:dyDescent="0.25">
      <c r="A363">
        <v>360</v>
      </c>
      <c r="B363">
        <v>0.109442959519884</v>
      </c>
      <c r="C363">
        <v>0.22425676384167301</v>
      </c>
      <c r="D363">
        <v>-9.1968750000000004E-4</v>
      </c>
      <c r="E363">
        <v>6.1312499999999995E-4</v>
      </c>
      <c r="F363">
        <v>-2.2425676384167301E-3</v>
      </c>
      <c r="G363" s="1">
        <v>4.3368086899420197E-19</v>
      </c>
      <c r="H363" t="s">
        <v>74</v>
      </c>
      <c r="I363">
        <v>0</v>
      </c>
      <c r="J363" t="s">
        <v>75</v>
      </c>
      <c r="K363">
        <v>3.14159265358979</v>
      </c>
      <c r="L363">
        <v>0.40137866544323397</v>
      </c>
      <c r="M363">
        <v>0</v>
      </c>
      <c r="N363">
        <v>2.3566975144237699E-2</v>
      </c>
      <c r="O363">
        <v>0</v>
      </c>
      <c r="P363">
        <v>1.6E-2</v>
      </c>
      <c r="Q363">
        <v>0</v>
      </c>
      <c r="R363">
        <v>0</v>
      </c>
      <c r="S363">
        <v>0</v>
      </c>
      <c r="T363">
        <v>0</v>
      </c>
      <c r="U363">
        <v>0.40461559016455101</v>
      </c>
      <c r="V363" t="s">
        <v>80</v>
      </c>
      <c r="W363">
        <v>7578641.7870455803</v>
      </c>
      <c r="X363" t="s">
        <v>76</v>
      </c>
      <c r="Y363">
        <v>-1.5707963267949001</v>
      </c>
      <c r="Z363">
        <v>0.38317098928697002</v>
      </c>
      <c r="AA363">
        <v>0.59568215806504599</v>
      </c>
      <c r="AB363">
        <v>1.7879620730695999E-2</v>
      </c>
      <c r="AC363">
        <v>4.0462937554162998E-2</v>
      </c>
      <c r="AD363">
        <v>0</v>
      </c>
      <c r="AE363">
        <v>4.3284165828163398E-2</v>
      </c>
      <c r="AF363">
        <v>0</v>
      </c>
      <c r="AG363">
        <v>0</v>
      </c>
      <c r="AH363">
        <v>0.89116117621741797</v>
      </c>
      <c r="AI363">
        <v>7.6155288159911294E-2</v>
      </c>
      <c r="AJ363" t="s">
        <v>74</v>
      </c>
      <c r="AK363">
        <v>0</v>
      </c>
      <c r="AL363" t="s">
        <v>77</v>
      </c>
      <c r="AM363">
        <v>0</v>
      </c>
      <c r="AN363">
        <v>0.99199999999999999</v>
      </c>
      <c r="AO363">
        <v>0</v>
      </c>
      <c r="AP363">
        <v>5.8245346242475203E-2</v>
      </c>
      <c r="AQ363">
        <v>0</v>
      </c>
      <c r="AR363">
        <v>1.6E-2</v>
      </c>
      <c r="AS363">
        <v>0</v>
      </c>
      <c r="AT363">
        <v>0</v>
      </c>
      <c r="AU363">
        <v>0</v>
      </c>
      <c r="AV363">
        <v>0</v>
      </c>
      <c r="AW363">
        <v>1</v>
      </c>
      <c r="AX363" t="s">
        <v>74</v>
      </c>
      <c r="AY363">
        <v>0</v>
      </c>
      <c r="AZ363" t="s">
        <v>76</v>
      </c>
      <c r="BA363">
        <v>-1.5707963267949001</v>
      </c>
      <c r="BB363">
        <v>0.99199999999999999</v>
      </c>
      <c r="BC363">
        <v>0</v>
      </c>
      <c r="BD363">
        <v>5.8245346242475203E-2</v>
      </c>
      <c r="BE363">
        <v>0</v>
      </c>
      <c r="BF363">
        <v>1.6E-2</v>
      </c>
      <c r="BG363">
        <v>0</v>
      </c>
      <c r="BH363">
        <v>0</v>
      </c>
      <c r="BI363">
        <v>0</v>
      </c>
      <c r="BJ363">
        <v>0</v>
      </c>
      <c r="BK363">
        <v>1</v>
      </c>
      <c r="BL363" s="1">
        <v>9.9200112957023603E-5</v>
      </c>
      <c r="BM363">
        <v>4.4558058810870898E-4</v>
      </c>
      <c r="BN363" s="1">
        <v>3.8355819154357802E-7</v>
      </c>
      <c r="BO363" s="1">
        <v>6.9991635109226999E-6</v>
      </c>
      <c r="BP363">
        <v>0</v>
      </c>
      <c r="BQ363">
        <v>0</v>
      </c>
      <c r="BR363" s="1">
        <v>6.3100903563114794E-5</v>
      </c>
      <c r="BS363">
        <v>2.8351757150727201E-4</v>
      </c>
    </row>
    <row r="364" spans="1:71" x14ac:dyDescent="0.25">
      <c r="A364">
        <v>361</v>
      </c>
      <c r="B364">
        <v>8.2786125514421396E-2</v>
      </c>
      <c r="C364">
        <v>0.30704288935609397</v>
      </c>
      <c r="D364">
        <v>-1.1130707150688399E-3</v>
      </c>
      <c r="E364">
        <v>6.1312499999999995E-4</v>
      </c>
      <c r="F364">
        <v>-3.0704288935609401E-3</v>
      </c>
      <c r="G364" s="1">
        <v>4.3368086899420197E-19</v>
      </c>
      <c r="H364" t="s">
        <v>78</v>
      </c>
      <c r="I364">
        <v>2062754.2940676699</v>
      </c>
      <c r="J364" t="s">
        <v>75</v>
      </c>
      <c r="K364">
        <v>3.14159265358979</v>
      </c>
      <c r="L364">
        <v>0.400454132083228</v>
      </c>
      <c r="M364">
        <v>0</v>
      </c>
      <c r="N364">
        <v>2.30133954472828E-2</v>
      </c>
      <c r="O364">
        <v>0</v>
      </c>
      <c r="P364">
        <v>1.78490667200123E-2</v>
      </c>
      <c r="Q364">
        <v>0</v>
      </c>
      <c r="R364">
        <v>0</v>
      </c>
      <c r="S364">
        <v>2.3129673701080301E-3</v>
      </c>
      <c r="T364">
        <v>0</v>
      </c>
      <c r="U364">
        <v>0.40461559016454701</v>
      </c>
      <c r="V364" t="s">
        <v>80</v>
      </c>
      <c r="W364">
        <v>9247445.0661662202</v>
      </c>
      <c r="X364" t="s">
        <v>76</v>
      </c>
      <c r="Y364">
        <v>-1.5707963267949001</v>
      </c>
      <c r="Z364">
        <v>0.38317098928697002</v>
      </c>
      <c r="AA364">
        <v>0.59568215806504599</v>
      </c>
      <c r="AB364">
        <v>1.7879620730695999E-2</v>
      </c>
      <c r="AC364">
        <v>4.0462937554162998E-2</v>
      </c>
      <c r="AD364">
        <v>0</v>
      </c>
      <c r="AE364">
        <v>4.3284165828163398E-2</v>
      </c>
      <c r="AF364">
        <v>0</v>
      </c>
      <c r="AG364">
        <v>0</v>
      </c>
      <c r="AH364">
        <v>0.89116117621741797</v>
      </c>
      <c r="AI364">
        <v>7.5865010466928506E-2</v>
      </c>
      <c r="AJ364" t="s">
        <v>74</v>
      </c>
      <c r="AK364">
        <v>0</v>
      </c>
      <c r="AL364" t="s">
        <v>77</v>
      </c>
      <c r="AM364">
        <v>0</v>
      </c>
      <c r="AN364">
        <v>0.99199999999999999</v>
      </c>
      <c r="AO364">
        <v>0</v>
      </c>
      <c r="AP364">
        <v>5.8245346242475203E-2</v>
      </c>
      <c r="AQ364">
        <v>0</v>
      </c>
      <c r="AR364">
        <v>1.6E-2</v>
      </c>
      <c r="AS364">
        <v>0</v>
      </c>
      <c r="AT364">
        <v>0</v>
      </c>
      <c r="AU364">
        <v>0</v>
      </c>
      <c r="AV364">
        <v>0</v>
      </c>
      <c r="AW364">
        <v>1</v>
      </c>
      <c r="AX364" t="s">
        <v>74</v>
      </c>
      <c r="AY364">
        <v>0</v>
      </c>
      <c r="AZ364" t="s">
        <v>76</v>
      </c>
      <c r="BA364">
        <v>-1.5707963267949001</v>
      </c>
      <c r="BB364">
        <v>0.99199999999999999</v>
      </c>
      <c r="BC364">
        <v>0</v>
      </c>
      <c r="BD364">
        <v>5.8245346242475203E-2</v>
      </c>
      <c r="BE364">
        <v>0</v>
      </c>
      <c r="BF364">
        <v>1.6E-2</v>
      </c>
      <c r="BG364">
        <v>0</v>
      </c>
      <c r="BH364">
        <v>0</v>
      </c>
      <c r="BI364">
        <v>0</v>
      </c>
      <c r="BJ364">
        <v>0</v>
      </c>
      <c r="BK364">
        <v>1</v>
      </c>
      <c r="BL364" s="1">
        <v>9.8923323108546105E-5</v>
      </c>
      <c r="BM364">
        <v>4.4673707179376299E-4</v>
      </c>
      <c r="BN364" s="1">
        <v>3.8112984531965397E-7</v>
      </c>
      <c r="BO364" s="1">
        <v>7.0173295141675099E-6</v>
      </c>
      <c r="BP364" s="1">
        <v>1.0231730464434199E-6</v>
      </c>
      <c r="BQ364" s="1">
        <v>7.0260002248650897E-7</v>
      </c>
      <c r="BR364" s="1">
        <v>6.4242244231035704E-5</v>
      </c>
      <c r="BS364">
        <v>3.0263699930427399E-4</v>
      </c>
    </row>
    <row r="365" spans="1:71" x14ac:dyDescent="0.25">
      <c r="A365">
        <v>362</v>
      </c>
      <c r="B365">
        <v>1.2980188226188499E-3</v>
      </c>
      <c r="C365">
        <v>0.30834090817871301</v>
      </c>
      <c r="D365">
        <v>-1.11484773064662E-3</v>
      </c>
      <c r="E365">
        <v>6.1312499999999995E-4</v>
      </c>
      <c r="F365">
        <v>-3.0834090817871301E-3</v>
      </c>
      <c r="G365" s="1">
        <v>2.1684043449710098E-19</v>
      </c>
      <c r="H365" t="s">
        <v>78</v>
      </c>
      <c r="I365">
        <v>2081709.12689723</v>
      </c>
      <c r="J365" t="s">
        <v>75</v>
      </c>
      <c r="K365">
        <v>3.14159265358979</v>
      </c>
      <c r="L365">
        <v>0.39265509328332099</v>
      </c>
      <c r="M365">
        <v>8.29719527347734E-3</v>
      </c>
      <c r="N365">
        <v>2.2397440325721201E-2</v>
      </c>
      <c r="O365">
        <v>4.53279991301569E-4</v>
      </c>
      <c r="P365">
        <v>1.85314238732864E-2</v>
      </c>
      <c r="Q365">
        <v>0</v>
      </c>
      <c r="R365">
        <v>0</v>
      </c>
      <c r="S365">
        <v>4.8012504754751401E-3</v>
      </c>
      <c r="T365">
        <v>0</v>
      </c>
      <c r="U365">
        <v>4.0290309712795597E-3</v>
      </c>
      <c r="V365" t="s">
        <v>80</v>
      </c>
      <c r="W365">
        <v>9262779.8480508793</v>
      </c>
      <c r="X365" t="s">
        <v>76</v>
      </c>
      <c r="Y365">
        <v>-1.5707963267949001</v>
      </c>
      <c r="Z365">
        <v>0.37602891689298701</v>
      </c>
      <c r="AA365">
        <v>0.59568215806504599</v>
      </c>
      <c r="AB365">
        <v>1.7546355558734E-2</v>
      </c>
      <c r="AC365">
        <v>4.0462937554162998E-2</v>
      </c>
      <c r="AD365">
        <v>0</v>
      </c>
      <c r="AE365">
        <v>4.3284165828163398E-2</v>
      </c>
      <c r="AF365">
        <v>0</v>
      </c>
      <c r="AG365">
        <v>0</v>
      </c>
      <c r="AH365">
        <v>0.89116117621741797</v>
      </c>
      <c r="AI365">
        <v>7.0837204351928695E-2</v>
      </c>
      <c r="AJ365" t="s">
        <v>74</v>
      </c>
      <c r="AK365">
        <v>0</v>
      </c>
      <c r="AL365" t="s">
        <v>77</v>
      </c>
      <c r="AM365">
        <v>0</v>
      </c>
      <c r="AN365">
        <v>0.99199999999999999</v>
      </c>
      <c r="AO365">
        <v>0</v>
      </c>
      <c r="AP365">
        <v>5.8245346242475203E-2</v>
      </c>
      <c r="AQ365">
        <v>0</v>
      </c>
      <c r="AR365">
        <v>1.6E-2</v>
      </c>
      <c r="AS365">
        <v>0</v>
      </c>
      <c r="AT365">
        <v>0</v>
      </c>
      <c r="AU365">
        <v>0</v>
      </c>
      <c r="AV365">
        <v>0</v>
      </c>
      <c r="AW365">
        <v>1</v>
      </c>
      <c r="AX365" t="s">
        <v>74</v>
      </c>
      <c r="AY365">
        <v>0</v>
      </c>
      <c r="AZ365" t="s">
        <v>76</v>
      </c>
      <c r="BA365">
        <v>-1.5707963267949001</v>
      </c>
      <c r="BB365">
        <v>0.99199999999999999</v>
      </c>
      <c r="BC365">
        <v>0</v>
      </c>
      <c r="BD365">
        <v>5.8245346242475203E-2</v>
      </c>
      <c r="BE365">
        <v>0</v>
      </c>
      <c r="BF365">
        <v>1.6E-2</v>
      </c>
      <c r="BG365">
        <v>0</v>
      </c>
      <c r="BH365">
        <v>0</v>
      </c>
      <c r="BI365">
        <v>0</v>
      </c>
      <c r="BJ365">
        <v>0</v>
      </c>
      <c r="BK365">
        <v>1</v>
      </c>
      <c r="BL365" s="1">
        <v>9.8675352957435102E-5</v>
      </c>
      <c r="BM365">
        <v>4.4798121334644697E-4</v>
      </c>
      <c r="BN365" s="1">
        <v>3.7988895699051701E-7</v>
      </c>
      <c r="BO365" s="1">
        <v>7.0368724439771902E-6</v>
      </c>
      <c r="BP365" s="1">
        <v>1.01327107425047E-6</v>
      </c>
      <c r="BQ365" s="1">
        <v>1.4718568144705301E-6</v>
      </c>
      <c r="BR365" s="1">
        <v>6.40469651458395E-5</v>
      </c>
      <c r="BS365">
        <v>3.0431519958088599E-4</v>
      </c>
    </row>
    <row r="366" spans="1:71" x14ac:dyDescent="0.25">
      <c r="A366">
        <v>363</v>
      </c>
      <c r="B366">
        <v>8.7486321188752296E-4</v>
      </c>
      <c r="C366">
        <v>0.30921577139060102</v>
      </c>
      <c r="D366">
        <v>-1.11603766389955E-3</v>
      </c>
      <c r="E366">
        <v>6.1312499999999995E-4</v>
      </c>
      <c r="F366">
        <v>-3.0921577139060102E-3</v>
      </c>
      <c r="G366" s="1">
        <v>4.3368086899420197E-19</v>
      </c>
      <c r="H366" t="s">
        <v>78</v>
      </c>
      <c r="I366">
        <v>2094401.7482618999</v>
      </c>
      <c r="J366" t="s">
        <v>75</v>
      </c>
      <c r="K366">
        <v>3.14159265358979</v>
      </c>
      <c r="L366">
        <v>0.38923463589134599</v>
      </c>
      <c r="M366">
        <v>8.4715883302078302E-3</v>
      </c>
      <c r="N366">
        <v>2.2100329613282399E-2</v>
      </c>
      <c r="O366">
        <v>6.9991934437673797E-4</v>
      </c>
      <c r="P366">
        <v>1.22990928471315E-2</v>
      </c>
      <c r="Q366">
        <v>6.2359763717074303E-3</v>
      </c>
      <c r="R366">
        <v>0</v>
      </c>
      <c r="S366">
        <v>4.8336568034789903E-3</v>
      </c>
      <c r="T366">
        <v>2.0332477416695098E-3</v>
      </c>
      <c r="U366">
        <v>2.9679900010556701E-3</v>
      </c>
      <c r="V366" t="s">
        <v>80</v>
      </c>
      <c r="W366">
        <v>9273048.39443806</v>
      </c>
      <c r="X366" t="s">
        <v>76</v>
      </c>
      <c r="Y366">
        <v>-1.5707963267949001</v>
      </c>
      <c r="Z366">
        <v>0.37295616512094598</v>
      </c>
      <c r="AA366">
        <v>0.59568215806504599</v>
      </c>
      <c r="AB366">
        <v>1.7402974045467801E-2</v>
      </c>
      <c r="AC366">
        <v>4.0462937554162998E-2</v>
      </c>
      <c r="AD366">
        <v>0</v>
      </c>
      <c r="AE366">
        <v>4.3284165828163398E-2</v>
      </c>
      <c r="AF366">
        <v>0</v>
      </c>
      <c r="AG366">
        <v>0</v>
      </c>
      <c r="AH366">
        <v>0.89116117621741797</v>
      </c>
      <c r="AI366">
        <v>6.6590842572431599E-2</v>
      </c>
      <c r="AJ366" t="s">
        <v>74</v>
      </c>
      <c r="AK366">
        <v>0</v>
      </c>
      <c r="AL366" t="s">
        <v>77</v>
      </c>
      <c r="AM366">
        <v>0</v>
      </c>
      <c r="AN366">
        <v>0.99199999999999999</v>
      </c>
      <c r="AO366">
        <v>0</v>
      </c>
      <c r="AP366">
        <v>5.8245346242475203E-2</v>
      </c>
      <c r="AQ366">
        <v>0</v>
      </c>
      <c r="AR366">
        <v>1.6E-2</v>
      </c>
      <c r="AS366">
        <v>0</v>
      </c>
      <c r="AT366">
        <v>0</v>
      </c>
      <c r="AU366">
        <v>0</v>
      </c>
      <c r="AV366">
        <v>0</v>
      </c>
      <c r="AW366">
        <v>1</v>
      </c>
      <c r="AX366" t="s">
        <v>74</v>
      </c>
      <c r="AY366">
        <v>0</v>
      </c>
      <c r="AZ366" t="s">
        <v>76</v>
      </c>
      <c r="BA366">
        <v>-1.5707963267949001</v>
      </c>
      <c r="BB366">
        <v>0.99199999999999999</v>
      </c>
      <c r="BC366">
        <v>0</v>
      </c>
      <c r="BD366">
        <v>5.8245346242475203E-2</v>
      </c>
      <c r="BE366">
        <v>0</v>
      </c>
      <c r="BF366">
        <v>1.6E-2</v>
      </c>
      <c r="BG366">
        <v>0</v>
      </c>
      <c r="BH366">
        <v>0</v>
      </c>
      <c r="BI366">
        <v>0</v>
      </c>
      <c r="BJ366">
        <v>0</v>
      </c>
      <c r="BK366">
        <v>1</v>
      </c>
      <c r="BL366" s="1">
        <v>9.8578426521120198E-5</v>
      </c>
      <c r="BM366">
        <v>4.4901404038128297E-4</v>
      </c>
      <c r="BN366" s="1">
        <v>3.7993892245534602E-7</v>
      </c>
      <c r="BO366" s="1">
        <v>7.0530960531025497E-6</v>
      </c>
      <c r="BP366" s="1">
        <v>1.0256893009108699E-6</v>
      </c>
      <c r="BQ366" s="1">
        <v>2.1179326993066998E-6</v>
      </c>
      <c r="BR366" s="1">
        <v>6.3978214994953199E-5</v>
      </c>
      <c r="BS366">
        <v>3.0567889642937402E-4</v>
      </c>
    </row>
    <row r="367" spans="1:71" x14ac:dyDescent="0.25">
      <c r="A367">
        <v>364</v>
      </c>
      <c r="B367">
        <v>9.5894211285379603E-4</v>
      </c>
      <c r="C367">
        <v>0.31017471350345399</v>
      </c>
      <c r="D367">
        <v>-1.11733625053615E-3</v>
      </c>
      <c r="E367">
        <v>6.1312499999999995E-4</v>
      </c>
      <c r="F367">
        <v>-3.1017471350345402E-3</v>
      </c>
      <c r="G367" s="1">
        <v>2.1684043449710098E-19</v>
      </c>
      <c r="H367" t="s">
        <v>78</v>
      </c>
      <c r="I367">
        <v>2108253.3390522902</v>
      </c>
      <c r="J367" t="s">
        <v>75</v>
      </c>
      <c r="K367">
        <v>3.14159265358979</v>
      </c>
      <c r="L367">
        <v>0.38596080502704699</v>
      </c>
      <c r="M367">
        <v>1.32981218558995E-2</v>
      </c>
      <c r="N367">
        <v>2.18088974658983E-2</v>
      </c>
      <c r="O367">
        <v>1.0990880851001999E-3</v>
      </c>
      <c r="P367">
        <v>7.1594417221594797E-3</v>
      </c>
      <c r="Q367">
        <v>1.13783878250434E-2</v>
      </c>
      <c r="R367">
        <v>0</v>
      </c>
      <c r="S367">
        <v>4.2572001601636099E-3</v>
      </c>
      <c r="T367">
        <v>4.5726930076019799E-3</v>
      </c>
      <c r="U367">
        <v>2.1042907211337399E-3</v>
      </c>
      <c r="V367" t="s">
        <v>80</v>
      </c>
      <c r="W367">
        <v>9284254.5667866096</v>
      </c>
      <c r="X367" t="s">
        <v>76</v>
      </c>
      <c r="Y367">
        <v>-1.5707963267949001</v>
      </c>
      <c r="Z367">
        <v>0.370036132741275</v>
      </c>
      <c r="AA367">
        <v>0.59568215806504599</v>
      </c>
      <c r="AB367">
        <v>1.7266718762762201E-2</v>
      </c>
      <c r="AC367">
        <v>4.0462937554162998E-2</v>
      </c>
      <c r="AD367">
        <v>0</v>
      </c>
      <c r="AE367">
        <v>4.3284165828163398E-2</v>
      </c>
      <c r="AF367">
        <v>0</v>
      </c>
      <c r="AG367">
        <v>0</v>
      </c>
      <c r="AH367">
        <v>0.89116117621741797</v>
      </c>
      <c r="AI367">
        <v>6.2548852666912902E-2</v>
      </c>
      <c r="AJ367" t="s">
        <v>74</v>
      </c>
      <c r="AK367">
        <v>0</v>
      </c>
      <c r="AL367" t="s">
        <v>77</v>
      </c>
      <c r="AM367">
        <v>0</v>
      </c>
      <c r="AN367">
        <v>0.99199999999999999</v>
      </c>
      <c r="AO367">
        <v>0</v>
      </c>
      <c r="AP367">
        <v>5.8245346242475203E-2</v>
      </c>
      <c r="AQ367">
        <v>0</v>
      </c>
      <c r="AR367">
        <v>1.6E-2</v>
      </c>
      <c r="AS367">
        <v>0</v>
      </c>
      <c r="AT367">
        <v>0</v>
      </c>
      <c r="AU367">
        <v>0</v>
      </c>
      <c r="AV367">
        <v>0</v>
      </c>
      <c r="AW367">
        <v>1</v>
      </c>
      <c r="AX367" t="s">
        <v>74</v>
      </c>
      <c r="AY367">
        <v>0</v>
      </c>
      <c r="AZ367" t="s">
        <v>76</v>
      </c>
      <c r="BA367">
        <v>-1.5707963267949001</v>
      </c>
      <c r="BB367">
        <v>0.99199999999999999</v>
      </c>
      <c r="BC367">
        <v>0</v>
      </c>
      <c r="BD367">
        <v>5.8245346242475203E-2</v>
      </c>
      <c r="BE367">
        <v>0</v>
      </c>
      <c r="BF367">
        <v>1.6E-2</v>
      </c>
      <c r="BG367">
        <v>0</v>
      </c>
      <c r="BH367">
        <v>0</v>
      </c>
      <c r="BI367">
        <v>0</v>
      </c>
      <c r="BJ367">
        <v>0</v>
      </c>
      <c r="BK367">
        <v>1</v>
      </c>
      <c r="BL367" s="1">
        <v>9.8564167176437095E-5</v>
      </c>
      <c r="BM367">
        <v>4.4999553469259198E-4</v>
      </c>
      <c r="BN367" s="1">
        <v>3.8019733830726301E-7</v>
      </c>
      <c r="BO367" s="1">
        <v>7.0685133296922899E-6</v>
      </c>
      <c r="BP367" s="1">
        <v>1.0437502394272901E-6</v>
      </c>
      <c r="BQ367" s="1">
        <v>2.7413810059435199E-6</v>
      </c>
      <c r="BR367" s="1">
        <v>6.4007692835464807E-5</v>
      </c>
      <c r="BS367">
        <v>3.0699259208632899E-4</v>
      </c>
    </row>
    <row r="368" spans="1:71" x14ac:dyDescent="0.25">
      <c r="A368">
        <v>365</v>
      </c>
      <c r="B368">
        <v>1.1441254697559301E-3</v>
      </c>
      <c r="C368">
        <v>0.31131883897321</v>
      </c>
      <c r="D368">
        <v>-1.1188781812778901E-3</v>
      </c>
      <c r="E368">
        <v>6.1312499999999995E-4</v>
      </c>
      <c r="F368">
        <v>-3.1131883897321001E-3</v>
      </c>
      <c r="G368" s="1">
        <v>4.3368086899420197E-19</v>
      </c>
      <c r="H368" t="s">
        <v>78</v>
      </c>
      <c r="I368">
        <v>2124700.6002974999</v>
      </c>
      <c r="J368" t="s">
        <v>75</v>
      </c>
      <c r="K368">
        <v>3.14159265358979</v>
      </c>
      <c r="L368">
        <v>0.38291006363930102</v>
      </c>
      <c r="M368">
        <v>1.60062016516717E-2</v>
      </c>
      <c r="N368">
        <v>2.1516111816303099E-2</v>
      </c>
      <c r="O368">
        <v>1.45558181163291E-3</v>
      </c>
      <c r="P368">
        <v>3.2286623554555502E-3</v>
      </c>
      <c r="Q368">
        <v>1.53113233218111E-2</v>
      </c>
      <c r="R368">
        <v>0</v>
      </c>
      <c r="S368">
        <v>3.03383937434479E-3</v>
      </c>
      <c r="T368">
        <v>7.5898692418402301E-3</v>
      </c>
      <c r="U368">
        <v>1.4389274033871199E-3</v>
      </c>
      <c r="V368" t="s">
        <v>80</v>
      </c>
      <c r="W368">
        <v>9297560.6806449201</v>
      </c>
      <c r="X368" t="s">
        <v>76</v>
      </c>
      <c r="Y368">
        <v>-1.5707963267949001</v>
      </c>
      <c r="Z368">
        <v>0.36736775293907598</v>
      </c>
      <c r="AA368">
        <v>0.59568215806504599</v>
      </c>
      <c r="AB368">
        <v>1.71422061556947E-2</v>
      </c>
      <c r="AC368">
        <v>4.0462937554162998E-2</v>
      </c>
      <c r="AD368">
        <v>0</v>
      </c>
      <c r="AE368">
        <v>4.3284165828163398E-2</v>
      </c>
      <c r="AF368">
        <v>0</v>
      </c>
      <c r="AG368">
        <v>0</v>
      </c>
      <c r="AH368">
        <v>0.89116117621741797</v>
      </c>
      <c r="AI368">
        <v>5.8848420968576801E-2</v>
      </c>
      <c r="AJ368" t="s">
        <v>74</v>
      </c>
      <c r="AK368">
        <v>0</v>
      </c>
      <c r="AL368" t="s">
        <v>77</v>
      </c>
      <c r="AM368">
        <v>0</v>
      </c>
      <c r="AN368">
        <v>0.99199999999999999</v>
      </c>
      <c r="AO368">
        <v>0</v>
      </c>
      <c r="AP368">
        <v>5.8245346242475203E-2</v>
      </c>
      <c r="AQ368">
        <v>0</v>
      </c>
      <c r="AR368">
        <v>1.6E-2</v>
      </c>
      <c r="AS368">
        <v>0</v>
      </c>
      <c r="AT368">
        <v>0</v>
      </c>
      <c r="AU368">
        <v>0</v>
      </c>
      <c r="AV368">
        <v>0</v>
      </c>
      <c r="AW368">
        <v>1</v>
      </c>
      <c r="AX368" t="s">
        <v>74</v>
      </c>
      <c r="AY368">
        <v>0</v>
      </c>
      <c r="AZ368" t="s">
        <v>76</v>
      </c>
      <c r="BA368">
        <v>-1.5707963267949001</v>
      </c>
      <c r="BB368">
        <v>0.99199999999999999</v>
      </c>
      <c r="BC368">
        <v>0</v>
      </c>
      <c r="BD368">
        <v>5.8245346242475203E-2</v>
      </c>
      <c r="BE368">
        <v>0</v>
      </c>
      <c r="BF368">
        <v>1.6E-2</v>
      </c>
      <c r="BG368">
        <v>0</v>
      </c>
      <c r="BH368">
        <v>0</v>
      </c>
      <c r="BI368">
        <v>0</v>
      </c>
      <c r="BJ368">
        <v>0</v>
      </c>
      <c r="BK368">
        <v>1</v>
      </c>
      <c r="BL368" s="1">
        <v>9.8533764911371994E-5</v>
      </c>
      <c r="BM368">
        <v>4.5089244241680202E-4</v>
      </c>
      <c r="BN368" s="1">
        <v>3.8051391145455399E-7</v>
      </c>
      <c r="BO368" s="1">
        <v>7.0826019232789102E-6</v>
      </c>
      <c r="BP368" s="1">
        <v>1.0643186188345499E-6</v>
      </c>
      <c r="BQ368" s="1">
        <v>3.3240308403959501E-6</v>
      </c>
      <c r="BR368" s="1">
        <v>6.4016758749151106E-5</v>
      </c>
      <c r="BS368">
        <v>3.0823058796622198E-4</v>
      </c>
    </row>
    <row r="369" spans="1:71" x14ac:dyDescent="0.25">
      <c r="A369">
        <v>366</v>
      </c>
      <c r="B369">
        <v>1.5791360855982499E-3</v>
      </c>
      <c r="C369">
        <v>0.31289797505880901</v>
      </c>
      <c r="D369">
        <v>-1.1209941985142399E-3</v>
      </c>
      <c r="E369">
        <v>6.1312499999999995E-4</v>
      </c>
      <c r="F369">
        <v>-3.12897975058809E-3</v>
      </c>
      <c r="G369" s="1">
        <v>4.3368086899420197E-19</v>
      </c>
      <c r="H369" t="s">
        <v>80</v>
      </c>
      <c r="I369">
        <v>2147271.4508185498</v>
      </c>
      <c r="J369" t="s">
        <v>75</v>
      </c>
      <c r="K369">
        <v>3.14159265358979</v>
      </c>
      <c r="L369">
        <v>0.38021129221358901</v>
      </c>
      <c r="M369">
        <v>1.8706089593258701E-2</v>
      </c>
      <c r="N369">
        <v>2.1204250924593E-2</v>
      </c>
      <c r="O369">
        <v>1.87889520930038E-3</v>
      </c>
      <c r="P369">
        <v>7.2918717969880495E-4</v>
      </c>
      <c r="Q369">
        <v>1.78125915945016E-2</v>
      </c>
      <c r="R369">
        <v>0</v>
      </c>
      <c r="S369">
        <v>1.23713845998663E-3</v>
      </c>
      <c r="T369">
        <v>1.0887017023731699E-2</v>
      </c>
      <c r="U369">
        <v>9.7235281003194799E-4</v>
      </c>
      <c r="V369" t="s">
        <v>80</v>
      </c>
      <c r="W369">
        <v>9315820.8822939396</v>
      </c>
      <c r="X369" t="s">
        <v>76</v>
      </c>
      <c r="Y369">
        <v>-1.5707963267949001</v>
      </c>
      <c r="Z369">
        <v>0.36513577187372998</v>
      </c>
      <c r="AA369">
        <v>0.59568215806504599</v>
      </c>
      <c r="AB369">
        <v>1.7038056895854501E-2</v>
      </c>
      <c r="AC369">
        <v>4.0462937554162998E-2</v>
      </c>
      <c r="AD369">
        <v>0</v>
      </c>
      <c r="AE369">
        <v>4.3284165828163398E-2</v>
      </c>
      <c r="AF369">
        <v>0</v>
      </c>
      <c r="AG369">
        <v>0</v>
      </c>
      <c r="AH369">
        <v>0.89116117621741797</v>
      </c>
      <c r="AI369">
        <v>5.5745948038352401E-2</v>
      </c>
      <c r="AJ369" t="s">
        <v>74</v>
      </c>
      <c r="AK369">
        <v>0</v>
      </c>
      <c r="AL369" t="s">
        <v>77</v>
      </c>
      <c r="AM369">
        <v>0</v>
      </c>
      <c r="AN369">
        <v>0.99199999999999999</v>
      </c>
      <c r="AO369">
        <v>0</v>
      </c>
      <c r="AP369">
        <v>5.8245346242475203E-2</v>
      </c>
      <c r="AQ369">
        <v>0</v>
      </c>
      <c r="AR369">
        <v>1.6E-2</v>
      </c>
      <c r="AS369">
        <v>0</v>
      </c>
      <c r="AT369">
        <v>0</v>
      </c>
      <c r="AU369">
        <v>0</v>
      </c>
      <c r="AV369">
        <v>0</v>
      </c>
      <c r="AW369">
        <v>1</v>
      </c>
      <c r="AX369" t="s">
        <v>74</v>
      </c>
      <c r="AY369">
        <v>0</v>
      </c>
      <c r="AZ369" t="s">
        <v>76</v>
      </c>
      <c r="BA369">
        <v>-1.5707963267949001</v>
      </c>
      <c r="BB369">
        <v>0.99199999999999999</v>
      </c>
      <c r="BC369">
        <v>0</v>
      </c>
      <c r="BD369">
        <v>5.8245346242475203E-2</v>
      </c>
      <c r="BE369">
        <v>0</v>
      </c>
      <c r="BF369">
        <v>1.6E-2</v>
      </c>
      <c r="BG369">
        <v>0</v>
      </c>
      <c r="BH369">
        <v>0</v>
      </c>
      <c r="BI369">
        <v>0</v>
      </c>
      <c r="BJ369">
        <v>0</v>
      </c>
      <c r="BK369">
        <v>1</v>
      </c>
      <c r="BL369" s="1">
        <v>9.85374165344306E-5</v>
      </c>
      <c r="BM369">
        <v>4.5164266585056802E-4</v>
      </c>
      <c r="BN369" s="1">
        <v>3.8111177143507998E-7</v>
      </c>
      <c r="BO369" s="1">
        <v>7.0943864054192702E-6</v>
      </c>
      <c r="BP369" s="1">
        <v>1.0946656415770599E-6</v>
      </c>
      <c r="BQ369" s="1">
        <v>3.8338013028150197E-6</v>
      </c>
      <c r="BR369" s="1">
        <v>6.4066197939474605E-5</v>
      </c>
      <c r="BS369">
        <v>3.0935336750144399E-4</v>
      </c>
    </row>
    <row r="370" spans="1:71" x14ac:dyDescent="0.25">
      <c r="A370">
        <v>367</v>
      </c>
      <c r="B370">
        <v>0.2</v>
      </c>
      <c r="C370">
        <v>0.51289797505880896</v>
      </c>
      <c r="D370">
        <v>-1.3868750000000001E-3</v>
      </c>
      <c r="E370">
        <v>6.1312499999999995E-4</v>
      </c>
      <c r="F370">
        <v>-5.1289797505880896E-3</v>
      </c>
      <c r="G370">
        <v>0</v>
      </c>
      <c r="H370" t="s">
        <v>80</v>
      </c>
      <c r="I370">
        <v>4983333.3333333302</v>
      </c>
      <c r="J370" t="s">
        <v>75</v>
      </c>
      <c r="K370">
        <v>3.14159265358979</v>
      </c>
      <c r="L370">
        <v>0.38021129221358901</v>
      </c>
      <c r="M370">
        <v>1.8706089593258701E-2</v>
      </c>
      <c r="N370">
        <v>2.1204250924593E-2</v>
      </c>
      <c r="O370">
        <v>1.87889520930038E-3</v>
      </c>
      <c r="P370">
        <v>0</v>
      </c>
      <c r="Q370">
        <v>1.78125915945016E-2</v>
      </c>
      <c r="R370">
        <v>0</v>
      </c>
      <c r="S370">
        <v>0</v>
      </c>
      <c r="T370">
        <v>1.2124155483718301E-2</v>
      </c>
      <c r="U370">
        <v>9.7235281003194799E-4</v>
      </c>
      <c r="V370" t="s">
        <v>80</v>
      </c>
      <c r="W370">
        <v>11610243.142347399</v>
      </c>
      <c r="X370" t="s">
        <v>76</v>
      </c>
      <c r="Y370">
        <v>-1.5707963267949001</v>
      </c>
      <c r="Z370">
        <v>0.36513577187372998</v>
      </c>
      <c r="AA370">
        <v>0.59568215806504599</v>
      </c>
      <c r="AB370">
        <v>1.7038056895854501E-2</v>
      </c>
      <c r="AC370">
        <v>4.0462937554162998E-2</v>
      </c>
      <c r="AD370">
        <v>0</v>
      </c>
      <c r="AE370">
        <v>4.3284165828163398E-2</v>
      </c>
      <c r="AF370">
        <v>0</v>
      </c>
      <c r="AG370">
        <v>0</v>
      </c>
      <c r="AH370">
        <v>0.89116117621741797</v>
      </c>
      <c r="AI370">
        <v>5.5745951535411398E-2</v>
      </c>
      <c r="AJ370" t="s">
        <v>74</v>
      </c>
      <c r="AK370">
        <v>0</v>
      </c>
      <c r="AL370" t="s">
        <v>77</v>
      </c>
      <c r="AM370">
        <v>0</v>
      </c>
      <c r="AN370">
        <v>0.99199999999999999</v>
      </c>
      <c r="AO370">
        <v>0</v>
      </c>
      <c r="AP370">
        <v>5.8245346242475203E-2</v>
      </c>
      <c r="AQ370">
        <v>0</v>
      </c>
      <c r="AR370">
        <v>1.6E-2</v>
      </c>
      <c r="AS370">
        <v>0</v>
      </c>
      <c r="AT370">
        <v>0</v>
      </c>
      <c r="AU370">
        <v>0</v>
      </c>
      <c r="AV370">
        <v>0</v>
      </c>
      <c r="AW370">
        <v>1</v>
      </c>
      <c r="AX370" t="s">
        <v>74</v>
      </c>
      <c r="AY370">
        <v>0</v>
      </c>
      <c r="AZ370" t="s">
        <v>76</v>
      </c>
      <c r="BA370">
        <v>-1.5707963267949001</v>
      </c>
      <c r="BB370">
        <v>0.99199999999999999</v>
      </c>
      <c r="BC370">
        <v>0</v>
      </c>
      <c r="BD370">
        <v>5.8245346242475203E-2</v>
      </c>
      <c r="BE370">
        <v>0</v>
      </c>
      <c r="BF370">
        <v>1.6E-2</v>
      </c>
      <c r="BG370">
        <v>0</v>
      </c>
      <c r="BH370">
        <v>0</v>
      </c>
      <c r="BI370">
        <v>0</v>
      </c>
      <c r="BJ370">
        <v>0</v>
      </c>
      <c r="BK370">
        <v>1</v>
      </c>
      <c r="BL370" s="1">
        <v>9.85374165344306E-5</v>
      </c>
      <c r="BM370">
        <v>4.5164266585056802E-4</v>
      </c>
      <c r="BN370" s="1">
        <v>3.8111177143507998E-7</v>
      </c>
      <c r="BO370" s="1">
        <v>7.0943864054192702E-6</v>
      </c>
      <c r="BP370" s="1">
        <v>2.5404723647986798E-6</v>
      </c>
      <c r="BQ370" s="1">
        <v>8.8973892045236899E-6</v>
      </c>
      <c r="BR370" s="1">
        <v>6.6810977700622494E-5</v>
      </c>
      <c r="BS370">
        <v>3.4491908617135299E-4</v>
      </c>
    </row>
    <row r="371" spans="1:71" x14ac:dyDescent="0.25">
      <c r="A371">
        <v>368</v>
      </c>
      <c r="B371">
        <v>0</v>
      </c>
      <c r="C371">
        <v>0.51289797505880896</v>
      </c>
      <c r="D371">
        <v>-1.3868750000000001E-3</v>
      </c>
      <c r="E371">
        <v>6.1312499999999995E-4</v>
      </c>
      <c r="F371">
        <v>-5.1289797505880896E-3</v>
      </c>
      <c r="G371">
        <v>0</v>
      </c>
      <c r="H371" t="s">
        <v>80</v>
      </c>
      <c r="I371">
        <v>4983333.3333333395</v>
      </c>
      <c r="J371" t="s">
        <v>75</v>
      </c>
      <c r="K371">
        <v>3.14159265358979</v>
      </c>
      <c r="L371">
        <v>0.38021129221358901</v>
      </c>
      <c r="M371">
        <v>1.8706089593258701E-2</v>
      </c>
      <c r="N371">
        <v>2.1204250924593E-2</v>
      </c>
      <c r="O371">
        <v>1.87889520930038E-3</v>
      </c>
      <c r="P371">
        <v>0</v>
      </c>
      <c r="Q371">
        <v>1.78125915945016E-2</v>
      </c>
      <c r="R371">
        <v>0</v>
      </c>
      <c r="S371">
        <v>0</v>
      </c>
      <c r="T371">
        <v>1.2124155483718301E-2</v>
      </c>
      <c r="U371">
        <v>9.7235281003194799E-4</v>
      </c>
      <c r="V371" t="s">
        <v>80</v>
      </c>
      <c r="W371">
        <v>11610243.142347399</v>
      </c>
      <c r="X371" t="s">
        <v>76</v>
      </c>
      <c r="Y371">
        <v>-1.5707963267949001</v>
      </c>
      <c r="Z371">
        <v>0.36513577187372998</v>
      </c>
      <c r="AA371">
        <v>0.59568215806504599</v>
      </c>
      <c r="AB371">
        <v>1.7038056895854501E-2</v>
      </c>
      <c r="AC371">
        <v>4.0462937554162998E-2</v>
      </c>
      <c r="AD371">
        <v>0</v>
      </c>
      <c r="AE371">
        <v>4.3284165828163398E-2</v>
      </c>
      <c r="AF371">
        <v>0</v>
      </c>
      <c r="AG371">
        <v>0</v>
      </c>
      <c r="AH371">
        <v>0.89116117621741797</v>
      </c>
      <c r="AI371">
        <v>5.5745951535411398E-2</v>
      </c>
      <c r="AJ371" t="s">
        <v>74</v>
      </c>
      <c r="AK371">
        <v>0</v>
      </c>
      <c r="AL371" t="s">
        <v>77</v>
      </c>
      <c r="AM371">
        <v>0</v>
      </c>
      <c r="AN371">
        <v>0.99199999999999999</v>
      </c>
      <c r="AO371">
        <v>0</v>
      </c>
      <c r="AP371">
        <v>5.8245346242475203E-2</v>
      </c>
      <c r="AQ371">
        <v>0</v>
      </c>
      <c r="AR371">
        <v>1.6E-2</v>
      </c>
      <c r="AS371">
        <v>0</v>
      </c>
      <c r="AT371">
        <v>0</v>
      </c>
      <c r="AU371">
        <v>0</v>
      </c>
      <c r="AV371">
        <v>0</v>
      </c>
      <c r="AW371">
        <v>1</v>
      </c>
      <c r="AX371" t="s">
        <v>74</v>
      </c>
      <c r="AY371">
        <v>0</v>
      </c>
      <c r="AZ371" t="s">
        <v>76</v>
      </c>
      <c r="BA371">
        <v>-1.5707963267949001</v>
      </c>
      <c r="BB371">
        <v>0.99199999999999999</v>
      </c>
      <c r="BC371">
        <v>0</v>
      </c>
      <c r="BD371">
        <v>5.8245346242475203E-2</v>
      </c>
      <c r="BE371">
        <v>0</v>
      </c>
      <c r="BF371">
        <v>1.6E-2</v>
      </c>
      <c r="BG371">
        <v>0</v>
      </c>
      <c r="BH371">
        <v>0</v>
      </c>
      <c r="BI371">
        <v>0</v>
      </c>
      <c r="BJ371">
        <v>0</v>
      </c>
      <c r="BK371">
        <v>1</v>
      </c>
      <c r="BL371" s="1">
        <v>9.85374165344306E-5</v>
      </c>
      <c r="BM371">
        <v>4.5164266585056802E-4</v>
      </c>
      <c r="BN371" s="1">
        <v>3.8111177143507998E-7</v>
      </c>
      <c r="BO371" s="1">
        <v>7.0943864054192702E-6</v>
      </c>
      <c r="BP371" s="1">
        <v>2.5404723647986798E-6</v>
      </c>
      <c r="BQ371" s="1">
        <v>8.8973892045236899E-6</v>
      </c>
      <c r="BR371" s="1">
        <v>6.6810977700622494E-5</v>
      </c>
      <c r="BS371">
        <v>3.4491908617135299E-4</v>
      </c>
    </row>
    <row r="372" spans="1:71" x14ac:dyDescent="0.25">
      <c r="A372" t="s">
        <v>81</v>
      </c>
    </row>
    <row r="373" spans="1:71" x14ac:dyDescent="0.25">
      <c r="A373" t="s">
        <v>9</v>
      </c>
      <c r="B373">
        <v>0</v>
      </c>
      <c r="C373">
        <v>0.25955190384466498</v>
      </c>
      <c r="D373">
        <v>0.58647099847871997</v>
      </c>
      <c r="E373">
        <v>0.99824256652821797</v>
      </c>
      <c r="F373">
        <v>1.51689022901407</v>
      </c>
      <c r="G373">
        <v>2.1701538797227</v>
      </c>
      <c r="H373">
        <v>2.9929733546852799</v>
      </c>
      <c r="I373">
        <v>4.02935719089486</v>
      </c>
      <c r="J373">
        <v>5.3347364249064801</v>
      </c>
      <c r="K373">
        <v>6.9789293243451</v>
      </c>
      <c r="L373">
        <v>9.0498756211208899</v>
      </c>
      <c r="M373">
        <v>11.658339971984899</v>
      </c>
      <c r="N373">
        <v>14.9438362112266</v>
      </c>
      <c r="O373">
        <v>19.082089254437999</v>
      </c>
      <c r="P373">
        <v>24.294433753605801</v>
      </c>
      <c r="Q373">
        <v>30.859652191026999</v>
      </c>
      <c r="R373">
        <v>39.128885573036897</v>
      </c>
      <c r="S373">
        <v>49.544414222683301</v>
      </c>
      <c r="T373">
        <v>62.663313162894099</v>
      </c>
      <c r="U373">
        <v>79.187247299382406</v>
      </c>
      <c r="V373">
        <v>100</v>
      </c>
    </row>
    <row r="374" spans="1:71" x14ac:dyDescent="0.25">
      <c r="A374" t="s">
        <v>6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</row>
    <row r="375" spans="1:71" x14ac:dyDescent="0.25">
      <c r="A375" t="s">
        <v>7</v>
      </c>
      <c r="B375">
        <v>1.78125915945016E-2</v>
      </c>
      <c r="C375">
        <v>1.4852066619592701E-2</v>
      </c>
      <c r="D375">
        <v>4.2796674266987198E-3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</row>
    <row r="376" spans="1:71" x14ac:dyDescent="0.25">
      <c r="A376" t="s">
        <v>8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</row>
    <row r="377" spans="1:71" x14ac:dyDescent="0.25">
      <c r="A377" t="s">
        <v>41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</row>
    <row r="378" spans="1:71" x14ac:dyDescent="0.25">
      <c r="A378" t="s">
        <v>42</v>
      </c>
      <c r="B378">
        <v>1.2124155483718301E-2</v>
      </c>
      <c r="C378">
        <v>1.05405661763314E-2</v>
      </c>
      <c r="D378">
        <v>6.3024602953007996E-3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</row>
    <row r="379" spans="1:71" x14ac:dyDescent="0.25">
      <c r="A379" t="s">
        <v>10</v>
      </c>
      <c r="B379">
        <v>0</v>
      </c>
      <c r="C379">
        <v>0.05</v>
      </c>
      <c r="D379">
        <v>0.1</v>
      </c>
      <c r="E379">
        <v>0.15</v>
      </c>
      <c r="F379">
        <v>0.2</v>
      </c>
      <c r="G379">
        <v>0.25</v>
      </c>
      <c r="H379">
        <v>0.3</v>
      </c>
      <c r="I379">
        <v>0.35</v>
      </c>
      <c r="J379">
        <v>0.4</v>
      </c>
      <c r="K379">
        <v>0.45</v>
      </c>
      <c r="L379">
        <v>0.5</v>
      </c>
    </row>
    <row r="380" spans="1:71" x14ac:dyDescent="0.25">
      <c r="A380" t="s">
        <v>2</v>
      </c>
      <c r="B380">
        <v>0.38021129221358901</v>
      </c>
      <c r="C380">
        <v>0.38021129221358901</v>
      </c>
      <c r="D380">
        <v>0.38021129221358901</v>
      </c>
      <c r="E380">
        <v>0.108883543545791</v>
      </c>
      <c r="F380">
        <v>4.2836657495723303E-2</v>
      </c>
      <c r="G380">
        <v>1.93168407630641E-2</v>
      </c>
      <c r="H380">
        <v>8.9213830454469099E-3</v>
      </c>
      <c r="I380">
        <v>3.6507505258891698E-3</v>
      </c>
      <c r="J380">
        <v>9.1668505949130097E-4</v>
      </c>
      <c r="K380" s="1">
        <v>8.7810424593583899E-5</v>
      </c>
      <c r="L380">
        <v>0</v>
      </c>
    </row>
    <row r="381" spans="1:71" x14ac:dyDescent="0.25">
      <c r="A381" t="s">
        <v>3</v>
      </c>
      <c r="B381">
        <v>1.8706089593258701E-2</v>
      </c>
      <c r="C381">
        <v>1.6379449603362E-2</v>
      </c>
      <c r="D381">
        <v>1.6379449603362E-2</v>
      </c>
      <c r="E381">
        <v>5.8330164275263597E-3</v>
      </c>
      <c r="F381">
        <v>2.97454442237891E-3</v>
      </c>
      <c r="G381">
        <v>1.9565959300382502E-3</v>
      </c>
      <c r="H381">
        <v>1.5066531421226901E-3</v>
      </c>
      <c r="I381">
        <v>1.2779720235237999E-3</v>
      </c>
      <c r="J381">
        <v>1.15202496952455E-3</v>
      </c>
      <c r="K381">
        <v>1.0924135659109201E-3</v>
      </c>
      <c r="L381">
        <v>1.07910245132957E-3</v>
      </c>
    </row>
    <row r="382" spans="1:71" x14ac:dyDescent="0.25">
      <c r="A382" t="s">
        <v>11</v>
      </c>
      <c r="B382">
        <v>2.1204250924593E-2</v>
      </c>
      <c r="C382">
        <v>2.1204250924593E-2</v>
      </c>
      <c r="D382">
        <v>2.1204250924593E-2</v>
      </c>
      <c r="E382">
        <v>1.26802383052948E-2</v>
      </c>
      <c r="F382">
        <v>8.0116590351288798E-3</v>
      </c>
      <c r="G382">
        <v>5.05607169668487E-3</v>
      </c>
      <c r="H382">
        <v>3.0149283469117702E-3</v>
      </c>
      <c r="I382">
        <v>1.5246921106225101E-3</v>
      </c>
      <c r="J382">
        <v>4.7250041262304499E-4</v>
      </c>
      <c r="K382" s="1">
        <v>5.5862578424390201E-5</v>
      </c>
      <c r="L382">
        <v>0</v>
      </c>
    </row>
    <row r="383" spans="1:71" x14ac:dyDescent="0.25">
      <c r="A383" t="s">
        <v>12</v>
      </c>
      <c r="B383">
        <v>1.87889520930038E-3</v>
      </c>
      <c r="C383">
        <v>1.7487300673822801E-3</v>
      </c>
      <c r="D383">
        <v>1.7487300673822801E-3</v>
      </c>
      <c r="E383">
        <v>1.4174040975144799E-3</v>
      </c>
      <c r="F383">
        <v>1.2153506178475501E-3</v>
      </c>
      <c r="G383">
        <v>1.08743143763674E-3</v>
      </c>
      <c r="H383">
        <v>9.9908537782103903E-4</v>
      </c>
      <c r="I383">
        <v>9.3442731482259198E-4</v>
      </c>
      <c r="J383">
        <v>8.8595720822339105E-4</v>
      </c>
      <c r="K383">
        <v>8.5599324859735298E-4</v>
      </c>
      <c r="L383">
        <v>8.4752508339192901E-4</v>
      </c>
    </row>
    <row r="384" spans="1:71" x14ac:dyDescent="0.25">
      <c r="A384" t="s">
        <v>4</v>
      </c>
      <c r="B384">
        <v>3.6612227167438101E-3</v>
      </c>
      <c r="C384">
        <v>3.6612227167438101E-3</v>
      </c>
      <c r="D384">
        <v>3.6612227167438101E-3</v>
      </c>
      <c r="E384">
        <v>2.8088214548139998E-3</v>
      </c>
      <c r="F384">
        <v>2.1085345642891098E-3</v>
      </c>
      <c r="G384">
        <v>1.5174170966003001E-3</v>
      </c>
      <c r="H384">
        <v>1.0071312591570299E-3</v>
      </c>
      <c r="I384">
        <v>5.6006038827024899E-4</v>
      </c>
      <c r="J384">
        <v>1.9179329397043699E-4</v>
      </c>
      <c r="K384" s="1">
        <v>2.5138160290975601E-5</v>
      </c>
      <c r="L384">
        <v>0</v>
      </c>
    </row>
    <row r="385" spans="1:24" x14ac:dyDescent="0.25">
      <c r="A385" t="s">
        <v>5</v>
      </c>
      <c r="B385">
        <v>6.0961571423916096E-4</v>
      </c>
      <c r="C385">
        <v>5.8703172603098198E-4</v>
      </c>
      <c r="D385">
        <v>5.8703172603098198E-4</v>
      </c>
      <c r="E385">
        <v>5.5389912904420095E-4</v>
      </c>
      <c r="F385">
        <v>5.23591107094162E-4</v>
      </c>
      <c r="G385">
        <v>4.9800727105200004E-4</v>
      </c>
      <c r="H385">
        <v>4.75920756098075E-4</v>
      </c>
      <c r="I385">
        <v>4.5652333719854097E-4</v>
      </c>
      <c r="J385">
        <v>4.3955879988882E-4</v>
      </c>
      <c r="K385">
        <v>4.2757321603840499E-4</v>
      </c>
      <c r="L385">
        <v>4.2376254169596499E-4</v>
      </c>
    </row>
    <row r="386" spans="1:24" x14ac:dyDescent="0.25">
      <c r="A386" t="s">
        <v>82</v>
      </c>
    </row>
    <row r="387" spans="1:24" x14ac:dyDescent="0.25">
      <c r="A387" t="s">
        <v>9</v>
      </c>
      <c r="B387">
        <v>0</v>
      </c>
      <c r="C387">
        <v>0.25955190384466498</v>
      </c>
      <c r="D387">
        <v>0.58647099847871997</v>
      </c>
      <c r="E387">
        <v>0.99824256652821797</v>
      </c>
      <c r="F387">
        <v>1.51689022901407</v>
      </c>
      <c r="G387">
        <v>2.1701538797227</v>
      </c>
      <c r="H387">
        <v>2.9929733546852799</v>
      </c>
      <c r="I387">
        <v>4.02935719089486</v>
      </c>
      <c r="J387">
        <v>5.3347364249064801</v>
      </c>
      <c r="K387">
        <v>6.9789293243451</v>
      </c>
      <c r="L387">
        <v>9.0498756211208899</v>
      </c>
      <c r="M387">
        <v>11.658339971984899</v>
      </c>
      <c r="N387">
        <v>14.9438362112266</v>
      </c>
      <c r="O387">
        <v>19.082089254437999</v>
      </c>
      <c r="P387">
        <v>24.294433753605801</v>
      </c>
      <c r="Q387">
        <v>30.859652191026999</v>
      </c>
      <c r="R387">
        <v>39.128885573036897</v>
      </c>
      <c r="S387">
        <v>49.544414222683301</v>
      </c>
      <c r="T387">
        <v>62.663313162894099</v>
      </c>
      <c r="U387">
        <v>79.187247299382406</v>
      </c>
      <c r="V387">
        <v>100</v>
      </c>
    </row>
    <row r="388" spans="1:24" x14ac:dyDescent="0.25">
      <c r="A388" t="s">
        <v>6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 s="1"/>
    </row>
    <row r="389" spans="1:24" x14ac:dyDescent="0.25">
      <c r="A389" t="s">
        <v>7</v>
      </c>
      <c r="B389">
        <v>4.3284165828163398E-2</v>
      </c>
      <c r="C389">
        <v>4.29157934274223E-2</v>
      </c>
      <c r="D389">
        <v>4.2327759986646799E-2</v>
      </c>
      <c r="E389">
        <v>4.15722545136935E-2</v>
      </c>
      <c r="F389">
        <v>4.0614857658106303E-2</v>
      </c>
      <c r="G389">
        <v>3.9414242534745701E-2</v>
      </c>
      <c r="H389">
        <v>3.7924286346480901E-2</v>
      </c>
      <c r="I389">
        <v>3.6097308185273798E-2</v>
      </c>
      <c r="J389">
        <v>3.3888928889717201E-2</v>
      </c>
      <c r="K389">
        <v>3.12658485675405E-2</v>
      </c>
      <c r="L389">
        <v>2.8217679022317099E-2</v>
      </c>
      <c r="M389">
        <v>2.47711552996083E-2</v>
      </c>
      <c r="N389">
        <v>2.10054302815301E-2</v>
      </c>
      <c r="O389">
        <v>1.7061779902055998E-2</v>
      </c>
      <c r="P389">
        <v>1.31416851780636E-2</v>
      </c>
      <c r="Q389">
        <v>9.4830885717232093E-3</v>
      </c>
      <c r="R389">
        <v>6.3177980761045501E-3</v>
      </c>
      <c r="S389">
        <v>3.81574753506283E-3</v>
      </c>
      <c r="T389">
        <v>2.0396261263858299E-3</v>
      </c>
      <c r="U389">
        <v>9.3324134491552899E-4</v>
      </c>
      <c r="V389">
        <v>3.4873344047975098E-4</v>
      </c>
      <c r="W389" s="1"/>
    </row>
    <row r="390" spans="1:24" x14ac:dyDescent="0.25">
      <c r="A390" t="s">
        <v>8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</row>
    <row r="391" spans="1:24" x14ac:dyDescent="0.25">
      <c r="A391" t="s">
        <v>41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 s="1"/>
      <c r="X391" s="1"/>
    </row>
    <row r="392" spans="1:24" x14ac:dyDescent="0.25">
      <c r="A392" t="s">
        <v>42</v>
      </c>
      <c r="B392">
        <v>0.89116117621741797</v>
      </c>
      <c r="C392">
        <v>0.89110787380732703</v>
      </c>
      <c r="D392">
        <v>0.89085868818787695</v>
      </c>
      <c r="E392">
        <v>0.890259766231561</v>
      </c>
      <c r="F392">
        <v>0.88905574246013197</v>
      </c>
      <c r="G392">
        <v>0.886842976021191</v>
      </c>
      <c r="H392">
        <v>0.88299861434002003</v>
      </c>
      <c r="I392">
        <v>0.87658902239880099</v>
      </c>
      <c r="J392">
        <v>0.86626101131076605</v>
      </c>
      <c r="K392">
        <v>0.85013566315259403</v>
      </c>
      <c r="L392">
        <v>0.825755143142056</v>
      </c>
      <c r="M392">
        <v>0.79016177456814896</v>
      </c>
      <c r="N392">
        <v>0.74023987980723804</v>
      </c>
      <c r="O392">
        <v>0.67343022533264096</v>
      </c>
      <c r="P392">
        <v>0.58886325328290001</v>
      </c>
      <c r="Q392">
        <v>0.48864109058538502</v>
      </c>
      <c r="R392">
        <v>0.37902146850452001</v>
      </c>
      <c r="S392">
        <v>0.26953810871578998</v>
      </c>
      <c r="T392">
        <v>0.17137680324288901</v>
      </c>
      <c r="U392">
        <v>9.4284885630153401E-2</v>
      </c>
      <c r="V392">
        <v>4.2955679734821998E-2</v>
      </c>
      <c r="W392" s="1"/>
    </row>
    <row r="393" spans="1:24" x14ac:dyDescent="0.25">
      <c r="A393" t="s">
        <v>10</v>
      </c>
      <c r="B393">
        <v>0</v>
      </c>
      <c r="C393">
        <v>0.05</v>
      </c>
      <c r="D393">
        <v>0.1</v>
      </c>
      <c r="E393">
        <v>0.15</v>
      </c>
      <c r="F393">
        <v>0.2</v>
      </c>
      <c r="G393">
        <v>0.25</v>
      </c>
      <c r="H393">
        <v>0.3</v>
      </c>
      <c r="I393">
        <v>0.35</v>
      </c>
      <c r="J393">
        <v>0.4</v>
      </c>
      <c r="K393">
        <v>0.45</v>
      </c>
      <c r="L393">
        <v>0.5</v>
      </c>
    </row>
    <row r="394" spans="1:24" x14ac:dyDescent="0.25">
      <c r="A394" t="s">
        <v>2</v>
      </c>
      <c r="B394">
        <v>0.36513577187372998</v>
      </c>
      <c r="C394">
        <v>0.36513577187372998</v>
      </c>
      <c r="D394">
        <v>0.36513577187372998</v>
      </c>
      <c r="E394">
        <v>9.3808038169551702E-2</v>
      </c>
      <c r="F394">
        <v>2.7767426984603098E-2</v>
      </c>
      <c r="G394">
        <v>4.8654407094811903E-3</v>
      </c>
      <c r="H394">
        <v>1.4177862359343301E-4</v>
      </c>
      <c r="I394" s="1">
        <v>3.5900754349944402E-6</v>
      </c>
      <c r="J394" s="1">
        <v>1.4507098592125099E-7</v>
      </c>
      <c r="K394" s="1">
        <v>7.9411618122751006E-9</v>
      </c>
      <c r="L394">
        <v>0</v>
      </c>
    </row>
    <row r="395" spans="1:24" x14ac:dyDescent="0.25">
      <c r="A395" t="s">
        <v>3</v>
      </c>
      <c r="B395">
        <v>0.59568215806504599</v>
      </c>
      <c r="C395">
        <v>0.59445382507333899</v>
      </c>
      <c r="D395">
        <v>0.59445382507333899</v>
      </c>
      <c r="E395">
        <v>0.176034482223243</v>
      </c>
      <c r="F395">
        <v>7.4047469761225004E-2</v>
      </c>
      <c r="G395">
        <v>3.7743174102850802E-2</v>
      </c>
      <c r="H395">
        <v>2.1954727378210401E-2</v>
      </c>
      <c r="I395">
        <v>1.46516840991349E-2</v>
      </c>
      <c r="J395">
        <v>1.21283816992685E-2</v>
      </c>
      <c r="K395">
        <v>1.17415746546969E-2</v>
      </c>
      <c r="L395">
        <v>1.17045401725916E-2</v>
      </c>
    </row>
    <row r="396" spans="1:24" x14ac:dyDescent="0.25">
      <c r="A396" t="s">
        <v>11</v>
      </c>
      <c r="B396">
        <v>1.7038056895854501E-2</v>
      </c>
      <c r="C396">
        <v>1.7038056895854501E-2</v>
      </c>
      <c r="D396">
        <v>1.7038056895854501E-2</v>
      </c>
      <c r="E396">
        <v>8.51404474665232E-3</v>
      </c>
      <c r="F396">
        <v>3.84590902056499E-3</v>
      </c>
      <c r="G396">
        <v>9.6796054718350198E-4</v>
      </c>
      <c r="H396" s="1">
        <v>4.04716654919006E-5</v>
      </c>
      <c r="I396" s="1">
        <v>1.3997739984696E-6</v>
      </c>
      <c r="J396" s="1">
        <v>7.39809165425195E-8</v>
      </c>
      <c r="K396" s="1">
        <v>5.0519488611082802E-9</v>
      </c>
      <c r="L396">
        <v>0</v>
      </c>
    </row>
    <row r="397" spans="1:24" x14ac:dyDescent="0.25">
      <c r="A397" t="s">
        <v>12</v>
      </c>
      <c r="B397">
        <v>4.0462937554162998E-2</v>
      </c>
      <c r="C397">
        <v>4.0462937554162998E-2</v>
      </c>
      <c r="D397">
        <v>4.0462937554162998E-2</v>
      </c>
      <c r="E397">
        <v>2.7317906217985698E-2</v>
      </c>
      <c r="F397">
        <v>2.0108869112960202E-2</v>
      </c>
      <c r="G397">
        <v>1.55467367715962E-2</v>
      </c>
      <c r="H397">
        <v>1.24466825064884E-2</v>
      </c>
      <c r="I397">
        <v>1.03817956661931E-2</v>
      </c>
      <c r="J397">
        <v>9.4107151016229202E-3</v>
      </c>
      <c r="K397">
        <v>9.2162846744896394E-3</v>
      </c>
      <c r="L397">
        <v>9.1927243549650706E-3</v>
      </c>
    </row>
    <row r="398" spans="1:24" x14ac:dyDescent="0.25">
      <c r="A398" t="s">
        <v>4</v>
      </c>
      <c r="B398">
        <v>2.37229892892327E-3</v>
      </c>
      <c r="C398">
        <v>2.37229892892327E-3</v>
      </c>
      <c r="D398">
        <v>2.37229892892327E-3</v>
      </c>
      <c r="E398">
        <v>1.5198977140030601E-3</v>
      </c>
      <c r="F398">
        <v>8.1967735508996198E-4</v>
      </c>
      <c r="G398">
        <v>2.44087660413664E-4</v>
      </c>
      <c r="H398" s="1">
        <v>1.22154399907638E-5</v>
      </c>
      <c r="I398" s="1">
        <v>4.9387254273454101E-7</v>
      </c>
      <c r="J398" s="1">
        <v>2.9844964060063201E-8</v>
      </c>
      <c r="K398" s="1">
        <v>2.2733769874987298E-9</v>
      </c>
      <c r="L398">
        <v>0</v>
      </c>
    </row>
    <row r="399" spans="1:24" x14ac:dyDescent="0.25">
      <c r="A399" t="s">
        <v>5</v>
      </c>
      <c r="B399">
        <v>9.7273794757313601E-3</v>
      </c>
      <c r="C399">
        <v>9.7273794757313601E-3</v>
      </c>
      <c r="D399">
        <v>9.7273794757313601E-3</v>
      </c>
      <c r="E399">
        <v>8.4128763421136305E-3</v>
      </c>
      <c r="F399">
        <v>7.3315207763597996E-3</v>
      </c>
      <c r="G399">
        <v>6.4190943080869997E-3</v>
      </c>
      <c r="H399">
        <v>5.6440807418100597E-3</v>
      </c>
      <c r="I399">
        <v>5.0246146897214797E-3</v>
      </c>
      <c r="J399">
        <v>4.6847364921218998E-3</v>
      </c>
      <c r="K399">
        <v>4.6069643212685897E-3</v>
      </c>
      <c r="L399">
        <v>4.5963621774825301E-3</v>
      </c>
    </row>
    <row r="400" spans="1:24" x14ac:dyDescent="0.25">
      <c r="A400" t="s">
        <v>83</v>
      </c>
    </row>
    <row r="401" spans="1:22" x14ac:dyDescent="0.25">
      <c r="A401" t="s">
        <v>9</v>
      </c>
      <c r="B401">
        <v>0</v>
      </c>
      <c r="C401">
        <v>0.25955190384466498</v>
      </c>
      <c r="D401">
        <v>0.58647099847871997</v>
      </c>
      <c r="E401">
        <v>0.99824256652821797</v>
      </c>
      <c r="F401">
        <v>1.51689022901407</v>
      </c>
      <c r="G401">
        <v>2.1701538797227</v>
      </c>
      <c r="H401">
        <v>2.9929733546852799</v>
      </c>
      <c r="I401">
        <v>4.02935719089486</v>
      </c>
      <c r="J401">
        <v>5.3347364249064801</v>
      </c>
      <c r="K401">
        <v>6.9789293243451</v>
      </c>
      <c r="L401">
        <v>9.0498756211208899</v>
      </c>
      <c r="M401">
        <v>11.658339971984899</v>
      </c>
      <c r="N401">
        <v>14.9438362112266</v>
      </c>
      <c r="O401">
        <v>19.082089254437999</v>
      </c>
      <c r="P401">
        <v>24.294433753605801</v>
      </c>
      <c r="Q401">
        <v>30.859652191026999</v>
      </c>
      <c r="R401">
        <v>39.128885573036897</v>
      </c>
      <c r="S401">
        <v>49.544414222683301</v>
      </c>
      <c r="T401">
        <v>62.663313162894099</v>
      </c>
      <c r="U401">
        <v>79.187247299382406</v>
      </c>
      <c r="V401">
        <v>100</v>
      </c>
    </row>
    <row r="402" spans="1:22" x14ac:dyDescent="0.25">
      <c r="A402" t="s">
        <v>6</v>
      </c>
      <c r="B402">
        <v>1.6E-2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</row>
    <row r="403" spans="1:22" x14ac:dyDescent="0.25">
      <c r="A403" t="s">
        <v>7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</row>
    <row r="404" spans="1:22" x14ac:dyDescent="0.25">
      <c r="A404" t="s">
        <v>8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</row>
    <row r="405" spans="1:22" x14ac:dyDescent="0.25">
      <c r="A405" t="s">
        <v>41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</row>
    <row r="406" spans="1:22" x14ac:dyDescent="0.25">
      <c r="A406" t="s">
        <v>42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</row>
    <row r="407" spans="1:22" x14ac:dyDescent="0.25">
      <c r="A407" t="s">
        <v>10</v>
      </c>
      <c r="B407">
        <v>0</v>
      </c>
      <c r="C407">
        <v>0.05</v>
      </c>
      <c r="D407">
        <v>0.1</v>
      </c>
      <c r="E407">
        <v>0.15</v>
      </c>
      <c r="F407">
        <v>0.2</v>
      </c>
      <c r="G407">
        <v>0.25</v>
      </c>
      <c r="H407">
        <v>0.3</v>
      </c>
      <c r="I407">
        <v>0.35</v>
      </c>
      <c r="J407">
        <v>0.4</v>
      </c>
      <c r="K407">
        <v>0.45</v>
      </c>
      <c r="L407">
        <v>0.5</v>
      </c>
    </row>
    <row r="408" spans="1:22" x14ac:dyDescent="0.25">
      <c r="A408" t="s">
        <v>2</v>
      </c>
      <c r="B408">
        <v>0.99199999999999999</v>
      </c>
      <c r="C408">
        <v>0.99199999999999999</v>
      </c>
      <c r="D408">
        <v>0.99199999999999999</v>
      </c>
      <c r="E408">
        <v>0.288296296296296</v>
      </c>
      <c r="F408">
        <v>0.11700000000000001</v>
      </c>
      <c r="G408">
        <v>5.6000000000000001E-2</v>
      </c>
      <c r="H408">
        <v>2.9037037037037E-2</v>
      </c>
      <c r="I408">
        <v>1.5323615160349901E-2</v>
      </c>
      <c r="J408">
        <v>7.6249999999999998E-3</v>
      </c>
      <c r="K408">
        <v>2.97393689986282E-3</v>
      </c>
      <c r="L408">
        <v>0</v>
      </c>
    </row>
    <row r="409" spans="1:22" x14ac:dyDescent="0.25">
      <c r="A409" t="s">
        <v>3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</row>
    <row r="410" spans="1:22" x14ac:dyDescent="0.25">
      <c r="A410" t="s">
        <v>11</v>
      </c>
      <c r="B410">
        <v>5.8245346242475203E-2</v>
      </c>
      <c r="C410">
        <v>5.8245346242475203E-2</v>
      </c>
      <c r="D410">
        <v>5.8245346242475203E-2</v>
      </c>
      <c r="E410">
        <v>3.6137842383880403E-2</v>
      </c>
      <c r="F410">
        <v>2.4029620698169701E-2</v>
      </c>
      <c r="G410">
        <v>1.63641346234106E-2</v>
      </c>
      <c r="H410">
        <v>1.10699692256945E-2</v>
      </c>
      <c r="I410">
        <v>7.1925905375904596E-3</v>
      </c>
      <c r="J410">
        <v>4.2298162158456096E-3</v>
      </c>
      <c r="K410">
        <v>1.8919369091618501E-3</v>
      </c>
      <c r="L410">
        <v>0</v>
      </c>
    </row>
    <row r="411" spans="1:22" x14ac:dyDescent="0.25">
      <c r="A411" t="s">
        <v>12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</row>
    <row r="412" spans="1:22" x14ac:dyDescent="0.25">
      <c r="A412" t="s">
        <v>4</v>
      </c>
      <c r="B412">
        <v>1.0870330153935201E-2</v>
      </c>
      <c r="C412">
        <v>1.0870330153935201E-2</v>
      </c>
      <c r="D412">
        <v>1.0870330153935201E-2</v>
      </c>
      <c r="E412">
        <v>8.6595797680756904E-3</v>
      </c>
      <c r="F412">
        <v>6.8433465152190898E-3</v>
      </c>
      <c r="G412">
        <v>5.3102493002672698E-3</v>
      </c>
      <c r="H412">
        <v>3.9867079508382397E-3</v>
      </c>
      <c r="I412">
        <v>2.82349434440703E-3</v>
      </c>
      <c r="J412">
        <v>1.7865233317963399E-3</v>
      </c>
      <c r="K412">
        <v>8.5137160912283395E-4</v>
      </c>
      <c r="L412">
        <v>0</v>
      </c>
    </row>
    <row r="413" spans="1:22" x14ac:dyDescent="0.25">
      <c r="A413" t="s">
        <v>5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</row>
    <row r="414" spans="1:22" x14ac:dyDescent="0.25">
      <c r="A414" t="s">
        <v>84</v>
      </c>
    </row>
    <row r="415" spans="1:22" x14ac:dyDescent="0.25">
      <c r="A415" t="s">
        <v>9</v>
      </c>
      <c r="B415">
        <v>0</v>
      </c>
      <c r="C415">
        <v>0.25955190384466498</v>
      </c>
      <c r="D415">
        <v>0.58647099847871997</v>
      </c>
      <c r="E415">
        <v>0.99824256652821797</v>
      </c>
      <c r="F415">
        <v>1.51689022901407</v>
      </c>
      <c r="G415">
        <v>2.1701538797227</v>
      </c>
      <c r="H415">
        <v>2.9929733546852799</v>
      </c>
      <c r="I415">
        <v>4.02935719089486</v>
      </c>
      <c r="J415">
        <v>5.3347364249064801</v>
      </c>
      <c r="K415">
        <v>6.9789293243451</v>
      </c>
      <c r="L415">
        <v>9.0498756211208899</v>
      </c>
      <c r="M415">
        <v>11.658339971984899</v>
      </c>
      <c r="N415">
        <v>14.9438362112266</v>
      </c>
      <c r="O415">
        <v>19.082089254437999</v>
      </c>
      <c r="P415">
        <v>24.294433753605801</v>
      </c>
      <c r="Q415">
        <v>30.859652191026999</v>
      </c>
      <c r="R415">
        <v>39.128885573036897</v>
      </c>
      <c r="S415">
        <v>49.544414222683301</v>
      </c>
      <c r="T415">
        <v>62.663313162894099</v>
      </c>
      <c r="U415">
        <v>79.187247299382406</v>
      </c>
      <c r="V415">
        <v>100</v>
      </c>
    </row>
    <row r="416" spans="1:22" x14ac:dyDescent="0.25">
      <c r="A416" t="s">
        <v>6</v>
      </c>
      <c r="B416">
        <v>1.6E-2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</row>
    <row r="417" spans="1:22" x14ac:dyDescent="0.25">
      <c r="A417" t="s">
        <v>7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</row>
    <row r="418" spans="1:22" x14ac:dyDescent="0.25">
      <c r="A418" t="s">
        <v>8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</row>
    <row r="419" spans="1:22" x14ac:dyDescent="0.25">
      <c r="A419" t="s">
        <v>41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</row>
    <row r="420" spans="1:22" x14ac:dyDescent="0.25">
      <c r="A420" t="s">
        <v>42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</row>
    <row r="421" spans="1:22" x14ac:dyDescent="0.25">
      <c r="A421" t="s">
        <v>10</v>
      </c>
      <c r="B421">
        <v>0</v>
      </c>
      <c r="C421">
        <v>0.05</v>
      </c>
      <c r="D421">
        <v>0.1</v>
      </c>
      <c r="E421">
        <v>0.15</v>
      </c>
      <c r="F421">
        <v>0.2</v>
      </c>
      <c r="G421">
        <v>0.25</v>
      </c>
      <c r="H421">
        <v>0.3</v>
      </c>
      <c r="I421">
        <v>0.35</v>
      </c>
      <c r="J421">
        <v>0.4</v>
      </c>
      <c r="K421">
        <v>0.45</v>
      </c>
      <c r="L421">
        <v>0.5</v>
      </c>
    </row>
    <row r="422" spans="1:22" x14ac:dyDescent="0.25">
      <c r="A422" t="s">
        <v>2</v>
      </c>
      <c r="B422">
        <v>0.99199999999999999</v>
      </c>
      <c r="C422">
        <v>0.99199999999999999</v>
      </c>
      <c r="D422">
        <v>0.99199999999999999</v>
      </c>
      <c r="E422">
        <v>0.288296296296296</v>
      </c>
      <c r="F422">
        <v>0.11700000000000001</v>
      </c>
      <c r="G422">
        <v>5.6000000000000001E-2</v>
      </c>
      <c r="H422">
        <v>2.9037037037037E-2</v>
      </c>
      <c r="I422">
        <v>1.5323615160349901E-2</v>
      </c>
      <c r="J422">
        <v>7.6249999999999998E-3</v>
      </c>
      <c r="K422">
        <v>2.97393689986282E-3</v>
      </c>
      <c r="L422">
        <v>0</v>
      </c>
    </row>
    <row r="423" spans="1:22" x14ac:dyDescent="0.25">
      <c r="A423" t="s">
        <v>3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</row>
    <row r="424" spans="1:22" x14ac:dyDescent="0.25">
      <c r="A424" t="s">
        <v>11</v>
      </c>
      <c r="B424">
        <v>5.8245346242475203E-2</v>
      </c>
      <c r="C424">
        <v>5.8245346242475203E-2</v>
      </c>
      <c r="D424">
        <v>5.8245346242475203E-2</v>
      </c>
      <c r="E424">
        <v>3.6137842383880403E-2</v>
      </c>
      <c r="F424">
        <v>2.4029620698169701E-2</v>
      </c>
      <c r="G424">
        <v>1.63641346234106E-2</v>
      </c>
      <c r="H424">
        <v>1.10699692256945E-2</v>
      </c>
      <c r="I424">
        <v>7.1925905375904596E-3</v>
      </c>
      <c r="J424">
        <v>4.2298162158456096E-3</v>
      </c>
      <c r="K424">
        <v>1.8919369091618501E-3</v>
      </c>
      <c r="L424">
        <v>0</v>
      </c>
    </row>
    <row r="425" spans="1:22" x14ac:dyDescent="0.25">
      <c r="A425" t="s">
        <v>12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</row>
    <row r="426" spans="1:22" x14ac:dyDescent="0.25">
      <c r="A426" t="s">
        <v>4</v>
      </c>
      <c r="B426">
        <v>1.0870330153935201E-2</v>
      </c>
      <c r="C426">
        <v>1.0870330153935201E-2</v>
      </c>
      <c r="D426">
        <v>1.0870330153935201E-2</v>
      </c>
      <c r="E426">
        <v>8.6595797680756904E-3</v>
      </c>
      <c r="F426">
        <v>6.8433465152190898E-3</v>
      </c>
      <c r="G426">
        <v>5.3102493002672698E-3</v>
      </c>
      <c r="H426">
        <v>3.9867079508382397E-3</v>
      </c>
      <c r="I426">
        <v>2.82349434440703E-3</v>
      </c>
      <c r="J426">
        <v>1.7865233317963399E-3</v>
      </c>
      <c r="K426">
        <v>8.5137160912283395E-4</v>
      </c>
      <c r="L426">
        <v>0</v>
      </c>
    </row>
    <row r="427" spans="1:22" x14ac:dyDescent="0.25">
      <c r="A427" t="s">
        <v>5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</row>
    <row r="429" spans="1:22" x14ac:dyDescent="0.25">
      <c r="A429" t="s">
        <v>28</v>
      </c>
    </row>
    <row r="430" spans="1:22" x14ac:dyDescent="0.25">
      <c r="A430" t="str">
        <f>A373</f>
        <v>Half-length</v>
      </c>
      <c r="B430">
        <f>MAX(B373,B387)</f>
        <v>0</v>
      </c>
      <c r="C430">
        <f t="shared" ref="C430:V430" si="0">MAX(C373,C387)</f>
        <v>0.25955190384466498</v>
      </c>
      <c r="D430">
        <f t="shared" si="0"/>
        <v>0.58647099847871997</v>
      </c>
      <c r="E430">
        <f t="shared" si="0"/>
        <v>0.99824256652821797</v>
      </c>
      <c r="F430">
        <f t="shared" si="0"/>
        <v>1.51689022901407</v>
      </c>
      <c r="G430">
        <f t="shared" si="0"/>
        <v>2.1701538797227</v>
      </c>
      <c r="H430">
        <f t="shared" si="0"/>
        <v>2.9929733546852799</v>
      </c>
      <c r="I430">
        <f t="shared" si="0"/>
        <v>4.02935719089486</v>
      </c>
      <c r="J430">
        <f t="shared" si="0"/>
        <v>5.3347364249064801</v>
      </c>
      <c r="K430">
        <f t="shared" si="0"/>
        <v>6.9789293243451</v>
      </c>
      <c r="L430">
        <f t="shared" si="0"/>
        <v>9.0498756211208899</v>
      </c>
      <c r="M430">
        <f t="shared" si="0"/>
        <v>11.658339971984899</v>
      </c>
      <c r="N430">
        <f t="shared" si="0"/>
        <v>14.9438362112266</v>
      </c>
      <c r="O430">
        <f t="shared" si="0"/>
        <v>19.082089254437999</v>
      </c>
      <c r="P430">
        <f t="shared" si="0"/>
        <v>24.294433753605801</v>
      </c>
      <c r="Q430">
        <f t="shared" si="0"/>
        <v>30.859652191026999</v>
      </c>
      <c r="R430">
        <f t="shared" si="0"/>
        <v>39.128885573036897</v>
      </c>
      <c r="S430">
        <f t="shared" si="0"/>
        <v>49.544414222683301</v>
      </c>
      <c r="T430">
        <f t="shared" si="0"/>
        <v>62.663313162894099</v>
      </c>
      <c r="U430">
        <f t="shared" si="0"/>
        <v>79.187247299382406</v>
      </c>
      <c r="V430">
        <f t="shared" si="0"/>
        <v>100</v>
      </c>
    </row>
    <row r="431" spans="1:22" x14ac:dyDescent="0.25">
      <c r="A431" t="s">
        <v>57</v>
      </c>
      <c r="B431">
        <f>SUM(B374,B388)</f>
        <v>0</v>
      </c>
      <c r="C431">
        <f t="shared" ref="C431:V431" si="1">SUM(C374,C388)</f>
        <v>0</v>
      </c>
      <c r="D431">
        <f t="shared" si="1"/>
        <v>0</v>
      </c>
      <c r="E431">
        <f t="shared" si="1"/>
        <v>0</v>
      </c>
      <c r="F431">
        <f t="shared" si="1"/>
        <v>0</v>
      </c>
      <c r="G431">
        <f t="shared" si="1"/>
        <v>0</v>
      </c>
      <c r="H431">
        <f t="shared" si="1"/>
        <v>0</v>
      </c>
      <c r="I431">
        <f t="shared" si="1"/>
        <v>0</v>
      </c>
      <c r="J431">
        <f t="shared" si="1"/>
        <v>0</v>
      </c>
      <c r="K431">
        <f t="shared" si="1"/>
        <v>0</v>
      </c>
      <c r="L431">
        <f t="shared" si="1"/>
        <v>0</v>
      </c>
      <c r="M431">
        <f t="shared" si="1"/>
        <v>0</v>
      </c>
      <c r="N431">
        <f t="shared" si="1"/>
        <v>0</v>
      </c>
      <c r="O431">
        <f t="shared" si="1"/>
        <v>0</v>
      </c>
      <c r="P431">
        <f t="shared" si="1"/>
        <v>0</v>
      </c>
      <c r="Q431">
        <f t="shared" si="1"/>
        <v>0</v>
      </c>
      <c r="R431">
        <f t="shared" si="1"/>
        <v>0</v>
      </c>
      <c r="S431">
        <f t="shared" si="1"/>
        <v>0</v>
      </c>
      <c r="T431">
        <f t="shared" si="1"/>
        <v>0</v>
      </c>
      <c r="U431">
        <f t="shared" si="1"/>
        <v>0</v>
      </c>
      <c r="V431">
        <f t="shared" si="1"/>
        <v>0</v>
      </c>
    </row>
    <row r="432" spans="1:22" x14ac:dyDescent="0.25">
      <c r="A432" t="s">
        <v>56</v>
      </c>
      <c r="B432">
        <f>SUM(B374:B376,B388:B390)</f>
        <v>6.1096757422665002E-2</v>
      </c>
      <c r="C432">
        <f t="shared" ref="C432:V432" si="2">SUM(C374:C376,C388:C390)</f>
        <v>5.7767860047015E-2</v>
      </c>
      <c r="D432">
        <f t="shared" si="2"/>
        <v>4.6607427413345517E-2</v>
      </c>
      <c r="E432">
        <f t="shared" si="2"/>
        <v>4.15722545136935E-2</v>
      </c>
      <c r="F432">
        <f t="shared" si="2"/>
        <v>4.0614857658106303E-2</v>
      </c>
      <c r="G432">
        <f t="shared" si="2"/>
        <v>3.9414242534745701E-2</v>
      </c>
      <c r="H432">
        <f t="shared" si="2"/>
        <v>3.7924286346480901E-2</v>
      </c>
      <c r="I432">
        <f t="shared" si="2"/>
        <v>3.6097308185273798E-2</v>
      </c>
      <c r="J432">
        <f t="shared" si="2"/>
        <v>3.3888928889717201E-2</v>
      </c>
      <c r="K432">
        <f t="shared" si="2"/>
        <v>3.12658485675405E-2</v>
      </c>
      <c r="L432">
        <f t="shared" si="2"/>
        <v>2.8217679022317099E-2</v>
      </c>
      <c r="M432">
        <f t="shared" si="2"/>
        <v>2.47711552996083E-2</v>
      </c>
      <c r="N432">
        <f t="shared" si="2"/>
        <v>2.10054302815301E-2</v>
      </c>
      <c r="O432">
        <f t="shared" si="2"/>
        <v>1.7061779902055998E-2</v>
      </c>
      <c r="P432">
        <f t="shared" si="2"/>
        <v>1.31416851780636E-2</v>
      </c>
      <c r="Q432">
        <f t="shared" si="2"/>
        <v>9.4830885717232093E-3</v>
      </c>
      <c r="R432">
        <f t="shared" si="2"/>
        <v>6.3177980761045501E-3</v>
      </c>
      <c r="S432">
        <f t="shared" si="2"/>
        <v>3.81574753506283E-3</v>
      </c>
      <c r="T432">
        <f t="shared" si="2"/>
        <v>2.0396261263858299E-3</v>
      </c>
      <c r="U432">
        <f t="shared" si="2"/>
        <v>9.3324134491552899E-4</v>
      </c>
      <c r="V432">
        <f t="shared" si="2"/>
        <v>3.4873344047975098E-4</v>
      </c>
    </row>
    <row r="433" spans="1:22" x14ac:dyDescent="0.25">
      <c r="A433" t="s">
        <v>58</v>
      </c>
      <c r="B433">
        <f>SUM(B377,B391)</f>
        <v>0</v>
      </c>
      <c r="C433">
        <f t="shared" ref="C433:V433" si="3">SUM(C377,C391)</f>
        <v>0</v>
      </c>
      <c r="D433">
        <f t="shared" si="3"/>
        <v>0</v>
      </c>
      <c r="E433">
        <f t="shared" si="3"/>
        <v>0</v>
      </c>
      <c r="F433">
        <f t="shared" si="3"/>
        <v>0</v>
      </c>
      <c r="G433">
        <f t="shared" si="3"/>
        <v>0</v>
      </c>
      <c r="H433">
        <f t="shared" si="3"/>
        <v>0</v>
      </c>
      <c r="I433">
        <f t="shared" si="3"/>
        <v>0</v>
      </c>
      <c r="J433">
        <f t="shared" si="3"/>
        <v>0</v>
      </c>
      <c r="K433">
        <f t="shared" si="3"/>
        <v>0</v>
      </c>
      <c r="L433">
        <f t="shared" si="3"/>
        <v>0</v>
      </c>
      <c r="M433">
        <f t="shared" si="3"/>
        <v>0</v>
      </c>
      <c r="N433">
        <f t="shared" si="3"/>
        <v>0</v>
      </c>
      <c r="O433">
        <f t="shared" si="3"/>
        <v>0</v>
      </c>
      <c r="P433">
        <f t="shared" si="3"/>
        <v>0</v>
      </c>
      <c r="Q433">
        <f t="shared" si="3"/>
        <v>0</v>
      </c>
      <c r="R433">
        <f t="shared" si="3"/>
        <v>0</v>
      </c>
      <c r="S433">
        <f t="shared" si="3"/>
        <v>0</v>
      </c>
      <c r="T433">
        <f t="shared" si="3"/>
        <v>0</v>
      </c>
      <c r="U433">
        <f t="shared" si="3"/>
        <v>0</v>
      </c>
      <c r="V433">
        <f t="shared" si="3"/>
        <v>0</v>
      </c>
    </row>
    <row r="434" spans="1:22" x14ac:dyDescent="0.25">
      <c r="A434" t="s">
        <v>59</v>
      </c>
      <c r="B434">
        <f>SUM(B377:B378,B391:B392)</f>
        <v>0.90328533170113623</v>
      </c>
      <c r="C434">
        <f t="shared" ref="C434:V434" si="4">SUM(C377:C378,C391:C392)</f>
        <v>0.9016484399836584</v>
      </c>
      <c r="D434">
        <f t="shared" si="4"/>
        <v>0.89716114848317774</v>
      </c>
      <c r="E434">
        <f t="shared" si="4"/>
        <v>0.890259766231561</v>
      </c>
      <c r="F434">
        <f t="shared" si="4"/>
        <v>0.88905574246013197</v>
      </c>
      <c r="G434">
        <f t="shared" si="4"/>
        <v>0.886842976021191</v>
      </c>
      <c r="H434">
        <f t="shared" si="4"/>
        <v>0.88299861434002003</v>
      </c>
      <c r="I434">
        <f t="shared" si="4"/>
        <v>0.87658902239880099</v>
      </c>
      <c r="J434">
        <f t="shared" si="4"/>
        <v>0.86626101131076605</v>
      </c>
      <c r="K434">
        <f t="shared" si="4"/>
        <v>0.85013566315259403</v>
      </c>
      <c r="L434">
        <f t="shared" si="4"/>
        <v>0.825755143142056</v>
      </c>
      <c r="M434">
        <f t="shared" si="4"/>
        <v>0.79016177456814896</v>
      </c>
      <c r="N434">
        <f t="shared" si="4"/>
        <v>0.74023987980723804</v>
      </c>
      <c r="O434">
        <f t="shared" si="4"/>
        <v>0.67343022533264096</v>
      </c>
      <c r="P434">
        <f t="shared" si="4"/>
        <v>0.58886325328290001</v>
      </c>
      <c r="Q434">
        <f t="shared" si="4"/>
        <v>0.48864109058538502</v>
      </c>
      <c r="R434">
        <f t="shared" si="4"/>
        <v>0.37902146850452001</v>
      </c>
      <c r="S434">
        <f t="shared" si="4"/>
        <v>0.26953810871578998</v>
      </c>
      <c r="T434">
        <f t="shared" si="4"/>
        <v>0.17137680324288901</v>
      </c>
      <c r="U434">
        <f t="shared" si="4"/>
        <v>9.4284885630153401E-2</v>
      </c>
      <c r="V434">
        <f t="shared" si="4"/>
        <v>4.2955679734821998E-2</v>
      </c>
    </row>
    <row r="435" spans="1:22" x14ac:dyDescent="0.25">
      <c r="A435" t="s">
        <v>36</v>
      </c>
      <c r="B435">
        <f>SUM(B374,B388)/B432</f>
        <v>0</v>
      </c>
      <c r="C435">
        <f t="shared" ref="C435:V435" si="5">SUM(C374,C388)/C432</f>
        <v>0</v>
      </c>
      <c r="D435">
        <f t="shared" si="5"/>
        <v>0</v>
      </c>
      <c r="E435">
        <f t="shared" si="5"/>
        <v>0</v>
      </c>
      <c r="F435">
        <f t="shared" si="5"/>
        <v>0</v>
      </c>
      <c r="G435">
        <f t="shared" si="5"/>
        <v>0</v>
      </c>
      <c r="H435">
        <f t="shared" si="5"/>
        <v>0</v>
      </c>
      <c r="I435">
        <f t="shared" si="5"/>
        <v>0</v>
      </c>
      <c r="J435">
        <f t="shared" si="5"/>
        <v>0</v>
      </c>
      <c r="K435">
        <f t="shared" si="5"/>
        <v>0</v>
      </c>
      <c r="L435">
        <f t="shared" si="5"/>
        <v>0</v>
      </c>
      <c r="M435">
        <f t="shared" si="5"/>
        <v>0</v>
      </c>
      <c r="N435">
        <f t="shared" si="5"/>
        <v>0</v>
      </c>
      <c r="O435">
        <f t="shared" si="5"/>
        <v>0</v>
      </c>
      <c r="P435">
        <f t="shared" si="5"/>
        <v>0</v>
      </c>
      <c r="Q435">
        <f t="shared" si="5"/>
        <v>0</v>
      </c>
      <c r="R435">
        <f t="shared" si="5"/>
        <v>0</v>
      </c>
      <c r="S435">
        <f t="shared" si="5"/>
        <v>0</v>
      </c>
      <c r="T435">
        <f t="shared" si="5"/>
        <v>0</v>
      </c>
      <c r="U435">
        <f t="shared" si="5"/>
        <v>0</v>
      </c>
      <c r="V435">
        <f t="shared" si="5"/>
        <v>0</v>
      </c>
    </row>
    <row r="436" spans="1:22" x14ac:dyDescent="0.25">
      <c r="A436" t="s">
        <v>39</v>
      </c>
      <c r="B436">
        <f>SUM(B374:B375,B388:B389)/B432</f>
        <v>1</v>
      </c>
      <c r="C436">
        <f t="shared" ref="C436:V436" si="6">SUM(C374:C375,C388:C389)/C432</f>
        <v>1</v>
      </c>
      <c r="D436">
        <f t="shared" si="6"/>
        <v>1</v>
      </c>
      <c r="E436">
        <f t="shared" si="6"/>
        <v>1</v>
      </c>
      <c r="F436">
        <f t="shared" si="6"/>
        <v>1</v>
      </c>
      <c r="G436">
        <f t="shared" si="6"/>
        <v>1</v>
      </c>
      <c r="H436">
        <f t="shared" si="6"/>
        <v>1</v>
      </c>
      <c r="I436">
        <f t="shared" si="6"/>
        <v>1</v>
      </c>
      <c r="J436">
        <f t="shared" si="6"/>
        <v>1</v>
      </c>
      <c r="K436">
        <f t="shared" si="6"/>
        <v>1</v>
      </c>
      <c r="L436">
        <f t="shared" si="6"/>
        <v>1</v>
      </c>
      <c r="M436">
        <f t="shared" si="6"/>
        <v>1</v>
      </c>
      <c r="N436">
        <f t="shared" si="6"/>
        <v>1</v>
      </c>
      <c r="O436">
        <f t="shared" si="6"/>
        <v>1</v>
      </c>
      <c r="P436">
        <f t="shared" si="6"/>
        <v>1</v>
      </c>
      <c r="Q436">
        <f t="shared" si="6"/>
        <v>1</v>
      </c>
      <c r="R436">
        <f t="shared" si="6"/>
        <v>1</v>
      </c>
      <c r="S436">
        <f t="shared" si="6"/>
        <v>1</v>
      </c>
      <c r="T436">
        <f t="shared" si="6"/>
        <v>1</v>
      </c>
      <c r="U436">
        <f t="shared" si="6"/>
        <v>1</v>
      </c>
      <c r="V436">
        <f t="shared" si="6"/>
        <v>1</v>
      </c>
    </row>
    <row r="437" spans="1:22" x14ac:dyDescent="0.25">
      <c r="A437" t="s">
        <v>37</v>
      </c>
      <c r="B437">
        <f>SUM(B375,B389)/B432</f>
        <v>1</v>
      </c>
      <c r="C437">
        <f t="shared" ref="C437:V437" si="7">SUM(C375,C389)/C432</f>
        <v>1</v>
      </c>
      <c r="D437">
        <f t="shared" si="7"/>
        <v>1</v>
      </c>
      <c r="E437">
        <f t="shared" si="7"/>
        <v>1</v>
      </c>
      <c r="F437">
        <f t="shared" si="7"/>
        <v>1</v>
      </c>
      <c r="G437">
        <f t="shared" si="7"/>
        <v>1</v>
      </c>
      <c r="H437">
        <f t="shared" si="7"/>
        <v>1</v>
      </c>
      <c r="I437">
        <f t="shared" si="7"/>
        <v>1</v>
      </c>
      <c r="J437">
        <f t="shared" si="7"/>
        <v>1</v>
      </c>
      <c r="K437">
        <f t="shared" si="7"/>
        <v>1</v>
      </c>
      <c r="L437">
        <f t="shared" si="7"/>
        <v>1</v>
      </c>
      <c r="M437">
        <f t="shared" si="7"/>
        <v>1</v>
      </c>
      <c r="N437">
        <f t="shared" si="7"/>
        <v>1</v>
      </c>
      <c r="O437">
        <f t="shared" si="7"/>
        <v>1</v>
      </c>
      <c r="P437">
        <f t="shared" si="7"/>
        <v>1</v>
      </c>
      <c r="Q437">
        <f t="shared" si="7"/>
        <v>1</v>
      </c>
      <c r="R437">
        <f t="shared" si="7"/>
        <v>1</v>
      </c>
      <c r="S437">
        <f t="shared" si="7"/>
        <v>1</v>
      </c>
      <c r="T437">
        <f t="shared" si="7"/>
        <v>1</v>
      </c>
      <c r="U437">
        <f t="shared" si="7"/>
        <v>1</v>
      </c>
      <c r="V437">
        <f t="shared" si="7"/>
        <v>1</v>
      </c>
    </row>
    <row r="438" spans="1:22" x14ac:dyDescent="0.25">
      <c r="A438" t="s">
        <v>38</v>
      </c>
      <c r="B438">
        <f>SUM(B376,B390)/B432</f>
        <v>0</v>
      </c>
      <c r="C438">
        <f t="shared" ref="C438:V438" si="8">SUM(C376,C390)/C432</f>
        <v>0</v>
      </c>
      <c r="D438">
        <f t="shared" si="8"/>
        <v>0</v>
      </c>
      <c r="E438">
        <f t="shared" si="8"/>
        <v>0</v>
      </c>
      <c r="F438">
        <f t="shared" si="8"/>
        <v>0</v>
      </c>
      <c r="G438">
        <f t="shared" si="8"/>
        <v>0</v>
      </c>
      <c r="H438">
        <f t="shared" si="8"/>
        <v>0</v>
      </c>
      <c r="I438">
        <f t="shared" si="8"/>
        <v>0</v>
      </c>
      <c r="J438">
        <f t="shared" si="8"/>
        <v>0</v>
      </c>
      <c r="K438">
        <f t="shared" si="8"/>
        <v>0</v>
      </c>
      <c r="L438">
        <f t="shared" si="8"/>
        <v>0</v>
      </c>
      <c r="M438">
        <f t="shared" si="8"/>
        <v>0</v>
      </c>
      <c r="N438">
        <f t="shared" si="8"/>
        <v>0</v>
      </c>
      <c r="O438">
        <f t="shared" si="8"/>
        <v>0</v>
      </c>
      <c r="P438">
        <f t="shared" si="8"/>
        <v>0</v>
      </c>
      <c r="Q438">
        <f t="shared" si="8"/>
        <v>0</v>
      </c>
      <c r="R438">
        <f t="shared" si="8"/>
        <v>0</v>
      </c>
      <c r="S438">
        <f t="shared" si="8"/>
        <v>0</v>
      </c>
      <c r="T438">
        <f t="shared" si="8"/>
        <v>0</v>
      </c>
      <c r="U438">
        <f t="shared" si="8"/>
        <v>0</v>
      </c>
      <c r="V438">
        <f t="shared" si="8"/>
        <v>0</v>
      </c>
    </row>
    <row r="440" spans="1:22" x14ac:dyDescent="0.25">
      <c r="A440" t="s">
        <v>29</v>
      </c>
    </row>
    <row r="441" spans="1:22" x14ac:dyDescent="0.25">
      <c r="A441" t="str">
        <f>A401</f>
        <v>Half-length</v>
      </c>
      <c r="B441">
        <f>MAX(B401,B415)</f>
        <v>0</v>
      </c>
      <c r="C441">
        <f t="shared" ref="C441:V441" si="9">MAX(C401,C415)</f>
        <v>0.25955190384466498</v>
      </c>
      <c r="D441">
        <f t="shared" si="9"/>
        <v>0.58647099847871997</v>
      </c>
      <c r="E441">
        <f t="shared" si="9"/>
        <v>0.99824256652821797</v>
      </c>
      <c r="F441">
        <f t="shared" si="9"/>
        <v>1.51689022901407</v>
      </c>
      <c r="G441">
        <f t="shared" si="9"/>
        <v>2.1701538797227</v>
      </c>
      <c r="H441">
        <f t="shared" si="9"/>
        <v>2.9929733546852799</v>
      </c>
      <c r="I441">
        <f t="shared" si="9"/>
        <v>4.02935719089486</v>
      </c>
      <c r="J441">
        <f t="shared" si="9"/>
        <v>5.3347364249064801</v>
      </c>
      <c r="K441">
        <f t="shared" si="9"/>
        <v>6.9789293243451</v>
      </c>
      <c r="L441">
        <f t="shared" si="9"/>
        <v>9.0498756211208899</v>
      </c>
      <c r="M441">
        <f t="shared" si="9"/>
        <v>11.658339971984899</v>
      </c>
      <c r="N441">
        <f t="shared" si="9"/>
        <v>14.9438362112266</v>
      </c>
      <c r="O441">
        <f t="shared" si="9"/>
        <v>19.082089254437999</v>
      </c>
      <c r="P441">
        <f t="shared" si="9"/>
        <v>24.294433753605801</v>
      </c>
      <c r="Q441">
        <f t="shared" si="9"/>
        <v>30.859652191026999</v>
      </c>
      <c r="R441">
        <f t="shared" si="9"/>
        <v>39.128885573036897</v>
      </c>
      <c r="S441">
        <f t="shared" si="9"/>
        <v>49.544414222683301</v>
      </c>
      <c r="T441">
        <f t="shared" si="9"/>
        <v>62.663313162894099</v>
      </c>
      <c r="U441">
        <f t="shared" si="9"/>
        <v>79.187247299382406</v>
      </c>
      <c r="V441">
        <f t="shared" si="9"/>
        <v>100</v>
      </c>
    </row>
    <row r="442" spans="1:22" x14ac:dyDescent="0.25">
      <c r="A442" t="s">
        <v>57</v>
      </c>
      <c r="B442">
        <f>SUM(B402,B416)</f>
        <v>3.2000000000000001E-2</v>
      </c>
      <c r="C442">
        <f t="shared" ref="C442:V442" si="10">SUM(C402,C416)</f>
        <v>0</v>
      </c>
      <c r="D442">
        <f t="shared" si="10"/>
        <v>0</v>
      </c>
      <c r="E442">
        <f t="shared" si="10"/>
        <v>0</v>
      </c>
      <c r="F442">
        <f t="shared" si="10"/>
        <v>0</v>
      </c>
      <c r="G442">
        <f t="shared" si="10"/>
        <v>0</v>
      </c>
      <c r="H442">
        <f t="shared" si="10"/>
        <v>0</v>
      </c>
      <c r="I442">
        <f t="shared" si="10"/>
        <v>0</v>
      </c>
      <c r="J442">
        <f t="shared" si="10"/>
        <v>0</v>
      </c>
      <c r="K442">
        <f t="shared" si="10"/>
        <v>0</v>
      </c>
      <c r="L442">
        <f t="shared" si="10"/>
        <v>0</v>
      </c>
      <c r="M442">
        <f t="shared" si="10"/>
        <v>0</v>
      </c>
      <c r="N442">
        <f t="shared" si="10"/>
        <v>0</v>
      </c>
      <c r="O442">
        <f t="shared" si="10"/>
        <v>0</v>
      </c>
      <c r="P442">
        <f t="shared" si="10"/>
        <v>0</v>
      </c>
      <c r="Q442">
        <f t="shared" si="10"/>
        <v>0</v>
      </c>
      <c r="R442">
        <f t="shared" si="10"/>
        <v>0</v>
      </c>
      <c r="S442">
        <f t="shared" si="10"/>
        <v>0</v>
      </c>
      <c r="T442">
        <f t="shared" si="10"/>
        <v>0</v>
      </c>
      <c r="U442">
        <f t="shared" si="10"/>
        <v>0</v>
      </c>
      <c r="V442">
        <f t="shared" si="10"/>
        <v>0</v>
      </c>
    </row>
    <row r="443" spans="1:22" x14ac:dyDescent="0.25">
      <c r="A443" t="s">
        <v>56</v>
      </c>
      <c r="B443">
        <f>SUM(B402:B404,B416:B418)</f>
        <v>3.2000000000000001E-2</v>
      </c>
      <c r="C443">
        <f t="shared" ref="C443:V443" si="11">SUM(C402:C404,C416:C418)</f>
        <v>0</v>
      </c>
      <c r="D443">
        <f t="shared" si="11"/>
        <v>0</v>
      </c>
      <c r="E443">
        <f t="shared" si="11"/>
        <v>0</v>
      </c>
      <c r="F443">
        <f t="shared" si="11"/>
        <v>0</v>
      </c>
      <c r="G443">
        <f t="shared" si="11"/>
        <v>0</v>
      </c>
      <c r="H443">
        <f t="shared" si="11"/>
        <v>0</v>
      </c>
      <c r="I443">
        <f t="shared" si="11"/>
        <v>0</v>
      </c>
      <c r="J443">
        <f t="shared" si="11"/>
        <v>0</v>
      </c>
      <c r="K443">
        <f t="shared" si="11"/>
        <v>0</v>
      </c>
      <c r="L443">
        <f t="shared" si="11"/>
        <v>0</v>
      </c>
      <c r="M443">
        <f t="shared" si="11"/>
        <v>0</v>
      </c>
      <c r="N443">
        <f t="shared" si="11"/>
        <v>0</v>
      </c>
      <c r="O443">
        <f t="shared" si="11"/>
        <v>0</v>
      </c>
      <c r="P443">
        <f t="shared" si="11"/>
        <v>0</v>
      </c>
      <c r="Q443">
        <f t="shared" si="11"/>
        <v>0</v>
      </c>
      <c r="R443">
        <f t="shared" si="11"/>
        <v>0</v>
      </c>
      <c r="S443">
        <f t="shared" si="11"/>
        <v>0</v>
      </c>
      <c r="T443">
        <f t="shared" si="11"/>
        <v>0</v>
      </c>
      <c r="U443">
        <f t="shared" si="11"/>
        <v>0</v>
      </c>
      <c r="V443">
        <f t="shared" si="11"/>
        <v>0</v>
      </c>
    </row>
    <row r="444" spans="1:22" x14ac:dyDescent="0.25">
      <c r="A444" t="s">
        <v>58</v>
      </c>
      <c r="B444">
        <f>SUM(B405,B419)</f>
        <v>0</v>
      </c>
      <c r="C444">
        <f t="shared" ref="C444:V444" si="12">SUM(C405,C419)</f>
        <v>0</v>
      </c>
      <c r="D444">
        <f t="shared" si="12"/>
        <v>0</v>
      </c>
      <c r="E444">
        <f t="shared" si="12"/>
        <v>0</v>
      </c>
      <c r="F444">
        <f t="shared" si="12"/>
        <v>0</v>
      </c>
      <c r="G444">
        <f t="shared" si="12"/>
        <v>0</v>
      </c>
      <c r="H444">
        <f t="shared" si="12"/>
        <v>0</v>
      </c>
      <c r="I444">
        <f t="shared" si="12"/>
        <v>0</v>
      </c>
      <c r="J444">
        <f t="shared" si="12"/>
        <v>0</v>
      </c>
      <c r="K444">
        <f t="shared" si="12"/>
        <v>0</v>
      </c>
      <c r="L444">
        <f t="shared" si="12"/>
        <v>0</v>
      </c>
      <c r="M444">
        <f t="shared" si="12"/>
        <v>0</v>
      </c>
      <c r="N444">
        <f t="shared" si="12"/>
        <v>0</v>
      </c>
      <c r="O444">
        <f t="shared" si="12"/>
        <v>0</v>
      </c>
      <c r="P444">
        <f t="shared" si="12"/>
        <v>0</v>
      </c>
      <c r="Q444">
        <f t="shared" si="12"/>
        <v>0</v>
      </c>
      <c r="R444">
        <f t="shared" si="12"/>
        <v>0</v>
      </c>
      <c r="S444">
        <f t="shared" si="12"/>
        <v>0</v>
      </c>
      <c r="T444">
        <f t="shared" si="12"/>
        <v>0</v>
      </c>
      <c r="U444">
        <f t="shared" si="12"/>
        <v>0</v>
      </c>
      <c r="V444">
        <f t="shared" si="12"/>
        <v>0</v>
      </c>
    </row>
    <row r="445" spans="1:22" x14ac:dyDescent="0.25">
      <c r="A445" t="s">
        <v>59</v>
      </c>
      <c r="B445">
        <f>SUM(B405:B406,B419:B420)</f>
        <v>0</v>
      </c>
      <c r="C445">
        <f t="shared" ref="C445:V445" si="13">SUM(C405:C406,C419:C420)</f>
        <v>0</v>
      </c>
      <c r="D445">
        <f t="shared" si="13"/>
        <v>0</v>
      </c>
      <c r="E445">
        <f t="shared" si="13"/>
        <v>0</v>
      </c>
      <c r="F445">
        <f t="shared" si="13"/>
        <v>0</v>
      </c>
      <c r="G445">
        <f t="shared" si="13"/>
        <v>0</v>
      </c>
      <c r="H445">
        <f t="shared" si="13"/>
        <v>0</v>
      </c>
      <c r="I445">
        <f t="shared" si="13"/>
        <v>0</v>
      </c>
      <c r="J445">
        <f t="shared" si="13"/>
        <v>0</v>
      </c>
      <c r="K445">
        <f t="shared" si="13"/>
        <v>0</v>
      </c>
      <c r="L445">
        <f t="shared" si="13"/>
        <v>0</v>
      </c>
      <c r="M445">
        <f t="shared" si="13"/>
        <v>0</v>
      </c>
      <c r="N445">
        <f t="shared" si="13"/>
        <v>0</v>
      </c>
      <c r="O445">
        <f t="shared" si="13"/>
        <v>0</v>
      </c>
      <c r="P445">
        <f t="shared" si="13"/>
        <v>0</v>
      </c>
      <c r="Q445">
        <f t="shared" si="13"/>
        <v>0</v>
      </c>
      <c r="R445">
        <f t="shared" si="13"/>
        <v>0</v>
      </c>
      <c r="S445">
        <f t="shared" si="13"/>
        <v>0</v>
      </c>
      <c r="T445">
        <f t="shared" si="13"/>
        <v>0</v>
      </c>
      <c r="U445">
        <f t="shared" si="13"/>
        <v>0</v>
      </c>
      <c r="V445">
        <f t="shared" si="13"/>
        <v>0</v>
      </c>
    </row>
    <row r="446" spans="1:22" x14ac:dyDescent="0.25">
      <c r="A446" t="s">
        <v>36</v>
      </c>
      <c r="B446">
        <f>SUM(B402,B416)/B443</f>
        <v>1</v>
      </c>
      <c r="C446" t="e">
        <f t="shared" ref="C446:V446" si="14">SUM(C402,C416)/C443</f>
        <v>#DIV/0!</v>
      </c>
      <c r="D446" t="e">
        <f t="shared" si="14"/>
        <v>#DIV/0!</v>
      </c>
      <c r="E446" t="e">
        <f t="shared" si="14"/>
        <v>#DIV/0!</v>
      </c>
      <c r="F446" t="e">
        <f t="shared" si="14"/>
        <v>#DIV/0!</v>
      </c>
      <c r="G446" t="e">
        <f t="shared" si="14"/>
        <v>#DIV/0!</v>
      </c>
      <c r="H446" t="e">
        <f t="shared" si="14"/>
        <v>#DIV/0!</v>
      </c>
      <c r="I446" t="e">
        <f t="shared" si="14"/>
        <v>#DIV/0!</v>
      </c>
      <c r="J446" t="e">
        <f t="shared" si="14"/>
        <v>#DIV/0!</v>
      </c>
      <c r="K446" t="e">
        <f t="shared" si="14"/>
        <v>#DIV/0!</v>
      </c>
      <c r="L446" t="e">
        <f t="shared" si="14"/>
        <v>#DIV/0!</v>
      </c>
      <c r="M446" t="e">
        <f t="shared" si="14"/>
        <v>#DIV/0!</v>
      </c>
      <c r="N446" t="e">
        <f t="shared" si="14"/>
        <v>#DIV/0!</v>
      </c>
      <c r="O446" t="e">
        <f t="shared" si="14"/>
        <v>#DIV/0!</v>
      </c>
      <c r="P446" t="e">
        <f t="shared" si="14"/>
        <v>#DIV/0!</v>
      </c>
      <c r="Q446" t="e">
        <f t="shared" si="14"/>
        <v>#DIV/0!</v>
      </c>
      <c r="R446" t="e">
        <f t="shared" si="14"/>
        <v>#DIV/0!</v>
      </c>
      <c r="S446" t="e">
        <f t="shared" si="14"/>
        <v>#DIV/0!</v>
      </c>
      <c r="T446" t="e">
        <f t="shared" si="14"/>
        <v>#DIV/0!</v>
      </c>
      <c r="U446" t="e">
        <f t="shared" si="14"/>
        <v>#DIV/0!</v>
      </c>
      <c r="V446" t="e">
        <f t="shared" si="14"/>
        <v>#DIV/0!</v>
      </c>
    </row>
    <row r="447" spans="1:22" x14ac:dyDescent="0.25">
      <c r="A447" t="s">
        <v>39</v>
      </c>
      <c r="B447">
        <f>SUM(B402:B403,B416:B417)/B443</f>
        <v>1</v>
      </c>
      <c r="C447" t="e">
        <f t="shared" ref="C447:V447" si="15">SUM(C402:C403,C416:C417)/C443</f>
        <v>#DIV/0!</v>
      </c>
      <c r="D447" t="e">
        <f t="shared" si="15"/>
        <v>#DIV/0!</v>
      </c>
      <c r="E447" t="e">
        <f t="shared" si="15"/>
        <v>#DIV/0!</v>
      </c>
      <c r="F447" t="e">
        <f t="shared" si="15"/>
        <v>#DIV/0!</v>
      </c>
      <c r="G447" t="e">
        <f t="shared" si="15"/>
        <v>#DIV/0!</v>
      </c>
      <c r="H447" t="e">
        <f t="shared" si="15"/>
        <v>#DIV/0!</v>
      </c>
      <c r="I447" t="e">
        <f t="shared" si="15"/>
        <v>#DIV/0!</v>
      </c>
      <c r="J447" t="e">
        <f t="shared" si="15"/>
        <v>#DIV/0!</v>
      </c>
      <c r="K447" t="e">
        <f t="shared" si="15"/>
        <v>#DIV/0!</v>
      </c>
      <c r="L447" t="e">
        <f t="shared" si="15"/>
        <v>#DIV/0!</v>
      </c>
      <c r="M447" t="e">
        <f t="shared" si="15"/>
        <v>#DIV/0!</v>
      </c>
      <c r="N447" t="e">
        <f t="shared" si="15"/>
        <v>#DIV/0!</v>
      </c>
      <c r="O447" t="e">
        <f t="shared" si="15"/>
        <v>#DIV/0!</v>
      </c>
      <c r="P447" t="e">
        <f t="shared" si="15"/>
        <v>#DIV/0!</v>
      </c>
      <c r="Q447" t="e">
        <f t="shared" si="15"/>
        <v>#DIV/0!</v>
      </c>
      <c r="R447" t="e">
        <f t="shared" si="15"/>
        <v>#DIV/0!</v>
      </c>
      <c r="S447" t="e">
        <f t="shared" si="15"/>
        <v>#DIV/0!</v>
      </c>
      <c r="T447" t="e">
        <f t="shared" si="15"/>
        <v>#DIV/0!</v>
      </c>
      <c r="U447" t="e">
        <f t="shared" si="15"/>
        <v>#DIV/0!</v>
      </c>
      <c r="V447" t="e">
        <f t="shared" si="15"/>
        <v>#DIV/0!</v>
      </c>
    </row>
    <row r="448" spans="1:22" x14ac:dyDescent="0.25">
      <c r="A448" t="s">
        <v>37</v>
      </c>
      <c r="B448">
        <f>SUM(B403,B417)/B443</f>
        <v>0</v>
      </c>
      <c r="C448" t="e">
        <f t="shared" ref="C448:V448" si="16">SUM(C403,C417)/C443</f>
        <v>#DIV/0!</v>
      </c>
      <c r="D448" t="e">
        <f t="shared" si="16"/>
        <v>#DIV/0!</v>
      </c>
      <c r="E448" t="e">
        <f t="shared" si="16"/>
        <v>#DIV/0!</v>
      </c>
      <c r="F448" t="e">
        <f t="shared" si="16"/>
        <v>#DIV/0!</v>
      </c>
      <c r="G448" t="e">
        <f t="shared" si="16"/>
        <v>#DIV/0!</v>
      </c>
      <c r="H448" t="e">
        <f t="shared" si="16"/>
        <v>#DIV/0!</v>
      </c>
      <c r="I448" t="e">
        <f t="shared" si="16"/>
        <v>#DIV/0!</v>
      </c>
      <c r="J448" t="e">
        <f t="shared" si="16"/>
        <v>#DIV/0!</v>
      </c>
      <c r="K448" t="e">
        <f t="shared" si="16"/>
        <v>#DIV/0!</v>
      </c>
      <c r="L448" t="e">
        <f t="shared" si="16"/>
        <v>#DIV/0!</v>
      </c>
      <c r="M448" t="e">
        <f t="shared" si="16"/>
        <v>#DIV/0!</v>
      </c>
      <c r="N448" t="e">
        <f t="shared" si="16"/>
        <v>#DIV/0!</v>
      </c>
      <c r="O448" t="e">
        <f t="shared" si="16"/>
        <v>#DIV/0!</v>
      </c>
      <c r="P448" t="e">
        <f t="shared" si="16"/>
        <v>#DIV/0!</v>
      </c>
      <c r="Q448" t="e">
        <f t="shared" si="16"/>
        <v>#DIV/0!</v>
      </c>
      <c r="R448" t="e">
        <f t="shared" si="16"/>
        <v>#DIV/0!</v>
      </c>
      <c r="S448" t="e">
        <f t="shared" si="16"/>
        <v>#DIV/0!</v>
      </c>
      <c r="T448" t="e">
        <f t="shared" si="16"/>
        <v>#DIV/0!</v>
      </c>
      <c r="U448" t="e">
        <f t="shared" si="16"/>
        <v>#DIV/0!</v>
      </c>
      <c r="V448" t="e">
        <f t="shared" si="16"/>
        <v>#DIV/0!</v>
      </c>
    </row>
    <row r="449" spans="1:22" x14ac:dyDescent="0.25">
      <c r="A449" t="s">
        <v>38</v>
      </c>
      <c r="B449">
        <f>SUM(B404,B418)/B443</f>
        <v>0</v>
      </c>
      <c r="C449" t="e">
        <f t="shared" ref="C449:V449" si="17">SUM(C404,C418)/C443</f>
        <v>#DIV/0!</v>
      </c>
      <c r="D449" t="e">
        <f t="shared" si="17"/>
        <v>#DIV/0!</v>
      </c>
      <c r="E449" t="e">
        <f t="shared" si="17"/>
        <v>#DIV/0!</v>
      </c>
      <c r="F449" t="e">
        <f t="shared" si="17"/>
        <v>#DIV/0!</v>
      </c>
      <c r="G449" t="e">
        <f t="shared" si="17"/>
        <v>#DIV/0!</v>
      </c>
      <c r="H449" t="e">
        <f t="shared" si="17"/>
        <v>#DIV/0!</v>
      </c>
      <c r="I449" t="e">
        <f t="shared" si="17"/>
        <v>#DIV/0!</v>
      </c>
      <c r="J449" t="e">
        <f t="shared" si="17"/>
        <v>#DIV/0!</v>
      </c>
      <c r="K449" t="e">
        <f t="shared" si="17"/>
        <v>#DIV/0!</v>
      </c>
      <c r="L449" t="e">
        <f t="shared" si="17"/>
        <v>#DIV/0!</v>
      </c>
      <c r="M449" t="e">
        <f t="shared" si="17"/>
        <v>#DIV/0!</v>
      </c>
      <c r="N449" t="e">
        <f t="shared" si="17"/>
        <v>#DIV/0!</v>
      </c>
      <c r="O449" t="e">
        <f t="shared" si="17"/>
        <v>#DIV/0!</v>
      </c>
      <c r="P449" t="e">
        <f t="shared" si="17"/>
        <v>#DIV/0!</v>
      </c>
      <c r="Q449" t="e">
        <f t="shared" si="17"/>
        <v>#DIV/0!</v>
      </c>
      <c r="R449" t="e">
        <f t="shared" si="17"/>
        <v>#DIV/0!</v>
      </c>
      <c r="S449" t="e">
        <f t="shared" si="17"/>
        <v>#DIV/0!</v>
      </c>
      <c r="T449" t="e">
        <f t="shared" si="17"/>
        <v>#DIV/0!</v>
      </c>
      <c r="U449" t="e">
        <f t="shared" si="17"/>
        <v>#DIV/0!</v>
      </c>
      <c r="V449" t="e">
        <f t="shared" si="17"/>
        <v>#DIV/0!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5"/>
  <dimension ref="A1:AZ6553"/>
  <sheetViews>
    <sheetView tabSelected="1" zoomScaleNormal="100" workbookViewId="0">
      <selection activeCell="AP1" sqref="AP1:AV1048576"/>
    </sheetView>
  </sheetViews>
  <sheetFormatPr defaultRowHeight="15" x14ac:dyDescent="0.25"/>
  <sheetData>
    <row r="1" spans="1:52" x14ac:dyDescent="0.25">
      <c r="A1" t="s">
        <v>15</v>
      </c>
      <c r="B1" t="s">
        <v>32</v>
      </c>
      <c r="C1" t="s">
        <v>25</v>
      </c>
      <c r="D1" t="s">
        <v>26</v>
      </c>
      <c r="E1" t="s">
        <v>14</v>
      </c>
      <c r="F1" t="s">
        <v>13</v>
      </c>
      <c r="G1" t="s">
        <v>60</v>
      </c>
      <c r="H1" t="s">
        <v>61</v>
      </c>
      <c r="I1" t="s">
        <v>62</v>
      </c>
      <c r="J1" t="s">
        <v>63</v>
      </c>
      <c r="K1" t="s">
        <v>64</v>
      </c>
      <c r="Z1" t="s">
        <v>34</v>
      </c>
      <c r="AB1" t="s">
        <v>30</v>
      </c>
      <c r="AC1" t="s">
        <v>15</v>
      </c>
      <c r="AD1" t="s">
        <v>27</v>
      </c>
      <c r="AE1" t="s">
        <v>14</v>
      </c>
      <c r="AF1" t="s">
        <v>13</v>
      </c>
      <c r="AG1" t="s">
        <v>90</v>
      </c>
      <c r="AH1" t="s">
        <v>91</v>
      </c>
      <c r="AI1" t="s">
        <v>22</v>
      </c>
      <c r="AK1" t="s">
        <v>23</v>
      </c>
      <c r="AL1" t="s">
        <v>24</v>
      </c>
      <c r="AM1" t="s">
        <v>40</v>
      </c>
      <c r="AO1" t="s">
        <v>31</v>
      </c>
      <c r="AP1" t="s">
        <v>15</v>
      </c>
      <c r="AQ1" t="s">
        <v>27</v>
      </c>
      <c r="AR1" t="s">
        <v>14</v>
      </c>
      <c r="AS1" t="s">
        <v>13</v>
      </c>
      <c r="AT1" t="s">
        <v>90</v>
      </c>
      <c r="AU1" t="s">
        <v>91</v>
      </c>
      <c r="AV1" t="s">
        <v>22</v>
      </c>
      <c r="AX1" t="s">
        <v>23</v>
      </c>
      <c r="AY1" t="s">
        <v>24</v>
      </c>
      <c r="AZ1" t="s">
        <v>40</v>
      </c>
    </row>
    <row r="2" spans="1:52" x14ac:dyDescent="0.25">
      <c r="A2">
        <v>790</v>
      </c>
      <c r="B2">
        <v>0</v>
      </c>
      <c r="C2">
        <v>113.900031120774</v>
      </c>
      <c r="D2">
        <v>98.075151828604604</v>
      </c>
      <c r="E2">
        <v>14</v>
      </c>
      <c r="F2">
        <v>1.01722196789785</v>
      </c>
      <c r="G2" t="s">
        <v>85</v>
      </c>
      <c r="H2" t="s">
        <v>85</v>
      </c>
      <c r="I2">
        <v>0</v>
      </c>
      <c r="J2">
        <v>0</v>
      </c>
      <c r="K2">
        <v>0.102156287543144</v>
      </c>
      <c r="Z2" s="2" t="s">
        <v>16</v>
      </c>
      <c r="AA2" s="2">
        <v>0</v>
      </c>
      <c r="AC2">
        <v>790</v>
      </c>
      <c r="AD2">
        <v>113.900031120774</v>
      </c>
      <c r="AE2">
        <v>14</v>
      </c>
      <c r="AF2">
        <v>1.01722196789785</v>
      </c>
      <c r="AG2" t="s">
        <v>85</v>
      </c>
      <c r="AH2">
        <v>0</v>
      </c>
      <c r="AI2">
        <v>0.102156287543144</v>
      </c>
      <c r="AJ2">
        <v>1</v>
      </c>
      <c r="AK2">
        <f>AJ2/$AA$17</f>
        <v>6.2500000000000001E-4</v>
      </c>
      <c r="AL2">
        <f>AD2*$AA$16</f>
        <v>113.900031120774</v>
      </c>
      <c r="AM2">
        <f>AL2/$AA$17</f>
        <v>7.1187519450483752E-2</v>
      </c>
    </row>
    <row r="3" spans="1:52" x14ac:dyDescent="0.25">
      <c r="A3" t="s">
        <v>86</v>
      </c>
      <c r="Z3" s="2" t="s">
        <v>17</v>
      </c>
      <c r="AA3" s="2">
        <v>150</v>
      </c>
      <c r="AC3">
        <v>790</v>
      </c>
      <c r="AD3">
        <v>98.075151828604604</v>
      </c>
      <c r="AE3">
        <v>14</v>
      </c>
      <c r="AF3">
        <v>1.01722196789785</v>
      </c>
      <c r="AG3" t="s">
        <v>85</v>
      </c>
      <c r="AH3">
        <v>0</v>
      </c>
      <c r="AI3">
        <v>0.102156287543144</v>
      </c>
      <c r="AJ3">
        <v>2</v>
      </c>
      <c r="AK3">
        <f>AJ3/$AA$17</f>
        <v>1.25E-3</v>
      </c>
      <c r="AL3">
        <f>AD3*$AA$16</f>
        <v>98.075151828604604</v>
      </c>
      <c r="AM3">
        <f>AM2+(AL3/$AA$17)</f>
        <v>0.13248448934336163</v>
      </c>
    </row>
    <row r="4" spans="1:52" x14ac:dyDescent="0.25">
      <c r="A4">
        <v>80.868903088317794</v>
      </c>
      <c r="B4">
        <v>80.320976370633801</v>
      </c>
      <c r="C4">
        <v>2000</v>
      </c>
      <c r="Z4" s="2" t="s">
        <v>18</v>
      </c>
      <c r="AA4" s="2">
        <v>0</v>
      </c>
      <c r="AC4">
        <v>939</v>
      </c>
      <c r="AD4">
        <v>92.862048963624105</v>
      </c>
      <c r="AE4">
        <v>10</v>
      </c>
      <c r="AF4">
        <v>1.01722196789785</v>
      </c>
      <c r="AG4" t="s">
        <v>85</v>
      </c>
      <c r="AH4">
        <v>0</v>
      </c>
      <c r="AI4">
        <v>0.10626245288241699</v>
      </c>
      <c r="AJ4">
        <v>3</v>
      </c>
      <c r="AK4">
        <f>AJ4/$AA$17</f>
        <v>1.8749999999999999E-3</v>
      </c>
      <c r="AL4">
        <f>AD4*$AA$16</f>
        <v>92.862048963624105</v>
      </c>
      <c r="AM4">
        <f>AM3+(AL4/$AA$17)</f>
        <v>0.19052326994562668</v>
      </c>
    </row>
    <row r="5" spans="1:52" x14ac:dyDescent="0.25">
      <c r="A5">
        <v>50.329418705459602</v>
      </c>
      <c r="B5">
        <v>49.781491987775603</v>
      </c>
      <c r="C5">
        <v>2000</v>
      </c>
      <c r="Z5" s="2" t="s">
        <v>19</v>
      </c>
      <c r="AA5" s="2">
        <v>150</v>
      </c>
      <c r="AC5">
        <v>891</v>
      </c>
      <c r="AD5">
        <v>80.493714181398104</v>
      </c>
      <c r="AE5">
        <v>10</v>
      </c>
      <c r="AF5">
        <v>1.01722196789785</v>
      </c>
      <c r="AG5" t="s">
        <v>85</v>
      </c>
      <c r="AH5">
        <v>0</v>
      </c>
      <c r="AI5">
        <v>0.104714434237089</v>
      </c>
      <c r="AJ5">
        <v>4</v>
      </c>
      <c r="AK5">
        <f>AJ5/$AA$17</f>
        <v>2.5000000000000001E-3</v>
      </c>
      <c r="AL5">
        <f>AD5*$AA$16</f>
        <v>80.493714181398104</v>
      </c>
      <c r="AM5">
        <f>AM4+(AL5/$AA$17)</f>
        <v>0.24083184130900048</v>
      </c>
    </row>
    <row r="6" spans="1:52" x14ac:dyDescent="0.25">
      <c r="A6">
        <v>50.218992709726699</v>
      </c>
      <c r="B6">
        <v>49.671065992042699</v>
      </c>
      <c r="C6">
        <v>2000</v>
      </c>
      <c r="AC6">
        <v>770</v>
      </c>
      <c r="AD6">
        <v>79.936830407160798</v>
      </c>
      <c r="AE6">
        <v>12</v>
      </c>
      <c r="AF6">
        <v>1.01722196789785</v>
      </c>
      <c r="AG6" t="s">
        <v>85</v>
      </c>
      <c r="AH6">
        <v>0</v>
      </c>
      <c r="AI6">
        <v>0.101659477666818</v>
      </c>
      <c r="AJ6">
        <v>5</v>
      </c>
      <c r="AK6">
        <f>AJ6/$AA$17</f>
        <v>3.1250000000000002E-3</v>
      </c>
      <c r="AL6">
        <f>AD6*$AA$16</f>
        <v>79.936830407160798</v>
      </c>
      <c r="AM6">
        <f>AM5+(AL6/$AA$17)</f>
        <v>0.29079236031347599</v>
      </c>
    </row>
    <row r="7" spans="1:52" x14ac:dyDescent="0.25">
      <c r="A7">
        <v>0.54792671768395695</v>
      </c>
      <c r="B7">
        <v>0</v>
      </c>
      <c r="C7">
        <v>2000</v>
      </c>
      <c r="AC7">
        <v>793</v>
      </c>
      <c r="AD7">
        <v>79.367849137378798</v>
      </c>
      <c r="AE7">
        <v>10</v>
      </c>
      <c r="AF7">
        <v>1.01722196789785</v>
      </c>
      <c r="AG7" t="s">
        <v>85</v>
      </c>
      <c r="AH7">
        <v>0</v>
      </c>
      <c r="AI7">
        <v>0.102396880332516</v>
      </c>
      <c r="AJ7">
        <v>6</v>
      </c>
      <c r="AK7">
        <f>AJ7/$AA$17</f>
        <v>3.7499999999999999E-3</v>
      </c>
      <c r="AL7">
        <f>AD7*$AA$16</f>
        <v>79.367849137378798</v>
      </c>
      <c r="AM7">
        <f>AM6+(AL7/$AA$17)</f>
        <v>0.34039726602433773</v>
      </c>
    </row>
    <row r="8" spans="1:52" x14ac:dyDescent="0.25">
      <c r="A8">
        <v>-0.107597318989272</v>
      </c>
      <c r="B8">
        <v>0.21850801222441199</v>
      </c>
      <c r="C8">
        <v>2001</v>
      </c>
      <c r="AC8">
        <v>105</v>
      </c>
      <c r="AD8">
        <v>79.092201405217907</v>
      </c>
      <c r="AE8">
        <v>10</v>
      </c>
      <c r="AF8">
        <v>1.01722196789785</v>
      </c>
      <c r="AG8" t="s">
        <v>85</v>
      </c>
      <c r="AH8">
        <v>0</v>
      </c>
      <c r="AI8">
        <v>0</v>
      </c>
      <c r="AJ8">
        <v>7</v>
      </c>
      <c r="AK8">
        <f>AJ8/$AA$17</f>
        <v>4.3750000000000004E-3</v>
      </c>
      <c r="AL8">
        <f>AD8*$AA$16</f>
        <v>79.092201405217907</v>
      </c>
      <c r="AM8">
        <f>AM7+(AL8/$AA$17)</f>
        <v>0.38982989190259892</v>
      </c>
    </row>
    <row r="9" spans="1:52" x14ac:dyDescent="0.25">
      <c r="A9">
        <v>49.781491987775603</v>
      </c>
      <c r="B9">
        <v>50.1075973189892</v>
      </c>
      <c r="C9">
        <v>2001</v>
      </c>
      <c r="Z9" t="s">
        <v>33</v>
      </c>
      <c r="AA9">
        <f>COUNTIF(A:A,"Start Points")</f>
        <v>650</v>
      </c>
      <c r="AC9">
        <v>107</v>
      </c>
      <c r="AD9">
        <v>64.478096988370694</v>
      </c>
      <c r="AE9">
        <v>10</v>
      </c>
      <c r="AF9">
        <v>1.01722196789785</v>
      </c>
      <c r="AG9" t="s">
        <v>88</v>
      </c>
      <c r="AH9">
        <v>654</v>
      </c>
      <c r="AI9">
        <v>0</v>
      </c>
      <c r="AJ9">
        <v>8</v>
      </c>
      <c r="AK9">
        <f>AJ9/$AA$17</f>
        <v>5.0000000000000001E-3</v>
      </c>
      <c r="AL9">
        <f>AD9*$AA$16</f>
        <v>64.478096988370694</v>
      </c>
      <c r="AM9">
        <f>AM8+(AL9/$AA$17)</f>
        <v>0.43012870252033059</v>
      </c>
    </row>
    <row r="10" spans="1:52" x14ac:dyDescent="0.25">
      <c r="A10">
        <v>49.8924026810108</v>
      </c>
      <c r="B10">
        <v>50.218508012224397</v>
      </c>
      <c r="C10">
        <v>2001</v>
      </c>
      <c r="AC10">
        <v>902</v>
      </c>
      <c r="AD10">
        <v>58.315035339594601</v>
      </c>
      <c r="AE10">
        <v>10</v>
      </c>
      <c r="AF10">
        <v>1.01722196789785</v>
      </c>
      <c r="AG10" t="s">
        <v>88</v>
      </c>
      <c r="AH10">
        <v>653</v>
      </c>
      <c r="AI10">
        <v>0.105080877406349</v>
      </c>
      <c r="AJ10">
        <v>9</v>
      </c>
      <c r="AK10">
        <f>AJ10/$AA$17</f>
        <v>5.6249999999999998E-3</v>
      </c>
      <c r="AL10">
        <f>AD10*$AA$16</f>
        <v>58.315035339594601</v>
      </c>
      <c r="AM10">
        <f>AM9+(AL10/$AA$17)</f>
        <v>0.46657559960757722</v>
      </c>
    </row>
    <row r="11" spans="1:52" x14ac:dyDescent="0.25">
      <c r="A11">
        <v>80.431887063868999</v>
      </c>
      <c r="B11">
        <v>80.757992395082695</v>
      </c>
      <c r="C11">
        <v>2001</v>
      </c>
      <c r="Z11" t="s">
        <v>35</v>
      </c>
      <c r="AC11">
        <v>771</v>
      </c>
      <c r="AD11">
        <v>54.054910899007098</v>
      </c>
      <c r="AE11">
        <v>10</v>
      </c>
      <c r="AF11">
        <v>1.01722196789785</v>
      </c>
      <c r="AG11" t="s">
        <v>88</v>
      </c>
      <c r="AH11">
        <v>655</v>
      </c>
      <c r="AI11">
        <v>0.101910405093446</v>
      </c>
      <c r="AJ11">
        <v>10</v>
      </c>
      <c r="AK11">
        <f>AJ11/$AA$17</f>
        <v>6.2500000000000003E-3</v>
      </c>
      <c r="AL11">
        <f>AD11*$AA$16</f>
        <v>54.054910899007098</v>
      </c>
      <c r="AM11">
        <f>AM10+(AL11/$AA$17)</f>
        <v>0.50035991891945664</v>
      </c>
    </row>
    <row r="12" spans="1:52" x14ac:dyDescent="0.25">
      <c r="A12">
        <v>99.781491987775595</v>
      </c>
      <c r="B12">
        <v>100.10759731898899</v>
      </c>
      <c r="C12">
        <v>2001</v>
      </c>
      <c r="Z12" s="2" t="s">
        <v>16</v>
      </c>
      <c r="AA12" s="2">
        <v>55</v>
      </c>
      <c r="AC12">
        <v>770</v>
      </c>
      <c r="AD12">
        <v>50.6368648588466</v>
      </c>
      <c r="AE12">
        <v>12</v>
      </c>
      <c r="AF12">
        <v>1.01722196789785</v>
      </c>
      <c r="AG12" t="s">
        <v>88</v>
      </c>
      <c r="AH12">
        <v>940</v>
      </c>
      <c r="AI12">
        <v>0.101659477666818</v>
      </c>
      <c r="AJ12">
        <v>11</v>
      </c>
      <c r="AK12">
        <f>AJ12/$AA$17</f>
        <v>6.875E-3</v>
      </c>
      <c r="AL12">
        <f>AD12*$AA$16</f>
        <v>50.6368648588466</v>
      </c>
      <c r="AM12">
        <f>AM11+(AL12/$AA$17)</f>
        <v>0.5320079594562358</v>
      </c>
    </row>
    <row r="13" spans="1:52" x14ac:dyDescent="0.25">
      <c r="A13">
        <v>99.892402681010793</v>
      </c>
      <c r="B13">
        <v>100.21850801222401</v>
      </c>
      <c r="C13">
        <v>2001</v>
      </c>
      <c r="Z13" s="2" t="s">
        <v>17</v>
      </c>
      <c r="AA13" s="2">
        <v>95</v>
      </c>
      <c r="AC13">
        <v>804</v>
      </c>
      <c r="AD13">
        <v>50.133009329470603</v>
      </c>
      <c r="AE13">
        <v>10</v>
      </c>
      <c r="AF13">
        <v>1.01722196789785</v>
      </c>
      <c r="AG13" t="s">
        <v>88</v>
      </c>
      <c r="AH13">
        <v>679</v>
      </c>
      <c r="AI13">
        <v>0.10263209558717</v>
      </c>
      <c r="AJ13">
        <v>12</v>
      </c>
      <c r="AK13">
        <f>AJ13/$AA$17</f>
        <v>7.4999999999999997E-3</v>
      </c>
      <c r="AL13">
        <f>AD13*$AA$16</f>
        <v>50.133009329470603</v>
      </c>
      <c r="AM13">
        <f>AM12+(AL13/$AA$17)</f>
        <v>0.56334109028715496</v>
      </c>
    </row>
    <row r="14" spans="1:52" x14ac:dyDescent="0.25">
      <c r="A14">
        <v>149.78149198777601</v>
      </c>
      <c r="B14">
        <v>150.10759731898901</v>
      </c>
      <c r="C14">
        <v>2001</v>
      </c>
      <c r="Z14" s="2" t="s">
        <v>18</v>
      </c>
      <c r="AA14" s="2">
        <v>55</v>
      </c>
      <c r="AC14">
        <v>947</v>
      </c>
      <c r="AD14">
        <v>42.104500743596603</v>
      </c>
      <c r="AE14">
        <v>8</v>
      </c>
      <c r="AF14">
        <v>1.01722196789785</v>
      </c>
      <c r="AG14" t="s">
        <v>88</v>
      </c>
      <c r="AH14">
        <v>328</v>
      </c>
      <c r="AI14">
        <v>0.106727627876698</v>
      </c>
      <c r="AJ14">
        <v>13</v>
      </c>
      <c r="AK14">
        <f>AJ14/$AA$17</f>
        <v>8.1250000000000003E-3</v>
      </c>
      <c r="AL14">
        <f>AD14*$AA$16</f>
        <v>42.104500743596603</v>
      </c>
      <c r="AM14">
        <f>AM13+(AL14/$AA$17)</f>
        <v>0.58965640325190283</v>
      </c>
    </row>
    <row r="15" spans="1:52" x14ac:dyDescent="0.25">
      <c r="A15">
        <v>150</v>
      </c>
      <c r="B15">
        <v>149.45207328231601</v>
      </c>
      <c r="C15">
        <v>2000</v>
      </c>
      <c r="Z15" s="2" t="s">
        <v>19</v>
      </c>
      <c r="AA15" s="2">
        <v>95</v>
      </c>
      <c r="AC15">
        <v>113</v>
      </c>
      <c r="AD15">
        <v>39.230220016872302</v>
      </c>
      <c r="AE15">
        <v>6</v>
      </c>
      <c r="AF15">
        <v>1.01722196789785</v>
      </c>
      <c r="AG15" t="s">
        <v>88</v>
      </c>
      <c r="AH15">
        <v>664</v>
      </c>
      <c r="AI15">
        <v>0</v>
      </c>
      <c r="AJ15">
        <v>14</v>
      </c>
      <c r="AK15">
        <f>AJ15/$AA$17</f>
        <v>8.7500000000000008E-3</v>
      </c>
      <c r="AL15">
        <f>AD15*$AA$16</f>
        <v>39.230220016872302</v>
      </c>
      <c r="AM15">
        <f>AM14+(AL15/$AA$17)</f>
        <v>0.61417529076244803</v>
      </c>
    </row>
    <row r="16" spans="1:52" x14ac:dyDescent="0.25">
      <c r="A16">
        <v>100.328934007957</v>
      </c>
      <c r="B16">
        <v>99.781007290273294</v>
      </c>
      <c r="C16">
        <v>2000</v>
      </c>
      <c r="Z16" s="2" t="s">
        <v>20</v>
      </c>
      <c r="AA16" s="2">
        <v>1</v>
      </c>
      <c r="AC16">
        <v>106</v>
      </c>
      <c r="AD16">
        <v>37.258512216756898</v>
      </c>
      <c r="AE16">
        <v>8</v>
      </c>
      <c r="AF16">
        <v>1.01722196789785</v>
      </c>
      <c r="AG16" t="s">
        <v>88</v>
      </c>
      <c r="AH16">
        <v>672</v>
      </c>
      <c r="AI16">
        <v>0</v>
      </c>
      <c r="AJ16">
        <v>15</v>
      </c>
      <c r="AK16">
        <f>AJ16/$AA$17</f>
        <v>9.3749999999999997E-3</v>
      </c>
      <c r="AL16">
        <f>AD16*$AA$16</f>
        <v>37.258512216756898</v>
      </c>
      <c r="AM16">
        <f>AM15+(AL16/$AA$17)</f>
        <v>0.63746186089792112</v>
      </c>
    </row>
    <row r="17" spans="1:39" x14ac:dyDescent="0.25">
      <c r="A17">
        <v>100.21850801222401</v>
      </c>
      <c r="B17">
        <v>99.670581294540398</v>
      </c>
      <c r="C17">
        <v>2000</v>
      </c>
      <c r="Z17" t="s">
        <v>21</v>
      </c>
      <c r="AA17">
        <f>(AA13-AA12)*(AA15-AA14)*AA16</f>
        <v>1600</v>
      </c>
      <c r="AC17">
        <v>857</v>
      </c>
      <c r="AD17">
        <v>37.197318769046802</v>
      </c>
      <c r="AE17">
        <v>10</v>
      </c>
      <c r="AF17">
        <v>1.01722196789785</v>
      </c>
      <c r="AG17" t="s">
        <v>88</v>
      </c>
      <c r="AH17">
        <v>35</v>
      </c>
      <c r="AI17">
        <v>0.103935679754349</v>
      </c>
      <c r="AJ17">
        <v>16</v>
      </c>
      <c r="AK17">
        <f>AJ17/$AA$17</f>
        <v>0.01</v>
      </c>
      <c r="AL17">
        <f>AD17*$AA$16</f>
        <v>37.197318769046802</v>
      </c>
      <c r="AM17">
        <f>AM16+(AL17/$AA$17)</f>
        <v>0.66071018512857538</v>
      </c>
    </row>
    <row r="18" spans="1:39" x14ac:dyDescent="0.25">
      <c r="A18" t="s">
        <v>87</v>
      </c>
      <c r="AC18">
        <v>118</v>
      </c>
      <c r="AD18">
        <v>36.450056993502898</v>
      </c>
      <c r="AE18">
        <v>8</v>
      </c>
      <c r="AF18">
        <v>1.01722196789785</v>
      </c>
      <c r="AG18" t="s">
        <v>88</v>
      </c>
      <c r="AH18">
        <v>818</v>
      </c>
      <c r="AI18">
        <v>0</v>
      </c>
      <c r="AJ18">
        <v>17</v>
      </c>
      <c r="AK18">
        <f>AJ18/$AA$17</f>
        <v>1.0625000000000001E-2</v>
      </c>
      <c r="AL18">
        <f>AD18*$AA$16</f>
        <v>36.450056993502898</v>
      </c>
      <c r="AM18">
        <f>AM17+(AL18/$AA$17)</f>
        <v>0.68349147074951466</v>
      </c>
    </row>
    <row r="19" spans="1:39" x14ac:dyDescent="0.25">
      <c r="A19">
        <v>907</v>
      </c>
      <c r="B19">
        <v>0</v>
      </c>
      <c r="C19">
        <v>165.17382066204701</v>
      </c>
      <c r="D19">
        <v>3.1427762703759798</v>
      </c>
      <c r="E19">
        <v>14</v>
      </c>
      <c r="F19">
        <v>1.01722196789785</v>
      </c>
      <c r="G19" t="s">
        <v>85</v>
      </c>
      <c r="H19" t="s">
        <v>85</v>
      </c>
      <c r="I19">
        <v>0</v>
      </c>
      <c r="J19">
        <v>0</v>
      </c>
      <c r="K19">
        <v>0.105080877406349</v>
      </c>
      <c r="AC19">
        <v>112</v>
      </c>
      <c r="AD19">
        <v>35.890107903752202</v>
      </c>
      <c r="AE19">
        <v>8</v>
      </c>
      <c r="AF19">
        <v>1.01722196789785</v>
      </c>
      <c r="AG19" t="s">
        <v>88</v>
      </c>
      <c r="AH19">
        <v>994</v>
      </c>
      <c r="AI19">
        <v>0</v>
      </c>
      <c r="AJ19">
        <v>18</v>
      </c>
      <c r="AK19">
        <f>AJ19/$AA$17</f>
        <v>1.125E-2</v>
      </c>
      <c r="AL19">
        <f>AD19*$AA$16</f>
        <v>35.890107903752202</v>
      </c>
      <c r="AM19">
        <f>AM18+(AL19/$AA$17)</f>
        <v>0.70592278818935983</v>
      </c>
    </row>
    <row r="20" spans="1:39" x14ac:dyDescent="0.25">
      <c r="A20" t="s">
        <v>86</v>
      </c>
      <c r="AC20">
        <v>899</v>
      </c>
      <c r="AD20">
        <v>35.6853625086368</v>
      </c>
      <c r="AE20">
        <v>10</v>
      </c>
      <c r="AF20">
        <v>1.01722196789785</v>
      </c>
      <c r="AG20" t="s">
        <v>88</v>
      </c>
      <c r="AH20">
        <v>666</v>
      </c>
      <c r="AI20">
        <v>0.10489943576939401</v>
      </c>
      <c r="AJ20">
        <v>19</v>
      </c>
      <c r="AK20">
        <f>AJ20/$AA$17</f>
        <v>1.1875E-2</v>
      </c>
      <c r="AL20">
        <f>AD20*$AA$16</f>
        <v>35.6853625086368</v>
      </c>
      <c r="AM20">
        <f>AM19+(AL20/$AA$17)</f>
        <v>0.72822613975725781</v>
      </c>
    </row>
    <row r="21" spans="1:39" x14ac:dyDescent="0.25">
      <c r="A21">
        <v>116.38404584895</v>
      </c>
      <c r="B21">
        <v>147.803254796239</v>
      </c>
      <c r="C21">
        <v>2000</v>
      </c>
      <c r="AC21">
        <v>117</v>
      </c>
      <c r="AD21">
        <v>33.986686583976002</v>
      </c>
      <c r="AE21">
        <v>8</v>
      </c>
      <c r="AF21">
        <v>1.01722196789785</v>
      </c>
      <c r="AG21" t="s">
        <v>88</v>
      </c>
      <c r="AH21">
        <v>946</v>
      </c>
      <c r="AI21">
        <v>0</v>
      </c>
      <c r="AJ21">
        <v>20</v>
      </c>
      <c r="AK21">
        <f>AJ21/$AA$17</f>
        <v>1.2500000000000001E-2</v>
      </c>
      <c r="AL21">
        <f>AD21*$AA$16</f>
        <v>33.986686583976002</v>
      </c>
      <c r="AM21">
        <f>AM20+(AL21/$AA$17)</f>
        <v>0.74946781887224279</v>
      </c>
    </row>
    <row r="22" spans="1:39" x14ac:dyDescent="0.25">
      <c r="A22">
        <v>99.781491987775595</v>
      </c>
      <c r="B22">
        <v>131.20070093506499</v>
      </c>
      <c r="C22">
        <v>2000</v>
      </c>
      <c r="AC22">
        <v>899</v>
      </c>
      <c r="AD22">
        <v>32.5780532788363</v>
      </c>
      <c r="AE22">
        <v>10</v>
      </c>
      <c r="AF22">
        <v>1.01722196789785</v>
      </c>
      <c r="AG22" t="s">
        <v>88</v>
      </c>
      <c r="AH22">
        <v>979</v>
      </c>
      <c r="AI22">
        <v>0.10489943576939401</v>
      </c>
      <c r="AJ22">
        <v>21</v>
      </c>
      <c r="AK22">
        <f>AJ22/$AA$17</f>
        <v>1.3125E-2</v>
      </c>
      <c r="AL22">
        <f>AD22*$AA$16</f>
        <v>32.5780532788363</v>
      </c>
      <c r="AM22">
        <f>AM21+(AL22/$AA$17)</f>
        <v>0.76982910217151546</v>
      </c>
    </row>
    <row r="23" spans="1:39" x14ac:dyDescent="0.25">
      <c r="A23">
        <v>68.799299064934601</v>
      </c>
      <c r="B23">
        <v>100.21850801222401</v>
      </c>
      <c r="C23">
        <v>2000</v>
      </c>
      <c r="AC23">
        <v>750</v>
      </c>
      <c r="AD23">
        <v>30.9928104310933</v>
      </c>
      <c r="AE23">
        <v>10</v>
      </c>
      <c r="AF23">
        <v>1.01722196789785</v>
      </c>
      <c r="AG23" t="s">
        <v>88</v>
      </c>
      <c r="AH23">
        <v>37</v>
      </c>
      <c r="AI23">
        <v>0.101399532687084</v>
      </c>
      <c r="AJ23">
        <v>22</v>
      </c>
      <c r="AK23">
        <f>AJ23/$AA$17</f>
        <v>1.375E-2</v>
      </c>
      <c r="AL23">
        <f>AD23*$AA$16</f>
        <v>30.9928104310933</v>
      </c>
      <c r="AM23">
        <f>AM22+(AL23/$AA$17)</f>
        <v>0.78919960869094874</v>
      </c>
    </row>
    <row r="24" spans="1:39" x14ac:dyDescent="0.25">
      <c r="A24">
        <v>49.781491987775603</v>
      </c>
      <c r="B24">
        <v>81.200700935065399</v>
      </c>
      <c r="C24">
        <v>2000</v>
      </c>
      <c r="AC24">
        <v>748</v>
      </c>
      <c r="AD24">
        <v>28.127339082538398</v>
      </c>
      <c r="AE24">
        <v>8</v>
      </c>
      <c r="AF24">
        <v>1.01722196789785</v>
      </c>
      <c r="AG24" t="s">
        <v>88</v>
      </c>
      <c r="AH24">
        <v>750</v>
      </c>
      <c r="AI24">
        <v>0.100785207567138</v>
      </c>
      <c r="AJ24">
        <v>23</v>
      </c>
      <c r="AK24">
        <f>AJ24/$AA$17</f>
        <v>1.4375000000000001E-2</v>
      </c>
      <c r="AL24">
        <f>AD24*$AA$16</f>
        <v>28.127339082538398</v>
      </c>
      <c r="AM24">
        <f>AM23+(AL24/$AA$17)</f>
        <v>0.80677919561753519</v>
      </c>
    </row>
    <row r="25" spans="1:39" x14ac:dyDescent="0.25">
      <c r="A25">
        <v>18.934696212733101</v>
      </c>
      <c r="B25">
        <v>50.353905160022897</v>
      </c>
      <c r="C25">
        <v>2000</v>
      </c>
      <c r="AC25">
        <v>105</v>
      </c>
      <c r="AD25">
        <v>27.946252757705199</v>
      </c>
      <c r="AE25">
        <v>10</v>
      </c>
      <c r="AF25">
        <v>1.01722196789785</v>
      </c>
      <c r="AG25" t="s">
        <v>88</v>
      </c>
      <c r="AH25">
        <v>273</v>
      </c>
      <c r="AI25">
        <v>0</v>
      </c>
      <c r="AJ25">
        <v>24</v>
      </c>
      <c r="AK25">
        <f>AJ25/$AA$17</f>
        <v>1.4999999999999999E-2</v>
      </c>
      <c r="AL25">
        <f>AD25*$AA$16</f>
        <v>27.946252757705199</v>
      </c>
      <c r="AM25">
        <f>AM24+(AL25/$AA$17)</f>
        <v>0.82424560359110099</v>
      </c>
    </row>
    <row r="26" spans="1:39" x14ac:dyDescent="0.25">
      <c r="A26">
        <v>0</v>
      </c>
      <c r="B26">
        <v>31.4192089472898</v>
      </c>
      <c r="C26">
        <v>2000</v>
      </c>
      <c r="AC26">
        <v>107</v>
      </c>
      <c r="AD26">
        <v>27.457821475228702</v>
      </c>
      <c r="AE26">
        <v>10</v>
      </c>
      <c r="AF26">
        <v>1.01722196789785</v>
      </c>
      <c r="AG26" t="s">
        <v>88</v>
      </c>
      <c r="AH26">
        <v>875</v>
      </c>
      <c r="AI26">
        <v>0</v>
      </c>
      <c r="AJ26">
        <v>25</v>
      </c>
      <c r="AK26">
        <f>AJ26/$AA$17</f>
        <v>1.5625E-2</v>
      </c>
      <c r="AL26">
        <f>AD26*$AA$16</f>
        <v>27.457821475228702</v>
      </c>
      <c r="AM26">
        <f>AM25+(AL26/$AA$17)</f>
        <v>0.84140674201311894</v>
      </c>
    </row>
    <row r="27" spans="1:39" x14ac:dyDescent="0.25">
      <c r="A27">
        <v>0</v>
      </c>
      <c r="B27">
        <v>30.545176898392199</v>
      </c>
      <c r="C27">
        <v>2001</v>
      </c>
      <c r="AC27">
        <v>926</v>
      </c>
      <c r="AD27">
        <v>27.3994681968653</v>
      </c>
      <c r="AE27">
        <v>6</v>
      </c>
      <c r="AF27">
        <v>1.01722196789785</v>
      </c>
      <c r="AG27" t="s">
        <v>88</v>
      </c>
      <c r="AH27">
        <v>944</v>
      </c>
      <c r="AI27">
        <v>0.105773809106449</v>
      </c>
      <c r="AJ27">
        <v>26</v>
      </c>
      <c r="AK27">
        <f>AJ27/$AA$17</f>
        <v>1.6250000000000001E-2</v>
      </c>
      <c r="AL27">
        <f>AD27*$AA$16</f>
        <v>27.3994681968653</v>
      </c>
      <c r="AM27">
        <f>AM26+(AL27/$AA$17)</f>
        <v>0.8585314096361597</v>
      </c>
    </row>
    <row r="28" spans="1:39" x14ac:dyDescent="0.25">
      <c r="A28">
        <v>19.100917941584999</v>
      </c>
      <c r="B28">
        <v>49.646094839977103</v>
      </c>
      <c r="C28">
        <v>2001</v>
      </c>
      <c r="AC28">
        <v>793</v>
      </c>
      <c r="AD28">
        <v>26.678861013809001</v>
      </c>
      <c r="AE28">
        <v>10</v>
      </c>
      <c r="AF28">
        <v>1.01722196789785</v>
      </c>
      <c r="AG28" t="s">
        <v>88</v>
      </c>
      <c r="AH28">
        <v>100</v>
      </c>
      <c r="AI28">
        <v>0.102396880332516</v>
      </c>
      <c r="AJ28">
        <v>27</v>
      </c>
      <c r="AK28">
        <f>AJ28/$AA$17</f>
        <v>1.6875000000000001E-2</v>
      </c>
      <c r="AL28">
        <f>AD28*$AA$16</f>
        <v>26.678861013809001</v>
      </c>
      <c r="AM28">
        <f>AM27+(AL28/$AA$17)</f>
        <v>0.87520569776979029</v>
      </c>
    </row>
    <row r="29" spans="1:39" x14ac:dyDescent="0.25">
      <c r="A29">
        <v>50.218508012224397</v>
      </c>
      <c r="B29">
        <v>80.763684910616504</v>
      </c>
      <c r="C29">
        <v>2001</v>
      </c>
      <c r="AC29">
        <v>771</v>
      </c>
      <c r="AD29">
        <v>25.9208367556338</v>
      </c>
      <c r="AE29">
        <v>10</v>
      </c>
      <c r="AF29">
        <v>1.01722196789785</v>
      </c>
      <c r="AG29" t="s">
        <v>88</v>
      </c>
      <c r="AH29">
        <v>99</v>
      </c>
      <c r="AI29">
        <v>0.101910405093446</v>
      </c>
      <c r="AJ29">
        <v>28</v>
      </c>
      <c r="AK29">
        <f>AJ29/$AA$17</f>
        <v>1.7500000000000002E-2</v>
      </c>
      <c r="AL29">
        <f>AD29*$AA$16</f>
        <v>25.9208367556338</v>
      </c>
      <c r="AM29">
        <f>AM28+(AL29/$AA$17)</f>
        <v>0.89140622074206144</v>
      </c>
    </row>
    <row r="30" spans="1:39" x14ac:dyDescent="0.25">
      <c r="A30">
        <v>69.236315089383496</v>
      </c>
      <c r="B30">
        <v>99.781491987775595</v>
      </c>
      <c r="C30">
        <v>2001</v>
      </c>
      <c r="AC30">
        <v>891</v>
      </c>
      <c r="AD30">
        <v>24.466375807807001</v>
      </c>
      <c r="AE30">
        <v>10</v>
      </c>
      <c r="AF30">
        <v>1.01722196789785</v>
      </c>
      <c r="AG30" t="s">
        <v>88</v>
      </c>
      <c r="AH30">
        <v>932</v>
      </c>
      <c r="AI30">
        <v>0.104714434237089</v>
      </c>
      <c r="AJ30">
        <v>29</v>
      </c>
      <c r="AK30">
        <f>AJ30/$AA$17</f>
        <v>1.8124999999999999E-2</v>
      </c>
      <c r="AL30">
        <f>AD30*$AA$16</f>
        <v>24.466375807807001</v>
      </c>
      <c r="AM30">
        <f>AM29+(AL30/$AA$17)</f>
        <v>0.90669770562194085</v>
      </c>
    </row>
    <row r="31" spans="1:39" x14ac:dyDescent="0.25">
      <c r="A31">
        <v>100.21850801222401</v>
      </c>
      <c r="B31">
        <v>130.76368491061601</v>
      </c>
      <c r="C31">
        <v>2001</v>
      </c>
      <c r="AC31">
        <v>746</v>
      </c>
      <c r="AD31">
        <v>24.202801393943702</v>
      </c>
      <c r="AE31">
        <v>10</v>
      </c>
      <c r="AF31">
        <v>1.01722196789785</v>
      </c>
      <c r="AG31" t="s">
        <v>88</v>
      </c>
      <c r="AH31">
        <v>515</v>
      </c>
      <c r="AI31">
        <v>9.9787223602304201E-2</v>
      </c>
      <c r="AJ31">
        <v>30</v>
      </c>
      <c r="AK31">
        <f>AJ31/$AA$17</f>
        <v>1.8749999999999999E-2</v>
      </c>
      <c r="AL31">
        <f>AD31*$AA$16</f>
        <v>24.202801393943702</v>
      </c>
      <c r="AM31">
        <f>AM30+(AL31/$AA$17)</f>
        <v>0.9218244564931557</v>
      </c>
    </row>
    <row r="32" spans="1:39" x14ac:dyDescent="0.25">
      <c r="A32">
        <v>117.207011480299</v>
      </c>
      <c r="B32">
        <v>147.75218837869099</v>
      </c>
      <c r="C32">
        <v>2001</v>
      </c>
      <c r="AC32">
        <v>828</v>
      </c>
      <c r="AD32">
        <v>23.5024796038727</v>
      </c>
      <c r="AE32">
        <v>8</v>
      </c>
      <c r="AF32">
        <v>1.01722196789785</v>
      </c>
      <c r="AG32" t="s">
        <v>88</v>
      </c>
      <c r="AH32">
        <v>278</v>
      </c>
      <c r="AI32">
        <v>0.103086576425267</v>
      </c>
      <c r="AJ32">
        <v>31</v>
      </c>
      <c r="AK32">
        <f>AJ32/$AA$17</f>
        <v>1.9375E-2</v>
      </c>
      <c r="AL32">
        <f>AD32*$AA$16</f>
        <v>23.5024796038727</v>
      </c>
      <c r="AM32">
        <f>AM31+(AL32/$AA$17)</f>
        <v>0.93651350624557617</v>
      </c>
    </row>
    <row r="33" spans="1:39" x14ac:dyDescent="0.25">
      <c r="A33">
        <v>119.454823101608</v>
      </c>
      <c r="B33">
        <v>150</v>
      </c>
      <c r="C33">
        <v>2001</v>
      </c>
      <c r="AC33">
        <v>813</v>
      </c>
      <c r="AD33">
        <v>23.3470164083996</v>
      </c>
      <c r="AE33">
        <v>6</v>
      </c>
      <c r="AF33">
        <v>1.01722196789785</v>
      </c>
      <c r="AG33" t="s">
        <v>88</v>
      </c>
      <c r="AH33">
        <v>744</v>
      </c>
      <c r="AI33">
        <v>0.102861961526139</v>
      </c>
      <c r="AJ33">
        <v>32</v>
      </c>
      <c r="AK33">
        <f>AJ33/$AA$17</f>
        <v>0.02</v>
      </c>
      <c r="AL33">
        <f>AD33*$AA$16</f>
        <v>23.3470164083996</v>
      </c>
      <c r="AM33">
        <f>AM32+(AL33/$AA$17)</f>
        <v>0.95110539150082596</v>
      </c>
    </row>
    <row r="34" spans="1:39" x14ac:dyDescent="0.25">
      <c r="A34">
        <v>118.58079105271</v>
      </c>
      <c r="B34">
        <v>150</v>
      </c>
      <c r="C34">
        <v>2000</v>
      </c>
      <c r="AC34">
        <v>947</v>
      </c>
      <c r="AD34">
        <v>23.1135037913531</v>
      </c>
      <c r="AE34">
        <v>8</v>
      </c>
      <c r="AF34">
        <v>1.01722196789785</v>
      </c>
      <c r="AG34" t="s">
        <v>88</v>
      </c>
      <c r="AH34">
        <v>39</v>
      </c>
      <c r="AI34">
        <v>0.106727627876698</v>
      </c>
      <c r="AJ34">
        <v>33</v>
      </c>
      <c r="AK34">
        <f>AJ34/$AA$17</f>
        <v>2.0625000000000001E-2</v>
      </c>
      <c r="AL34">
        <f>AD34*$AA$16</f>
        <v>23.1135037913531</v>
      </c>
      <c r="AM34">
        <f>AM33+(AL34/$AA$17)</f>
        <v>0.96555133137042159</v>
      </c>
    </row>
    <row r="35" spans="1:39" x14ac:dyDescent="0.25">
      <c r="A35" t="s">
        <v>87</v>
      </c>
      <c r="AC35">
        <v>813</v>
      </c>
      <c r="AD35">
        <v>17.745376347857601</v>
      </c>
      <c r="AE35">
        <v>6</v>
      </c>
      <c r="AF35">
        <v>1.01722196789785</v>
      </c>
      <c r="AG35" t="s">
        <v>88</v>
      </c>
      <c r="AH35">
        <v>843</v>
      </c>
      <c r="AI35">
        <v>0.102861961526139</v>
      </c>
      <c r="AJ35">
        <v>34</v>
      </c>
      <c r="AK35">
        <f>AJ35/$AA$17</f>
        <v>2.1250000000000002E-2</v>
      </c>
      <c r="AL35">
        <f>AD35*$AA$16</f>
        <v>17.745376347857601</v>
      </c>
      <c r="AM35">
        <f>AM34+(AL35/$AA$17)</f>
        <v>0.97664219158783261</v>
      </c>
    </row>
    <row r="36" spans="1:39" x14ac:dyDescent="0.25">
      <c r="A36">
        <v>22</v>
      </c>
      <c r="B36">
        <v>0</v>
      </c>
      <c r="C36">
        <v>0.85975115948662795</v>
      </c>
      <c r="D36">
        <v>159.55730670096</v>
      </c>
      <c r="E36">
        <v>14</v>
      </c>
      <c r="F36">
        <v>1.01722196789785</v>
      </c>
      <c r="G36" t="s">
        <v>85</v>
      </c>
      <c r="H36" t="s">
        <v>85</v>
      </c>
      <c r="I36">
        <v>0</v>
      </c>
      <c r="J36">
        <v>0</v>
      </c>
      <c r="K36">
        <v>0</v>
      </c>
      <c r="AC36">
        <v>114</v>
      </c>
      <c r="AD36">
        <v>16.840982190907798</v>
      </c>
      <c r="AE36">
        <v>6</v>
      </c>
      <c r="AF36">
        <v>1.01722196789785</v>
      </c>
      <c r="AG36" t="s">
        <v>88</v>
      </c>
      <c r="AH36">
        <v>267</v>
      </c>
      <c r="AI36">
        <v>0</v>
      </c>
      <c r="AJ36">
        <v>35</v>
      </c>
      <c r="AK36">
        <f>AJ36/$AA$17</f>
        <v>2.1874999999999999E-2</v>
      </c>
      <c r="AL36">
        <f>AD36*$AA$16</f>
        <v>16.840982190907798</v>
      </c>
      <c r="AM36">
        <f>AM35+(AL36/$AA$17)</f>
        <v>0.98716780545714999</v>
      </c>
    </row>
    <row r="37" spans="1:39" x14ac:dyDescent="0.25">
      <c r="A37" t="s">
        <v>86</v>
      </c>
      <c r="AC37">
        <v>119</v>
      </c>
      <c r="AD37">
        <v>16.441441943761099</v>
      </c>
      <c r="AE37">
        <v>6</v>
      </c>
      <c r="AF37">
        <v>1.01722196789785</v>
      </c>
      <c r="AG37" t="s">
        <v>88</v>
      </c>
      <c r="AH37">
        <v>884</v>
      </c>
      <c r="AI37">
        <v>0</v>
      </c>
      <c r="AJ37">
        <v>36</v>
      </c>
      <c r="AK37">
        <f>AJ37/$AA$17</f>
        <v>2.2499999999999999E-2</v>
      </c>
      <c r="AL37">
        <f>AD37*$AA$16</f>
        <v>16.441441943761099</v>
      </c>
      <c r="AM37">
        <f>AM36+(AL37/$AA$17)</f>
        <v>0.99744370667200066</v>
      </c>
    </row>
    <row r="38" spans="1:39" x14ac:dyDescent="0.25">
      <c r="A38">
        <v>36.748820157687199</v>
      </c>
      <c r="B38">
        <v>0.61782561325278695</v>
      </c>
      <c r="C38">
        <v>2000</v>
      </c>
      <c r="AC38">
        <v>857</v>
      </c>
      <c r="AD38">
        <v>15.2536257639527</v>
      </c>
      <c r="AE38">
        <v>10</v>
      </c>
      <c r="AF38">
        <v>1.01722196789785</v>
      </c>
      <c r="AG38" t="s">
        <v>88</v>
      </c>
      <c r="AH38">
        <v>930</v>
      </c>
      <c r="AI38">
        <v>0.103935679754349</v>
      </c>
      <c r="AJ38">
        <v>37</v>
      </c>
      <c r="AK38">
        <f>AJ38/$AA$17</f>
        <v>2.3125E-2</v>
      </c>
      <c r="AL38">
        <f>AD38*$AA$16</f>
        <v>15.2536257639527</v>
      </c>
      <c r="AM38">
        <f>AM37+(AL38/$AA$17)</f>
        <v>1.0069772227744711</v>
      </c>
    </row>
    <row r="39" spans="1:39" x14ac:dyDescent="0.25">
      <c r="A39">
        <v>36.130994544434401</v>
      </c>
      <c r="B39">
        <v>0</v>
      </c>
      <c r="C39">
        <v>2000</v>
      </c>
      <c r="AC39">
        <v>102</v>
      </c>
      <c r="AD39">
        <v>14.5249838684219</v>
      </c>
      <c r="AE39">
        <v>6</v>
      </c>
      <c r="AF39">
        <v>1.01722196789785</v>
      </c>
      <c r="AG39" t="s">
        <v>88</v>
      </c>
      <c r="AH39">
        <v>88</v>
      </c>
      <c r="AI39">
        <v>0</v>
      </c>
      <c r="AJ39">
        <v>38</v>
      </c>
      <c r="AK39">
        <f>AJ39/$AA$17</f>
        <v>2.375E-2</v>
      </c>
      <c r="AL39">
        <f>AD39*$AA$16</f>
        <v>14.5249838684219</v>
      </c>
      <c r="AM39">
        <f>AM38+(AL39/$AA$17)</f>
        <v>1.0160553376922348</v>
      </c>
    </row>
    <row r="40" spans="1:39" x14ac:dyDescent="0.25">
      <c r="A40">
        <v>37.005026593332097</v>
      </c>
      <c r="B40">
        <v>0</v>
      </c>
      <c r="C40">
        <v>2001</v>
      </c>
      <c r="AC40">
        <v>902</v>
      </c>
      <c r="AD40">
        <v>14.1413379993375</v>
      </c>
      <c r="AE40">
        <v>10</v>
      </c>
      <c r="AF40">
        <v>1.01722196789785</v>
      </c>
      <c r="AG40" t="s">
        <v>88</v>
      </c>
      <c r="AH40">
        <v>800</v>
      </c>
      <c r="AI40">
        <v>0.105080877406349</v>
      </c>
      <c r="AJ40">
        <v>39</v>
      </c>
      <c r="AK40">
        <f>AJ40/$AA$17</f>
        <v>2.4375000000000001E-2</v>
      </c>
      <c r="AL40">
        <f>AD40*$AA$16</f>
        <v>14.1413379993375</v>
      </c>
      <c r="AM40">
        <f>AM39+(AL40/$AA$17)</f>
        <v>1.0248936739418206</v>
      </c>
    </row>
    <row r="41" spans="1:39" x14ac:dyDescent="0.25">
      <c r="A41">
        <v>37.603072730091299</v>
      </c>
      <c r="B41">
        <v>0.59804613675919605</v>
      </c>
      <c r="C41">
        <v>2001</v>
      </c>
      <c r="AC41">
        <v>746</v>
      </c>
      <c r="AD41">
        <v>13.668253553090601</v>
      </c>
      <c r="AE41">
        <v>10</v>
      </c>
      <c r="AF41">
        <v>1.01722196789785</v>
      </c>
      <c r="AG41" t="s">
        <v>88</v>
      </c>
      <c r="AH41">
        <v>355</v>
      </c>
      <c r="AI41">
        <v>9.9787223602304201E-2</v>
      </c>
      <c r="AJ41">
        <v>40</v>
      </c>
      <c r="AK41">
        <f>AJ41/$AA$17</f>
        <v>2.5000000000000001E-2</v>
      </c>
      <c r="AL41">
        <f>AD41*$AA$16</f>
        <v>13.668253553090601</v>
      </c>
      <c r="AM41">
        <f>AM40+(AL41/$AA$17)</f>
        <v>1.0334363324125022</v>
      </c>
    </row>
    <row r="42" spans="1:39" x14ac:dyDescent="0.25">
      <c r="A42">
        <v>50.218508012224397</v>
      </c>
      <c r="B42">
        <v>13.2134814188923</v>
      </c>
      <c r="C42">
        <v>2001</v>
      </c>
      <c r="AC42">
        <v>939</v>
      </c>
      <c r="AD42">
        <v>12.838072935484499</v>
      </c>
      <c r="AE42">
        <v>10</v>
      </c>
      <c r="AF42">
        <v>1.01722196789785</v>
      </c>
      <c r="AG42" t="s">
        <v>88</v>
      </c>
      <c r="AH42">
        <v>933</v>
      </c>
      <c r="AI42">
        <v>0.10626245288241699</v>
      </c>
      <c r="AJ42">
        <v>41</v>
      </c>
      <c r="AK42">
        <f>AJ42/$AA$17</f>
        <v>2.5624999999999998E-2</v>
      </c>
      <c r="AL42">
        <f>AD42*$AA$16</f>
        <v>12.838072935484499</v>
      </c>
      <c r="AM42">
        <f>AM41+(AL42/$AA$17)</f>
        <v>1.04146012799718</v>
      </c>
    </row>
    <row r="43" spans="1:39" x14ac:dyDescent="0.25">
      <c r="A43">
        <v>86.7865185811077</v>
      </c>
      <c r="B43">
        <v>49.781491987775603</v>
      </c>
      <c r="C43">
        <v>2001</v>
      </c>
      <c r="AC43">
        <v>110</v>
      </c>
      <c r="AD43">
        <v>12.5787446917082</v>
      </c>
      <c r="AE43">
        <v>6</v>
      </c>
      <c r="AF43">
        <v>1.01722196789785</v>
      </c>
      <c r="AG43" t="s">
        <v>88</v>
      </c>
      <c r="AH43">
        <v>118</v>
      </c>
      <c r="AI43">
        <v>0</v>
      </c>
      <c r="AJ43">
        <v>42</v>
      </c>
      <c r="AK43">
        <f>AJ43/$AA$17</f>
        <v>2.6249999999999999E-2</v>
      </c>
      <c r="AL43">
        <f>AD43*$AA$16</f>
        <v>12.5787446917082</v>
      </c>
      <c r="AM43">
        <f>AM42+(AL43/$AA$17)</f>
        <v>1.0493218434294977</v>
      </c>
    </row>
    <row r="44" spans="1:39" x14ac:dyDescent="0.25">
      <c r="A44">
        <v>100.21850801222401</v>
      </c>
      <c r="B44">
        <v>63.2134814188923</v>
      </c>
      <c r="C44">
        <v>2001</v>
      </c>
      <c r="AC44">
        <v>112</v>
      </c>
      <c r="AD44">
        <v>12.41477286676</v>
      </c>
      <c r="AE44">
        <v>8</v>
      </c>
      <c r="AF44">
        <v>1.01722196789785</v>
      </c>
      <c r="AG44" t="s">
        <v>88</v>
      </c>
      <c r="AH44">
        <v>1009</v>
      </c>
      <c r="AI44">
        <v>0</v>
      </c>
      <c r="AJ44">
        <v>43</v>
      </c>
      <c r="AK44">
        <f>AJ44/$AA$17</f>
        <v>2.6875E-2</v>
      </c>
      <c r="AL44">
        <f>AD44*$AA$16</f>
        <v>12.41477286676</v>
      </c>
      <c r="AM44">
        <f>AM43+(AL44/$AA$17)</f>
        <v>1.0570810764712228</v>
      </c>
    </row>
    <row r="45" spans="1:39" x14ac:dyDescent="0.25">
      <c r="A45">
        <v>136.6267105151</v>
      </c>
      <c r="B45">
        <v>99.621683921767399</v>
      </c>
      <c r="C45">
        <v>2001</v>
      </c>
      <c r="AC45">
        <v>117</v>
      </c>
      <c r="AD45">
        <v>10.911736768060001</v>
      </c>
      <c r="AE45">
        <v>8</v>
      </c>
      <c r="AF45">
        <v>1.01722196789785</v>
      </c>
      <c r="AG45" t="s">
        <v>88</v>
      </c>
      <c r="AH45">
        <v>104</v>
      </c>
      <c r="AI45">
        <v>0</v>
      </c>
      <c r="AJ45">
        <v>44</v>
      </c>
      <c r="AK45">
        <f>AJ45/$AA$17</f>
        <v>2.75E-2</v>
      </c>
      <c r="AL45">
        <f>AD45*$AA$16</f>
        <v>10.911736768060001</v>
      </c>
      <c r="AM45">
        <f>AM44+(AL45/$AA$17)</f>
        <v>1.0639009119512604</v>
      </c>
    </row>
    <row r="46" spans="1:39" x14ac:dyDescent="0.25">
      <c r="A46">
        <v>150</v>
      </c>
      <c r="B46">
        <v>112.994973406668</v>
      </c>
      <c r="C46">
        <v>2001</v>
      </c>
      <c r="AC46">
        <v>750</v>
      </c>
      <c r="AD46">
        <v>10.8503356679453</v>
      </c>
      <c r="AE46">
        <v>10</v>
      </c>
      <c r="AF46">
        <v>1.01722196789785</v>
      </c>
      <c r="AG46" t="s">
        <v>88</v>
      </c>
      <c r="AH46">
        <v>748</v>
      </c>
      <c r="AI46">
        <v>0.101399532687084</v>
      </c>
      <c r="AJ46">
        <v>45</v>
      </c>
      <c r="AK46">
        <f>AJ46/$AA$17</f>
        <v>2.8125000000000001E-2</v>
      </c>
      <c r="AL46">
        <f>AD46*$AA$16</f>
        <v>10.8503356679453</v>
      </c>
      <c r="AM46">
        <f>AM45+(AL46/$AA$17)</f>
        <v>1.0706823717437262</v>
      </c>
    </row>
    <row r="47" spans="1:39" x14ac:dyDescent="0.25">
      <c r="A47">
        <v>150</v>
      </c>
      <c r="B47">
        <v>113.869005455565</v>
      </c>
      <c r="C47">
        <v>2000</v>
      </c>
      <c r="AC47">
        <v>804</v>
      </c>
      <c r="AD47">
        <v>10.4337367846638</v>
      </c>
      <c r="AE47">
        <v>10</v>
      </c>
      <c r="AF47">
        <v>1.01722196789785</v>
      </c>
      <c r="AG47" t="s">
        <v>88</v>
      </c>
      <c r="AH47">
        <v>750</v>
      </c>
      <c r="AI47">
        <v>0.10263209558717</v>
      </c>
      <c r="AJ47">
        <v>46</v>
      </c>
      <c r="AK47">
        <f>AJ47/$AA$17</f>
        <v>2.8750000000000001E-2</v>
      </c>
      <c r="AL47">
        <f>AD47*$AA$16</f>
        <v>10.4337367846638</v>
      </c>
      <c r="AM47">
        <f>AM46+(AL47/$AA$17)</f>
        <v>1.0772034572341411</v>
      </c>
    </row>
    <row r="48" spans="1:39" x14ac:dyDescent="0.25">
      <c r="A48">
        <v>136.50931062266699</v>
      </c>
      <c r="B48">
        <v>100.378316078233</v>
      </c>
      <c r="C48">
        <v>2000</v>
      </c>
      <c r="AC48">
        <v>111</v>
      </c>
      <c r="AD48">
        <v>8.0326661018975898</v>
      </c>
      <c r="AE48">
        <v>6</v>
      </c>
      <c r="AF48">
        <v>1.01722196789785</v>
      </c>
      <c r="AG48" t="s">
        <v>88</v>
      </c>
      <c r="AH48">
        <v>747</v>
      </c>
      <c r="AI48">
        <v>0</v>
      </c>
      <c r="AJ48">
        <v>47</v>
      </c>
      <c r="AK48">
        <f>AJ48/$AA$17</f>
        <v>2.9374999999999998E-2</v>
      </c>
      <c r="AL48">
        <f>AD48*$AA$16</f>
        <v>8.0326661018975898</v>
      </c>
      <c r="AM48">
        <f>AM47+(AL48/$AA$17)</f>
        <v>1.0822238735478271</v>
      </c>
    </row>
    <row r="49" spans="1:39" x14ac:dyDescent="0.25">
      <c r="A49">
        <v>99.781491987775595</v>
      </c>
      <c r="B49">
        <v>63.650497443341102</v>
      </c>
      <c r="C49">
        <v>2000</v>
      </c>
      <c r="AC49">
        <v>101</v>
      </c>
      <c r="AD49">
        <v>7.5031661641803398</v>
      </c>
      <c r="AE49">
        <v>6</v>
      </c>
      <c r="AF49">
        <v>1.01722196789785</v>
      </c>
      <c r="AG49" t="s">
        <v>88</v>
      </c>
      <c r="AH49">
        <v>106</v>
      </c>
      <c r="AI49">
        <v>0</v>
      </c>
      <c r="AJ49">
        <v>48</v>
      </c>
      <c r="AK49">
        <f>AJ49/$AA$17</f>
        <v>0.03</v>
      </c>
      <c r="AL49">
        <f>AD49*$AA$16</f>
        <v>7.5031661641803398</v>
      </c>
      <c r="AM49">
        <f>AM48+(AL49/$AA$17)</f>
        <v>1.0869133524004397</v>
      </c>
    </row>
    <row r="50" spans="1:39" x14ac:dyDescent="0.25">
      <c r="A50">
        <v>86.349502556658905</v>
      </c>
      <c r="B50">
        <v>50.218508012224397</v>
      </c>
      <c r="C50">
        <v>2000</v>
      </c>
      <c r="AC50">
        <v>748</v>
      </c>
      <c r="AD50">
        <v>7.4997698675126401</v>
      </c>
      <c r="AE50">
        <v>8</v>
      </c>
      <c r="AF50">
        <v>1.01722196789785</v>
      </c>
      <c r="AG50" t="s">
        <v>88</v>
      </c>
      <c r="AH50">
        <v>797</v>
      </c>
      <c r="AI50">
        <v>0.100785207567138</v>
      </c>
      <c r="AJ50">
        <v>49</v>
      </c>
      <c r="AK50">
        <f>AJ50/$AA$17</f>
        <v>3.0624999999999999E-2</v>
      </c>
      <c r="AL50">
        <f>AD50*$AA$16</f>
        <v>7.4997698675126401</v>
      </c>
      <c r="AM50">
        <f>AM49+(AL50/$AA$17)</f>
        <v>1.0916007085676351</v>
      </c>
    </row>
    <row r="51" spans="1:39" x14ac:dyDescent="0.25">
      <c r="A51">
        <v>49.781491987775603</v>
      </c>
      <c r="B51">
        <v>13.6504974433411</v>
      </c>
      <c r="C51">
        <v>2000</v>
      </c>
      <c r="AC51">
        <v>106</v>
      </c>
      <c r="AD51">
        <v>7.4492885263948203</v>
      </c>
      <c r="AE51">
        <v>8</v>
      </c>
      <c r="AF51">
        <v>1.01722196789785</v>
      </c>
      <c r="AG51" t="s">
        <v>88</v>
      </c>
      <c r="AH51">
        <v>101</v>
      </c>
      <c r="AI51">
        <v>0</v>
      </c>
      <c r="AJ51">
        <v>50</v>
      </c>
      <c r="AK51">
        <f>AJ51/$AA$17</f>
        <v>3.125E-2</v>
      </c>
      <c r="AL51">
        <f>AD51*$AA$16</f>
        <v>7.4492885263948203</v>
      </c>
      <c r="AM51">
        <f>AM50+(AL51/$AA$17)</f>
        <v>1.0962565138966318</v>
      </c>
    </row>
    <row r="52" spans="1:39" x14ac:dyDescent="0.25">
      <c r="A52" t="s">
        <v>87</v>
      </c>
      <c r="AC52">
        <v>103</v>
      </c>
      <c r="AD52">
        <v>7.0856372122880202</v>
      </c>
      <c r="AE52">
        <v>6</v>
      </c>
      <c r="AF52">
        <v>1.01722196789785</v>
      </c>
      <c r="AG52" t="s">
        <v>88</v>
      </c>
      <c r="AH52">
        <v>869</v>
      </c>
      <c r="AI52">
        <v>0</v>
      </c>
      <c r="AJ52">
        <v>51</v>
      </c>
      <c r="AK52">
        <f>AJ52/$AA$17</f>
        <v>3.1875000000000001E-2</v>
      </c>
      <c r="AL52">
        <f>AD52*$AA$16</f>
        <v>7.0856372122880202</v>
      </c>
      <c r="AM52">
        <f>AM51+(AL52/$AA$17)</f>
        <v>1.1006850371543118</v>
      </c>
    </row>
    <row r="53" spans="1:39" x14ac:dyDescent="0.25">
      <c r="A53">
        <v>277</v>
      </c>
      <c r="B53">
        <v>0</v>
      </c>
      <c r="C53">
        <v>4.3603303675026996</v>
      </c>
      <c r="D53">
        <v>140.071886817749</v>
      </c>
      <c r="E53">
        <v>14</v>
      </c>
      <c r="F53">
        <v>1.01722196789785</v>
      </c>
      <c r="G53" t="s">
        <v>85</v>
      </c>
      <c r="H53" t="s">
        <v>85</v>
      </c>
      <c r="I53">
        <v>0</v>
      </c>
      <c r="J53">
        <v>0</v>
      </c>
      <c r="K53">
        <v>0</v>
      </c>
      <c r="AC53">
        <v>114</v>
      </c>
      <c r="AD53">
        <v>6.3668927385294598</v>
      </c>
      <c r="AE53">
        <v>6</v>
      </c>
      <c r="AF53">
        <v>1.01722196789785</v>
      </c>
      <c r="AG53" t="s">
        <v>88</v>
      </c>
      <c r="AH53">
        <v>115</v>
      </c>
      <c r="AI53">
        <v>0</v>
      </c>
      <c r="AJ53">
        <v>52</v>
      </c>
      <c r="AK53">
        <f>AJ53/$AA$17</f>
        <v>3.2500000000000001E-2</v>
      </c>
      <c r="AL53">
        <f>AD53*$AA$16</f>
        <v>6.3668927385294598</v>
      </c>
      <c r="AM53">
        <f>AM52+(AL53/$AA$17)</f>
        <v>1.1046643451158926</v>
      </c>
    </row>
    <row r="54" spans="1:39" x14ac:dyDescent="0.25">
      <c r="A54" t="s">
        <v>86</v>
      </c>
      <c r="AC54">
        <v>110</v>
      </c>
      <c r="AD54">
        <v>4.7723169877532996</v>
      </c>
      <c r="AE54">
        <v>6</v>
      </c>
      <c r="AF54">
        <v>1.01722196789785</v>
      </c>
      <c r="AG54" t="s">
        <v>88</v>
      </c>
      <c r="AH54">
        <v>120</v>
      </c>
      <c r="AI54">
        <v>0</v>
      </c>
      <c r="AJ54">
        <v>53</v>
      </c>
      <c r="AK54">
        <f>AJ54/$AA$17</f>
        <v>3.3125000000000002E-2</v>
      </c>
      <c r="AL54">
        <f>AD54*$AA$16</f>
        <v>4.7723169877532996</v>
      </c>
      <c r="AM54">
        <f>AM53+(AL54/$AA$17)</f>
        <v>1.1076470432332384</v>
      </c>
    </row>
    <row r="55" spans="1:39" x14ac:dyDescent="0.25">
      <c r="A55">
        <v>50.669433372668799</v>
      </c>
      <c r="B55">
        <v>3.2354495906171201</v>
      </c>
      <c r="C55">
        <v>2000</v>
      </c>
      <c r="AC55">
        <v>119</v>
      </c>
      <c r="AD55">
        <v>4.3821198538689297</v>
      </c>
      <c r="AE55">
        <v>6</v>
      </c>
      <c r="AF55">
        <v>1.01722196789785</v>
      </c>
      <c r="AG55" t="s">
        <v>88</v>
      </c>
      <c r="AH55">
        <v>749</v>
      </c>
      <c r="AI55">
        <v>0</v>
      </c>
      <c r="AJ55">
        <v>54</v>
      </c>
      <c r="AK55">
        <f>AJ55/$AA$17</f>
        <v>3.3750000000000002E-2</v>
      </c>
      <c r="AL55">
        <f>AD55*$AA$16</f>
        <v>4.3821198538689297</v>
      </c>
      <c r="AM55">
        <f>AM54+(AL55/$AA$17)</f>
        <v>1.1103858681419065</v>
      </c>
    </row>
    <row r="56" spans="1:39" x14ac:dyDescent="0.25">
      <c r="A56">
        <v>49.713866405406101</v>
      </c>
      <c r="B56">
        <v>2.2798826233543799</v>
      </c>
      <c r="C56">
        <v>2000</v>
      </c>
      <c r="AC56">
        <v>926</v>
      </c>
      <c r="AD56">
        <v>3.4267292235536102</v>
      </c>
      <c r="AE56">
        <v>6</v>
      </c>
      <c r="AF56">
        <v>1.01722196789785</v>
      </c>
      <c r="AG56" t="s">
        <v>88</v>
      </c>
      <c r="AH56">
        <v>116</v>
      </c>
      <c r="AI56">
        <v>0.105773809106449</v>
      </c>
      <c r="AJ56">
        <v>55</v>
      </c>
      <c r="AK56">
        <f>AJ56/$AA$17</f>
        <v>3.4375000000000003E-2</v>
      </c>
      <c r="AL56">
        <f>AD56*$AA$16</f>
        <v>3.4267292235536102</v>
      </c>
      <c r="AM56">
        <f>AM55+(AL56/$AA$17)</f>
        <v>1.1125275739066276</v>
      </c>
    </row>
    <row r="57" spans="1:39" x14ac:dyDescent="0.25">
      <c r="A57">
        <v>47.433983782051698</v>
      </c>
      <c r="B57">
        <v>0</v>
      </c>
      <c r="C57">
        <v>2000</v>
      </c>
      <c r="AC57">
        <v>101</v>
      </c>
      <c r="AD57">
        <v>3.3441004717678999</v>
      </c>
      <c r="AE57">
        <v>6</v>
      </c>
      <c r="AF57">
        <v>1.01722196789785</v>
      </c>
      <c r="AG57" t="s">
        <v>88</v>
      </c>
      <c r="AH57">
        <v>95</v>
      </c>
      <c r="AI57">
        <v>0</v>
      </c>
      <c r="AJ57">
        <v>56</v>
      </c>
      <c r="AK57">
        <f>AJ57/$AA$17</f>
        <v>3.5000000000000003E-2</v>
      </c>
      <c r="AL57">
        <f>AD57*$AA$16</f>
        <v>3.3441004717678999</v>
      </c>
      <c r="AM57">
        <f>AM56+(AL57/$AA$17)</f>
        <v>1.1146176367014826</v>
      </c>
    </row>
    <row r="58" spans="1:39" x14ac:dyDescent="0.25">
      <c r="A58">
        <v>48.308015830949302</v>
      </c>
      <c r="B58">
        <v>0</v>
      </c>
      <c r="C58">
        <v>2001</v>
      </c>
      <c r="AC58">
        <v>118</v>
      </c>
      <c r="AD58">
        <v>1.4812922494186</v>
      </c>
      <c r="AE58">
        <v>8</v>
      </c>
      <c r="AF58">
        <v>1.01722196789785</v>
      </c>
      <c r="AG58" t="s">
        <v>88</v>
      </c>
      <c r="AH58">
        <v>110</v>
      </c>
      <c r="AI58">
        <v>0</v>
      </c>
      <c r="AJ58">
        <v>57</v>
      </c>
      <c r="AK58">
        <f>AJ58/$AA$17</f>
        <v>3.5624999999999997E-2</v>
      </c>
      <c r="AL58">
        <f>AD58*$AA$16</f>
        <v>1.4812922494186</v>
      </c>
      <c r="AM58">
        <f>AM57+(AL58/$AA$17)</f>
        <v>1.1155434443573693</v>
      </c>
    </row>
    <row r="59" spans="1:39" x14ac:dyDescent="0.25">
      <c r="A59">
        <v>50.286133594593899</v>
      </c>
      <c r="B59">
        <v>1.9781177636445899</v>
      </c>
      <c r="C59">
        <v>2001</v>
      </c>
      <c r="AC59">
        <v>94</v>
      </c>
      <c r="AD59">
        <v>0.95229015391693395</v>
      </c>
      <c r="AE59">
        <v>6</v>
      </c>
      <c r="AF59">
        <v>1.5707963267949001</v>
      </c>
      <c r="AG59" t="s">
        <v>89</v>
      </c>
      <c r="AH59">
        <v>0</v>
      </c>
      <c r="AI59">
        <v>0</v>
      </c>
      <c r="AJ59">
        <v>58</v>
      </c>
      <c r="AK59">
        <f>AJ59/$AA$17</f>
        <v>3.6249999999999998E-2</v>
      </c>
      <c r="AL59">
        <f>AD59*$AA$16</f>
        <v>0.95229015391693395</v>
      </c>
      <c r="AM59">
        <f>AM58+(AL59/$AA$17)</f>
        <v>1.1161386257035675</v>
      </c>
    </row>
    <row r="60" spans="1:39" x14ac:dyDescent="0.25">
      <c r="A60">
        <v>51.239004582481797</v>
      </c>
      <c r="B60">
        <v>2.9309887515324502</v>
      </c>
      <c r="C60">
        <v>2001</v>
      </c>
      <c r="AC60">
        <v>94</v>
      </c>
      <c r="AD60">
        <v>0.95229015391693395</v>
      </c>
      <c r="AE60">
        <v>6</v>
      </c>
      <c r="AF60">
        <v>1.5707963267949001</v>
      </c>
      <c r="AG60" t="s">
        <v>89</v>
      </c>
      <c r="AH60">
        <v>0</v>
      </c>
      <c r="AI60">
        <v>0</v>
      </c>
      <c r="AJ60">
        <v>59</v>
      </c>
      <c r="AK60">
        <f>AJ60/$AA$17</f>
        <v>3.6874999999999998E-2</v>
      </c>
      <c r="AL60">
        <f>AD60*$AA$16</f>
        <v>0.95229015391693395</v>
      </c>
      <c r="AM60">
        <f>AM59+(AL60/$AA$17)</f>
        <v>1.1167338070497657</v>
      </c>
    </row>
    <row r="61" spans="1:39" x14ac:dyDescent="0.25">
      <c r="A61">
        <v>98.089507818724897</v>
      </c>
      <c r="B61">
        <v>49.781491987775603</v>
      </c>
      <c r="C61">
        <v>2001</v>
      </c>
      <c r="AC61">
        <v>87</v>
      </c>
      <c r="AD61">
        <v>0.95229015391693395</v>
      </c>
      <c r="AE61">
        <v>6</v>
      </c>
      <c r="AF61">
        <v>1.5707963267949001</v>
      </c>
      <c r="AG61" t="s">
        <v>89</v>
      </c>
      <c r="AH61">
        <v>0</v>
      </c>
      <c r="AI61">
        <v>0</v>
      </c>
      <c r="AJ61">
        <v>60</v>
      </c>
      <c r="AK61">
        <f>AJ61/$AA$17</f>
        <v>3.7499999999999999E-2</v>
      </c>
      <c r="AL61">
        <f>AD61*$AA$16</f>
        <v>0.95229015391693395</v>
      </c>
      <c r="AM61">
        <f>AM60+(AL61/$AA$17)</f>
        <v>1.1173289883959638</v>
      </c>
    </row>
    <row r="62" spans="1:39" x14ac:dyDescent="0.25">
      <c r="A62">
        <v>100.21850801222401</v>
      </c>
      <c r="B62">
        <v>51.910492181275004</v>
      </c>
      <c r="C62">
        <v>2001</v>
      </c>
      <c r="AC62">
        <v>86</v>
      </c>
      <c r="AD62">
        <v>0.95229015391693395</v>
      </c>
      <c r="AE62">
        <v>6</v>
      </c>
      <c r="AF62">
        <v>1.5707963267949001</v>
      </c>
      <c r="AG62" t="s">
        <v>89</v>
      </c>
      <c r="AH62">
        <v>0</v>
      </c>
      <c r="AI62">
        <v>0</v>
      </c>
      <c r="AJ62">
        <v>61</v>
      </c>
      <c r="AK62">
        <f>AJ62/$AA$17</f>
        <v>3.8124999999999999E-2</v>
      </c>
      <c r="AL62">
        <f>AD62*$AA$16</f>
        <v>0.95229015391693395</v>
      </c>
      <c r="AM62">
        <f>AM61+(AL62/$AA$17)</f>
        <v>1.117924169742162</v>
      </c>
    </row>
    <row r="63" spans="1:39" x14ac:dyDescent="0.25">
      <c r="A63">
        <v>147.88030387850699</v>
      </c>
      <c r="B63">
        <v>99.572288047557294</v>
      </c>
      <c r="C63">
        <v>2001</v>
      </c>
      <c r="AC63">
        <v>82</v>
      </c>
      <c r="AD63">
        <v>0.95229015391693395</v>
      </c>
      <c r="AE63">
        <v>5</v>
      </c>
      <c r="AF63">
        <v>1.5707963267949001</v>
      </c>
      <c r="AG63" t="s">
        <v>89</v>
      </c>
      <c r="AH63">
        <v>0</v>
      </c>
      <c r="AI63">
        <v>0</v>
      </c>
      <c r="AJ63">
        <v>62</v>
      </c>
      <c r="AK63">
        <f>AJ63/$AA$17</f>
        <v>3.875E-2</v>
      </c>
      <c r="AL63">
        <f>AD63*$AA$16</f>
        <v>0.95229015391693395</v>
      </c>
      <c r="AM63">
        <f>AM62+(AL63/$AA$17)</f>
        <v>1.1185193510883602</v>
      </c>
    </row>
    <row r="64" spans="1:39" x14ac:dyDescent="0.25">
      <c r="A64">
        <v>150</v>
      </c>
      <c r="B64">
        <v>101.691984169051</v>
      </c>
      <c r="C64">
        <v>2001</v>
      </c>
      <c r="AC64">
        <v>89</v>
      </c>
      <c r="AD64">
        <v>0.95229015391693395</v>
      </c>
      <c r="AE64">
        <v>5</v>
      </c>
      <c r="AF64">
        <v>1.5707963267949001</v>
      </c>
      <c r="AG64" t="s">
        <v>89</v>
      </c>
      <c r="AH64">
        <v>0</v>
      </c>
      <c r="AI64">
        <v>0</v>
      </c>
      <c r="AJ64">
        <v>63</v>
      </c>
      <c r="AK64">
        <f>AJ64/$AA$17</f>
        <v>3.9375E-2</v>
      </c>
      <c r="AL64">
        <f>AD64*$AA$16</f>
        <v>0.95229015391693395</v>
      </c>
      <c r="AM64">
        <f>AM63+(AL64/$AA$17)</f>
        <v>1.1191145324345584</v>
      </c>
    </row>
    <row r="65" spans="1:39" x14ac:dyDescent="0.25">
      <c r="A65">
        <v>150</v>
      </c>
      <c r="B65">
        <v>102.566016217948</v>
      </c>
      <c r="C65">
        <v>2000</v>
      </c>
      <c r="AC65">
        <v>92</v>
      </c>
      <c r="AD65">
        <v>0.95229015391693395</v>
      </c>
      <c r="AE65">
        <v>5</v>
      </c>
      <c r="AF65">
        <v>1.5707963267949001</v>
      </c>
      <c r="AG65" t="s">
        <v>89</v>
      </c>
      <c r="AH65">
        <v>0</v>
      </c>
      <c r="AI65">
        <v>0</v>
      </c>
      <c r="AJ65">
        <v>64</v>
      </c>
      <c r="AK65">
        <f>AJ65/$AA$17</f>
        <v>0.04</v>
      </c>
      <c r="AL65">
        <f>AD65*$AA$16</f>
        <v>0.95229015391693395</v>
      </c>
      <c r="AM65">
        <f>AM64+(AL65/$AA$17)</f>
        <v>1.1197097137807566</v>
      </c>
    </row>
    <row r="66" spans="1:39" x14ac:dyDescent="0.25">
      <c r="A66">
        <v>147.86169573449399</v>
      </c>
      <c r="B66">
        <v>100.427711952443</v>
      </c>
      <c r="C66">
        <v>2000</v>
      </c>
      <c r="AC66">
        <v>96</v>
      </c>
      <c r="AD66">
        <v>0.95229015391693395</v>
      </c>
      <c r="AE66">
        <v>5</v>
      </c>
      <c r="AF66">
        <v>1.5707963267949001</v>
      </c>
      <c r="AG66" t="s">
        <v>89</v>
      </c>
      <c r="AH66">
        <v>0</v>
      </c>
      <c r="AI66">
        <v>0</v>
      </c>
      <c r="AJ66">
        <v>65</v>
      </c>
      <c r="AK66">
        <f>AJ66/$AA$17</f>
        <v>4.0625000000000001E-2</v>
      </c>
      <c r="AL66">
        <f>AD66*$AA$16</f>
        <v>0.95229015391693395</v>
      </c>
      <c r="AM66">
        <f>AM65+(AL66/$AA$17)</f>
        <v>1.1203048951269547</v>
      </c>
    </row>
    <row r="67" spans="1:39" x14ac:dyDescent="0.25">
      <c r="A67">
        <v>99.781491987775595</v>
      </c>
      <c r="B67">
        <v>52.347508205723898</v>
      </c>
      <c r="C67">
        <v>2000</v>
      </c>
      <c r="AC67">
        <v>97</v>
      </c>
      <c r="AD67">
        <v>0.95229015391693395</v>
      </c>
      <c r="AE67">
        <v>5</v>
      </c>
      <c r="AF67">
        <v>1.5707963267949001</v>
      </c>
      <c r="AG67" t="s">
        <v>89</v>
      </c>
      <c r="AH67">
        <v>0</v>
      </c>
      <c r="AI67">
        <v>0</v>
      </c>
      <c r="AJ67">
        <v>66</v>
      </c>
      <c r="AK67">
        <f>AJ67/$AA$17</f>
        <v>4.1250000000000002E-2</v>
      </c>
      <c r="AL67">
        <f>AD67*$AA$16</f>
        <v>0.95229015391693395</v>
      </c>
      <c r="AM67">
        <f>AM66+(AL67/$AA$17)</f>
        <v>1.1209000764731529</v>
      </c>
    </row>
    <row r="68" spans="1:39" x14ac:dyDescent="0.25">
      <c r="A68">
        <v>97.652491794276102</v>
      </c>
      <c r="B68">
        <v>50.218508012224397</v>
      </c>
      <c r="C68">
        <v>2000</v>
      </c>
      <c r="AC68">
        <v>98</v>
      </c>
      <c r="AD68">
        <v>0.95229015391693395</v>
      </c>
      <c r="AE68">
        <v>4</v>
      </c>
      <c r="AF68">
        <v>1.5707963267949001</v>
      </c>
      <c r="AG68" t="s">
        <v>89</v>
      </c>
      <c r="AH68">
        <v>0</v>
      </c>
      <c r="AI68">
        <v>0</v>
      </c>
      <c r="AJ68">
        <v>67</v>
      </c>
      <c r="AK68">
        <f>AJ68/$AA$17</f>
        <v>4.1875000000000002E-2</v>
      </c>
      <c r="AL68">
        <f>AD68*$AA$16</f>
        <v>0.95229015391693395</v>
      </c>
      <c r="AM68">
        <f>AM67+(AL68/$AA$17)</f>
        <v>1.1214952578193511</v>
      </c>
    </row>
    <row r="69" spans="1:39" x14ac:dyDescent="0.25">
      <c r="A69" t="s">
        <v>87</v>
      </c>
      <c r="AC69">
        <v>99</v>
      </c>
      <c r="AD69">
        <v>0.95229015391693395</v>
      </c>
      <c r="AE69">
        <v>5</v>
      </c>
      <c r="AF69">
        <v>1.5707963267949001</v>
      </c>
      <c r="AG69" t="s">
        <v>89</v>
      </c>
      <c r="AH69">
        <v>0</v>
      </c>
      <c r="AI69">
        <v>0</v>
      </c>
      <c r="AJ69">
        <v>68</v>
      </c>
      <c r="AK69">
        <f>AJ69/$AA$17</f>
        <v>4.2500000000000003E-2</v>
      </c>
      <c r="AL69">
        <f>AD69*$AA$16</f>
        <v>0.95229015391693395</v>
      </c>
      <c r="AM69">
        <f>AM68+(AL69/$AA$17)</f>
        <v>1.1220904391655493</v>
      </c>
    </row>
    <row r="70" spans="1:39" x14ac:dyDescent="0.25">
      <c r="A70">
        <v>775</v>
      </c>
      <c r="B70">
        <v>0</v>
      </c>
      <c r="C70">
        <v>11.2140379148388</v>
      </c>
      <c r="D70">
        <v>130.59224570026001</v>
      </c>
      <c r="E70">
        <v>14</v>
      </c>
      <c r="F70">
        <v>1.01722196789785</v>
      </c>
      <c r="G70" t="s">
        <v>88</v>
      </c>
      <c r="H70" t="s">
        <v>85</v>
      </c>
      <c r="I70">
        <v>40</v>
      </c>
      <c r="J70">
        <v>0</v>
      </c>
      <c r="K70">
        <v>0.101910405093446</v>
      </c>
      <c r="AC70">
        <v>87</v>
      </c>
      <c r="AD70">
        <v>0.67926530188766798</v>
      </c>
      <c r="AE70">
        <v>6</v>
      </c>
      <c r="AF70">
        <v>1.5707963267949001</v>
      </c>
      <c r="AG70" t="s">
        <v>88</v>
      </c>
      <c r="AH70">
        <v>86</v>
      </c>
      <c r="AI70">
        <v>0</v>
      </c>
      <c r="AJ70">
        <v>69</v>
      </c>
      <c r="AK70">
        <f>AJ70/$AA$17</f>
        <v>4.3124999999999997E-2</v>
      </c>
      <c r="AL70">
        <f>AD70*$AA$16</f>
        <v>0.67926530188766798</v>
      </c>
      <c r="AM70">
        <f>AM69+(AL70/$AA$17)</f>
        <v>1.1225149799792291</v>
      </c>
    </row>
    <row r="71" spans="1:39" x14ac:dyDescent="0.25">
      <c r="A71" t="s">
        <v>86</v>
      </c>
      <c r="AC71">
        <v>86</v>
      </c>
      <c r="AD71">
        <v>0.60695277804013903</v>
      </c>
      <c r="AE71">
        <v>6</v>
      </c>
      <c r="AF71">
        <v>1.5707963267949001</v>
      </c>
      <c r="AG71" t="s">
        <v>88</v>
      </c>
      <c r="AH71">
        <v>87</v>
      </c>
      <c r="AI71">
        <v>0</v>
      </c>
      <c r="AJ71">
        <v>70</v>
      </c>
      <c r="AK71">
        <f>AJ71/$AA$17</f>
        <v>4.3749999999999997E-2</v>
      </c>
      <c r="AL71">
        <f>AD71*$AA$16</f>
        <v>0.60695277804013903</v>
      </c>
      <c r="AM71">
        <f>AM70+(AL71/$AA$17)</f>
        <v>1.1228943254655042</v>
      </c>
    </row>
    <row r="72" spans="1:39" x14ac:dyDescent="0.25">
      <c r="A72">
        <v>57.875845507190697</v>
      </c>
      <c r="B72">
        <v>45.7985885966607</v>
      </c>
      <c r="C72">
        <v>2000</v>
      </c>
      <c r="AC72">
        <v>828</v>
      </c>
      <c r="AD72">
        <v>0.57127151395803799</v>
      </c>
      <c r="AE72">
        <v>8</v>
      </c>
      <c r="AF72">
        <v>1.01722196789785</v>
      </c>
      <c r="AG72" t="s">
        <v>88</v>
      </c>
      <c r="AH72">
        <v>102</v>
      </c>
      <c r="AI72">
        <v>0.103086576425267</v>
      </c>
      <c r="AJ72">
        <v>71</v>
      </c>
      <c r="AK72">
        <f>AJ72/$AA$17</f>
        <v>4.4374999999999998E-2</v>
      </c>
      <c r="AL72">
        <f>AD72*$AA$16</f>
        <v>0.57127151395803799</v>
      </c>
      <c r="AM72">
        <f>AM71+(AL72/$AA$17)</f>
        <v>1.1232513701617279</v>
      </c>
    </row>
    <row r="73" spans="1:39" x14ac:dyDescent="0.25">
      <c r="A73">
        <v>50.218508012224397</v>
      </c>
      <c r="B73">
        <v>38.1412511016945</v>
      </c>
      <c r="C73">
        <v>2000</v>
      </c>
      <c r="AC73">
        <v>113</v>
      </c>
      <c r="AD73">
        <v>0.25369247488420399</v>
      </c>
      <c r="AE73">
        <v>6</v>
      </c>
      <c r="AF73">
        <v>1.01722196789785</v>
      </c>
      <c r="AG73" t="s">
        <v>88</v>
      </c>
      <c r="AH73">
        <v>103</v>
      </c>
      <c r="AI73">
        <v>0</v>
      </c>
      <c r="AJ73">
        <v>72</v>
      </c>
      <c r="AK73">
        <f>AJ73/$AA$17</f>
        <v>4.4999999999999998E-2</v>
      </c>
      <c r="AL73">
        <f>AD73*$AA$16</f>
        <v>0.25369247488420399</v>
      </c>
      <c r="AM73">
        <f>AM72+(AL73/$AA$17)</f>
        <v>1.1234099279585306</v>
      </c>
    </row>
    <row r="74" spans="1:39" x14ac:dyDescent="0.25">
      <c r="A74">
        <v>49.946323253125101</v>
      </c>
      <c r="B74">
        <v>37.869066342595197</v>
      </c>
      <c r="C74">
        <v>2000</v>
      </c>
      <c r="AC74">
        <v>111</v>
      </c>
      <c r="AD74">
        <v>0.25369247488420399</v>
      </c>
      <c r="AE74">
        <v>6</v>
      </c>
      <c r="AF74">
        <v>1.01722196789785</v>
      </c>
      <c r="AG74" t="s">
        <v>88</v>
      </c>
      <c r="AH74">
        <v>102</v>
      </c>
      <c r="AI74">
        <v>0</v>
      </c>
      <c r="AJ74">
        <v>73</v>
      </c>
      <c r="AK74">
        <f>AJ74/$AA$17</f>
        <v>4.5624999999999999E-2</v>
      </c>
      <c r="AL74">
        <f>AD74*$AA$16</f>
        <v>0.25369247488420399</v>
      </c>
      <c r="AM74">
        <f>AM73+(AL74/$AA$17)</f>
        <v>1.1235684857553332</v>
      </c>
    </row>
    <row r="75" spans="1:39" x14ac:dyDescent="0.25">
      <c r="A75">
        <v>49.509307228676299</v>
      </c>
      <c r="B75">
        <v>38.306082367043999</v>
      </c>
      <c r="C75">
        <v>2001</v>
      </c>
      <c r="AC75">
        <v>102</v>
      </c>
      <c r="AD75">
        <v>0.23006436041948999</v>
      </c>
      <c r="AE75">
        <v>6</v>
      </c>
      <c r="AF75">
        <v>1.01722196789785</v>
      </c>
      <c r="AG75" t="s">
        <v>88</v>
      </c>
      <c r="AH75">
        <v>828</v>
      </c>
      <c r="AI75">
        <v>0</v>
      </c>
      <c r="AJ75">
        <v>74</v>
      </c>
      <c r="AK75">
        <f>AJ75/$AA$17</f>
        <v>4.6249999999999999E-2</v>
      </c>
      <c r="AL75">
        <f>AD75*$AA$16</f>
        <v>0.23006436041948999</v>
      </c>
      <c r="AM75">
        <f>AM74+(AL75/$AA$17)</f>
        <v>1.1237122759805953</v>
      </c>
    </row>
    <row r="76" spans="1:39" x14ac:dyDescent="0.25">
      <c r="A76">
        <v>49.781491987775603</v>
      </c>
      <c r="B76">
        <v>38.578267126143302</v>
      </c>
      <c r="C76">
        <v>2001</v>
      </c>
      <c r="AC76">
        <v>103</v>
      </c>
      <c r="AD76">
        <v>0.17260279593088501</v>
      </c>
      <c r="AE76">
        <v>6</v>
      </c>
      <c r="AF76">
        <v>1.01722196789785</v>
      </c>
      <c r="AG76" t="s">
        <v>88</v>
      </c>
      <c r="AH76">
        <v>113</v>
      </c>
      <c r="AI76">
        <v>0</v>
      </c>
      <c r="AJ76">
        <v>75</v>
      </c>
      <c r="AK76">
        <f>AJ76/$AA$17</f>
        <v>4.6875E-2</v>
      </c>
      <c r="AL76">
        <f>AD76*$AA$16</f>
        <v>0.17260279593088501</v>
      </c>
      <c r="AM76">
        <f>AM75+(AL76/$AA$17)</f>
        <v>1.123820152728052</v>
      </c>
    </row>
    <row r="77" spans="1:39" x14ac:dyDescent="0.25">
      <c r="A77">
        <v>57.438829482741902</v>
      </c>
      <c r="B77">
        <v>46.235604621109601</v>
      </c>
      <c r="C77">
        <v>2001</v>
      </c>
      <c r="AC77">
        <v>82</v>
      </c>
      <c r="AD77">
        <v>0</v>
      </c>
      <c r="AE77">
        <v>5</v>
      </c>
      <c r="AF77">
        <v>1.5707963267949001</v>
      </c>
      <c r="AG77" t="s">
        <v>88</v>
      </c>
      <c r="AH77">
        <v>1022</v>
      </c>
      <c r="AI77">
        <v>0</v>
      </c>
      <c r="AJ77">
        <v>76</v>
      </c>
      <c r="AK77">
        <f>AJ77/$AA$17</f>
        <v>4.7500000000000001E-2</v>
      </c>
      <c r="AL77">
        <f>AD77*$AA$16</f>
        <v>0</v>
      </c>
      <c r="AM77">
        <f>AM76+(AL77/$AA$17)</f>
        <v>1.123820152728052</v>
      </c>
    </row>
    <row r="78" spans="1:39" x14ac:dyDescent="0.25">
      <c r="A78">
        <v>61.421732873856698</v>
      </c>
      <c r="B78">
        <v>50.218508012224397</v>
      </c>
      <c r="C78">
        <v>2001</v>
      </c>
      <c r="AC78">
        <v>89</v>
      </c>
      <c r="AD78">
        <v>0</v>
      </c>
      <c r="AE78">
        <v>5</v>
      </c>
      <c r="AF78">
        <v>1.5707963267949001</v>
      </c>
      <c r="AG78" t="s">
        <v>88</v>
      </c>
      <c r="AH78">
        <v>667</v>
      </c>
      <c r="AI78">
        <v>0</v>
      </c>
      <c r="AJ78">
        <v>77</v>
      </c>
      <c r="AK78">
        <f>AJ78/$AA$17</f>
        <v>4.8125000000000001E-2</v>
      </c>
      <c r="AL78">
        <f>AD78*$AA$16</f>
        <v>0</v>
      </c>
      <c r="AM78">
        <f>AM77+(AL78/$AA$17)</f>
        <v>1.123820152728052</v>
      </c>
    </row>
    <row r="79" spans="1:39" x14ac:dyDescent="0.25">
      <c r="A79">
        <v>99.781491987775595</v>
      </c>
      <c r="B79">
        <v>88.578267126143302</v>
      </c>
      <c r="C79">
        <v>2001</v>
      </c>
      <c r="AC79">
        <v>92</v>
      </c>
      <c r="AD79">
        <v>0</v>
      </c>
      <c r="AE79">
        <v>5</v>
      </c>
      <c r="AF79">
        <v>1.5707963267949001</v>
      </c>
      <c r="AG79" t="s">
        <v>88</v>
      </c>
      <c r="AH79">
        <v>671</v>
      </c>
      <c r="AI79">
        <v>0</v>
      </c>
      <c r="AJ79">
        <v>78</v>
      </c>
      <c r="AK79">
        <f>AJ79/$AA$17</f>
        <v>4.8750000000000002E-2</v>
      </c>
      <c r="AL79">
        <f>AD79*$AA$16</f>
        <v>0</v>
      </c>
      <c r="AM79">
        <f>AM78+(AL79/$AA$17)</f>
        <v>1.123820152728052</v>
      </c>
    </row>
    <row r="80" spans="1:39" x14ac:dyDescent="0.25">
      <c r="A80">
        <v>111.472602591813</v>
      </c>
      <c r="B80">
        <v>100.26937773018101</v>
      </c>
      <c r="C80">
        <v>2001</v>
      </c>
      <c r="AC80">
        <v>96</v>
      </c>
      <c r="AD80">
        <v>0</v>
      </c>
      <c r="AE80">
        <v>5</v>
      </c>
      <c r="AF80">
        <v>1.5707963267949001</v>
      </c>
      <c r="AG80" t="s">
        <v>88</v>
      </c>
      <c r="AH80">
        <v>1006</v>
      </c>
      <c r="AI80">
        <v>0</v>
      </c>
      <c r="AJ80">
        <v>79</v>
      </c>
      <c r="AK80">
        <f>AJ80/$AA$17</f>
        <v>4.9375000000000002E-2</v>
      </c>
      <c r="AL80">
        <f>AD80*$AA$16</f>
        <v>0</v>
      </c>
      <c r="AM80">
        <f>AM79+(AL80/$AA$17)</f>
        <v>1.123820152728052</v>
      </c>
    </row>
    <row r="81" spans="1:39" x14ac:dyDescent="0.25">
      <c r="A81">
        <v>150</v>
      </c>
      <c r="B81">
        <v>138.79677513836799</v>
      </c>
      <c r="C81">
        <v>2001</v>
      </c>
      <c r="AC81">
        <v>97</v>
      </c>
      <c r="AD81">
        <v>0</v>
      </c>
      <c r="AE81">
        <v>5</v>
      </c>
      <c r="AF81">
        <v>1.5707963267949001</v>
      </c>
      <c r="AG81" t="s">
        <v>88</v>
      </c>
      <c r="AH81">
        <v>836</v>
      </c>
      <c r="AI81">
        <v>0</v>
      </c>
      <c r="AJ81">
        <v>80</v>
      </c>
      <c r="AK81">
        <f>AJ81/$AA$17</f>
        <v>0.05</v>
      </c>
      <c r="AL81">
        <f>AD81*$AA$16</f>
        <v>0</v>
      </c>
      <c r="AM81">
        <f>AM80+(AL81/$AA$17)</f>
        <v>1.123820152728052</v>
      </c>
    </row>
    <row r="82" spans="1:39" x14ac:dyDescent="0.25">
      <c r="A82">
        <v>150</v>
      </c>
      <c r="B82">
        <v>137.92274308947</v>
      </c>
      <c r="C82">
        <v>2000</v>
      </c>
      <c r="AC82">
        <v>98</v>
      </c>
      <c r="AD82">
        <v>0</v>
      </c>
      <c r="AE82">
        <v>4</v>
      </c>
      <c r="AF82">
        <v>1.5707963267949001</v>
      </c>
      <c r="AG82" t="s">
        <v>88</v>
      </c>
      <c r="AH82">
        <v>269</v>
      </c>
      <c r="AI82">
        <v>0</v>
      </c>
      <c r="AJ82">
        <v>81</v>
      </c>
      <c r="AK82">
        <f>AJ82/$AA$17</f>
        <v>5.0625000000000003E-2</v>
      </c>
      <c r="AL82">
        <f>AD82*$AA$16</f>
        <v>0</v>
      </c>
      <c r="AM82">
        <f>AM81+(AL82/$AA$17)</f>
        <v>1.123820152728052</v>
      </c>
    </row>
    <row r="83" spans="1:39" x14ac:dyDescent="0.25">
      <c r="A83">
        <v>111.807879180349</v>
      </c>
      <c r="B83">
        <v>99.730622269818994</v>
      </c>
      <c r="C83">
        <v>2000</v>
      </c>
      <c r="AC83">
        <v>99</v>
      </c>
      <c r="AD83">
        <v>0</v>
      </c>
      <c r="AE83">
        <v>5</v>
      </c>
      <c r="AF83">
        <v>1.5707963267949001</v>
      </c>
      <c r="AG83" t="s">
        <v>88</v>
      </c>
      <c r="AH83">
        <v>771</v>
      </c>
      <c r="AI83">
        <v>0</v>
      </c>
      <c r="AJ83">
        <v>82</v>
      </c>
      <c r="AK83">
        <f>AJ83/$AA$17</f>
        <v>5.1249999999999997E-2</v>
      </c>
      <c r="AL83">
        <f>AD83*$AA$16</f>
        <v>0</v>
      </c>
      <c r="AM83">
        <f>AM82+(AL83/$AA$17)</f>
        <v>1.123820152728052</v>
      </c>
    </row>
    <row r="84" spans="1:39" x14ac:dyDescent="0.25">
      <c r="A84">
        <v>100.21850801222401</v>
      </c>
      <c r="B84">
        <v>88.141251101694493</v>
      </c>
      <c r="C84">
        <v>2000</v>
      </c>
    </row>
    <row r="85" spans="1:39" x14ac:dyDescent="0.25">
      <c r="A85">
        <v>61.8587488983055</v>
      </c>
      <c r="B85">
        <v>49.781491987775603</v>
      </c>
      <c r="C85">
        <v>2000</v>
      </c>
    </row>
    <row r="86" spans="1:39" x14ac:dyDescent="0.25">
      <c r="A86" t="s">
        <v>87</v>
      </c>
    </row>
    <row r="87" spans="1:39" x14ac:dyDescent="0.25">
      <c r="A87">
        <v>751</v>
      </c>
      <c r="B87">
        <v>0</v>
      </c>
      <c r="C87">
        <v>2.9273801296928799</v>
      </c>
      <c r="D87">
        <v>136.046945825547</v>
      </c>
      <c r="E87">
        <v>12</v>
      </c>
      <c r="F87">
        <v>1.01722196789785</v>
      </c>
      <c r="G87" t="s">
        <v>88</v>
      </c>
      <c r="H87" t="s">
        <v>85</v>
      </c>
      <c r="I87">
        <v>904</v>
      </c>
      <c r="J87">
        <v>0</v>
      </c>
      <c r="K87">
        <v>9.9787223602304201E-2</v>
      </c>
    </row>
    <row r="88" spans="1:39" x14ac:dyDescent="0.25">
      <c r="A88" t="s">
        <v>86</v>
      </c>
    </row>
    <row r="89" spans="1:39" x14ac:dyDescent="0.25">
      <c r="A89">
        <v>54.018790059261597</v>
      </c>
      <c r="B89">
        <v>22.422866541628</v>
      </c>
      <c r="C89">
        <v>2000</v>
      </c>
    </row>
    <row r="90" spans="1:39" x14ac:dyDescent="0.25">
      <c r="A90">
        <v>51.948819718445002</v>
      </c>
      <c r="B90">
        <v>20.352896200811401</v>
      </c>
      <c r="C90">
        <v>2000</v>
      </c>
    </row>
    <row r="91" spans="1:39" x14ac:dyDescent="0.25">
      <c r="A91">
        <v>51.5118036939962</v>
      </c>
      <c r="B91">
        <v>20.789912225260199</v>
      </c>
      <c r="C91">
        <v>2001</v>
      </c>
    </row>
    <row r="92" spans="1:39" x14ac:dyDescent="0.25">
      <c r="A92">
        <v>53.581774034812803</v>
      </c>
      <c r="B92">
        <v>22.859882566076799</v>
      </c>
      <c r="C92">
        <v>2001</v>
      </c>
    </row>
    <row r="93" spans="1:39" x14ac:dyDescent="0.25">
      <c r="A93">
        <v>80.940399480960295</v>
      </c>
      <c r="B93">
        <v>50.218508012224397</v>
      </c>
      <c r="C93">
        <v>2001</v>
      </c>
    </row>
    <row r="94" spans="1:39" x14ac:dyDescent="0.25">
      <c r="A94">
        <v>99.781491987775595</v>
      </c>
      <c r="B94">
        <v>69.059600519039705</v>
      </c>
      <c r="C94">
        <v>2001</v>
      </c>
    </row>
    <row r="95" spans="1:39" x14ac:dyDescent="0.25">
      <c r="A95">
        <v>131.07656889974899</v>
      </c>
      <c r="B95">
        <v>100.354677431013</v>
      </c>
      <c r="C95">
        <v>2001</v>
      </c>
    </row>
    <row r="96" spans="1:39" x14ac:dyDescent="0.25">
      <c r="A96">
        <v>150</v>
      </c>
      <c r="B96">
        <v>119.278108531264</v>
      </c>
      <c r="C96">
        <v>2001</v>
      </c>
    </row>
    <row r="97" spans="1:11" x14ac:dyDescent="0.25">
      <c r="A97">
        <v>150</v>
      </c>
      <c r="B97">
        <v>118.40407648236599</v>
      </c>
      <c r="C97">
        <v>2000</v>
      </c>
    </row>
    <row r="98" spans="1:11" x14ac:dyDescent="0.25">
      <c r="A98">
        <v>131.241246086621</v>
      </c>
      <c r="B98">
        <v>99.645322568987197</v>
      </c>
      <c r="C98">
        <v>2000</v>
      </c>
    </row>
    <row r="99" spans="1:11" x14ac:dyDescent="0.25">
      <c r="A99">
        <v>100.21850801222401</v>
      </c>
      <c r="B99">
        <v>68.622584494590896</v>
      </c>
      <c r="C99">
        <v>2000</v>
      </c>
    </row>
    <row r="100" spans="1:11" x14ac:dyDescent="0.25">
      <c r="A100">
        <v>81.377415505409104</v>
      </c>
      <c r="B100">
        <v>49.781491987775603</v>
      </c>
      <c r="C100">
        <v>2000</v>
      </c>
    </row>
    <row r="101" spans="1:11" x14ac:dyDescent="0.25">
      <c r="A101" t="s">
        <v>87</v>
      </c>
    </row>
    <row r="102" spans="1:11" x14ac:dyDescent="0.25">
      <c r="A102">
        <v>972</v>
      </c>
      <c r="B102">
        <v>0</v>
      </c>
      <c r="C102">
        <v>119.547964158033</v>
      </c>
      <c r="D102">
        <v>13.045359564070299</v>
      </c>
      <c r="E102">
        <v>12</v>
      </c>
      <c r="F102">
        <v>1.01722196789785</v>
      </c>
      <c r="G102" t="s">
        <v>88</v>
      </c>
      <c r="H102" t="s">
        <v>85</v>
      </c>
      <c r="I102">
        <v>485</v>
      </c>
      <c r="J102">
        <v>0</v>
      </c>
      <c r="K102">
        <v>0.109489164932444</v>
      </c>
    </row>
    <row r="103" spans="1:11" x14ac:dyDescent="0.25">
      <c r="A103" t="s">
        <v>86</v>
      </c>
    </row>
    <row r="104" spans="1:11" x14ac:dyDescent="0.25">
      <c r="A104">
        <v>126.755621979362</v>
      </c>
      <c r="B104">
        <v>140.83097031004999</v>
      </c>
      <c r="C104">
        <v>2000</v>
      </c>
    </row>
    <row r="105" spans="1:11" x14ac:dyDescent="0.25">
      <c r="A105">
        <v>99.781491987775595</v>
      </c>
      <c r="B105">
        <v>113.856840318463</v>
      </c>
      <c r="C105">
        <v>2000</v>
      </c>
    </row>
    <row r="106" spans="1:11" x14ac:dyDescent="0.25">
      <c r="A106">
        <v>86.143159681536602</v>
      </c>
      <c r="B106">
        <v>100.21850801222401</v>
      </c>
      <c r="C106">
        <v>2000</v>
      </c>
    </row>
    <row r="107" spans="1:11" x14ac:dyDescent="0.25">
      <c r="A107">
        <v>49.781491987775603</v>
      </c>
      <c r="B107">
        <v>63.856840318463497</v>
      </c>
      <c r="C107">
        <v>2000</v>
      </c>
    </row>
    <row r="108" spans="1:11" x14ac:dyDescent="0.25">
      <c r="A108">
        <v>42.385521337573898</v>
      </c>
      <c r="B108">
        <v>56.4608696682618</v>
      </c>
      <c r="C108">
        <v>2000</v>
      </c>
    </row>
    <row r="109" spans="1:11" x14ac:dyDescent="0.25">
      <c r="A109">
        <v>42.8225373620227</v>
      </c>
      <c r="B109">
        <v>56.023853643812899</v>
      </c>
      <c r="C109">
        <v>2001</v>
      </c>
    </row>
    <row r="110" spans="1:11" x14ac:dyDescent="0.25">
      <c r="A110">
        <v>50.218508012224397</v>
      </c>
      <c r="B110">
        <v>63.419824294014603</v>
      </c>
      <c r="C110">
        <v>2001</v>
      </c>
    </row>
    <row r="111" spans="1:11" x14ac:dyDescent="0.25">
      <c r="A111">
        <v>86.580175705985397</v>
      </c>
      <c r="B111">
        <v>99.781491987775595</v>
      </c>
      <c r="C111">
        <v>2001</v>
      </c>
    </row>
    <row r="112" spans="1:11" x14ac:dyDescent="0.25">
      <c r="A112">
        <v>100.21850801222401</v>
      </c>
      <c r="B112">
        <v>113.419824294015</v>
      </c>
      <c r="C112">
        <v>2001</v>
      </c>
    </row>
    <row r="113" spans="1:11" x14ac:dyDescent="0.25">
      <c r="A113">
        <v>127.51878898661801</v>
      </c>
      <c r="B113">
        <v>140.72010526840799</v>
      </c>
      <c r="C113">
        <v>2001</v>
      </c>
    </row>
    <row r="114" spans="1:11" x14ac:dyDescent="0.25">
      <c r="A114">
        <v>136.79868371820999</v>
      </c>
      <c r="B114">
        <v>150</v>
      </c>
      <c r="C114">
        <v>2001</v>
      </c>
    </row>
    <row r="115" spans="1:11" x14ac:dyDescent="0.25">
      <c r="A115">
        <v>135.924651669312</v>
      </c>
      <c r="B115">
        <v>150</v>
      </c>
      <c r="C115">
        <v>2000</v>
      </c>
    </row>
    <row r="116" spans="1:11" x14ac:dyDescent="0.25">
      <c r="A116" t="s">
        <v>87</v>
      </c>
    </row>
    <row r="117" spans="1:11" x14ac:dyDescent="0.25">
      <c r="A117">
        <v>770</v>
      </c>
      <c r="B117">
        <v>0</v>
      </c>
      <c r="C117">
        <v>50.6368648588466</v>
      </c>
      <c r="D117">
        <v>79.936830407160798</v>
      </c>
      <c r="E117">
        <v>12</v>
      </c>
      <c r="F117">
        <v>1.01722196789785</v>
      </c>
      <c r="G117" t="s">
        <v>88</v>
      </c>
      <c r="H117" t="s">
        <v>85</v>
      </c>
      <c r="I117">
        <v>940</v>
      </c>
      <c r="J117">
        <v>0</v>
      </c>
      <c r="K117">
        <v>0.101659477666818</v>
      </c>
    </row>
    <row r="118" spans="1:11" x14ac:dyDescent="0.25">
      <c r="A118" t="s">
        <v>86</v>
      </c>
    </row>
    <row r="119" spans="1:11" x14ac:dyDescent="0.25">
      <c r="A119">
        <v>63.649465833166197</v>
      </c>
      <c r="B119">
        <v>93.694633164762095</v>
      </c>
      <c r="C119">
        <v>2000</v>
      </c>
    </row>
    <row r="120" spans="1:11" x14ac:dyDescent="0.25">
      <c r="A120">
        <v>49.781491987775603</v>
      </c>
      <c r="B120">
        <v>79.826659319371501</v>
      </c>
      <c r="C120">
        <v>2000</v>
      </c>
    </row>
    <row r="121" spans="1:11" x14ac:dyDescent="0.25">
      <c r="A121">
        <v>27.843795313448901</v>
      </c>
      <c r="B121">
        <v>57.888962645044799</v>
      </c>
      <c r="C121">
        <v>2000</v>
      </c>
    </row>
    <row r="122" spans="1:11" x14ac:dyDescent="0.25">
      <c r="A122">
        <v>28.280811337897699</v>
      </c>
      <c r="B122">
        <v>57.451946620595997</v>
      </c>
      <c r="C122">
        <v>2001</v>
      </c>
    </row>
    <row r="123" spans="1:11" x14ac:dyDescent="0.25">
      <c r="A123">
        <v>50.218508012224397</v>
      </c>
      <c r="B123">
        <v>79.389643294922706</v>
      </c>
      <c r="C123">
        <v>2001</v>
      </c>
    </row>
    <row r="124" spans="1:11" x14ac:dyDescent="0.25">
      <c r="A124">
        <v>64.086481857614999</v>
      </c>
      <c r="B124">
        <v>93.257617140313201</v>
      </c>
      <c r="C124">
        <v>2001</v>
      </c>
    </row>
    <row r="125" spans="1:11" x14ac:dyDescent="0.25">
      <c r="A125">
        <v>70.610356705077294</v>
      </c>
      <c r="B125">
        <v>99.781491987775595</v>
      </c>
      <c r="C125">
        <v>2001</v>
      </c>
    </row>
    <row r="126" spans="1:11" x14ac:dyDescent="0.25">
      <c r="A126">
        <v>100.34790037798</v>
      </c>
      <c r="B126">
        <v>129.51903566067801</v>
      </c>
      <c r="C126">
        <v>2001</v>
      </c>
    </row>
    <row r="127" spans="1:11" x14ac:dyDescent="0.25">
      <c r="A127">
        <v>120.828864717302</v>
      </c>
      <c r="B127">
        <v>150</v>
      </c>
      <c r="C127">
        <v>2001</v>
      </c>
    </row>
    <row r="128" spans="1:11" x14ac:dyDescent="0.25">
      <c r="A128">
        <v>119.95483266840399</v>
      </c>
      <c r="B128">
        <v>150</v>
      </c>
      <c r="C128">
        <v>2000</v>
      </c>
    </row>
    <row r="129" spans="1:11" x14ac:dyDescent="0.25">
      <c r="A129">
        <v>99.652099622020302</v>
      </c>
      <c r="B129">
        <v>129.69726695361601</v>
      </c>
      <c r="C129">
        <v>2000</v>
      </c>
    </row>
    <row r="130" spans="1:11" x14ac:dyDescent="0.25">
      <c r="A130">
        <v>70.173340680628499</v>
      </c>
      <c r="B130">
        <v>100.21850801222401</v>
      </c>
      <c r="C130">
        <v>2000</v>
      </c>
    </row>
    <row r="131" spans="1:11" x14ac:dyDescent="0.25">
      <c r="A131" t="s">
        <v>87</v>
      </c>
    </row>
    <row r="132" spans="1:11" x14ac:dyDescent="0.25">
      <c r="A132">
        <v>353</v>
      </c>
      <c r="B132">
        <v>0</v>
      </c>
      <c r="C132">
        <v>112.532670331085</v>
      </c>
      <c r="D132">
        <v>17.862382854616801</v>
      </c>
      <c r="E132">
        <v>12</v>
      </c>
      <c r="F132">
        <v>1.01722196789785</v>
      </c>
      <c r="G132" t="s">
        <v>85</v>
      </c>
      <c r="H132" t="s">
        <v>88</v>
      </c>
      <c r="I132">
        <v>0</v>
      </c>
      <c r="J132">
        <v>346</v>
      </c>
      <c r="K132">
        <v>0</v>
      </c>
    </row>
    <row r="133" spans="1:11" x14ac:dyDescent="0.25">
      <c r="A133" t="s">
        <v>86</v>
      </c>
    </row>
    <row r="134" spans="1:11" x14ac:dyDescent="0.25">
      <c r="A134">
        <v>79.791122308364905</v>
      </c>
      <c r="B134">
        <v>124.693244901347</v>
      </c>
      <c r="C134">
        <v>2000</v>
      </c>
    </row>
    <row r="135" spans="1:11" x14ac:dyDescent="0.25">
      <c r="A135">
        <v>54.879369394793102</v>
      </c>
      <c r="B135">
        <v>99.781491987775595</v>
      </c>
      <c r="C135">
        <v>2000</v>
      </c>
    </row>
    <row r="136" spans="1:11" x14ac:dyDescent="0.25">
      <c r="A136">
        <v>50.218508012224397</v>
      </c>
      <c r="B136">
        <v>95.120630605206898</v>
      </c>
      <c r="C136">
        <v>2000</v>
      </c>
    </row>
    <row r="137" spans="1:11" x14ac:dyDescent="0.25">
      <c r="A137">
        <v>4.6812300936878204</v>
      </c>
      <c r="B137">
        <v>49.583352686670402</v>
      </c>
      <c r="C137">
        <v>2000</v>
      </c>
    </row>
    <row r="138" spans="1:11" x14ac:dyDescent="0.25">
      <c r="A138">
        <v>0</v>
      </c>
      <c r="B138">
        <v>44.902122592982501</v>
      </c>
      <c r="C138">
        <v>2000</v>
      </c>
    </row>
    <row r="139" spans="1:11" x14ac:dyDescent="0.25">
      <c r="A139">
        <v>0</v>
      </c>
      <c r="B139">
        <v>45.776154641880197</v>
      </c>
      <c r="C139">
        <v>2001</v>
      </c>
    </row>
    <row r="140" spans="1:11" x14ac:dyDescent="0.25">
      <c r="A140">
        <v>4.6404926714494703</v>
      </c>
      <c r="B140">
        <v>50.416647313329598</v>
      </c>
      <c r="C140">
        <v>2001</v>
      </c>
    </row>
    <row r="141" spans="1:11" x14ac:dyDescent="0.25">
      <c r="A141">
        <v>49.781491987775603</v>
      </c>
      <c r="B141">
        <v>95.557646629655693</v>
      </c>
      <c r="C141">
        <v>2001</v>
      </c>
    </row>
    <row r="142" spans="1:11" x14ac:dyDescent="0.25">
      <c r="A142">
        <v>54.4423533703443</v>
      </c>
      <c r="B142">
        <v>100.21850801222401</v>
      </c>
      <c r="C142">
        <v>2001</v>
      </c>
    </row>
    <row r="143" spans="1:11" x14ac:dyDescent="0.25">
      <c r="A143">
        <v>79.354106283916096</v>
      </c>
      <c r="B143">
        <v>125.13026092579599</v>
      </c>
      <c r="C143">
        <v>2001</v>
      </c>
    </row>
    <row r="144" spans="1:11" x14ac:dyDescent="0.25">
      <c r="A144">
        <v>91.984718328565904</v>
      </c>
      <c r="B144">
        <v>137.760872970446</v>
      </c>
      <c r="C144">
        <v>2001</v>
      </c>
    </row>
    <row r="145" spans="1:11" x14ac:dyDescent="0.25">
      <c r="A145">
        <v>92.421734353014799</v>
      </c>
      <c r="B145">
        <v>137.32385694599699</v>
      </c>
      <c r="C145">
        <v>2000</v>
      </c>
    </row>
    <row r="146" spans="1:11" x14ac:dyDescent="0.25">
      <c r="A146" t="s">
        <v>87</v>
      </c>
    </row>
    <row r="147" spans="1:11" x14ac:dyDescent="0.25">
      <c r="A147">
        <v>508</v>
      </c>
      <c r="B147">
        <v>0</v>
      </c>
      <c r="C147">
        <v>62.6242919255575</v>
      </c>
      <c r="D147">
        <v>57.050207838967303</v>
      </c>
      <c r="E147">
        <v>12</v>
      </c>
      <c r="F147">
        <v>1.01722196789785</v>
      </c>
      <c r="G147" t="s">
        <v>85</v>
      </c>
      <c r="H147" t="s">
        <v>88</v>
      </c>
      <c r="I147">
        <v>0</v>
      </c>
      <c r="J147">
        <v>978</v>
      </c>
      <c r="K147">
        <v>0</v>
      </c>
    </row>
    <row r="148" spans="1:11" x14ac:dyDescent="0.25">
      <c r="A148" t="s">
        <v>86</v>
      </c>
    </row>
    <row r="149" spans="1:11" x14ac:dyDescent="0.25">
      <c r="A149">
        <v>44.082594709468999</v>
      </c>
      <c r="B149">
        <v>62.105892940424397</v>
      </c>
      <c r="C149">
        <v>2000</v>
      </c>
    </row>
    <row r="150" spans="1:11" x14ac:dyDescent="0.25">
      <c r="A150">
        <v>32.2537736353867</v>
      </c>
      <c r="B150">
        <v>50.277071866342098</v>
      </c>
      <c r="C150">
        <v>2000</v>
      </c>
    </row>
    <row r="151" spans="1:11" x14ac:dyDescent="0.25">
      <c r="A151">
        <v>0</v>
      </c>
      <c r="B151">
        <v>18.023298230955401</v>
      </c>
      <c r="C151">
        <v>2000</v>
      </c>
    </row>
    <row r="152" spans="1:11" x14ac:dyDescent="0.25">
      <c r="A152">
        <v>0</v>
      </c>
      <c r="B152">
        <v>17.149266182057801</v>
      </c>
      <c r="C152">
        <v>2001</v>
      </c>
    </row>
    <row r="153" spans="1:11" x14ac:dyDescent="0.25">
      <c r="A153">
        <v>32.573661951600101</v>
      </c>
      <c r="B153">
        <v>49.722928133657902</v>
      </c>
      <c r="C153">
        <v>2001</v>
      </c>
    </row>
    <row r="154" spans="1:11" x14ac:dyDescent="0.25">
      <c r="A154">
        <v>44.481528265666299</v>
      </c>
      <c r="B154">
        <v>61.630794447724</v>
      </c>
      <c r="C154">
        <v>2001</v>
      </c>
    </row>
    <row r="155" spans="1:11" x14ac:dyDescent="0.25">
      <c r="A155">
        <v>50.218508012224397</v>
      </c>
      <c r="B155">
        <v>67.367774194282205</v>
      </c>
      <c r="C155">
        <v>2001</v>
      </c>
    </row>
    <row r="156" spans="1:11" x14ac:dyDescent="0.25">
      <c r="A156">
        <v>82.632225805717795</v>
      </c>
      <c r="B156">
        <v>99.781491987775595</v>
      </c>
      <c r="C156">
        <v>2001</v>
      </c>
    </row>
    <row r="157" spans="1:11" x14ac:dyDescent="0.25">
      <c r="A157">
        <v>84.841158330827795</v>
      </c>
      <c r="B157">
        <v>101.99042451288599</v>
      </c>
      <c r="C157">
        <v>2001</v>
      </c>
    </row>
    <row r="158" spans="1:11" x14ac:dyDescent="0.25">
      <c r="A158">
        <v>84.404142306378901</v>
      </c>
      <c r="B158">
        <v>102.42744053733399</v>
      </c>
      <c r="C158">
        <v>2000</v>
      </c>
    </row>
    <row r="159" spans="1:11" x14ac:dyDescent="0.25">
      <c r="A159">
        <v>82.195209781269</v>
      </c>
      <c r="B159">
        <v>100.21850801222401</v>
      </c>
      <c r="C159">
        <v>2000</v>
      </c>
    </row>
    <row r="160" spans="1:11" x14ac:dyDescent="0.25">
      <c r="A160">
        <v>49.781491987775603</v>
      </c>
      <c r="B160">
        <v>67.804790218731</v>
      </c>
      <c r="C160">
        <v>2000</v>
      </c>
    </row>
    <row r="161" spans="1:11" x14ac:dyDescent="0.25">
      <c r="A161" t="s">
        <v>87</v>
      </c>
    </row>
    <row r="162" spans="1:11" x14ac:dyDescent="0.25">
      <c r="A162">
        <v>919</v>
      </c>
      <c r="B162">
        <v>0</v>
      </c>
      <c r="C162">
        <v>108.931985377237</v>
      </c>
      <c r="D162">
        <v>9.5603587861606592</v>
      </c>
      <c r="E162">
        <v>10</v>
      </c>
      <c r="F162">
        <v>1.01722196789785</v>
      </c>
      <c r="G162" t="s">
        <v>85</v>
      </c>
      <c r="H162" t="s">
        <v>88</v>
      </c>
      <c r="I162">
        <v>0</v>
      </c>
      <c r="J162">
        <v>170</v>
      </c>
      <c r="K162">
        <v>0.105605243465119</v>
      </c>
    </row>
    <row r="163" spans="1:11" x14ac:dyDescent="0.25">
      <c r="A163" t="s">
        <v>86</v>
      </c>
    </row>
    <row r="164" spans="1:11" x14ac:dyDescent="0.25">
      <c r="A164">
        <v>129.84649850840501</v>
      </c>
      <c r="B164">
        <v>77.245053560582605</v>
      </c>
      <c r="C164">
        <v>2000</v>
      </c>
    </row>
    <row r="165" spans="1:11" x14ac:dyDescent="0.25">
      <c r="A165">
        <v>102.819952960047</v>
      </c>
      <c r="B165">
        <v>50.218508012224397</v>
      </c>
      <c r="C165">
        <v>2000</v>
      </c>
    </row>
    <row r="166" spans="1:11" x14ac:dyDescent="0.25">
      <c r="A166">
        <v>99.768213426430094</v>
      </c>
      <c r="B166">
        <v>47.1667684786078</v>
      </c>
      <c r="C166">
        <v>2000</v>
      </c>
    </row>
    <row r="167" spans="1:11" x14ac:dyDescent="0.25">
      <c r="A167">
        <v>52.601444947822301</v>
      </c>
      <c r="B167">
        <v>0</v>
      </c>
      <c r="C167">
        <v>2000</v>
      </c>
    </row>
    <row r="168" spans="1:11" x14ac:dyDescent="0.25">
      <c r="A168">
        <v>53.475476996719898</v>
      </c>
      <c r="B168">
        <v>0</v>
      </c>
      <c r="C168">
        <v>2001</v>
      </c>
    </row>
    <row r="169" spans="1:11" x14ac:dyDescent="0.25">
      <c r="A169">
        <v>100.23178657357001</v>
      </c>
      <c r="B169">
        <v>46.756309576849901</v>
      </c>
      <c r="C169">
        <v>2001</v>
      </c>
    </row>
    <row r="170" spans="1:11" x14ac:dyDescent="0.25">
      <c r="A170">
        <v>103.256968984496</v>
      </c>
      <c r="B170">
        <v>49.781491987775603</v>
      </c>
      <c r="C170">
        <v>2001</v>
      </c>
    </row>
    <row r="171" spans="1:11" x14ac:dyDescent="0.25">
      <c r="A171">
        <v>130.28351453285401</v>
      </c>
      <c r="B171">
        <v>76.808037536133796</v>
      </c>
      <c r="C171">
        <v>2001</v>
      </c>
    </row>
    <row r="172" spans="1:11" x14ac:dyDescent="0.25">
      <c r="A172">
        <v>137.04370906112399</v>
      </c>
      <c r="B172">
        <v>83.568232064404398</v>
      </c>
      <c r="C172">
        <v>2001</v>
      </c>
    </row>
    <row r="173" spans="1:11" x14ac:dyDescent="0.25">
      <c r="A173">
        <v>136.60669303667601</v>
      </c>
      <c r="B173">
        <v>84.005248088853307</v>
      </c>
      <c r="C173">
        <v>2000</v>
      </c>
    </row>
    <row r="174" spans="1:11" x14ac:dyDescent="0.25">
      <c r="A174" t="s">
        <v>87</v>
      </c>
    </row>
    <row r="175" spans="1:11" x14ac:dyDescent="0.25">
      <c r="A175">
        <v>883</v>
      </c>
      <c r="B175">
        <v>0</v>
      </c>
      <c r="C175">
        <v>6.4002581524779503</v>
      </c>
      <c r="D175">
        <v>111.575235964058</v>
      </c>
      <c r="E175">
        <v>12</v>
      </c>
      <c r="F175">
        <v>1.01722196789785</v>
      </c>
      <c r="G175" t="s">
        <v>85</v>
      </c>
      <c r="H175" t="s">
        <v>88</v>
      </c>
      <c r="I175">
        <v>0</v>
      </c>
      <c r="J175">
        <v>1018</v>
      </c>
      <c r="K175">
        <v>0.104525721151597</v>
      </c>
    </row>
    <row r="176" spans="1:11" x14ac:dyDescent="0.25">
      <c r="A176" t="s">
        <v>86</v>
      </c>
    </row>
    <row r="177" spans="1:11" x14ac:dyDescent="0.25">
      <c r="A177">
        <v>42.5063400867257</v>
      </c>
      <c r="B177">
        <v>4.4457645940263602</v>
      </c>
      <c r="C177">
        <v>2000</v>
      </c>
    </row>
    <row r="178" spans="1:11" x14ac:dyDescent="0.25">
      <c r="A178">
        <v>38.0605754926993</v>
      </c>
      <c r="B178">
        <v>0</v>
      </c>
      <c r="C178">
        <v>2000</v>
      </c>
    </row>
    <row r="179" spans="1:11" x14ac:dyDescent="0.25">
      <c r="A179">
        <v>37.186543443801703</v>
      </c>
      <c r="B179">
        <v>0</v>
      </c>
      <c r="C179">
        <v>2001</v>
      </c>
    </row>
    <row r="180" spans="1:11" x14ac:dyDescent="0.25">
      <c r="A180">
        <v>41.7921107316986</v>
      </c>
      <c r="B180">
        <v>4.60556728789693</v>
      </c>
      <c r="C180">
        <v>2001</v>
      </c>
    </row>
    <row r="181" spans="1:11" x14ac:dyDescent="0.25">
      <c r="A181">
        <v>49.781491987775603</v>
      </c>
      <c r="B181">
        <v>12.594948543973899</v>
      </c>
      <c r="C181">
        <v>2001</v>
      </c>
    </row>
    <row r="182" spans="1:11" x14ac:dyDescent="0.25">
      <c r="A182">
        <v>87.405051456026101</v>
      </c>
      <c r="B182">
        <v>50.218508012224397</v>
      </c>
      <c r="C182">
        <v>2001</v>
      </c>
    </row>
    <row r="183" spans="1:11" x14ac:dyDescent="0.25">
      <c r="A183">
        <v>99.781491987775595</v>
      </c>
      <c r="B183">
        <v>62.594948543973899</v>
      </c>
      <c r="C183">
        <v>2001</v>
      </c>
    </row>
    <row r="184" spans="1:11" x14ac:dyDescent="0.25">
      <c r="A184">
        <v>120.82632335966299</v>
      </c>
      <c r="B184">
        <v>83.639779915860899</v>
      </c>
      <c r="C184">
        <v>2001</v>
      </c>
    </row>
    <row r="185" spans="1:11" x14ac:dyDescent="0.25">
      <c r="A185">
        <v>121.26333938411101</v>
      </c>
      <c r="B185">
        <v>83.202763891412104</v>
      </c>
      <c r="C185">
        <v>2000</v>
      </c>
    </row>
    <row r="186" spans="1:11" x14ac:dyDescent="0.25">
      <c r="A186">
        <v>100.21850801222401</v>
      </c>
      <c r="B186">
        <v>62.157932519524998</v>
      </c>
      <c r="C186">
        <v>2000</v>
      </c>
    </row>
    <row r="187" spans="1:11" x14ac:dyDescent="0.25">
      <c r="A187">
        <v>87.842067480474896</v>
      </c>
      <c r="B187">
        <v>49.781491987775603</v>
      </c>
      <c r="C187">
        <v>2000</v>
      </c>
    </row>
    <row r="188" spans="1:11" x14ac:dyDescent="0.25">
      <c r="A188">
        <v>50.218508012224397</v>
      </c>
      <c r="B188">
        <v>12.157932519525099</v>
      </c>
      <c r="C188">
        <v>2000</v>
      </c>
    </row>
    <row r="189" spans="1:11" x14ac:dyDescent="0.25">
      <c r="A189" t="s">
        <v>87</v>
      </c>
    </row>
    <row r="190" spans="1:11" x14ac:dyDescent="0.25">
      <c r="A190">
        <v>740</v>
      </c>
      <c r="B190">
        <v>0</v>
      </c>
      <c r="C190">
        <v>92.961226919025407</v>
      </c>
      <c r="D190">
        <v>20.920511745087701</v>
      </c>
      <c r="E190">
        <v>10</v>
      </c>
      <c r="F190">
        <v>1.01722196789785</v>
      </c>
      <c r="G190" t="s">
        <v>88</v>
      </c>
      <c r="H190" t="s">
        <v>85</v>
      </c>
      <c r="I190">
        <v>259</v>
      </c>
      <c r="J190">
        <v>0</v>
      </c>
      <c r="K190">
        <v>0.101399532687084</v>
      </c>
    </row>
    <row r="191" spans="1:11" x14ac:dyDescent="0.25">
      <c r="A191" t="s">
        <v>86</v>
      </c>
    </row>
    <row r="192" spans="1:11" x14ac:dyDescent="0.25">
      <c r="A192">
        <v>135.27807338351201</v>
      </c>
      <c r="B192">
        <v>80.297920574934693</v>
      </c>
      <c r="C192">
        <v>2000</v>
      </c>
    </row>
    <row r="193" spans="1:11" x14ac:dyDescent="0.25">
      <c r="A193">
        <v>104.761644796353</v>
      </c>
      <c r="B193">
        <v>49.781491987775603</v>
      </c>
      <c r="C193">
        <v>2000</v>
      </c>
    </row>
    <row r="194" spans="1:11" x14ac:dyDescent="0.25">
      <c r="A194">
        <v>100.21850801222401</v>
      </c>
      <c r="B194">
        <v>45.238355203647103</v>
      </c>
      <c r="C194">
        <v>2000</v>
      </c>
    </row>
    <row r="195" spans="1:11" x14ac:dyDescent="0.25">
      <c r="A195">
        <v>69.691958349515801</v>
      </c>
      <c r="B195">
        <v>14.711805540938601</v>
      </c>
      <c r="C195">
        <v>2000</v>
      </c>
    </row>
    <row r="196" spans="1:11" x14ac:dyDescent="0.25">
      <c r="A196">
        <v>69.254942325067006</v>
      </c>
      <c r="B196">
        <v>15.148821565387401</v>
      </c>
      <c r="C196">
        <v>2001</v>
      </c>
    </row>
    <row r="197" spans="1:11" x14ac:dyDescent="0.25">
      <c r="A197">
        <v>99.781491987775595</v>
      </c>
      <c r="B197">
        <v>45.675371228095997</v>
      </c>
      <c r="C197">
        <v>2001</v>
      </c>
    </row>
    <row r="198" spans="1:11" x14ac:dyDescent="0.25">
      <c r="A198">
        <v>104.324628771904</v>
      </c>
      <c r="B198">
        <v>50.218508012224397</v>
      </c>
      <c r="C198">
        <v>2001</v>
      </c>
    </row>
    <row r="199" spans="1:11" x14ac:dyDescent="0.25">
      <c r="A199">
        <v>135.13585517479899</v>
      </c>
      <c r="B199">
        <v>81.029734415119805</v>
      </c>
      <c r="C199">
        <v>2001</v>
      </c>
    </row>
    <row r="200" spans="1:11" x14ac:dyDescent="0.25">
      <c r="A200">
        <v>150</v>
      </c>
      <c r="B200">
        <v>95.893879240320402</v>
      </c>
      <c r="C200">
        <v>2001</v>
      </c>
    </row>
    <row r="201" spans="1:11" x14ac:dyDescent="0.25">
      <c r="A201">
        <v>150</v>
      </c>
      <c r="B201">
        <v>95.019847191422699</v>
      </c>
      <c r="C201">
        <v>2000</v>
      </c>
    </row>
    <row r="202" spans="1:11" x14ac:dyDescent="0.25">
      <c r="A202" t="s">
        <v>87</v>
      </c>
    </row>
    <row r="203" spans="1:11" x14ac:dyDescent="0.25">
      <c r="A203">
        <v>676</v>
      </c>
      <c r="B203">
        <v>0</v>
      </c>
      <c r="C203">
        <v>109.459668805441</v>
      </c>
      <c r="D203">
        <v>1.09613205486835</v>
      </c>
      <c r="E203">
        <v>12</v>
      </c>
      <c r="F203">
        <v>1.01722196789785</v>
      </c>
      <c r="G203" t="s">
        <v>88</v>
      </c>
      <c r="H203" t="s">
        <v>88</v>
      </c>
      <c r="I203">
        <v>520</v>
      </c>
      <c r="J203">
        <v>661</v>
      </c>
      <c r="K203">
        <v>0</v>
      </c>
    </row>
    <row r="204" spans="1:11" x14ac:dyDescent="0.25">
      <c r="A204" t="s">
        <v>86</v>
      </c>
    </row>
    <row r="205" spans="1:11" x14ac:dyDescent="0.25">
      <c r="A205">
        <v>105.199928809046</v>
      </c>
      <c r="B205">
        <v>145.28211549031201</v>
      </c>
      <c r="C205">
        <v>2000</v>
      </c>
    </row>
    <row r="206" spans="1:11" x14ac:dyDescent="0.25">
      <c r="A206">
        <v>100.21850801222401</v>
      </c>
      <c r="B206">
        <v>140.30069469348999</v>
      </c>
      <c r="C206">
        <v>2000</v>
      </c>
    </row>
    <row r="207" spans="1:11" x14ac:dyDescent="0.25">
      <c r="A207">
        <v>59.699305306509899</v>
      </c>
      <c r="B207">
        <v>99.781491987775595</v>
      </c>
      <c r="C207">
        <v>2000</v>
      </c>
    </row>
    <row r="208" spans="1:11" x14ac:dyDescent="0.25">
      <c r="A208">
        <v>50.218508012224397</v>
      </c>
      <c r="B208">
        <v>90.300694693490101</v>
      </c>
      <c r="C208">
        <v>2000</v>
      </c>
    </row>
    <row r="209" spans="1:11" x14ac:dyDescent="0.25">
      <c r="A209">
        <v>27.800254730285001</v>
      </c>
      <c r="B209">
        <v>67.882441411550701</v>
      </c>
      <c r="C209">
        <v>2000</v>
      </c>
    </row>
    <row r="210" spans="1:11" x14ac:dyDescent="0.25">
      <c r="A210">
        <v>27.363238705836199</v>
      </c>
      <c r="B210">
        <v>68.319457435999496</v>
      </c>
      <c r="C210">
        <v>2001</v>
      </c>
    </row>
    <row r="211" spans="1:11" x14ac:dyDescent="0.25">
      <c r="A211">
        <v>49.781491987775603</v>
      </c>
      <c r="B211">
        <v>90.737710717938896</v>
      </c>
      <c r="C211">
        <v>2001</v>
      </c>
    </row>
    <row r="212" spans="1:11" x14ac:dyDescent="0.25">
      <c r="A212">
        <v>59.262289282061097</v>
      </c>
      <c r="B212">
        <v>100.21850801222401</v>
      </c>
      <c r="C212">
        <v>2001</v>
      </c>
    </row>
    <row r="213" spans="1:11" x14ac:dyDescent="0.25">
      <c r="A213">
        <v>99.781491987775595</v>
      </c>
      <c r="B213">
        <v>140.737710717939</v>
      </c>
      <c r="C213">
        <v>2001</v>
      </c>
    </row>
    <row r="214" spans="1:11" x14ac:dyDescent="0.25">
      <c r="A214">
        <v>104.76291278459701</v>
      </c>
      <c r="B214">
        <v>145.71913151475999</v>
      </c>
      <c r="C214">
        <v>2001</v>
      </c>
    </row>
    <row r="215" spans="1:11" x14ac:dyDescent="0.25">
      <c r="A215">
        <v>105.53799519367</v>
      </c>
      <c r="B215">
        <v>146.494213923834</v>
      </c>
      <c r="C215">
        <v>2001</v>
      </c>
    </row>
    <row r="216" spans="1:11" x14ac:dyDescent="0.25">
      <c r="A216">
        <v>105.97501121811899</v>
      </c>
      <c r="B216">
        <v>146.05719789938499</v>
      </c>
      <c r="C216">
        <v>2000</v>
      </c>
    </row>
    <row r="217" spans="1:11" x14ac:dyDescent="0.25">
      <c r="A217" t="s">
        <v>87</v>
      </c>
    </row>
    <row r="218" spans="1:11" x14ac:dyDescent="0.25">
      <c r="A218">
        <v>105</v>
      </c>
      <c r="B218">
        <v>0</v>
      </c>
      <c r="C218">
        <v>27.946252757705199</v>
      </c>
      <c r="D218">
        <v>79.092201405217907</v>
      </c>
      <c r="E218">
        <v>10</v>
      </c>
      <c r="F218">
        <v>1.01722196789785</v>
      </c>
      <c r="G218" t="s">
        <v>88</v>
      </c>
      <c r="H218" t="s">
        <v>85</v>
      </c>
      <c r="I218">
        <v>273</v>
      </c>
      <c r="J218">
        <v>0</v>
      </c>
      <c r="K218">
        <v>0</v>
      </c>
    </row>
    <row r="219" spans="1:11" x14ac:dyDescent="0.25">
      <c r="A219" t="s">
        <v>86</v>
      </c>
    </row>
    <row r="220" spans="1:11" x14ac:dyDescent="0.25">
      <c r="A220">
        <v>93.8548600351738</v>
      </c>
      <c r="B220">
        <v>76.856921943764803</v>
      </c>
      <c r="C220">
        <v>2000</v>
      </c>
    </row>
    <row r="221" spans="1:11" x14ac:dyDescent="0.25">
      <c r="A221">
        <v>74.093875201447204</v>
      </c>
      <c r="B221">
        <v>57.0959371100382</v>
      </c>
      <c r="C221">
        <v>2000</v>
      </c>
    </row>
    <row r="222" spans="1:11" x14ac:dyDescent="0.25">
      <c r="A222">
        <v>74.530891225895999</v>
      </c>
      <c r="B222">
        <v>56.658921085589398</v>
      </c>
      <c r="C222">
        <v>2001</v>
      </c>
    </row>
    <row r="223" spans="1:11" x14ac:dyDescent="0.25">
      <c r="A223">
        <v>94.291876059622595</v>
      </c>
      <c r="B223">
        <v>76.419905919315994</v>
      </c>
      <c r="C223">
        <v>2001</v>
      </c>
    </row>
    <row r="224" spans="1:11" x14ac:dyDescent="0.25">
      <c r="A224">
        <v>100.21850801222401</v>
      </c>
      <c r="B224">
        <v>82.346537871917803</v>
      </c>
      <c r="C224">
        <v>2001</v>
      </c>
    </row>
    <row r="225" spans="1:11" x14ac:dyDescent="0.25">
      <c r="A225">
        <v>117.57726858474101</v>
      </c>
      <c r="B225">
        <v>99.705298444434007</v>
      </c>
      <c r="C225">
        <v>2001</v>
      </c>
    </row>
    <row r="226" spans="1:11" x14ac:dyDescent="0.25">
      <c r="A226">
        <v>150</v>
      </c>
      <c r="B226">
        <v>132.12802985969299</v>
      </c>
      <c r="C226">
        <v>2001</v>
      </c>
    </row>
    <row r="227" spans="1:11" x14ac:dyDescent="0.25">
      <c r="A227">
        <v>150</v>
      </c>
      <c r="B227">
        <v>133.002061908591</v>
      </c>
      <c r="C227">
        <v>2000</v>
      </c>
    </row>
    <row r="228" spans="1:11" x14ac:dyDescent="0.25">
      <c r="A228">
        <v>117.292639646975</v>
      </c>
      <c r="B228">
        <v>100.29470155556599</v>
      </c>
      <c r="C228">
        <v>2000</v>
      </c>
    </row>
    <row r="229" spans="1:11" x14ac:dyDescent="0.25">
      <c r="A229">
        <v>99.781491987775595</v>
      </c>
      <c r="B229">
        <v>82.783553896366598</v>
      </c>
      <c r="C229">
        <v>2000</v>
      </c>
    </row>
    <row r="230" spans="1:11" x14ac:dyDescent="0.25">
      <c r="A230" t="s">
        <v>87</v>
      </c>
    </row>
    <row r="231" spans="1:11" x14ac:dyDescent="0.25">
      <c r="A231">
        <v>793</v>
      </c>
      <c r="B231">
        <v>0</v>
      </c>
      <c r="C231">
        <v>79.367849137378798</v>
      </c>
      <c r="D231">
        <v>26.678861013809001</v>
      </c>
      <c r="E231">
        <v>10</v>
      </c>
      <c r="F231">
        <v>1.01722196789785</v>
      </c>
      <c r="G231" t="s">
        <v>85</v>
      </c>
      <c r="H231" t="s">
        <v>88</v>
      </c>
      <c r="I231">
        <v>0</v>
      </c>
      <c r="J231">
        <v>100</v>
      </c>
      <c r="K231">
        <v>0.102396880332516</v>
      </c>
    </row>
    <row r="232" spans="1:11" x14ac:dyDescent="0.25">
      <c r="A232" t="s">
        <v>86</v>
      </c>
    </row>
    <row r="233" spans="1:11" x14ac:dyDescent="0.25">
      <c r="A233">
        <v>56.340052345455803</v>
      </c>
      <c r="B233">
        <v>68.371754388968199</v>
      </c>
      <c r="C233">
        <v>2000</v>
      </c>
    </row>
    <row r="234" spans="1:11" x14ac:dyDescent="0.25">
      <c r="A234">
        <v>50.218508012224397</v>
      </c>
      <c r="B234">
        <v>62.250210055736702</v>
      </c>
      <c r="C234">
        <v>2000</v>
      </c>
    </row>
    <row r="235" spans="1:11" x14ac:dyDescent="0.25">
      <c r="A235">
        <v>37.695299648262903</v>
      </c>
      <c r="B235">
        <v>49.7270016917753</v>
      </c>
      <c r="C235">
        <v>2000</v>
      </c>
    </row>
    <row r="236" spans="1:11" x14ac:dyDescent="0.25">
      <c r="A236">
        <v>0</v>
      </c>
      <c r="B236">
        <v>12.031702043512301</v>
      </c>
      <c r="C236">
        <v>2000</v>
      </c>
    </row>
    <row r="237" spans="1:11" x14ac:dyDescent="0.25">
      <c r="A237">
        <v>0</v>
      </c>
      <c r="B237">
        <v>12.90573409241</v>
      </c>
      <c r="C237">
        <v>2001</v>
      </c>
    </row>
    <row r="238" spans="1:11" x14ac:dyDescent="0.25">
      <c r="A238">
        <v>37.367264215814799</v>
      </c>
      <c r="B238">
        <v>50.2729983082247</v>
      </c>
      <c r="C238">
        <v>2001</v>
      </c>
    </row>
    <row r="239" spans="1:11" x14ac:dyDescent="0.25">
      <c r="A239">
        <v>49.781491987775603</v>
      </c>
      <c r="B239">
        <v>62.687226080185603</v>
      </c>
      <c r="C239">
        <v>2001</v>
      </c>
    </row>
    <row r="240" spans="1:11" x14ac:dyDescent="0.25">
      <c r="A240">
        <v>55.903036321007001</v>
      </c>
      <c r="B240">
        <v>68.808770413416994</v>
      </c>
      <c r="C240">
        <v>2001</v>
      </c>
    </row>
    <row r="241" spans="1:11" x14ac:dyDescent="0.25">
      <c r="A241">
        <v>74.767839858204795</v>
      </c>
      <c r="B241">
        <v>87.673573950614795</v>
      </c>
      <c r="C241">
        <v>2001</v>
      </c>
    </row>
    <row r="242" spans="1:11" x14ac:dyDescent="0.25">
      <c r="A242">
        <v>75.204855882653604</v>
      </c>
      <c r="B242">
        <v>87.236557926166</v>
      </c>
      <c r="C242">
        <v>2000</v>
      </c>
    </row>
    <row r="243" spans="1:11" x14ac:dyDescent="0.25">
      <c r="A243" t="s">
        <v>87</v>
      </c>
    </row>
    <row r="244" spans="1:11" x14ac:dyDescent="0.25">
      <c r="A244">
        <v>939</v>
      </c>
      <c r="B244">
        <v>0</v>
      </c>
      <c r="C244">
        <v>92.862048963624105</v>
      </c>
      <c r="D244">
        <v>12.838072935484499</v>
      </c>
      <c r="E244">
        <v>10</v>
      </c>
      <c r="F244">
        <v>1.01722196789785</v>
      </c>
      <c r="G244" t="s">
        <v>85</v>
      </c>
      <c r="H244" t="s">
        <v>88</v>
      </c>
      <c r="I244">
        <v>0</v>
      </c>
      <c r="J244">
        <v>933</v>
      </c>
      <c r="K244">
        <v>0.10626245288241699</v>
      </c>
    </row>
    <row r="245" spans="1:11" x14ac:dyDescent="0.25">
      <c r="A245" t="s">
        <v>86</v>
      </c>
    </row>
    <row r="246" spans="1:11" x14ac:dyDescent="0.25">
      <c r="A246">
        <v>65.881892549280195</v>
      </c>
      <c r="B246">
        <v>88.476933611317804</v>
      </c>
      <c r="C246">
        <v>2000</v>
      </c>
    </row>
    <row r="247" spans="1:11" x14ac:dyDescent="0.25">
      <c r="A247">
        <v>50.218508012224397</v>
      </c>
      <c r="B247">
        <v>72.813549074261999</v>
      </c>
      <c r="C247">
        <v>2000</v>
      </c>
    </row>
    <row r="248" spans="1:11" x14ac:dyDescent="0.25">
      <c r="A248">
        <v>27.085797145509801</v>
      </c>
      <c r="B248">
        <v>49.680838207547403</v>
      </c>
      <c r="C248">
        <v>2000</v>
      </c>
    </row>
    <row r="249" spans="1:11" x14ac:dyDescent="0.25">
      <c r="A249">
        <v>0</v>
      </c>
      <c r="B249">
        <v>22.595041062037598</v>
      </c>
      <c r="C249">
        <v>2000</v>
      </c>
    </row>
    <row r="250" spans="1:11" x14ac:dyDescent="0.25">
      <c r="A250">
        <v>0</v>
      </c>
      <c r="B250">
        <v>23.469073110935302</v>
      </c>
      <c r="C250">
        <v>2001</v>
      </c>
    </row>
    <row r="251" spans="1:11" x14ac:dyDescent="0.25">
      <c r="A251">
        <v>26.850088681517299</v>
      </c>
      <c r="B251">
        <v>50.319161792452597</v>
      </c>
      <c r="C251">
        <v>2001</v>
      </c>
    </row>
    <row r="252" spans="1:11" x14ac:dyDescent="0.25">
      <c r="A252">
        <v>49.781491987775603</v>
      </c>
      <c r="B252">
        <v>73.250565098710794</v>
      </c>
      <c r="C252">
        <v>2001</v>
      </c>
    </row>
    <row r="253" spans="1:11" x14ac:dyDescent="0.25">
      <c r="A253">
        <v>65.4448765248314</v>
      </c>
      <c r="B253">
        <v>88.913949635766599</v>
      </c>
      <c r="C253">
        <v>2001</v>
      </c>
    </row>
    <row r="254" spans="1:11" x14ac:dyDescent="0.25">
      <c r="A254">
        <v>74.522764954880003</v>
      </c>
      <c r="B254">
        <v>97.991838065815202</v>
      </c>
      <c r="C254">
        <v>2001</v>
      </c>
    </row>
    <row r="255" spans="1:11" x14ac:dyDescent="0.25">
      <c r="A255">
        <v>74.959780979328798</v>
      </c>
      <c r="B255">
        <v>97.554822041366407</v>
      </c>
      <c r="C255">
        <v>2000</v>
      </c>
    </row>
    <row r="256" spans="1:11" x14ac:dyDescent="0.25">
      <c r="A256" t="s">
        <v>87</v>
      </c>
    </row>
    <row r="257" spans="1:11" x14ac:dyDescent="0.25">
      <c r="A257">
        <v>891</v>
      </c>
      <c r="B257">
        <v>0</v>
      </c>
      <c r="C257">
        <v>24.466375807807001</v>
      </c>
      <c r="D257">
        <v>80.493714181398104</v>
      </c>
      <c r="E257">
        <v>10</v>
      </c>
      <c r="F257">
        <v>1.01722196789785</v>
      </c>
      <c r="G257" t="s">
        <v>88</v>
      </c>
      <c r="H257" t="s">
        <v>85</v>
      </c>
      <c r="I257">
        <v>932</v>
      </c>
      <c r="J257">
        <v>0</v>
      </c>
      <c r="K257">
        <v>0.104714434237089</v>
      </c>
    </row>
    <row r="258" spans="1:11" x14ac:dyDescent="0.25">
      <c r="A258" t="s">
        <v>86</v>
      </c>
    </row>
    <row r="259" spans="1:11" x14ac:dyDescent="0.25">
      <c r="A259">
        <v>73.953111938640205</v>
      </c>
      <c r="B259">
        <v>92.863840847217205</v>
      </c>
      <c r="C259">
        <v>2000</v>
      </c>
    </row>
    <row r="260" spans="1:11" x14ac:dyDescent="0.25">
      <c r="A260">
        <v>56.652771693881398</v>
      </c>
      <c r="B260">
        <v>75.563500602458404</v>
      </c>
      <c r="C260">
        <v>2000</v>
      </c>
    </row>
    <row r="261" spans="1:11" x14ac:dyDescent="0.25">
      <c r="A261">
        <v>56.215755669432603</v>
      </c>
      <c r="B261">
        <v>76.000516626907199</v>
      </c>
      <c r="C261">
        <v>2001</v>
      </c>
    </row>
    <row r="262" spans="1:11" x14ac:dyDescent="0.25">
      <c r="A262">
        <v>73.516095914191396</v>
      </c>
      <c r="B262">
        <v>93.300856871665999</v>
      </c>
      <c r="C262">
        <v>2001</v>
      </c>
    </row>
    <row r="263" spans="1:11" x14ac:dyDescent="0.25">
      <c r="A263">
        <v>80.433747054749801</v>
      </c>
      <c r="B263">
        <v>100.21850801222401</v>
      </c>
      <c r="C263">
        <v>2001</v>
      </c>
    </row>
    <row r="264" spans="1:11" x14ac:dyDescent="0.25">
      <c r="A264">
        <v>99.696939242048799</v>
      </c>
      <c r="B264">
        <v>119.481700199523</v>
      </c>
      <c r="C264">
        <v>2001</v>
      </c>
    </row>
    <row r="265" spans="1:11" x14ac:dyDescent="0.25">
      <c r="A265">
        <v>130.21523904252501</v>
      </c>
      <c r="B265">
        <v>150</v>
      </c>
      <c r="C265">
        <v>2001</v>
      </c>
    </row>
    <row r="266" spans="1:11" x14ac:dyDescent="0.25">
      <c r="A266">
        <v>131.089271091423</v>
      </c>
      <c r="B266">
        <v>150</v>
      </c>
      <c r="C266">
        <v>2000</v>
      </c>
    </row>
    <row r="267" spans="1:11" x14ac:dyDescent="0.25">
      <c r="A267">
        <v>100.303060757951</v>
      </c>
      <c r="B267">
        <v>119.213789666528</v>
      </c>
      <c r="C267">
        <v>2000</v>
      </c>
    </row>
    <row r="268" spans="1:11" x14ac:dyDescent="0.25">
      <c r="A268">
        <v>80.870763079198596</v>
      </c>
      <c r="B268">
        <v>99.781491987775595</v>
      </c>
      <c r="C268">
        <v>2000</v>
      </c>
    </row>
    <row r="269" spans="1:11" x14ac:dyDescent="0.25">
      <c r="A269" t="s">
        <v>87</v>
      </c>
    </row>
    <row r="270" spans="1:11" x14ac:dyDescent="0.25">
      <c r="A270">
        <v>858</v>
      </c>
      <c r="B270">
        <v>0</v>
      </c>
      <c r="C270">
        <v>62.6726673539019</v>
      </c>
      <c r="D270">
        <v>42.070495080456404</v>
      </c>
      <c r="E270">
        <v>10</v>
      </c>
      <c r="F270">
        <v>1.01722196789785</v>
      </c>
      <c r="G270" t="s">
        <v>85</v>
      </c>
      <c r="H270" t="s">
        <v>88</v>
      </c>
      <c r="I270">
        <v>0</v>
      </c>
      <c r="J270">
        <v>737</v>
      </c>
      <c r="K270">
        <v>0.103935679754349</v>
      </c>
    </row>
    <row r="271" spans="1:11" x14ac:dyDescent="0.25">
      <c r="A271" t="s">
        <v>86</v>
      </c>
    </row>
    <row r="272" spans="1:11" x14ac:dyDescent="0.25">
      <c r="A272">
        <v>109.402705740908</v>
      </c>
      <c r="B272">
        <v>44.1150588422488</v>
      </c>
      <c r="C272">
        <v>2000</v>
      </c>
    </row>
    <row r="273" spans="1:11" x14ac:dyDescent="0.25">
      <c r="A273">
        <v>100.263706783594</v>
      </c>
      <c r="B273">
        <v>34.976059884935196</v>
      </c>
      <c r="C273">
        <v>2000</v>
      </c>
    </row>
    <row r="274" spans="1:11" x14ac:dyDescent="0.25">
      <c r="A274">
        <v>65.287646898659105</v>
      </c>
      <c r="B274">
        <v>0</v>
      </c>
      <c r="C274">
        <v>2000</v>
      </c>
    </row>
    <row r="275" spans="1:11" x14ac:dyDescent="0.25">
      <c r="A275">
        <v>64.413614849761501</v>
      </c>
      <c r="B275">
        <v>0</v>
      </c>
      <c r="C275">
        <v>2001</v>
      </c>
    </row>
    <row r="276" spans="1:11" x14ac:dyDescent="0.25">
      <c r="A276">
        <v>99.736293216405599</v>
      </c>
      <c r="B276">
        <v>35.322678366644098</v>
      </c>
      <c r="C276">
        <v>2001</v>
      </c>
    </row>
    <row r="277" spans="1:11" x14ac:dyDescent="0.25">
      <c r="A277">
        <v>108.931092169498</v>
      </c>
      <c r="B277">
        <v>44.517477319736699</v>
      </c>
      <c r="C277">
        <v>2001</v>
      </c>
    </row>
    <row r="278" spans="1:11" x14ac:dyDescent="0.25">
      <c r="A278">
        <v>114.63212286198601</v>
      </c>
      <c r="B278">
        <v>50.218508012224397</v>
      </c>
      <c r="C278">
        <v>2001</v>
      </c>
    </row>
    <row r="279" spans="1:11" x14ac:dyDescent="0.25">
      <c r="A279">
        <v>138.696723302245</v>
      </c>
      <c r="B279">
        <v>74.283108452483106</v>
      </c>
      <c r="C279">
        <v>2001</v>
      </c>
    </row>
    <row r="280" spans="1:11" x14ac:dyDescent="0.25">
      <c r="A280">
        <v>139.13373932669299</v>
      </c>
      <c r="B280">
        <v>73.846092428034297</v>
      </c>
      <c r="C280">
        <v>2000</v>
      </c>
    </row>
    <row r="281" spans="1:11" x14ac:dyDescent="0.25">
      <c r="A281">
        <v>115.069138886435</v>
      </c>
      <c r="B281">
        <v>49.781491987775603</v>
      </c>
      <c r="C281">
        <v>2000</v>
      </c>
    </row>
    <row r="282" spans="1:11" x14ac:dyDescent="0.25">
      <c r="A282" t="s">
        <v>87</v>
      </c>
    </row>
    <row r="283" spans="1:11" x14ac:dyDescent="0.25">
      <c r="A283">
        <v>963</v>
      </c>
      <c r="B283">
        <v>0</v>
      </c>
      <c r="C283">
        <v>65.502286876213205</v>
      </c>
      <c r="D283">
        <v>38.691352538678998</v>
      </c>
      <c r="E283">
        <v>10</v>
      </c>
      <c r="F283">
        <v>1.01722196789785</v>
      </c>
      <c r="G283" t="s">
        <v>85</v>
      </c>
      <c r="H283" t="s">
        <v>88</v>
      </c>
      <c r="I283">
        <v>0</v>
      </c>
      <c r="J283">
        <v>345</v>
      </c>
      <c r="K283">
        <v>0.107734454235453</v>
      </c>
    </row>
    <row r="284" spans="1:11" x14ac:dyDescent="0.25">
      <c r="A284" t="s">
        <v>86</v>
      </c>
    </row>
    <row r="285" spans="1:11" x14ac:dyDescent="0.25">
      <c r="A285">
        <v>46.5214788149692</v>
      </c>
      <c r="B285">
        <v>115.869734664118</v>
      </c>
      <c r="C285">
        <v>2000</v>
      </c>
    </row>
    <row r="286" spans="1:11" x14ac:dyDescent="0.25">
      <c r="A286">
        <v>30.357270698833801</v>
      </c>
      <c r="B286">
        <v>99.705526547982601</v>
      </c>
      <c r="C286">
        <v>2000</v>
      </c>
    </row>
    <row r="287" spans="1:11" x14ac:dyDescent="0.25">
      <c r="A287">
        <v>0</v>
      </c>
      <c r="B287">
        <v>69.348255849148899</v>
      </c>
      <c r="C287">
        <v>2000</v>
      </c>
    </row>
    <row r="288" spans="1:11" x14ac:dyDescent="0.25">
      <c r="A288">
        <v>0</v>
      </c>
      <c r="B288">
        <v>70.222287898046503</v>
      </c>
      <c r="C288">
        <v>2001</v>
      </c>
    </row>
    <row r="289" spans="1:11" x14ac:dyDescent="0.25">
      <c r="A289">
        <v>30.0721855539709</v>
      </c>
      <c r="B289">
        <v>100.294473452017</v>
      </c>
      <c r="C289">
        <v>2001</v>
      </c>
    </row>
    <row r="290" spans="1:11" x14ac:dyDescent="0.25">
      <c r="A290">
        <v>46.1127436518248</v>
      </c>
      <c r="B290">
        <v>116.335031549871</v>
      </c>
      <c r="C290">
        <v>2001</v>
      </c>
    </row>
    <row r="291" spans="1:11" x14ac:dyDescent="0.25">
      <c r="A291">
        <v>49.781491987775603</v>
      </c>
      <c r="B291">
        <v>120.003779885822</v>
      </c>
      <c r="C291">
        <v>2001</v>
      </c>
    </row>
    <row r="292" spans="1:11" x14ac:dyDescent="0.25">
      <c r="A292">
        <v>73.457520974551798</v>
      </c>
      <c r="B292">
        <v>143.67980887259799</v>
      </c>
      <c r="C292">
        <v>2001</v>
      </c>
    </row>
    <row r="293" spans="1:11" x14ac:dyDescent="0.25">
      <c r="A293">
        <v>73.894536999000707</v>
      </c>
      <c r="B293">
        <v>143.24279284814901</v>
      </c>
      <c r="C293">
        <v>2000</v>
      </c>
    </row>
    <row r="294" spans="1:11" x14ac:dyDescent="0.25">
      <c r="A294">
        <v>50.218508012224397</v>
      </c>
      <c r="B294">
        <v>119.566763861373</v>
      </c>
      <c r="C294">
        <v>2000</v>
      </c>
    </row>
    <row r="295" spans="1:11" x14ac:dyDescent="0.25">
      <c r="A295" t="s">
        <v>87</v>
      </c>
    </row>
    <row r="296" spans="1:11" x14ac:dyDescent="0.25">
      <c r="A296">
        <v>915</v>
      </c>
      <c r="B296">
        <v>0</v>
      </c>
      <c r="C296">
        <v>27.637560823499101</v>
      </c>
      <c r="D296">
        <v>73.594896545404396</v>
      </c>
      <c r="E296">
        <v>10</v>
      </c>
      <c r="F296">
        <v>1.01722196789785</v>
      </c>
      <c r="G296" t="s">
        <v>85</v>
      </c>
      <c r="H296" t="s">
        <v>85</v>
      </c>
      <c r="I296">
        <v>0</v>
      </c>
      <c r="J296">
        <v>0</v>
      </c>
      <c r="K296">
        <v>0.105433648714889</v>
      </c>
    </row>
    <row r="297" spans="1:11" x14ac:dyDescent="0.25">
      <c r="A297" t="s">
        <v>86</v>
      </c>
    </row>
    <row r="298" spans="1:11" x14ac:dyDescent="0.25">
      <c r="A298">
        <v>19.7405663210798</v>
      </c>
      <c r="B298">
        <v>97.721393214901198</v>
      </c>
      <c r="C298">
        <v>2000</v>
      </c>
    </row>
    <row r="299" spans="1:11" x14ac:dyDescent="0.25">
      <c r="A299">
        <v>0</v>
      </c>
      <c r="B299">
        <v>77.980826893821401</v>
      </c>
      <c r="C299">
        <v>2000</v>
      </c>
    </row>
    <row r="300" spans="1:11" x14ac:dyDescent="0.25">
      <c r="A300">
        <v>0</v>
      </c>
      <c r="B300">
        <v>78.854858942719005</v>
      </c>
      <c r="C300">
        <v>2001</v>
      </c>
    </row>
    <row r="301" spans="1:11" x14ac:dyDescent="0.25">
      <c r="A301">
        <v>19.344847026423999</v>
      </c>
      <c r="B301">
        <v>98.199705969142997</v>
      </c>
      <c r="C301">
        <v>2001</v>
      </c>
    </row>
    <row r="302" spans="1:11" x14ac:dyDescent="0.25">
      <c r="A302">
        <v>21.363649069505399</v>
      </c>
      <c r="B302">
        <v>100.21850801222401</v>
      </c>
      <c r="C302">
        <v>2001</v>
      </c>
    </row>
    <row r="303" spans="1:11" x14ac:dyDescent="0.25">
      <c r="A303">
        <v>49.657301460420101</v>
      </c>
      <c r="B303">
        <v>128.51216040313901</v>
      </c>
      <c r="C303">
        <v>2001</v>
      </c>
    </row>
    <row r="304" spans="1:11" x14ac:dyDescent="0.25">
      <c r="A304">
        <v>71.145141057280995</v>
      </c>
      <c r="B304">
        <v>150</v>
      </c>
      <c r="C304">
        <v>2001</v>
      </c>
    </row>
    <row r="305" spans="1:11" x14ac:dyDescent="0.25">
      <c r="A305">
        <v>72.019173106178698</v>
      </c>
      <c r="B305">
        <v>150</v>
      </c>
      <c r="C305">
        <v>2000</v>
      </c>
    </row>
    <row r="306" spans="1:11" x14ac:dyDescent="0.25">
      <c r="A306">
        <v>50.342698539579999</v>
      </c>
      <c r="B306">
        <v>128.32352543340099</v>
      </c>
      <c r="C306">
        <v>2000</v>
      </c>
    </row>
    <row r="307" spans="1:11" x14ac:dyDescent="0.25">
      <c r="A307">
        <v>21.800665093954201</v>
      </c>
      <c r="B307">
        <v>99.781491987775595</v>
      </c>
      <c r="C307">
        <v>2000</v>
      </c>
    </row>
    <row r="308" spans="1:11" x14ac:dyDescent="0.25">
      <c r="A308" t="s">
        <v>87</v>
      </c>
    </row>
    <row r="309" spans="1:11" x14ac:dyDescent="0.25">
      <c r="A309">
        <v>951</v>
      </c>
      <c r="B309">
        <v>0</v>
      </c>
      <c r="C309">
        <v>79.465483497379907</v>
      </c>
      <c r="D309">
        <v>19.3441578810035</v>
      </c>
      <c r="E309">
        <v>10</v>
      </c>
      <c r="F309">
        <v>1.01722196789785</v>
      </c>
      <c r="G309" t="s">
        <v>85</v>
      </c>
      <c r="H309" t="s">
        <v>88</v>
      </c>
      <c r="I309">
        <v>0</v>
      </c>
      <c r="J309">
        <v>777</v>
      </c>
      <c r="K309">
        <v>0.10702589295230699</v>
      </c>
    </row>
    <row r="310" spans="1:11" x14ac:dyDescent="0.25">
      <c r="A310" t="s">
        <v>86</v>
      </c>
    </row>
    <row r="311" spans="1:11" x14ac:dyDescent="0.25">
      <c r="A311">
        <v>120.24170113878</v>
      </c>
      <c r="B311">
        <v>55.972074239040602</v>
      </c>
      <c r="C311">
        <v>2000</v>
      </c>
    </row>
    <row r="312" spans="1:11" x14ac:dyDescent="0.25">
      <c r="A312">
        <v>114.051118887515</v>
      </c>
      <c r="B312">
        <v>49.781491987775603</v>
      </c>
      <c r="C312">
        <v>2000</v>
      </c>
    </row>
    <row r="313" spans="1:11" x14ac:dyDescent="0.25">
      <c r="A313">
        <v>100.278958738349</v>
      </c>
      <c r="B313">
        <v>36.009331838610102</v>
      </c>
      <c r="C313">
        <v>2000</v>
      </c>
    </row>
    <row r="314" spans="1:11" x14ac:dyDescent="0.25">
      <c r="A314">
        <v>64.269626899738995</v>
      </c>
      <c r="B314">
        <v>0</v>
      </c>
      <c r="C314">
        <v>2000</v>
      </c>
    </row>
    <row r="315" spans="1:11" x14ac:dyDescent="0.25">
      <c r="A315">
        <v>63.395594850841299</v>
      </c>
      <c r="B315">
        <v>0</v>
      </c>
      <c r="C315">
        <v>2001</v>
      </c>
    </row>
    <row r="316" spans="1:11" x14ac:dyDescent="0.25">
      <c r="A316">
        <v>99.721041261650896</v>
      </c>
      <c r="B316">
        <v>36.325446410809597</v>
      </c>
      <c r="C316">
        <v>2001</v>
      </c>
    </row>
    <row r="317" spans="1:11" x14ac:dyDescent="0.25">
      <c r="A317">
        <v>113.61410286306599</v>
      </c>
      <c r="B317">
        <v>50.218508012224397</v>
      </c>
      <c r="C317">
        <v>2001</v>
      </c>
    </row>
    <row r="318" spans="1:11" x14ac:dyDescent="0.25">
      <c r="A318">
        <v>119.80468511433099</v>
      </c>
      <c r="B318">
        <v>56.409090263489396</v>
      </c>
      <c r="C318">
        <v>2001</v>
      </c>
    </row>
    <row r="319" spans="1:11" x14ac:dyDescent="0.25">
      <c r="A319">
        <v>133.48307032833199</v>
      </c>
      <c r="B319">
        <v>70.087475477490202</v>
      </c>
      <c r="C319">
        <v>2001</v>
      </c>
    </row>
    <row r="320" spans="1:11" x14ac:dyDescent="0.25">
      <c r="A320">
        <v>133.92008635278</v>
      </c>
      <c r="B320">
        <v>69.650459453041407</v>
      </c>
      <c r="C320">
        <v>2000</v>
      </c>
    </row>
    <row r="321" spans="1:11" x14ac:dyDescent="0.25">
      <c r="A321" t="s">
        <v>87</v>
      </c>
    </row>
    <row r="322" spans="1:11" x14ac:dyDescent="0.25">
      <c r="A322">
        <v>667</v>
      </c>
      <c r="B322">
        <v>0</v>
      </c>
      <c r="C322">
        <v>90.964662939904699</v>
      </c>
      <c r="D322">
        <v>7.0405018405908804</v>
      </c>
      <c r="E322">
        <v>10</v>
      </c>
      <c r="F322">
        <v>1.01722196789785</v>
      </c>
      <c r="G322" t="s">
        <v>88</v>
      </c>
      <c r="H322" t="s">
        <v>85</v>
      </c>
      <c r="I322">
        <v>89</v>
      </c>
      <c r="J322">
        <v>0</v>
      </c>
      <c r="K322">
        <v>0</v>
      </c>
    </row>
    <row r="323" spans="1:11" x14ac:dyDescent="0.25">
      <c r="A323" t="s">
        <v>86</v>
      </c>
    </row>
    <row r="324" spans="1:11" x14ac:dyDescent="0.25">
      <c r="A324">
        <v>144.98463175461401</v>
      </c>
      <c r="B324">
        <v>124.83670446098201</v>
      </c>
      <c r="C324">
        <v>2000</v>
      </c>
    </row>
    <row r="325" spans="1:11" x14ac:dyDescent="0.25">
      <c r="A325">
        <v>120.366435305856</v>
      </c>
      <c r="B325">
        <v>100.21850801222401</v>
      </c>
      <c r="C325">
        <v>2000</v>
      </c>
    </row>
    <row r="326" spans="1:11" x14ac:dyDescent="0.25">
      <c r="A326">
        <v>99.781491987775595</v>
      </c>
      <c r="B326">
        <v>79.6335646941438</v>
      </c>
      <c r="C326">
        <v>2000</v>
      </c>
    </row>
    <row r="327" spans="1:11" x14ac:dyDescent="0.25">
      <c r="A327">
        <v>80.4813753801822</v>
      </c>
      <c r="B327">
        <v>60.333448086550398</v>
      </c>
      <c r="C327">
        <v>2000</v>
      </c>
    </row>
    <row r="328" spans="1:11" x14ac:dyDescent="0.25">
      <c r="A328">
        <v>80.918391404630995</v>
      </c>
      <c r="B328">
        <v>59.896432062101603</v>
      </c>
      <c r="C328">
        <v>2001</v>
      </c>
    </row>
    <row r="329" spans="1:11" x14ac:dyDescent="0.25">
      <c r="A329">
        <v>100.21850801222401</v>
      </c>
      <c r="B329">
        <v>79.196548669695005</v>
      </c>
      <c r="C329">
        <v>2001</v>
      </c>
    </row>
    <row r="330" spans="1:11" x14ac:dyDescent="0.25">
      <c r="A330">
        <v>120.80345133030499</v>
      </c>
      <c r="B330">
        <v>99.781491987775595</v>
      </c>
      <c r="C330">
        <v>2001</v>
      </c>
    </row>
    <row r="331" spans="1:11" x14ac:dyDescent="0.25">
      <c r="A331">
        <v>145.05859505651</v>
      </c>
      <c r="B331">
        <v>124.036635713981</v>
      </c>
      <c r="C331">
        <v>2001</v>
      </c>
    </row>
    <row r="332" spans="1:11" x14ac:dyDescent="0.25">
      <c r="A332">
        <v>150</v>
      </c>
      <c r="B332">
        <v>128.97804065747101</v>
      </c>
      <c r="C332">
        <v>2001</v>
      </c>
    </row>
    <row r="333" spans="1:11" x14ac:dyDescent="0.25">
      <c r="A333">
        <v>150</v>
      </c>
      <c r="B333">
        <v>129.85207270636801</v>
      </c>
      <c r="C333">
        <v>2000</v>
      </c>
    </row>
    <row r="334" spans="1:11" x14ac:dyDescent="0.25">
      <c r="A334" t="s">
        <v>87</v>
      </c>
    </row>
    <row r="335" spans="1:11" x14ac:dyDescent="0.25">
      <c r="A335">
        <v>200</v>
      </c>
      <c r="B335">
        <v>0</v>
      </c>
      <c r="C335">
        <v>47.543353691066002</v>
      </c>
      <c r="D335">
        <v>49.781507237682099</v>
      </c>
      <c r="E335">
        <v>10</v>
      </c>
      <c r="F335">
        <v>1.01722196789785</v>
      </c>
      <c r="G335" t="s">
        <v>88</v>
      </c>
      <c r="H335" t="s">
        <v>85</v>
      </c>
      <c r="I335">
        <v>941</v>
      </c>
      <c r="J335">
        <v>0</v>
      </c>
      <c r="K335">
        <v>0</v>
      </c>
    </row>
    <row r="336" spans="1:11" x14ac:dyDescent="0.25">
      <c r="A336" t="s">
        <v>86</v>
      </c>
    </row>
    <row r="337" spans="1:11" x14ac:dyDescent="0.25">
      <c r="A337">
        <v>114.624258419905</v>
      </c>
      <c r="B337">
        <v>59.0387218544574</v>
      </c>
      <c r="C337">
        <v>2000</v>
      </c>
    </row>
    <row r="338" spans="1:11" x14ac:dyDescent="0.25">
      <c r="A338">
        <v>105.804044577672</v>
      </c>
      <c r="B338">
        <v>50.218508012224397</v>
      </c>
      <c r="C338">
        <v>2000</v>
      </c>
    </row>
    <row r="339" spans="1:11" x14ac:dyDescent="0.25">
      <c r="A339">
        <v>99.781491987775595</v>
      </c>
      <c r="B339">
        <v>44.195955422327998</v>
      </c>
      <c r="C339">
        <v>2000</v>
      </c>
    </row>
    <row r="340" spans="1:11" x14ac:dyDescent="0.25">
      <c r="A340">
        <v>80.962422847020207</v>
      </c>
      <c r="B340">
        <v>25.376886281572599</v>
      </c>
      <c r="C340">
        <v>2000</v>
      </c>
    </row>
    <row r="341" spans="1:11" x14ac:dyDescent="0.25">
      <c r="A341">
        <v>81.399438871469002</v>
      </c>
      <c r="B341">
        <v>24.9398702571238</v>
      </c>
      <c r="C341">
        <v>2001</v>
      </c>
    </row>
    <row r="342" spans="1:11" x14ac:dyDescent="0.25">
      <c r="A342">
        <v>100.21850801222401</v>
      </c>
      <c r="B342">
        <v>43.758939397879203</v>
      </c>
      <c r="C342">
        <v>2001</v>
      </c>
    </row>
    <row r="343" spans="1:11" x14ac:dyDescent="0.25">
      <c r="A343">
        <v>106.241060602121</v>
      </c>
      <c r="B343">
        <v>49.781491987775603</v>
      </c>
      <c r="C343">
        <v>2001</v>
      </c>
    </row>
    <row r="344" spans="1:11" x14ac:dyDescent="0.25">
      <c r="A344">
        <v>114.974058889191</v>
      </c>
      <c r="B344">
        <v>58.5144902748455</v>
      </c>
      <c r="C344">
        <v>2001</v>
      </c>
    </row>
    <row r="345" spans="1:11" x14ac:dyDescent="0.25">
      <c r="A345">
        <v>150</v>
      </c>
      <c r="B345">
        <v>93.540431385654799</v>
      </c>
      <c r="C345">
        <v>2001</v>
      </c>
    </row>
    <row r="346" spans="1:11" x14ac:dyDescent="0.25">
      <c r="A346">
        <v>150</v>
      </c>
      <c r="B346">
        <v>94.414463434552403</v>
      </c>
      <c r="C346">
        <v>2000</v>
      </c>
    </row>
    <row r="347" spans="1:11" x14ac:dyDescent="0.25">
      <c r="A347" t="s">
        <v>87</v>
      </c>
    </row>
    <row r="348" spans="1:11" x14ac:dyDescent="0.25">
      <c r="A348">
        <v>432</v>
      </c>
      <c r="B348">
        <v>0</v>
      </c>
      <c r="C348">
        <v>61.344079919717799</v>
      </c>
      <c r="D348">
        <v>34.336732427542501</v>
      </c>
      <c r="E348">
        <v>10</v>
      </c>
      <c r="F348">
        <v>1.01722196789785</v>
      </c>
      <c r="G348" t="s">
        <v>85</v>
      </c>
      <c r="H348" t="s">
        <v>88</v>
      </c>
      <c r="I348">
        <v>0</v>
      </c>
      <c r="J348">
        <v>918</v>
      </c>
      <c r="K348">
        <v>0</v>
      </c>
    </row>
    <row r="349" spans="1:11" x14ac:dyDescent="0.25">
      <c r="A349" t="s">
        <v>86</v>
      </c>
    </row>
    <row r="350" spans="1:11" x14ac:dyDescent="0.25">
      <c r="A350">
        <v>101.064561370332</v>
      </c>
      <c r="B350">
        <v>43.162071151284799</v>
      </c>
      <c r="C350">
        <v>2000</v>
      </c>
    </row>
    <row r="351" spans="1:11" x14ac:dyDescent="0.25">
      <c r="A351">
        <v>100.22275099123399</v>
      </c>
      <c r="B351">
        <v>42.3202607721867</v>
      </c>
      <c r="C351">
        <v>2000</v>
      </c>
    </row>
    <row r="352" spans="1:11" x14ac:dyDescent="0.25">
      <c r="A352">
        <v>57.902490219046904</v>
      </c>
      <c r="B352">
        <v>0</v>
      </c>
      <c r="C352">
        <v>2000</v>
      </c>
    </row>
    <row r="353" spans="1:11" x14ac:dyDescent="0.25">
      <c r="A353">
        <v>57.0284581701493</v>
      </c>
      <c r="B353">
        <v>0</v>
      </c>
      <c r="C353">
        <v>2001</v>
      </c>
    </row>
    <row r="354" spans="1:11" x14ac:dyDescent="0.25">
      <c r="A354">
        <v>99.777249008766304</v>
      </c>
      <c r="B354">
        <v>42.748790838616998</v>
      </c>
      <c r="C354">
        <v>2001</v>
      </c>
    </row>
    <row r="355" spans="1:11" x14ac:dyDescent="0.25">
      <c r="A355">
        <v>100.62001681262799</v>
      </c>
      <c r="B355">
        <v>43.5915586424791</v>
      </c>
      <c r="C355">
        <v>2001</v>
      </c>
    </row>
    <row r="356" spans="1:11" x14ac:dyDescent="0.25">
      <c r="A356">
        <v>107.246966182374</v>
      </c>
      <c r="B356">
        <v>50.218508012224397</v>
      </c>
      <c r="C356">
        <v>2001</v>
      </c>
    </row>
    <row r="357" spans="1:11" x14ac:dyDescent="0.25">
      <c r="A357">
        <v>124.90351742255901</v>
      </c>
      <c r="B357">
        <v>67.875059252409699</v>
      </c>
      <c r="C357">
        <v>2001</v>
      </c>
    </row>
    <row r="358" spans="1:11" x14ac:dyDescent="0.25">
      <c r="A358">
        <v>125.340533447008</v>
      </c>
      <c r="B358">
        <v>67.438043227960804</v>
      </c>
      <c r="C358">
        <v>2000</v>
      </c>
    </row>
    <row r="359" spans="1:11" x14ac:dyDescent="0.25">
      <c r="A359">
        <v>107.683982206823</v>
      </c>
      <c r="B359">
        <v>49.781491987775603</v>
      </c>
      <c r="C359">
        <v>2000</v>
      </c>
    </row>
    <row r="360" spans="1:11" x14ac:dyDescent="0.25">
      <c r="A360" t="s">
        <v>87</v>
      </c>
    </row>
    <row r="361" spans="1:11" x14ac:dyDescent="0.25">
      <c r="A361">
        <v>845</v>
      </c>
      <c r="B361">
        <v>0</v>
      </c>
      <c r="C361">
        <v>33.867110903902201</v>
      </c>
      <c r="D361">
        <v>61.461555764772399</v>
      </c>
      <c r="E361">
        <v>10</v>
      </c>
      <c r="F361">
        <v>1.01722196789785</v>
      </c>
      <c r="G361" t="s">
        <v>85</v>
      </c>
      <c r="H361" t="s">
        <v>85</v>
      </c>
      <c r="I361">
        <v>0</v>
      </c>
      <c r="J361">
        <v>0</v>
      </c>
      <c r="K361">
        <v>0.103520648210845</v>
      </c>
    </row>
    <row r="362" spans="1:11" x14ac:dyDescent="0.25">
      <c r="A362" t="s">
        <v>86</v>
      </c>
    </row>
    <row r="363" spans="1:11" x14ac:dyDescent="0.25">
      <c r="A363">
        <v>106.780041105118</v>
      </c>
      <c r="B363">
        <v>23.7505717235608</v>
      </c>
      <c r="C363">
        <v>2000</v>
      </c>
    </row>
    <row r="364" spans="1:11" x14ac:dyDescent="0.25">
      <c r="A364">
        <v>100.278182643051</v>
      </c>
      <c r="B364">
        <v>17.248713261494402</v>
      </c>
      <c r="C364">
        <v>2000</v>
      </c>
    </row>
    <row r="365" spans="1:11" x14ac:dyDescent="0.25">
      <c r="A365">
        <v>83.029469381557007</v>
      </c>
      <c r="B365">
        <v>0</v>
      </c>
      <c r="C365">
        <v>2000</v>
      </c>
    </row>
    <row r="366" spans="1:11" x14ac:dyDescent="0.25">
      <c r="A366">
        <v>82.155437332659304</v>
      </c>
      <c r="B366">
        <v>0</v>
      </c>
      <c r="C366">
        <v>2001</v>
      </c>
    </row>
    <row r="367" spans="1:11" x14ac:dyDescent="0.25">
      <c r="A367">
        <v>99.721817356948605</v>
      </c>
      <c r="B367">
        <v>17.566380024289298</v>
      </c>
      <c r="C367">
        <v>2001</v>
      </c>
    </row>
    <row r="368" spans="1:11" x14ac:dyDescent="0.25">
      <c r="A368">
        <v>106.30019316779099</v>
      </c>
      <c r="B368">
        <v>24.144755835131502</v>
      </c>
      <c r="C368">
        <v>2001</v>
      </c>
    </row>
    <row r="369" spans="1:11" x14ac:dyDescent="0.25">
      <c r="A369">
        <v>132.50493152860699</v>
      </c>
      <c r="B369">
        <v>50.349494195948097</v>
      </c>
      <c r="C369">
        <v>2001</v>
      </c>
    </row>
    <row r="370" spans="1:11" x14ac:dyDescent="0.25">
      <c r="A370">
        <v>150</v>
      </c>
      <c r="B370">
        <v>67.844562667340696</v>
      </c>
      <c r="C370">
        <v>2001</v>
      </c>
    </row>
    <row r="371" spans="1:11" x14ac:dyDescent="0.25">
      <c r="A371">
        <v>150</v>
      </c>
      <c r="B371">
        <v>66.970530618442993</v>
      </c>
      <c r="C371">
        <v>2000</v>
      </c>
    </row>
    <row r="372" spans="1:11" x14ac:dyDescent="0.25">
      <c r="A372">
        <v>132.67997518560901</v>
      </c>
      <c r="B372">
        <v>49.650505804051797</v>
      </c>
      <c r="C372">
        <v>2000</v>
      </c>
    </row>
    <row r="373" spans="1:11" x14ac:dyDescent="0.25">
      <c r="A373" t="s">
        <v>87</v>
      </c>
    </row>
    <row r="374" spans="1:11" x14ac:dyDescent="0.25">
      <c r="A374">
        <v>844</v>
      </c>
      <c r="B374">
        <v>0</v>
      </c>
      <c r="C374">
        <v>59.147498458714502</v>
      </c>
      <c r="D374">
        <v>36.180933487197599</v>
      </c>
      <c r="E374">
        <v>10</v>
      </c>
      <c r="F374">
        <v>1.01722196789785</v>
      </c>
      <c r="G374" t="s">
        <v>88</v>
      </c>
      <c r="H374" t="s">
        <v>88</v>
      </c>
      <c r="I374">
        <v>1010</v>
      </c>
      <c r="J374">
        <v>934</v>
      </c>
      <c r="K374">
        <v>0.103520648210845</v>
      </c>
    </row>
    <row r="375" spans="1:11" x14ac:dyDescent="0.25">
      <c r="A375" t="s">
        <v>86</v>
      </c>
    </row>
    <row r="376" spans="1:11" x14ac:dyDescent="0.25">
      <c r="A376">
        <v>63.071560950978601</v>
      </c>
      <c r="B376">
        <v>111.226289965322</v>
      </c>
      <c r="C376">
        <v>2000</v>
      </c>
    </row>
    <row r="377" spans="1:11" x14ac:dyDescent="0.25">
      <c r="A377">
        <v>51.626762973432001</v>
      </c>
      <c r="B377">
        <v>99.781491987775595</v>
      </c>
      <c r="C377">
        <v>2000</v>
      </c>
    </row>
    <row r="378" spans="1:11" x14ac:dyDescent="0.25">
      <c r="A378">
        <v>50.218508012224397</v>
      </c>
      <c r="B378">
        <v>98.373237026568006</v>
      </c>
      <c r="C378">
        <v>2000</v>
      </c>
    </row>
    <row r="379" spans="1:11" x14ac:dyDescent="0.25">
      <c r="A379">
        <v>21.247963700600799</v>
      </c>
      <c r="B379">
        <v>69.402692714944394</v>
      </c>
      <c r="C379">
        <v>2000</v>
      </c>
    </row>
    <row r="380" spans="1:11" x14ac:dyDescent="0.25">
      <c r="A380">
        <v>20.810947676151901</v>
      </c>
      <c r="B380">
        <v>69.839708739393203</v>
      </c>
      <c r="C380">
        <v>2001</v>
      </c>
    </row>
    <row r="381" spans="1:11" x14ac:dyDescent="0.25">
      <c r="A381">
        <v>49.781491987775603</v>
      </c>
      <c r="B381">
        <v>98.810253051016801</v>
      </c>
      <c r="C381">
        <v>2001</v>
      </c>
    </row>
    <row r="382" spans="1:11" x14ac:dyDescent="0.25">
      <c r="A382">
        <v>51.189746948983199</v>
      </c>
      <c r="B382">
        <v>100.21850801222401</v>
      </c>
      <c r="C382">
        <v>2001</v>
      </c>
    </row>
    <row r="383" spans="1:11" x14ac:dyDescent="0.25">
      <c r="A383">
        <v>62.634544926529799</v>
      </c>
      <c r="B383">
        <v>111.663305989771</v>
      </c>
      <c r="C383">
        <v>2001</v>
      </c>
    </row>
    <row r="384" spans="1:11" x14ac:dyDescent="0.25">
      <c r="A384">
        <v>88.218328344986702</v>
      </c>
      <c r="B384">
        <v>137.24708940822799</v>
      </c>
      <c r="C384">
        <v>2001</v>
      </c>
    </row>
    <row r="385" spans="1:11" x14ac:dyDescent="0.25">
      <c r="A385">
        <v>88.655344369435497</v>
      </c>
      <c r="B385">
        <v>136.81007338377901</v>
      </c>
      <c r="C385">
        <v>2000</v>
      </c>
    </row>
    <row r="386" spans="1:11" x14ac:dyDescent="0.25">
      <c r="A386" t="s">
        <v>87</v>
      </c>
    </row>
    <row r="387" spans="1:11" x14ac:dyDescent="0.25">
      <c r="A387">
        <v>274</v>
      </c>
      <c r="B387">
        <v>0</v>
      </c>
      <c r="C387">
        <v>8.3715469793434796</v>
      </c>
      <c r="D387">
        <v>86.956351760580105</v>
      </c>
      <c r="E387">
        <v>10</v>
      </c>
      <c r="F387">
        <v>1.01722196789785</v>
      </c>
      <c r="G387" t="s">
        <v>88</v>
      </c>
      <c r="H387" t="s">
        <v>88</v>
      </c>
      <c r="I387">
        <v>243</v>
      </c>
      <c r="J387">
        <v>789</v>
      </c>
      <c r="K387">
        <v>0</v>
      </c>
    </row>
    <row r="388" spans="1:11" x14ac:dyDescent="0.25">
      <c r="A388" t="s">
        <v>86</v>
      </c>
    </row>
    <row r="389" spans="1:11" x14ac:dyDescent="0.25">
      <c r="A389">
        <v>66.627889615305804</v>
      </c>
      <c r="B389">
        <v>19.648573075727601</v>
      </c>
      <c r="C389">
        <v>2000</v>
      </c>
    </row>
    <row r="390" spans="1:11" x14ac:dyDescent="0.25">
      <c r="A390">
        <v>60.708311977190299</v>
      </c>
      <c r="B390">
        <v>13.728995437612101</v>
      </c>
      <c r="C390">
        <v>2000</v>
      </c>
    </row>
    <row r="391" spans="1:11" x14ac:dyDescent="0.25">
      <c r="A391">
        <v>60.271295952741497</v>
      </c>
      <c r="B391">
        <v>14.166011462060901</v>
      </c>
      <c r="C391">
        <v>2001</v>
      </c>
    </row>
    <row r="392" spans="1:11" x14ac:dyDescent="0.25">
      <c r="A392">
        <v>66.190873590856995</v>
      </c>
      <c r="B392">
        <v>20.085589100176499</v>
      </c>
      <c r="C392">
        <v>2001</v>
      </c>
    </row>
    <row r="393" spans="1:11" x14ac:dyDescent="0.25">
      <c r="A393">
        <v>96.323792502904993</v>
      </c>
      <c r="B393">
        <v>50.218508012224397</v>
      </c>
      <c r="C393">
        <v>2001</v>
      </c>
    </row>
    <row r="394" spans="1:11" x14ac:dyDescent="0.25">
      <c r="A394">
        <v>99.781491987775595</v>
      </c>
      <c r="B394">
        <v>53.676207497095</v>
      </c>
      <c r="C394">
        <v>2001</v>
      </c>
    </row>
    <row r="395" spans="1:11" x14ac:dyDescent="0.25">
      <c r="A395">
        <v>127.678299588006</v>
      </c>
      <c r="B395">
        <v>81.573015097325396</v>
      </c>
      <c r="C395">
        <v>2001</v>
      </c>
    </row>
    <row r="396" spans="1:11" x14ac:dyDescent="0.25">
      <c r="A396">
        <v>128.11531561245499</v>
      </c>
      <c r="B396">
        <v>81.135999072876601</v>
      </c>
      <c r="C396">
        <v>2000</v>
      </c>
    </row>
    <row r="397" spans="1:11" x14ac:dyDescent="0.25">
      <c r="A397">
        <v>100.21850801222401</v>
      </c>
      <c r="B397">
        <v>53.239191472646198</v>
      </c>
      <c r="C397">
        <v>2000</v>
      </c>
    </row>
    <row r="398" spans="1:11" x14ac:dyDescent="0.25">
      <c r="A398">
        <v>96.760808527353802</v>
      </c>
      <c r="B398">
        <v>49.781491987775603</v>
      </c>
      <c r="C398">
        <v>2000</v>
      </c>
    </row>
    <row r="399" spans="1:11" x14ac:dyDescent="0.25">
      <c r="A399" t="s">
        <v>87</v>
      </c>
    </row>
    <row r="400" spans="1:11" x14ac:dyDescent="0.25">
      <c r="A400">
        <v>968</v>
      </c>
      <c r="B400">
        <v>0</v>
      </c>
      <c r="C400">
        <v>9.1640088347628996</v>
      </c>
      <c r="D400">
        <v>84.294985766788599</v>
      </c>
      <c r="E400">
        <v>10</v>
      </c>
      <c r="F400">
        <v>1.01722196789785</v>
      </c>
      <c r="G400" t="s">
        <v>85</v>
      </c>
      <c r="H400" t="s">
        <v>85</v>
      </c>
      <c r="I400">
        <v>0</v>
      </c>
      <c r="J400">
        <v>0</v>
      </c>
      <c r="K400">
        <v>0.108523559698531</v>
      </c>
    </row>
    <row r="401" spans="1:11" x14ac:dyDescent="0.25">
      <c r="A401" t="s">
        <v>86</v>
      </c>
    </row>
    <row r="402" spans="1:11" x14ac:dyDescent="0.25">
      <c r="A402">
        <v>90.045452427315197</v>
      </c>
      <c r="B402">
        <v>6.56795729739801</v>
      </c>
      <c r="C402">
        <v>2000</v>
      </c>
    </row>
    <row r="403" spans="1:11" x14ac:dyDescent="0.25">
      <c r="A403">
        <v>83.477495129917202</v>
      </c>
      <c r="B403">
        <v>0</v>
      </c>
      <c r="C403">
        <v>2000</v>
      </c>
    </row>
    <row r="404" spans="1:11" x14ac:dyDescent="0.25">
      <c r="A404">
        <v>84.351527178814806</v>
      </c>
      <c r="B404">
        <v>0</v>
      </c>
      <c r="C404">
        <v>2001</v>
      </c>
    </row>
    <row r="405" spans="1:11" x14ac:dyDescent="0.25">
      <c r="A405">
        <v>90.743435461245298</v>
      </c>
      <c r="B405">
        <v>6.39190828243055</v>
      </c>
      <c r="C405">
        <v>2001</v>
      </c>
    </row>
    <row r="406" spans="1:11" x14ac:dyDescent="0.25">
      <c r="A406">
        <v>100.21850801222401</v>
      </c>
      <c r="B406">
        <v>15.866980833409601</v>
      </c>
      <c r="C406">
        <v>2001</v>
      </c>
    </row>
    <row r="407" spans="1:11" x14ac:dyDescent="0.25">
      <c r="A407">
        <v>133.98480731823199</v>
      </c>
      <c r="B407">
        <v>49.633280139417501</v>
      </c>
      <c r="C407">
        <v>2001</v>
      </c>
    </row>
    <row r="408" spans="1:11" x14ac:dyDescent="0.25">
      <c r="A408">
        <v>150</v>
      </c>
      <c r="B408">
        <v>65.648472821185194</v>
      </c>
      <c r="C408">
        <v>2001</v>
      </c>
    </row>
    <row r="409" spans="1:11" x14ac:dyDescent="0.25">
      <c r="A409">
        <v>150</v>
      </c>
      <c r="B409">
        <v>66.522504870082798</v>
      </c>
      <c r="C409">
        <v>2000</v>
      </c>
    </row>
    <row r="410" spans="1:11" x14ac:dyDescent="0.25">
      <c r="A410">
        <v>133.84421499050001</v>
      </c>
      <c r="B410">
        <v>50.366719860582499</v>
      </c>
      <c r="C410">
        <v>2000</v>
      </c>
    </row>
    <row r="411" spans="1:11" x14ac:dyDescent="0.25">
      <c r="A411">
        <v>99.781491987775595</v>
      </c>
      <c r="B411">
        <v>16.303996857858401</v>
      </c>
      <c r="C411">
        <v>2000</v>
      </c>
    </row>
    <row r="412" spans="1:11" x14ac:dyDescent="0.25">
      <c r="A412" t="s">
        <v>87</v>
      </c>
    </row>
    <row r="413" spans="1:11" x14ac:dyDescent="0.25">
      <c r="A413">
        <v>914</v>
      </c>
      <c r="B413">
        <v>0</v>
      </c>
      <c r="C413">
        <v>47.262790858273299</v>
      </c>
      <c r="D413">
        <v>45.6796927974477</v>
      </c>
      <c r="E413">
        <v>10</v>
      </c>
      <c r="F413">
        <v>1.01722196789785</v>
      </c>
      <c r="G413" t="s">
        <v>85</v>
      </c>
      <c r="H413" t="s">
        <v>85</v>
      </c>
      <c r="I413">
        <v>0</v>
      </c>
      <c r="J413">
        <v>0</v>
      </c>
      <c r="K413">
        <v>0.105433648714889</v>
      </c>
    </row>
    <row r="414" spans="1:11" x14ac:dyDescent="0.25">
      <c r="A414" t="s">
        <v>86</v>
      </c>
    </row>
    <row r="415" spans="1:11" x14ac:dyDescent="0.25">
      <c r="A415">
        <v>33.199392079834901</v>
      </c>
      <c r="B415">
        <v>117.916147651004</v>
      </c>
      <c r="C415">
        <v>2000</v>
      </c>
    </row>
    <row r="416" spans="1:11" x14ac:dyDescent="0.25">
      <c r="A416">
        <v>15.6174771104464</v>
      </c>
      <c r="B416">
        <v>100.33423268161501</v>
      </c>
      <c r="C416">
        <v>2000</v>
      </c>
    </row>
    <row r="417" spans="1:11" x14ac:dyDescent="0.25">
      <c r="A417">
        <v>0</v>
      </c>
      <c r="B417">
        <v>84.716755571168704</v>
      </c>
      <c r="C417">
        <v>2000</v>
      </c>
    </row>
    <row r="418" spans="1:11" x14ac:dyDescent="0.25">
      <c r="A418">
        <v>0</v>
      </c>
      <c r="B418">
        <v>83.8427235222711</v>
      </c>
      <c r="C418">
        <v>2001</v>
      </c>
    </row>
    <row r="419" spans="1:11" x14ac:dyDescent="0.25">
      <c r="A419">
        <v>15.8230437961139</v>
      </c>
      <c r="B419">
        <v>99.665767318384894</v>
      </c>
      <c r="C419">
        <v>2001</v>
      </c>
    </row>
    <row r="420" spans="1:11" x14ac:dyDescent="0.25">
      <c r="A420">
        <v>33.640287747538402</v>
      </c>
      <c r="B420">
        <v>117.483011269809</v>
      </c>
      <c r="C420">
        <v>2001</v>
      </c>
    </row>
    <row r="421" spans="1:11" x14ac:dyDescent="0.25">
      <c r="A421">
        <v>50.330670571172497</v>
      </c>
      <c r="B421">
        <v>134.17339409344399</v>
      </c>
      <c r="C421">
        <v>2001</v>
      </c>
    </row>
    <row r="422" spans="1:11" x14ac:dyDescent="0.25">
      <c r="A422">
        <v>66.157276477728999</v>
      </c>
      <c r="B422">
        <v>150</v>
      </c>
      <c r="C422">
        <v>2001</v>
      </c>
    </row>
    <row r="423" spans="1:11" x14ac:dyDescent="0.25">
      <c r="A423">
        <v>65.283244428831395</v>
      </c>
      <c r="B423">
        <v>150</v>
      </c>
      <c r="C423">
        <v>2000</v>
      </c>
    </row>
    <row r="424" spans="1:11" x14ac:dyDescent="0.25">
      <c r="A424">
        <v>49.669329428827403</v>
      </c>
      <c r="B424">
        <v>134.386084999996</v>
      </c>
      <c r="C424">
        <v>2000</v>
      </c>
    </row>
    <row r="425" spans="1:11" x14ac:dyDescent="0.25">
      <c r="A425" t="s">
        <v>87</v>
      </c>
    </row>
    <row r="426" spans="1:11" x14ac:dyDescent="0.25">
      <c r="A426">
        <v>982</v>
      </c>
      <c r="B426">
        <v>0</v>
      </c>
      <c r="C426">
        <v>60.6888561550386</v>
      </c>
      <c r="D426">
        <v>31.986438081258701</v>
      </c>
      <c r="E426">
        <v>10</v>
      </c>
      <c r="F426">
        <v>1.01722196789785</v>
      </c>
      <c r="G426" t="s">
        <v>85</v>
      </c>
      <c r="H426" t="s">
        <v>88</v>
      </c>
      <c r="I426">
        <v>0</v>
      </c>
      <c r="J426">
        <v>333</v>
      </c>
      <c r="K426">
        <v>0.110373172763303</v>
      </c>
    </row>
    <row r="427" spans="1:11" x14ac:dyDescent="0.25">
      <c r="A427" t="s">
        <v>86</v>
      </c>
    </row>
    <row r="428" spans="1:11" x14ac:dyDescent="0.25">
      <c r="A428">
        <v>42.721521934188601</v>
      </c>
      <c r="B428">
        <v>119.91980402475301</v>
      </c>
      <c r="C428">
        <v>2000</v>
      </c>
    </row>
    <row r="429" spans="1:11" x14ac:dyDescent="0.25">
      <c r="A429">
        <v>23.120406383023901</v>
      </c>
      <c r="B429">
        <v>100.31868847358901</v>
      </c>
      <c r="C429">
        <v>2000</v>
      </c>
    </row>
    <row r="430" spans="1:11" x14ac:dyDescent="0.25">
      <c r="A430">
        <v>0</v>
      </c>
      <c r="B430">
        <v>77.198282090564803</v>
      </c>
      <c r="C430">
        <v>2000</v>
      </c>
    </row>
    <row r="431" spans="1:11" x14ac:dyDescent="0.25">
      <c r="A431">
        <v>0</v>
      </c>
      <c r="B431">
        <v>76.324250041667199</v>
      </c>
      <c r="C431">
        <v>2001</v>
      </c>
    </row>
    <row r="432" spans="1:11" x14ac:dyDescent="0.25">
      <c r="A432">
        <v>23.3570614847442</v>
      </c>
      <c r="B432">
        <v>99.681311526411307</v>
      </c>
      <c r="C432">
        <v>2001</v>
      </c>
    </row>
    <row r="433" spans="1:11" x14ac:dyDescent="0.25">
      <c r="A433">
        <v>43.105481525176899</v>
      </c>
      <c r="B433">
        <v>119.429731566844</v>
      </c>
      <c r="C433">
        <v>2001</v>
      </c>
    </row>
    <row r="434" spans="1:11" x14ac:dyDescent="0.25">
      <c r="A434">
        <v>50.218508012224397</v>
      </c>
      <c r="B434">
        <v>126.542758053892</v>
      </c>
      <c r="C434">
        <v>2001</v>
      </c>
    </row>
    <row r="435" spans="1:11" x14ac:dyDescent="0.25">
      <c r="A435">
        <v>65.749837015168893</v>
      </c>
      <c r="B435">
        <v>142.07408705683599</v>
      </c>
      <c r="C435">
        <v>2001</v>
      </c>
    </row>
    <row r="436" spans="1:11" x14ac:dyDescent="0.25">
      <c r="A436">
        <v>65.312820990719999</v>
      </c>
      <c r="B436">
        <v>142.511103081285</v>
      </c>
      <c r="C436">
        <v>2000</v>
      </c>
    </row>
    <row r="437" spans="1:11" x14ac:dyDescent="0.25">
      <c r="A437">
        <v>49.781491987775603</v>
      </c>
      <c r="B437">
        <v>126.97977407834</v>
      </c>
      <c r="C437">
        <v>2000</v>
      </c>
    </row>
    <row r="438" spans="1:11" x14ac:dyDescent="0.25">
      <c r="A438" t="s">
        <v>87</v>
      </c>
    </row>
    <row r="439" spans="1:11" x14ac:dyDescent="0.25">
      <c r="A439">
        <v>107</v>
      </c>
      <c r="B439">
        <v>0</v>
      </c>
      <c r="C439">
        <v>27.457821475228702</v>
      </c>
      <c r="D439">
        <v>64.478096988370694</v>
      </c>
      <c r="E439">
        <v>10</v>
      </c>
      <c r="F439">
        <v>1.01722196789785</v>
      </c>
      <c r="G439" t="s">
        <v>88</v>
      </c>
      <c r="H439" t="s">
        <v>88</v>
      </c>
      <c r="I439">
        <v>875</v>
      </c>
      <c r="J439">
        <v>654</v>
      </c>
      <c r="K439">
        <v>0</v>
      </c>
    </row>
    <row r="440" spans="1:11" x14ac:dyDescent="0.25">
      <c r="A440" t="s">
        <v>86</v>
      </c>
    </row>
    <row r="441" spans="1:11" x14ac:dyDescent="0.25">
      <c r="A441">
        <v>94.913360536053702</v>
      </c>
      <c r="B441">
        <v>86.9050144468968</v>
      </c>
      <c r="C441">
        <v>2000</v>
      </c>
    </row>
    <row r="442" spans="1:11" x14ac:dyDescent="0.25">
      <c r="A442">
        <v>75.497748774309798</v>
      </c>
      <c r="B442">
        <v>67.489402685152996</v>
      </c>
      <c r="C442">
        <v>2000</v>
      </c>
    </row>
    <row r="443" spans="1:11" x14ac:dyDescent="0.25">
      <c r="A443">
        <v>75.060732749861003</v>
      </c>
      <c r="B443">
        <v>67.926418709601805</v>
      </c>
      <c r="C443">
        <v>2001</v>
      </c>
    </row>
    <row r="444" spans="1:11" x14ac:dyDescent="0.25">
      <c r="A444">
        <v>94.476344511604907</v>
      </c>
      <c r="B444">
        <v>87.342030471345595</v>
      </c>
      <c r="C444">
        <v>2001</v>
      </c>
    </row>
    <row r="445" spans="1:11" x14ac:dyDescent="0.25">
      <c r="A445">
        <v>99.781491987775595</v>
      </c>
      <c r="B445">
        <v>92.647177947516298</v>
      </c>
      <c r="C445">
        <v>2001</v>
      </c>
    </row>
    <row r="446" spans="1:11" x14ac:dyDescent="0.25">
      <c r="A446">
        <v>107.352822052484</v>
      </c>
      <c r="B446">
        <v>100.21850801222401</v>
      </c>
      <c r="C446">
        <v>2001</v>
      </c>
    </row>
    <row r="447" spans="1:11" x14ac:dyDescent="0.25">
      <c r="A447">
        <v>140.06924413008599</v>
      </c>
      <c r="B447">
        <v>132.934930089826</v>
      </c>
      <c r="C447">
        <v>2001</v>
      </c>
    </row>
    <row r="448" spans="1:11" x14ac:dyDescent="0.25">
      <c r="A448">
        <v>140.506260154534</v>
      </c>
      <c r="B448">
        <v>132.49791406537801</v>
      </c>
      <c r="C448">
        <v>2000</v>
      </c>
    </row>
    <row r="449" spans="1:11" x14ac:dyDescent="0.25">
      <c r="A449">
        <v>107.789838076932</v>
      </c>
      <c r="B449">
        <v>99.781491987775595</v>
      </c>
      <c r="C449">
        <v>2000</v>
      </c>
    </row>
    <row r="450" spans="1:11" x14ac:dyDescent="0.25">
      <c r="A450">
        <v>100.21850801222401</v>
      </c>
      <c r="B450">
        <v>92.210161923067503</v>
      </c>
      <c r="C450">
        <v>2000</v>
      </c>
    </row>
    <row r="451" spans="1:11" x14ac:dyDescent="0.25">
      <c r="A451" t="s">
        <v>87</v>
      </c>
    </row>
    <row r="452" spans="1:11" x14ac:dyDescent="0.25">
      <c r="A452">
        <v>900</v>
      </c>
      <c r="B452">
        <v>0</v>
      </c>
      <c r="C452">
        <v>63.752464114407097</v>
      </c>
      <c r="D452">
        <v>27.498621745756399</v>
      </c>
      <c r="E452">
        <v>10</v>
      </c>
      <c r="F452">
        <v>1.01722196789785</v>
      </c>
      <c r="G452" t="s">
        <v>85</v>
      </c>
      <c r="H452" t="s">
        <v>88</v>
      </c>
      <c r="I452">
        <v>0</v>
      </c>
      <c r="J452">
        <v>341</v>
      </c>
      <c r="K452">
        <v>0.10489943576939401</v>
      </c>
    </row>
    <row r="453" spans="1:11" x14ac:dyDescent="0.25">
      <c r="A453" t="s">
        <v>86</v>
      </c>
    </row>
    <row r="454" spans="1:11" x14ac:dyDescent="0.25">
      <c r="A454">
        <v>44.880917517676302</v>
      </c>
      <c r="B454">
        <v>73.103831671481203</v>
      </c>
      <c r="C454">
        <v>2000</v>
      </c>
    </row>
    <row r="455" spans="1:11" x14ac:dyDescent="0.25">
      <c r="A455">
        <v>22.106427052295199</v>
      </c>
      <c r="B455">
        <v>50.329341206099997</v>
      </c>
      <c r="C455">
        <v>2000</v>
      </c>
    </row>
    <row r="456" spans="1:11" x14ac:dyDescent="0.25">
      <c r="A456">
        <v>0</v>
      </c>
      <c r="B456">
        <v>28.222914153804901</v>
      </c>
      <c r="C456">
        <v>2000</v>
      </c>
    </row>
    <row r="457" spans="1:11" x14ac:dyDescent="0.25">
      <c r="A457">
        <v>0</v>
      </c>
      <c r="B457">
        <v>27.3488821049073</v>
      </c>
      <c r="C457">
        <v>2001</v>
      </c>
    </row>
    <row r="458" spans="1:11" x14ac:dyDescent="0.25">
      <c r="A458">
        <v>22.321776688992699</v>
      </c>
      <c r="B458">
        <v>49.670658793899896</v>
      </c>
      <c r="C458">
        <v>2001</v>
      </c>
    </row>
    <row r="459" spans="1:11" x14ac:dyDescent="0.25">
      <c r="A459">
        <v>45.278681867622304</v>
      </c>
      <c r="B459">
        <v>72.627563972529501</v>
      </c>
      <c r="C459">
        <v>2001</v>
      </c>
    </row>
    <row r="460" spans="1:11" x14ac:dyDescent="0.25">
      <c r="A460">
        <v>50.218508012224397</v>
      </c>
      <c r="B460">
        <v>77.567390117131694</v>
      </c>
      <c r="C460">
        <v>2001</v>
      </c>
    </row>
    <row r="461" spans="1:11" x14ac:dyDescent="0.25">
      <c r="A461">
        <v>64.742769614582002</v>
      </c>
      <c r="B461">
        <v>92.091651719489207</v>
      </c>
      <c r="C461">
        <v>2001</v>
      </c>
    </row>
    <row r="462" spans="1:11" x14ac:dyDescent="0.25">
      <c r="A462">
        <v>64.305753590133193</v>
      </c>
      <c r="B462">
        <v>92.528667743938001</v>
      </c>
      <c r="C462">
        <v>2000</v>
      </c>
    </row>
    <row r="463" spans="1:11" x14ac:dyDescent="0.25">
      <c r="A463">
        <v>49.781491987775603</v>
      </c>
      <c r="B463">
        <v>78.004406141580503</v>
      </c>
      <c r="C463">
        <v>2000</v>
      </c>
    </row>
    <row r="464" spans="1:11" x14ac:dyDescent="0.25">
      <c r="A464" t="s">
        <v>87</v>
      </c>
    </row>
    <row r="465" spans="1:11" x14ac:dyDescent="0.25">
      <c r="A465">
        <v>738</v>
      </c>
      <c r="B465">
        <v>0</v>
      </c>
      <c r="C465">
        <v>72.564494080379504</v>
      </c>
      <c r="D465">
        <v>15.6845889958059</v>
      </c>
      <c r="E465">
        <v>10</v>
      </c>
      <c r="F465">
        <v>1.01722196789785</v>
      </c>
      <c r="G465" t="s">
        <v>85</v>
      </c>
      <c r="H465" t="s">
        <v>85</v>
      </c>
      <c r="I465">
        <v>0</v>
      </c>
      <c r="J465">
        <v>0</v>
      </c>
      <c r="K465">
        <v>0.100785207567138</v>
      </c>
    </row>
    <row r="466" spans="1:11" x14ac:dyDescent="0.25">
      <c r="A466" t="s">
        <v>86</v>
      </c>
    </row>
    <row r="467" spans="1:11" x14ac:dyDescent="0.25">
      <c r="A467">
        <v>138.71390912731101</v>
      </c>
      <c r="B467">
        <v>51.5524502284254</v>
      </c>
      <c r="C467">
        <v>2000</v>
      </c>
    </row>
    <row r="468" spans="1:11" x14ac:dyDescent="0.25">
      <c r="A468">
        <v>137.37996691110999</v>
      </c>
      <c r="B468">
        <v>50.218508012224397</v>
      </c>
      <c r="C468">
        <v>2000</v>
      </c>
    </row>
    <row r="469" spans="1:11" x14ac:dyDescent="0.25">
      <c r="A469">
        <v>99.617180627412196</v>
      </c>
      <c r="B469">
        <v>12.4557217285268</v>
      </c>
      <c r="C469">
        <v>2000</v>
      </c>
    </row>
    <row r="470" spans="1:11" x14ac:dyDescent="0.25">
      <c r="A470">
        <v>87.161458898885499</v>
      </c>
      <c r="B470">
        <v>0</v>
      </c>
      <c r="C470">
        <v>2000</v>
      </c>
    </row>
    <row r="471" spans="1:11" x14ac:dyDescent="0.25">
      <c r="A471">
        <v>88.035490947783103</v>
      </c>
      <c r="B471">
        <v>0</v>
      </c>
      <c r="C471">
        <v>2001</v>
      </c>
    </row>
    <row r="472" spans="1:11" x14ac:dyDescent="0.25">
      <c r="A472">
        <v>100.382819372588</v>
      </c>
      <c r="B472">
        <v>12.3473284248046</v>
      </c>
      <c r="C472">
        <v>2001</v>
      </c>
    </row>
    <row r="473" spans="1:11" x14ac:dyDescent="0.25">
      <c r="A473">
        <v>137.816982935559</v>
      </c>
      <c r="B473">
        <v>49.781491987775603</v>
      </c>
      <c r="C473">
        <v>2001</v>
      </c>
    </row>
    <row r="474" spans="1:11" x14ac:dyDescent="0.25">
      <c r="A474">
        <v>139.10473239457301</v>
      </c>
      <c r="B474">
        <v>51.069241446789498</v>
      </c>
      <c r="C474">
        <v>2001</v>
      </c>
    </row>
    <row r="475" spans="1:11" x14ac:dyDescent="0.25">
      <c r="A475">
        <v>150</v>
      </c>
      <c r="B475">
        <v>61.964509052216897</v>
      </c>
      <c r="C475">
        <v>2001</v>
      </c>
    </row>
    <row r="476" spans="1:11" x14ac:dyDescent="0.25">
      <c r="A476">
        <v>150</v>
      </c>
      <c r="B476">
        <v>62.838541101114501</v>
      </c>
      <c r="C476">
        <v>2000</v>
      </c>
    </row>
    <row r="477" spans="1:11" x14ac:dyDescent="0.25">
      <c r="A477" t="s">
        <v>87</v>
      </c>
    </row>
    <row r="478" spans="1:11" x14ac:dyDescent="0.25">
      <c r="A478">
        <v>503</v>
      </c>
      <c r="B478">
        <v>0</v>
      </c>
      <c r="C478">
        <v>9.8228379005626199</v>
      </c>
      <c r="D478">
        <v>77.977006399369799</v>
      </c>
      <c r="E478">
        <v>12</v>
      </c>
      <c r="F478">
        <v>1.01722196789785</v>
      </c>
      <c r="G478" t="s">
        <v>88</v>
      </c>
      <c r="H478" t="s">
        <v>88</v>
      </c>
      <c r="I478">
        <v>509</v>
      </c>
      <c r="J478">
        <v>678</v>
      </c>
      <c r="K478">
        <v>0</v>
      </c>
    </row>
    <row r="479" spans="1:11" x14ac:dyDescent="0.25">
      <c r="A479" t="s">
        <v>86</v>
      </c>
    </row>
    <row r="480" spans="1:11" x14ac:dyDescent="0.25">
      <c r="A480">
        <v>49.347404312499698</v>
      </c>
      <c r="B480">
        <v>63.605633275869899</v>
      </c>
      <c r="C480">
        <v>2000</v>
      </c>
    </row>
    <row r="481" spans="1:11" x14ac:dyDescent="0.25">
      <c r="A481">
        <v>42.4016090225157</v>
      </c>
      <c r="B481">
        <v>56.659837985885801</v>
      </c>
      <c r="C481">
        <v>2000</v>
      </c>
    </row>
    <row r="482" spans="1:11" x14ac:dyDescent="0.25">
      <c r="A482">
        <v>41.964592998066799</v>
      </c>
      <c r="B482">
        <v>57.096854010334702</v>
      </c>
      <c r="C482">
        <v>2001</v>
      </c>
    </row>
    <row r="483" spans="1:11" x14ac:dyDescent="0.25">
      <c r="A483">
        <v>48.910388288050903</v>
      </c>
      <c r="B483">
        <v>64.042649300318701</v>
      </c>
      <c r="C483">
        <v>2001</v>
      </c>
    </row>
    <row r="484" spans="1:11" x14ac:dyDescent="0.25">
      <c r="A484">
        <v>49.781491987775603</v>
      </c>
      <c r="B484">
        <v>64.9137530000434</v>
      </c>
      <c r="C484">
        <v>2001</v>
      </c>
    </row>
    <row r="485" spans="1:11" x14ac:dyDescent="0.25">
      <c r="A485">
        <v>85.0862469999566</v>
      </c>
      <c r="B485">
        <v>100.21850801222401</v>
      </c>
      <c r="C485">
        <v>2001</v>
      </c>
    </row>
    <row r="486" spans="1:11" x14ac:dyDescent="0.25">
      <c r="A486">
        <v>99.781491987775595</v>
      </c>
      <c r="B486">
        <v>114.913753000043</v>
      </c>
      <c r="C486">
        <v>2001</v>
      </c>
    </row>
    <row r="487" spans="1:11" x14ac:dyDescent="0.25">
      <c r="A487">
        <v>104.048458289672</v>
      </c>
      <c r="B487">
        <v>119.18071930194</v>
      </c>
      <c r="C487">
        <v>2001</v>
      </c>
    </row>
    <row r="488" spans="1:11" x14ac:dyDescent="0.25">
      <c r="A488">
        <v>104.48547431412101</v>
      </c>
      <c r="B488">
        <v>118.74370327749099</v>
      </c>
      <c r="C488">
        <v>2000</v>
      </c>
    </row>
    <row r="489" spans="1:11" x14ac:dyDescent="0.25">
      <c r="A489">
        <v>100.21850801222401</v>
      </c>
      <c r="B489">
        <v>114.476736975595</v>
      </c>
      <c r="C489">
        <v>2000</v>
      </c>
    </row>
    <row r="490" spans="1:11" x14ac:dyDescent="0.25">
      <c r="A490">
        <v>85.523263024405395</v>
      </c>
      <c r="B490">
        <v>99.781491987775595</v>
      </c>
      <c r="C490">
        <v>2000</v>
      </c>
    </row>
    <row r="491" spans="1:11" x14ac:dyDescent="0.25">
      <c r="A491">
        <v>50.218508012224397</v>
      </c>
      <c r="B491">
        <v>64.476736975594605</v>
      </c>
      <c r="C491">
        <v>2000</v>
      </c>
    </row>
    <row r="492" spans="1:11" x14ac:dyDescent="0.25">
      <c r="A492" t="s">
        <v>87</v>
      </c>
    </row>
    <row r="493" spans="1:11" x14ac:dyDescent="0.25">
      <c r="A493">
        <v>1026</v>
      </c>
      <c r="B493">
        <v>0</v>
      </c>
      <c r="C493">
        <v>23.709195317583202</v>
      </c>
      <c r="D493">
        <v>62.641193733780497</v>
      </c>
      <c r="E493">
        <v>10</v>
      </c>
      <c r="F493">
        <v>1.01722196789785</v>
      </c>
      <c r="G493" t="s">
        <v>85</v>
      </c>
      <c r="H493" t="s">
        <v>85</v>
      </c>
      <c r="I493">
        <v>0</v>
      </c>
      <c r="J493">
        <v>0</v>
      </c>
      <c r="K493">
        <v>0.11372832711122299</v>
      </c>
    </row>
    <row r="494" spans="1:11" x14ac:dyDescent="0.25">
      <c r="A494" t="s">
        <v>86</v>
      </c>
    </row>
    <row r="495" spans="1:11" x14ac:dyDescent="0.25">
      <c r="A495">
        <v>105.96394376592001</v>
      </c>
      <c r="B495">
        <v>16.585873397786902</v>
      </c>
      <c r="C495">
        <v>2000</v>
      </c>
    </row>
    <row r="496" spans="1:11" x14ac:dyDescent="0.25">
      <c r="A496">
        <v>100.29287776493</v>
      </c>
      <c r="B496">
        <v>10.914807396796901</v>
      </c>
      <c r="C496">
        <v>2000</v>
      </c>
    </row>
    <row r="497" spans="1:11" x14ac:dyDescent="0.25">
      <c r="A497">
        <v>89.378070368132896</v>
      </c>
      <c r="B497">
        <v>0</v>
      </c>
      <c r="C497">
        <v>2000</v>
      </c>
    </row>
    <row r="498" spans="1:11" x14ac:dyDescent="0.25">
      <c r="A498">
        <v>88.504038319235306</v>
      </c>
      <c r="B498">
        <v>0</v>
      </c>
      <c r="C498">
        <v>2001</v>
      </c>
    </row>
    <row r="499" spans="1:11" x14ac:dyDescent="0.25">
      <c r="A499">
        <v>99.707122235070102</v>
      </c>
      <c r="B499">
        <v>11.203083915834799</v>
      </c>
      <c r="C499">
        <v>2001</v>
      </c>
    </row>
    <row r="500" spans="1:11" x14ac:dyDescent="0.25">
      <c r="A500">
        <v>105.448030492527</v>
      </c>
      <c r="B500">
        <v>16.9439921732919</v>
      </c>
      <c r="C500">
        <v>2001</v>
      </c>
    </row>
    <row r="501" spans="1:11" x14ac:dyDescent="0.25">
      <c r="A501">
        <v>138.886499154934</v>
      </c>
      <c r="B501">
        <v>50.382460835698801</v>
      </c>
      <c r="C501">
        <v>2001</v>
      </c>
    </row>
    <row r="502" spans="1:11" x14ac:dyDescent="0.25">
      <c r="A502">
        <v>150</v>
      </c>
      <c r="B502">
        <v>61.495961680764701</v>
      </c>
      <c r="C502">
        <v>2001</v>
      </c>
    </row>
    <row r="503" spans="1:11" x14ac:dyDescent="0.25">
      <c r="A503">
        <v>150</v>
      </c>
      <c r="B503">
        <v>60.621929631866998</v>
      </c>
      <c r="C503">
        <v>2000</v>
      </c>
    </row>
    <row r="504" spans="1:11" x14ac:dyDescent="0.25">
      <c r="A504">
        <v>138.995609532434</v>
      </c>
      <c r="B504">
        <v>49.6175391643011</v>
      </c>
      <c r="C504">
        <v>2000</v>
      </c>
    </row>
    <row r="505" spans="1:11" x14ac:dyDescent="0.25">
      <c r="A505" t="s">
        <v>87</v>
      </c>
    </row>
    <row r="506" spans="1:11" x14ac:dyDescent="0.25">
      <c r="A506">
        <v>513</v>
      </c>
      <c r="B506">
        <v>0</v>
      </c>
      <c r="C506">
        <v>48.241036005551699</v>
      </c>
      <c r="D506">
        <v>37.6133829540736</v>
      </c>
      <c r="E506">
        <v>10</v>
      </c>
      <c r="F506">
        <v>1.01722196789785</v>
      </c>
      <c r="G506" t="s">
        <v>85</v>
      </c>
      <c r="H506" t="s">
        <v>88</v>
      </c>
      <c r="I506">
        <v>0</v>
      </c>
      <c r="J506">
        <v>360</v>
      </c>
      <c r="K506">
        <v>0</v>
      </c>
    </row>
    <row r="507" spans="1:11" x14ac:dyDescent="0.25">
      <c r="A507" t="s">
        <v>86</v>
      </c>
    </row>
    <row r="508" spans="1:11" x14ac:dyDescent="0.25">
      <c r="A508">
        <v>34.278747768312101</v>
      </c>
      <c r="B508">
        <v>65.893060933798694</v>
      </c>
      <c r="C508">
        <v>2000</v>
      </c>
    </row>
    <row r="509" spans="1:11" x14ac:dyDescent="0.25">
      <c r="A509">
        <v>18.063644383727301</v>
      </c>
      <c r="B509">
        <v>49.6779575492139</v>
      </c>
      <c r="C509">
        <v>2000</v>
      </c>
    </row>
    <row r="510" spans="1:11" x14ac:dyDescent="0.25">
      <c r="A510">
        <v>0</v>
      </c>
      <c r="B510">
        <v>31.6143131654866</v>
      </c>
      <c r="C510">
        <v>2000</v>
      </c>
    </row>
    <row r="511" spans="1:11" x14ac:dyDescent="0.25">
      <c r="A511">
        <v>0</v>
      </c>
      <c r="B511">
        <v>32.488345214384204</v>
      </c>
      <c r="C511">
        <v>2001</v>
      </c>
    </row>
    <row r="512" spans="1:11" x14ac:dyDescent="0.25">
      <c r="A512">
        <v>17.8336972364018</v>
      </c>
      <c r="B512">
        <v>50.3220424507861</v>
      </c>
      <c r="C512">
        <v>2001</v>
      </c>
    </row>
    <row r="513" spans="1:11" x14ac:dyDescent="0.25">
      <c r="A513">
        <v>33.944379613667898</v>
      </c>
      <c r="B513">
        <v>66.432724828052102</v>
      </c>
      <c r="C513">
        <v>2001</v>
      </c>
    </row>
    <row r="514" spans="1:11" x14ac:dyDescent="0.25">
      <c r="A514">
        <v>49.781491987775603</v>
      </c>
      <c r="B514">
        <v>82.269837202159806</v>
      </c>
      <c r="C514">
        <v>2001</v>
      </c>
    </row>
    <row r="515" spans="1:11" x14ac:dyDescent="0.25">
      <c r="A515">
        <v>60.489733828957597</v>
      </c>
      <c r="B515">
        <v>92.978079043341793</v>
      </c>
      <c r="C515">
        <v>2001</v>
      </c>
    </row>
    <row r="516" spans="1:11" x14ac:dyDescent="0.25">
      <c r="A516">
        <v>60.926749853406399</v>
      </c>
      <c r="B516">
        <v>92.541063018892999</v>
      </c>
      <c r="C516">
        <v>2000</v>
      </c>
    </row>
    <row r="517" spans="1:11" x14ac:dyDescent="0.25">
      <c r="A517">
        <v>50.218508012224397</v>
      </c>
      <c r="B517">
        <v>81.832821177710997</v>
      </c>
      <c r="C517">
        <v>2000</v>
      </c>
    </row>
    <row r="518" spans="1:11" x14ac:dyDescent="0.25">
      <c r="A518" t="s">
        <v>87</v>
      </c>
    </row>
    <row r="519" spans="1:11" x14ac:dyDescent="0.25">
      <c r="A519">
        <v>884</v>
      </c>
      <c r="B519">
        <v>0</v>
      </c>
      <c r="C519">
        <v>11.972602864879599</v>
      </c>
      <c r="D519">
        <v>71.755029149055304</v>
      </c>
      <c r="E519">
        <v>10</v>
      </c>
      <c r="F519">
        <v>1.01722196789785</v>
      </c>
      <c r="G519" t="s">
        <v>88</v>
      </c>
      <c r="H519" t="s">
        <v>85</v>
      </c>
      <c r="I519">
        <v>119</v>
      </c>
      <c r="J519">
        <v>0</v>
      </c>
      <c r="K519">
        <v>0.104525721151597</v>
      </c>
    </row>
    <row r="520" spans="1:11" x14ac:dyDescent="0.25">
      <c r="A520" t="s">
        <v>86</v>
      </c>
    </row>
    <row r="521" spans="1:11" x14ac:dyDescent="0.25">
      <c r="A521">
        <v>78.814135008400598</v>
      </c>
      <c r="B521">
        <v>99.043024292240204</v>
      </c>
      <c r="C521">
        <v>2000</v>
      </c>
    </row>
    <row r="522" spans="1:11" x14ac:dyDescent="0.25">
      <c r="A522">
        <v>70.348226334190699</v>
      </c>
      <c r="B522">
        <v>90.577115618030405</v>
      </c>
      <c r="C522">
        <v>2000</v>
      </c>
    </row>
    <row r="523" spans="1:11" x14ac:dyDescent="0.25">
      <c r="A523">
        <v>69.911210309741904</v>
      </c>
      <c r="B523">
        <v>91.0141316424792</v>
      </c>
      <c r="C523">
        <v>2001</v>
      </c>
    </row>
    <row r="524" spans="1:11" x14ac:dyDescent="0.25">
      <c r="A524">
        <v>78.377118983951704</v>
      </c>
      <c r="B524">
        <v>99.480040316688999</v>
      </c>
      <c r="C524">
        <v>2001</v>
      </c>
    </row>
    <row r="525" spans="1:11" x14ac:dyDescent="0.25">
      <c r="A525">
        <v>79.115586679487095</v>
      </c>
      <c r="B525">
        <v>100.21850801222401</v>
      </c>
      <c r="C525">
        <v>2001</v>
      </c>
    </row>
    <row r="526" spans="1:11" x14ac:dyDescent="0.25">
      <c r="A526">
        <v>99.6911786699809</v>
      </c>
      <c r="B526">
        <v>120.794100002718</v>
      </c>
      <c r="C526">
        <v>2001</v>
      </c>
    </row>
    <row r="527" spans="1:11" x14ac:dyDescent="0.25">
      <c r="A527">
        <v>128.897078667263</v>
      </c>
      <c r="B527">
        <v>150</v>
      </c>
      <c r="C527">
        <v>2001</v>
      </c>
    </row>
    <row r="528" spans="1:11" x14ac:dyDescent="0.25">
      <c r="A528">
        <v>129.77111071616</v>
      </c>
      <c r="B528">
        <v>150</v>
      </c>
      <c r="C528">
        <v>2000</v>
      </c>
    </row>
    <row r="529" spans="1:11" x14ac:dyDescent="0.25">
      <c r="A529">
        <v>100.308821330019</v>
      </c>
      <c r="B529">
        <v>120.53771061385901</v>
      </c>
      <c r="C529">
        <v>2000</v>
      </c>
    </row>
    <row r="530" spans="1:11" x14ac:dyDescent="0.25">
      <c r="A530">
        <v>79.552602703935904</v>
      </c>
      <c r="B530">
        <v>99.781491987775595</v>
      </c>
      <c r="C530">
        <v>2000</v>
      </c>
    </row>
    <row r="531" spans="1:11" x14ac:dyDescent="0.25">
      <c r="A531" t="s">
        <v>87</v>
      </c>
    </row>
    <row r="532" spans="1:11" x14ac:dyDescent="0.25">
      <c r="A532">
        <v>970</v>
      </c>
      <c r="B532">
        <v>0</v>
      </c>
      <c r="C532">
        <v>9.0850312053178097</v>
      </c>
      <c r="D532">
        <v>74.510994202208295</v>
      </c>
      <c r="E532">
        <v>10</v>
      </c>
      <c r="F532">
        <v>1.01722196789785</v>
      </c>
      <c r="G532" t="s">
        <v>85</v>
      </c>
      <c r="H532" t="s">
        <v>88</v>
      </c>
      <c r="I532">
        <v>0</v>
      </c>
      <c r="J532">
        <v>896</v>
      </c>
      <c r="K532">
        <v>0.10913752502535</v>
      </c>
    </row>
    <row r="533" spans="1:11" x14ac:dyDescent="0.25">
      <c r="A533" t="s">
        <v>86</v>
      </c>
    </row>
    <row r="534" spans="1:11" x14ac:dyDescent="0.25">
      <c r="A534">
        <v>6.3913801040443898</v>
      </c>
      <c r="B534">
        <v>63.9106238657087</v>
      </c>
      <c r="C534">
        <v>2000</v>
      </c>
    </row>
    <row r="535" spans="1:11" x14ac:dyDescent="0.25">
      <c r="A535">
        <v>0</v>
      </c>
      <c r="B535">
        <v>57.519243761664299</v>
      </c>
      <c r="C535">
        <v>2000</v>
      </c>
    </row>
    <row r="536" spans="1:11" x14ac:dyDescent="0.25">
      <c r="A536">
        <v>0</v>
      </c>
      <c r="B536">
        <v>56.645211712766603</v>
      </c>
      <c r="C536">
        <v>2001</v>
      </c>
    </row>
    <row r="537" spans="1:11" x14ac:dyDescent="0.25">
      <c r="A537">
        <v>6.4567942410988497</v>
      </c>
      <c r="B537">
        <v>63.1020059538655</v>
      </c>
      <c r="C537">
        <v>2001</v>
      </c>
    </row>
    <row r="538" spans="1:11" x14ac:dyDescent="0.25">
      <c r="A538">
        <v>43.136280275009</v>
      </c>
      <c r="B538">
        <v>99.781491987775595</v>
      </c>
      <c r="C538">
        <v>2001</v>
      </c>
    </row>
    <row r="539" spans="1:11" x14ac:dyDescent="0.25">
      <c r="A539">
        <v>50.218508012224397</v>
      </c>
      <c r="B539">
        <v>106.863719724991</v>
      </c>
      <c r="C539">
        <v>2001</v>
      </c>
    </row>
    <row r="540" spans="1:11" x14ac:dyDescent="0.25">
      <c r="A540">
        <v>59.329824458129004</v>
      </c>
      <c r="B540">
        <v>115.975036170896</v>
      </c>
      <c r="C540">
        <v>2001</v>
      </c>
    </row>
    <row r="541" spans="1:11" x14ac:dyDescent="0.25">
      <c r="A541">
        <v>58.892808433680202</v>
      </c>
      <c r="B541">
        <v>116.412052195344</v>
      </c>
      <c r="C541">
        <v>2000</v>
      </c>
    </row>
    <row r="542" spans="1:11" x14ac:dyDescent="0.25">
      <c r="A542">
        <v>49.781491987775603</v>
      </c>
      <c r="B542">
        <v>107.30073574943999</v>
      </c>
      <c r="C542">
        <v>2000</v>
      </c>
    </row>
    <row r="543" spans="1:11" x14ac:dyDescent="0.25">
      <c r="A543">
        <v>42.699264250560198</v>
      </c>
      <c r="B543">
        <v>100.21850801222401</v>
      </c>
      <c r="C543">
        <v>2000</v>
      </c>
    </row>
    <row r="544" spans="1:11" x14ac:dyDescent="0.25">
      <c r="A544" t="s">
        <v>87</v>
      </c>
    </row>
    <row r="545" spans="1:11" x14ac:dyDescent="0.25">
      <c r="A545">
        <v>341</v>
      </c>
      <c r="B545">
        <v>0</v>
      </c>
      <c r="C545">
        <v>33.842824967281302</v>
      </c>
      <c r="D545">
        <v>47.372265486334001</v>
      </c>
      <c r="E545">
        <v>10</v>
      </c>
      <c r="F545">
        <v>1.01722196789785</v>
      </c>
      <c r="G545" t="s">
        <v>88</v>
      </c>
      <c r="H545" t="s">
        <v>85</v>
      </c>
      <c r="I545">
        <v>900</v>
      </c>
      <c r="J545">
        <v>0</v>
      </c>
      <c r="K545">
        <v>0</v>
      </c>
    </row>
    <row r="546" spans="1:11" x14ac:dyDescent="0.25">
      <c r="A546" t="s">
        <v>86</v>
      </c>
    </row>
    <row r="547" spans="1:11" x14ac:dyDescent="0.25">
      <c r="A547">
        <v>88.456059413501293</v>
      </c>
      <c r="B547">
        <v>116.32913966612099</v>
      </c>
      <c r="C547">
        <v>2000</v>
      </c>
    </row>
    <row r="548" spans="1:11" x14ac:dyDescent="0.25">
      <c r="A548">
        <v>71.908411735155994</v>
      </c>
      <c r="B548">
        <v>99.781491987775595</v>
      </c>
      <c r="C548">
        <v>2000</v>
      </c>
    </row>
    <row r="549" spans="1:11" x14ac:dyDescent="0.25">
      <c r="A549">
        <v>64.480670540725797</v>
      </c>
      <c r="B549">
        <v>92.353750793345398</v>
      </c>
      <c r="C549">
        <v>2000</v>
      </c>
    </row>
    <row r="550" spans="1:11" x14ac:dyDescent="0.25">
      <c r="A550">
        <v>64.043654516277002</v>
      </c>
      <c r="B550">
        <v>92.790766817794207</v>
      </c>
      <c r="C550">
        <v>2001</v>
      </c>
    </row>
    <row r="551" spans="1:11" x14ac:dyDescent="0.25">
      <c r="A551">
        <v>71.471395710707199</v>
      </c>
      <c r="B551">
        <v>100.21850801222401</v>
      </c>
      <c r="C551">
        <v>2001</v>
      </c>
    </row>
    <row r="552" spans="1:11" x14ac:dyDescent="0.25">
      <c r="A552">
        <v>87.929247701249494</v>
      </c>
      <c r="B552">
        <v>116.676360002767</v>
      </c>
      <c r="C552">
        <v>2001</v>
      </c>
    </row>
    <row r="553" spans="1:11" x14ac:dyDescent="0.25">
      <c r="A553">
        <v>99.704470746089399</v>
      </c>
      <c r="B553">
        <v>128.45158304760699</v>
      </c>
      <c r="C553">
        <v>2001</v>
      </c>
    </row>
    <row r="554" spans="1:11" x14ac:dyDescent="0.25">
      <c r="A554">
        <v>121.25288769848299</v>
      </c>
      <c r="B554">
        <v>150</v>
      </c>
      <c r="C554">
        <v>2001</v>
      </c>
    </row>
    <row r="555" spans="1:11" x14ac:dyDescent="0.25">
      <c r="A555">
        <v>122.12691974738</v>
      </c>
      <c r="B555">
        <v>150</v>
      </c>
      <c r="C555">
        <v>2000</v>
      </c>
    </row>
    <row r="556" spans="1:11" x14ac:dyDescent="0.25">
      <c r="A556">
        <v>100.295529253911</v>
      </c>
      <c r="B556">
        <v>128.16860950653</v>
      </c>
      <c r="C556">
        <v>2000</v>
      </c>
    </row>
    <row r="557" spans="1:11" x14ac:dyDescent="0.25">
      <c r="A557" t="s">
        <v>87</v>
      </c>
    </row>
    <row r="558" spans="1:11" x14ac:dyDescent="0.25">
      <c r="A558">
        <v>732</v>
      </c>
      <c r="B558">
        <v>0</v>
      </c>
      <c r="C558">
        <v>1.4979894153639699</v>
      </c>
      <c r="D558">
        <v>79.413984917410502</v>
      </c>
      <c r="E558">
        <v>10</v>
      </c>
      <c r="F558">
        <v>1.01722196789785</v>
      </c>
      <c r="G558" t="s">
        <v>88</v>
      </c>
      <c r="H558" t="s">
        <v>88</v>
      </c>
      <c r="I558">
        <v>959</v>
      </c>
      <c r="J558">
        <v>887</v>
      </c>
      <c r="K558">
        <v>0.10038021386068</v>
      </c>
    </row>
    <row r="559" spans="1:11" x14ac:dyDescent="0.25">
      <c r="A559" t="s">
        <v>86</v>
      </c>
    </row>
    <row r="560" spans="1:11" x14ac:dyDescent="0.25">
      <c r="A560">
        <v>42.458554059019399</v>
      </c>
      <c r="B560">
        <v>58.7213698968812</v>
      </c>
      <c r="C560">
        <v>2000</v>
      </c>
    </row>
    <row r="561" spans="1:11" x14ac:dyDescent="0.25">
      <c r="A561">
        <v>41.399315585269903</v>
      </c>
      <c r="B561">
        <v>57.662131423131598</v>
      </c>
      <c r="C561">
        <v>2000</v>
      </c>
    </row>
    <row r="562" spans="1:11" x14ac:dyDescent="0.25">
      <c r="A562">
        <v>41.836331609718698</v>
      </c>
      <c r="B562">
        <v>57.225115398682803</v>
      </c>
      <c r="C562">
        <v>2001</v>
      </c>
    </row>
    <row r="563" spans="1:11" x14ac:dyDescent="0.25">
      <c r="A563">
        <v>42.895570083468201</v>
      </c>
      <c r="B563">
        <v>58.284353872432398</v>
      </c>
      <c r="C563">
        <v>2001</v>
      </c>
    </row>
    <row r="564" spans="1:11" x14ac:dyDescent="0.25">
      <c r="A564">
        <v>50.218508012224397</v>
      </c>
      <c r="B564">
        <v>65.607291801188595</v>
      </c>
      <c r="C564">
        <v>2001</v>
      </c>
    </row>
    <row r="565" spans="1:11" x14ac:dyDescent="0.25">
      <c r="A565">
        <v>84.392708198811505</v>
      </c>
      <c r="B565">
        <v>99.781491987775595</v>
      </c>
      <c r="C565">
        <v>2001</v>
      </c>
    </row>
    <row r="566" spans="1:11" x14ac:dyDescent="0.25">
      <c r="A566">
        <v>99.049737339615405</v>
      </c>
      <c r="B566">
        <v>114.43852112858001</v>
      </c>
      <c r="C566">
        <v>2001</v>
      </c>
    </row>
    <row r="567" spans="1:11" x14ac:dyDescent="0.25">
      <c r="A567">
        <v>98.612721315166596</v>
      </c>
      <c r="B567">
        <v>114.87553715302801</v>
      </c>
      <c r="C567">
        <v>2000</v>
      </c>
    </row>
    <row r="568" spans="1:11" x14ac:dyDescent="0.25">
      <c r="A568">
        <v>83.955692174362696</v>
      </c>
      <c r="B568">
        <v>100.21850801222401</v>
      </c>
      <c r="C568">
        <v>2000</v>
      </c>
    </row>
    <row r="569" spans="1:11" x14ac:dyDescent="0.25">
      <c r="A569">
        <v>49.781491987775603</v>
      </c>
      <c r="B569">
        <v>66.044307825637404</v>
      </c>
      <c r="C569">
        <v>2000</v>
      </c>
    </row>
    <row r="570" spans="1:11" x14ac:dyDescent="0.25">
      <c r="A570" t="s">
        <v>87</v>
      </c>
    </row>
    <row r="571" spans="1:11" x14ac:dyDescent="0.25">
      <c r="A571">
        <v>800</v>
      </c>
      <c r="B571">
        <v>0</v>
      </c>
      <c r="C571">
        <v>59.153926640800101</v>
      </c>
      <c r="D571">
        <v>21.455212314432099</v>
      </c>
      <c r="E571">
        <v>10</v>
      </c>
      <c r="F571">
        <v>1.01722196789785</v>
      </c>
      <c r="G571" t="s">
        <v>85</v>
      </c>
      <c r="H571" t="s">
        <v>88</v>
      </c>
      <c r="I571">
        <v>0</v>
      </c>
      <c r="J571">
        <v>902</v>
      </c>
      <c r="K571">
        <v>0.102396880332516</v>
      </c>
    </row>
    <row r="572" spans="1:11" x14ac:dyDescent="0.25">
      <c r="A572" t="s">
        <v>86</v>
      </c>
    </row>
    <row r="573" spans="1:11" x14ac:dyDescent="0.25">
      <c r="A573">
        <v>61.7912300615519</v>
      </c>
      <c r="B573">
        <v>41.634633397148598</v>
      </c>
      <c r="C573">
        <v>2000</v>
      </c>
    </row>
    <row r="574" spans="1:11" x14ac:dyDescent="0.25">
      <c r="A574">
        <v>50.278832709994099</v>
      </c>
      <c r="B574">
        <v>30.1222360455908</v>
      </c>
      <c r="C574">
        <v>2000</v>
      </c>
    </row>
    <row r="575" spans="1:11" x14ac:dyDescent="0.25">
      <c r="A575">
        <v>20.156596664403299</v>
      </c>
      <c r="B575">
        <v>0</v>
      </c>
      <c r="C575">
        <v>2000</v>
      </c>
    </row>
    <row r="576" spans="1:11" x14ac:dyDescent="0.25">
      <c r="A576">
        <v>19.282564615505599</v>
      </c>
      <c r="B576">
        <v>0</v>
      </c>
      <c r="C576">
        <v>2001</v>
      </c>
    </row>
    <row r="577" spans="1:11" x14ac:dyDescent="0.25">
      <c r="A577">
        <v>49.721167290005901</v>
      </c>
      <c r="B577">
        <v>30.438602674500299</v>
      </c>
      <c r="C577">
        <v>2001</v>
      </c>
    </row>
    <row r="578" spans="1:11" x14ac:dyDescent="0.25">
      <c r="A578">
        <v>61.304216541399597</v>
      </c>
      <c r="B578">
        <v>42.021651925893899</v>
      </c>
      <c r="C578">
        <v>2001</v>
      </c>
    </row>
    <row r="579" spans="1:11" x14ac:dyDescent="0.25">
      <c r="A579">
        <v>69.501072627730096</v>
      </c>
      <c r="B579">
        <v>50.218508012224397</v>
      </c>
      <c r="C579">
        <v>2001</v>
      </c>
    </row>
    <row r="580" spans="1:11" x14ac:dyDescent="0.25">
      <c r="A580">
        <v>76.500341408583395</v>
      </c>
      <c r="B580">
        <v>57.217776793077803</v>
      </c>
      <c r="C580">
        <v>2001</v>
      </c>
    </row>
    <row r="581" spans="1:11" x14ac:dyDescent="0.25">
      <c r="A581">
        <v>76.937357433032204</v>
      </c>
      <c r="B581">
        <v>56.780760768629001</v>
      </c>
      <c r="C581">
        <v>2000</v>
      </c>
    </row>
    <row r="582" spans="1:11" x14ac:dyDescent="0.25">
      <c r="A582">
        <v>69.938088652178905</v>
      </c>
      <c r="B582">
        <v>49.781491987775603</v>
      </c>
      <c r="C582">
        <v>2000</v>
      </c>
    </row>
    <row r="583" spans="1:11" x14ac:dyDescent="0.25">
      <c r="A583" t="s">
        <v>87</v>
      </c>
    </row>
    <row r="584" spans="1:11" x14ac:dyDescent="0.25">
      <c r="A584">
        <v>360</v>
      </c>
      <c r="B584">
        <v>0</v>
      </c>
      <c r="C584">
        <v>37.418082041703499</v>
      </c>
      <c r="D584">
        <v>42.942843296126902</v>
      </c>
      <c r="E584">
        <v>10</v>
      </c>
      <c r="F584">
        <v>1.01722196789785</v>
      </c>
      <c r="G584" t="s">
        <v>88</v>
      </c>
      <c r="H584" t="s">
        <v>85</v>
      </c>
      <c r="I584">
        <v>1012</v>
      </c>
      <c r="J584">
        <v>0</v>
      </c>
      <c r="K584">
        <v>0</v>
      </c>
    </row>
    <row r="585" spans="1:11" x14ac:dyDescent="0.25">
      <c r="A585" t="s">
        <v>86</v>
      </c>
    </row>
    <row r="586" spans="1:11" x14ac:dyDescent="0.25">
      <c r="A586">
        <v>86.474710332566801</v>
      </c>
      <c r="B586">
        <v>119.796402987105</v>
      </c>
      <c r="C586">
        <v>2000</v>
      </c>
    </row>
    <row r="587" spans="1:11" x14ac:dyDescent="0.25">
      <c r="A587">
        <v>66.896815357686194</v>
      </c>
      <c r="B587">
        <v>100.21850801222401</v>
      </c>
      <c r="C587">
        <v>2000</v>
      </c>
    </row>
    <row r="588" spans="1:11" x14ac:dyDescent="0.25">
      <c r="A588">
        <v>60.073060108880597</v>
      </c>
      <c r="B588">
        <v>93.394752763418794</v>
      </c>
      <c r="C588">
        <v>2000</v>
      </c>
    </row>
    <row r="589" spans="1:11" x14ac:dyDescent="0.25">
      <c r="A589">
        <v>60.510076133329399</v>
      </c>
      <c r="B589">
        <v>92.957736738969999</v>
      </c>
      <c r="C589">
        <v>2001</v>
      </c>
    </row>
    <row r="590" spans="1:11" x14ac:dyDescent="0.25">
      <c r="A590">
        <v>67.333831382135003</v>
      </c>
      <c r="B590">
        <v>99.781491987775595</v>
      </c>
      <c r="C590">
        <v>2001</v>
      </c>
    </row>
    <row r="591" spans="1:11" x14ac:dyDescent="0.25">
      <c r="A591">
        <v>87.025585011009397</v>
      </c>
      <c r="B591">
        <v>119.47324561665</v>
      </c>
      <c r="C591">
        <v>2001</v>
      </c>
    </row>
    <row r="592" spans="1:11" x14ac:dyDescent="0.25">
      <c r="A592">
        <v>100.31385404029599</v>
      </c>
      <c r="B592">
        <v>132.76151464593599</v>
      </c>
      <c r="C592">
        <v>2001</v>
      </c>
    </row>
    <row r="593" spans="1:11" x14ac:dyDescent="0.25">
      <c r="A593">
        <v>117.552339394359</v>
      </c>
      <c r="B593">
        <v>150</v>
      </c>
      <c r="C593">
        <v>2001</v>
      </c>
    </row>
    <row r="594" spans="1:11" x14ac:dyDescent="0.25">
      <c r="A594">
        <v>116.678307345462</v>
      </c>
      <c r="B594">
        <v>150</v>
      </c>
      <c r="C594">
        <v>2000</v>
      </c>
    </row>
    <row r="595" spans="1:11" x14ac:dyDescent="0.25">
      <c r="A595">
        <v>99.686145959704305</v>
      </c>
      <c r="B595">
        <v>133.00783861424199</v>
      </c>
      <c r="C595">
        <v>2000</v>
      </c>
    </row>
    <row r="596" spans="1:11" x14ac:dyDescent="0.25">
      <c r="A596" t="s">
        <v>87</v>
      </c>
    </row>
    <row r="597" spans="1:11" x14ac:dyDescent="0.25">
      <c r="A597">
        <v>955</v>
      </c>
      <c r="B597">
        <v>0</v>
      </c>
      <c r="C597">
        <v>10.877578853096599</v>
      </c>
      <c r="D597">
        <v>69.189509319970796</v>
      </c>
      <c r="E597">
        <v>10</v>
      </c>
      <c r="F597">
        <v>1.01722196789785</v>
      </c>
      <c r="G597" t="s">
        <v>85</v>
      </c>
      <c r="H597" t="s">
        <v>85</v>
      </c>
      <c r="I597">
        <v>0</v>
      </c>
      <c r="J597">
        <v>0</v>
      </c>
      <c r="K597">
        <v>0.10731540376742001</v>
      </c>
    </row>
    <row r="598" spans="1:11" x14ac:dyDescent="0.25">
      <c r="A598" t="s">
        <v>86</v>
      </c>
    </row>
    <row r="599" spans="1:11" x14ac:dyDescent="0.25">
      <c r="A599">
        <v>7.4982163668130797</v>
      </c>
      <c r="B599">
        <v>101.31925139422501</v>
      </c>
      <c r="C599">
        <v>2000</v>
      </c>
    </row>
    <row r="600" spans="1:11" x14ac:dyDescent="0.25">
      <c r="A600">
        <v>6.4280301129151303</v>
      </c>
      <c r="B600">
        <v>100.249065140327</v>
      </c>
      <c r="C600">
        <v>2000</v>
      </c>
    </row>
    <row r="601" spans="1:11" x14ac:dyDescent="0.25">
      <c r="A601">
        <v>0</v>
      </c>
      <c r="B601">
        <v>93.821035027411696</v>
      </c>
      <c r="C601">
        <v>2000</v>
      </c>
    </row>
    <row r="602" spans="1:11" x14ac:dyDescent="0.25">
      <c r="A602">
        <v>0</v>
      </c>
      <c r="B602">
        <v>92.947002978514107</v>
      </c>
      <c r="C602">
        <v>2001</v>
      </c>
    </row>
    <row r="603" spans="1:11" x14ac:dyDescent="0.25">
      <c r="A603">
        <v>6.8039318811591203</v>
      </c>
      <c r="B603">
        <v>99.750934859673194</v>
      </c>
      <c r="C603">
        <v>2001</v>
      </c>
    </row>
    <row r="604" spans="1:11" x14ac:dyDescent="0.25">
      <c r="A604">
        <v>7.8850031730188697</v>
      </c>
      <c r="B604">
        <v>100.83200615153299</v>
      </c>
      <c r="C604">
        <v>2001</v>
      </c>
    </row>
    <row r="605" spans="1:11" x14ac:dyDescent="0.25">
      <c r="A605">
        <v>50.407467461629999</v>
      </c>
      <c r="B605">
        <v>143.35447044014401</v>
      </c>
      <c r="C605">
        <v>2001</v>
      </c>
    </row>
    <row r="606" spans="1:11" x14ac:dyDescent="0.25">
      <c r="A606">
        <v>57.052997021486</v>
      </c>
      <c r="B606">
        <v>150</v>
      </c>
      <c r="C606">
        <v>2001</v>
      </c>
    </row>
    <row r="607" spans="1:11" x14ac:dyDescent="0.25">
      <c r="A607">
        <v>56.178964972588297</v>
      </c>
      <c r="B607">
        <v>150</v>
      </c>
      <c r="C607">
        <v>2000</v>
      </c>
    </row>
    <row r="608" spans="1:11" x14ac:dyDescent="0.25">
      <c r="A608">
        <v>49.592532538370001</v>
      </c>
      <c r="B608">
        <v>143.41356756578199</v>
      </c>
      <c r="C608">
        <v>2000</v>
      </c>
    </row>
    <row r="609" spans="1:11" x14ac:dyDescent="0.25">
      <c r="A609" t="s">
        <v>87</v>
      </c>
    </row>
    <row r="610" spans="1:11" x14ac:dyDescent="0.25">
      <c r="A610">
        <v>771</v>
      </c>
      <c r="B610">
        <v>0</v>
      </c>
      <c r="C610">
        <v>25.9208367556338</v>
      </c>
      <c r="D610">
        <v>54.054910899007098</v>
      </c>
      <c r="E610">
        <v>10</v>
      </c>
      <c r="F610">
        <v>1.01722196789785</v>
      </c>
      <c r="G610" t="s">
        <v>88</v>
      </c>
      <c r="H610" t="s">
        <v>88</v>
      </c>
      <c r="I610">
        <v>99</v>
      </c>
      <c r="J610">
        <v>655</v>
      </c>
      <c r="K610">
        <v>0.101910405093446</v>
      </c>
    </row>
    <row r="611" spans="1:11" x14ac:dyDescent="0.25">
      <c r="A611" t="s">
        <v>86</v>
      </c>
    </row>
    <row r="612" spans="1:11" x14ac:dyDescent="0.25">
      <c r="A612">
        <v>93.544096186074697</v>
      </c>
      <c r="B612">
        <v>84.016747796454595</v>
      </c>
      <c r="C612">
        <v>2000</v>
      </c>
    </row>
    <row r="613" spans="1:11" x14ac:dyDescent="0.25">
      <c r="A613">
        <v>75.215296742136402</v>
      </c>
      <c r="B613">
        <v>65.687948352516401</v>
      </c>
      <c r="C613">
        <v>2000</v>
      </c>
    </row>
    <row r="614" spans="1:11" x14ac:dyDescent="0.25">
      <c r="A614">
        <v>74.778280717687593</v>
      </c>
      <c r="B614">
        <v>66.124964376965195</v>
      </c>
      <c r="C614">
        <v>2001</v>
      </c>
    </row>
    <row r="615" spans="1:11" x14ac:dyDescent="0.25">
      <c r="A615">
        <v>93.107080161625802</v>
      </c>
      <c r="B615">
        <v>84.453763820903404</v>
      </c>
      <c r="C615">
        <v>2001</v>
      </c>
    </row>
    <row r="616" spans="1:11" x14ac:dyDescent="0.25">
      <c r="A616">
        <v>99.781491987775595</v>
      </c>
      <c r="B616">
        <v>91.128175647053197</v>
      </c>
      <c r="C616">
        <v>2001</v>
      </c>
    </row>
    <row r="617" spans="1:11" x14ac:dyDescent="0.25">
      <c r="A617">
        <v>108.871824352947</v>
      </c>
      <c r="B617">
        <v>100.21850801222401</v>
      </c>
      <c r="C617">
        <v>2001</v>
      </c>
    </row>
    <row r="618" spans="1:11" x14ac:dyDescent="0.25">
      <c r="A618">
        <v>131.329674214748</v>
      </c>
      <c r="B618">
        <v>122.676357874026</v>
      </c>
      <c r="C618">
        <v>2001</v>
      </c>
    </row>
    <row r="619" spans="1:11" x14ac:dyDescent="0.25">
      <c r="A619">
        <v>131.766690239197</v>
      </c>
      <c r="B619">
        <v>122.239341849577</v>
      </c>
      <c r="C619">
        <v>2000</v>
      </c>
    </row>
    <row r="620" spans="1:11" x14ac:dyDescent="0.25">
      <c r="A620">
        <v>109.308840377396</v>
      </c>
      <c r="B620">
        <v>99.781491987775595</v>
      </c>
      <c r="C620">
        <v>2000</v>
      </c>
    </row>
    <row r="621" spans="1:11" x14ac:dyDescent="0.25">
      <c r="A621">
        <v>100.21850801222401</v>
      </c>
      <c r="B621">
        <v>90.691159622604403</v>
      </c>
      <c r="C621">
        <v>2000</v>
      </c>
    </row>
    <row r="622" spans="1:11" x14ac:dyDescent="0.25">
      <c r="A622" t="s">
        <v>87</v>
      </c>
    </row>
    <row r="623" spans="1:11" x14ac:dyDescent="0.25">
      <c r="A623">
        <v>791</v>
      </c>
      <c r="B623">
        <v>0</v>
      </c>
      <c r="C623">
        <v>2.7464997329280001</v>
      </c>
      <c r="D623">
        <v>76.188441559219896</v>
      </c>
      <c r="E623">
        <v>12</v>
      </c>
      <c r="F623">
        <v>1.01722196789785</v>
      </c>
      <c r="G623" t="s">
        <v>88</v>
      </c>
      <c r="H623" t="s">
        <v>85</v>
      </c>
      <c r="I623">
        <v>519</v>
      </c>
      <c r="J623">
        <v>0</v>
      </c>
      <c r="K623">
        <v>0.102156287543144</v>
      </c>
    </row>
    <row r="624" spans="1:11" x14ac:dyDescent="0.25">
      <c r="A624" t="s">
        <v>86</v>
      </c>
    </row>
    <row r="625" spans="1:11" x14ac:dyDescent="0.25">
      <c r="A625">
        <v>48.518761045079799</v>
      </c>
      <c r="B625">
        <v>96.345144337665104</v>
      </c>
      <c r="C625">
        <v>2000</v>
      </c>
    </row>
    <row r="626" spans="1:11" x14ac:dyDescent="0.25">
      <c r="A626">
        <v>46.576692459399403</v>
      </c>
      <c r="B626">
        <v>94.403075751984602</v>
      </c>
      <c r="C626">
        <v>2000</v>
      </c>
    </row>
    <row r="627" spans="1:11" x14ac:dyDescent="0.25">
      <c r="A627">
        <v>47.013708483848198</v>
      </c>
      <c r="B627">
        <v>93.966059727535793</v>
      </c>
      <c r="C627">
        <v>2001</v>
      </c>
    </row>
    <row r="628" spans="1:11" x14ac:dyDescent="0.25">
      <c r="A628">
        <v>48.9557770695287</v>
      </c>
      <c r="B628">
        <v>95.908128313216295</v>
      </c>
      <c r="C628">
        <v>2001</v>
      </c>
    </row>
    <row r="629" spans="1:11" x14ac:dyDescent="0.25">
      <c r="A629">
        <v>50.218508012224397</v>
      </c>
      <c r="B629">
        <v>97.170859255912006</v>
      </c>
      <c r="C629">
        <v>2001</v>
      </c>
    </row>
    <row r="630" spans="1:11" x14ac:dyDescent="0.25">
      <c r="A630">
        <v>52.829140744088001</v>
      </c>
      <c r="B630">
        <v>99.781491987775595</v>
      </c>
      <c r="C630">
        <v>2001</v>
      </c>
    </row>
    <row r="631" spans="1:11" x14ac:dyDescent="0.25">
      <c r="A631">
        <v>100.425607141071</v>
      </c>
      <c r="B631">
        <v>147.37795838475901</v>
      </c>
      <c r="C631">
        <v>2001</v>
      </c>
    </row>
    <row r="632" spans="1:11" x14ac:dyDescent="0.25">
      <c r="A632">
        <v>103.047648756312</v>
      </c>
      <c r="B632">
        <v>150</v>
      </c>
      <c r="C632">
        <v>2001</v>
      </c>
    </row>
    <row r="633" spans="1:11" x14ac:dyDescent="0.25">
      <c r="A633">
        <v>102.17361670741499</v>
      </c>
      <c r="B633">
        <v>150</v>
      </c>
      <c r="C633">
        <v>2000</v>
      </c>
    </row>
    <row r="634" spans="1:11" x14ac:dyDescent="0.25">
      <c r="A634">
        <v>99.574392858928903</v>
      </c>
      <c r="B634">
        <v>147.40077615151401</v>
      </c>
      <c r="C634">
        <v>2000</v>
      </c>
    </row>
    <row r="635" spans="1:11" x14ac:dyDescent="0.25">
      <c r="A635">
        <v>52.392124719639199</v>
      </c>
      <c r="B635">
        <v>100.21850801222401</v>
      </c>
      <c r="C635">
        <v>2000</v>
      </c>
    </row>
    <row r="636" spans="1:11" x14ac:dyDescent="0.25">
      <c r="A636">
        <v>49.781491987775603</v>
      </c>
      <c r="B636">
        <v>97.607875280360801</v>
      </c>
      <c r="C636">
        <v>2000</v>
      </c>
    </row>
    <row r="637" spans="1:11" x14ac:dyDescent="0.25">
      <c r="A637" t="s">
        <v>87</v>
      </c>
    </row>
    <row r="638" spans="1:11" x14ac:dyDescent="0.25">
      <c r="A638">
        <v>835</v>
      </c>
      <c r="B638">
        <v>0</v>
      </c>
      <c r="C638">
        <v>34.819295255326999</v>
      </c>
      <c r="D638">
        <v>44.043425433529499</v>
      </c>
      <c r="E638">
        <v>10</v>
      </c>
      <c r="F638">
        <v>1.01722196789785</v>
      </c>
      <c r="G638" t="s">
        <v>88</v>
      </c>
      <c r="H638" t="s">
        <v>88</v>
      </c>
      <c r="I638">
        <v>100</v>
      </c>
      <c r="J638">
        <v>657</v>
      </c>
      <c r="K638">
        <v>0.103306082875794</v>
      </c>
    </row>
    <row r="639" spans="1:11" x14ac:dyDescent="0.25">
      <c r="A639" t="s">
        <v>86</v>
      </c>
    </row>
    <row r="640" spans="1:11" x14ac:dyDescent="0.25">
      <c r="A640">
        <v>99.827124985315606</v>
      </c>
      <c r="B640">
        <v>111.856208405861</v>
      </c>
      <c r="C640">
        <v>2000</v>
      </c>
    </row>
    <row r="641" spans="1:11" x14ac:dyDescent="0.25">
      <c r="A641">
        <v>87.752408567230603</v>
      </c>
      <c r="B641">
        <v>99.781491987775595</v>
      </c>
      <c r="C641">
        <v>2000</v>
      </c>
    </row>
    <row r="642" spans="1:11" x14ac:dyDescent="0.25">
      <c r="A642">
        <v>75.206165194137299</v>
      </c>
      <c r="B642">
        <v>87.235248614682305</v>
      </c>
      <c r="C642">
        <v>2000</v>
      </c>
    </row>
    <row r="643" spans="1:11" x14ac:dyDescent="0.25">
      <c r="A643">
        <v>74.769149169688504</v>
      </c>
      <c r="B643">
        <v>87.6722646391311</v>
      </c>
      <c r="C643">
        <v>2001</v>
      </c>
    </row>
    <row r="644" spans="1:11" x14ac:dyDescent="0.25">
      <c r="A644">
        <v>87.315392542781794</v>
      </c>
      <c r="B644">
        <v>100.21850801222401</v>
      </c>
      <c r="C644">
        <v>2001</v>
      </c>
    </row>
    <row r="645" spans="1:11" x14ac:dyDescent="0.25">
      <c r="A645">
        <v>99.390108960866797</v>
      </c>
      <c r="B645">
        <v>112.293224430309</v>
      </c>
      <c r="C645">
        <v>2001</v>
      </c>
    </row>
    <row r="646" spans="1:11" x14ac:dyDescent="0.25">
      <c r="A646">
        <v>99.781491987775595</v>
      </c>
      <c r="B646">
        <v>112.68460745721799</v>
      </c>
      <c r="C646">
        <v>2001</v>
      </c>
    </row>
    <row r="647" spans="1:11" x14ac:dyDescent="0.25">
      <c r="A647">
        <v>130.5335137516</v>
      </c>
      <c r="B647">
        <v>143.43662922104201</v>
      </c>
      <c r="C647">
        <v>2001</v>
      </c>
    </row>
    <row r="648" spans="1:11" x14ac:dyDescent="0.25">
      <c r="A648">
        <v>130.97052977604801</v>
      </c>
      <c r="B648">
        <v>142.999613196593</v>
      </c>
      <c r="C648">
        <v>2000</v>
      </c>
    </row>
    <row r="649" spans="1:11" x14ac:dyDescent="0.25">
      <c r="A649">
        <v>100.21850801222401</v>
      </c>
      <c r="B649">
        <v>112.247591432769</v>
      </c>
      <c r="C649">
        <v>2000</v>
      </c>
    </row>
    <row r="650" spans="1:11" x14ac:dyDescent="0.25">
      <c r="A650" t="s">
        <v>87</v>
      </c>
    </row>
    <row r="651" spans="1:11" x14ac:dyDescent="0.25">
      <c r="A651">
        <v>664</v>
      </c>
      <c r="B651">
        <v>0</v>
      </c>
      <c r="C651">
        <v>39.088663734590902</v>
      </c>
      <c r="D651">
        <v>38.444195137698799</v>
      </c>
      <c r="E651">
        <v>10</v>
      </c>
      <c r="F651">
        <v>1.01722196789785</v>
      </c>
      <c r="G651" t="s">
        <v>88</v>
      </c>
      <c r="H651" t="s">
        <v>85</v>
      </c>
      <c r="I651">
        <v>113</v>
      </c>
      <c r="J651">
        <v>0</v>
      </c>
      <c r="K651">
        <v>0</v>
      </c>
    </row>
    <row r="652" spans="1:11" x14ac:dyDescent="0.25">
      <c r="A652" t="s">
        <v>86</v>
      </c>
    </row>
    <row r="653" spans="1:11" x14ac:dyDescent="0.25">
      <c r="A653">
        <v>122.665431091462</v>
      </c>
      <c r="B653">
        <v>112.592146172977</v>
      </c>
      <c r="C653">
        <v>2000</v>
      </c>
    </row>
    <row r="654" spans="1:11" x14ac:dyDescent="0.25">
      <c r="A654">
        <v>110.29179293071</v>
      </c>
      <c r="B654">
        <v>100.21850801222401</v>
      </c>
      <c r="C654">
        <v>2000</v>
      </c>
    </row>
    <row r="655" spans="1:11" x14ac:dyDescent="0.25">
      <c r="A655">
        <v>99.781491987775595</v>
      </c>
      <c r="B655">
        <v>89.708207069290097</v>
      </c>
      <c r="C655">
        <v>2000</v>
      </c>
    </row>
    <row r="656" spans="1:11" x14ac:dyDescent="0.25">
      <c r="A656">
        <v>94.957481714399904</v>
      </c>
      <c r="B656">
        <v>84.884196795914505</v>
      </c>
      <c r="C656">
        <v>2000</v>
      </c>
    </row>
    <row r="657" spans="1:11" x14ac:dyDescent="0.25">
      <c r="A657">
        <v>95.394497738848798</v>
      </c>
      <c r="B657">
        <v>84.447180771465696</v>
      </c>
      <c r="C657">
        <v>2001</v>
      </c>
    </row>
    <row r="658" spans="1:11" x14ac:dyDescent="0.25">
      <c r="A658">
        <v>100.21850801222401</v>
      </c>
      <c r="B658">
        <v>89.271191044841302</v>
      </c>
      <c r="C658">
        <v>2001</v>
      </c>
    </row>
    <row r="659" spans="1:11" x14ac:dyDescent="0.25">
      <c r="A659">
        <v>110.728808955159</v>
      </c>
      <c r="B659">
        <v>99.781491987775595</v>
      </c>
      <c r="C659">
        <v>2001</v>
      </c>
    </row>
    <row r="660" spans="1:11" x14ac:dyDescent="0.25">
      <c r="A660">
        <v>122.96626675028701</v>
      </c>
      <c r="B660">
        <v>112.01894978290299</v>
      </c>
      <c r="C660">
        <v>2001</v>
      </c>
    </row>
    <row r="661" spans="1:11" x14ac:dyDescent="0.25">
      <c r="A661">
        <v>150</v>
      </c>
      <c r="B661">
        <v>139.05268303261701</v>
      </c>
      <c r="C661">
        <v>2001</v>
      </c>
    </row>
    <row r="662" spans="1:11" x14ac:dyDescent="0.25">
      <c r="A662">
        <v>150</v>
      </c>
      <c r="B662">
        <v>139.926715081515</v>
      </c>
      <c r="C662">
        <v>2000</v>
      </c>
    </row>
    <row r="663" spans="1:11" x14ac:dyDescent="0.25">
      <c r="A663" t="s">
        <v>87</v>
      </c>
    </row>
    <row r="664" spans="1:11" x14ac:dyDescent="0.25">
      <c r="A664">
        <v>728</v>
      </c>
      <c r="B664">
        <v>0</v>
      </c>
      <c r="C664">
        <v>65.872004036461206</v>
      </c>
      <c r="D664">
        <v>11.6214312123524</v>
      </c>
      <c r="E664">
        <v>10</v>
      </c>
      <c r="F664">
        <v>1.01722196789785</v>
      </c>
      <c r="G664" t="s">
        <v>85</v>
      </c>
      <c r="H664" t="s">
        <v>88</v>
      </c>
      <c r="I664">
        <v>0</v>
      </c>
      <c r="J664">
        <v>1005</v>
      </c>
      <c r="K664">
        <v>0.100785207567138</v>
      </c>
    </row>
    <row r="665" spans="1:11" x14ac:dyDescent="0.25">
      <c r="A665" t="s">
        <v>86</v>
      </c>
    </row>
    <row r="666" spans="1:11" x14ac:dyDescent="0.25">
      <c r="A666">
        <v>46.7833216151719</v>
      </c>
      <c r="B666">
        <v>119.981455116032</v>
      </c>
      <c r="C666">
        <v>2000</v>
      </c>
    </row>
    <row r="667" spans="1:11" x14ac:dyDescent="0.25">
      <c r="A667">
        <v>26.488532560427299</v>
      </c>
      <c r="B667">
        <v>99.686666061287099</v>
      </c>
      <c r="C667">
        <v>2000</v>
      </c>
    </row>
    <row r="668" spans="1:11" x14ac:dyDescent="0.25">
      <c r="A668">
        <v>0</v>
      </c>
      <c r="B668">
        <v>73.198133500859797</v>
      </c>
      <c r="C668">
        <v>2000</v>
      </c>
    </row>
    <row r="669" spans="1:11" x14ac:dyDescent="0.25">
      <c r="A669">
        <v>0</v>
      </c>
      <c r="B669">
        <v>74.0721655497575</v>
      </c>
      <c r="C669">
        <v>2001</v>
      </c>
    </row>
    <row r="670" spans="1:11" x14ac:dyDescent="0.25">
      <c r="A670">
        <v>26.241168388955501</v>
      </c>
      <c r="B670">
        <v>100.313333938713</v>
      </c>
      <c r="C670">
        <v>2001</v>
      </c>
    </row>
    <row r="671" spans="1:11" x14ac:dyDescent="0.25">
      <c r="A671">
        <v>46.373759873886797</v>
      </c>
      <c r="B671">
        <v>120.445925423644</v>
      </c>
      <c r="C671">
        <v>2001</v>
      </c>
    </row>
    <row r="672" spans="1:11" x14ac:dyDescent="0.25">
      <c r="A672">
        <v>49.781491987775603</v>
      </c>
      <c r="B672">
        <v>123.853657537533</v>
      </c>
      <c r="C672">
        <v>2001</v>
      </c>
    </row>
    <row r="673" spans="1:11" x14ac:dyDescent="0.25">
      <c r="A673">
        <v>54.577625549652304</v>
      </c>
      <c r="B673">
        <v>128.64979109941001</v>
      </c>
      <c r="C673">
        <v>2001</v>
      </c>
    </row>
    <row r="674" spans="1:11" x14ac:dyDescent="0.25">
      <c r="A674">
        <v>55.014641574101198</v>
      </c>
      <c r="B674">
        <v>128.212775074961</v>
      </c>
      <c r="C674">
        <v>2000</v>
      </c>
    </row>
    <row r="675" spans="1:11" x14ac:dyDescent="0.25">
      <c r="A675">
        <v>50.218508012224397</v>
      </c>
      <c r="B675">
        <v>123.416641513084</v>
      </c>
      <c r="C675">
        <v>2000</v>
      </c>
    </row>
    <row r="676" spans="1:11" x14ac:dyDescent="0.25">
      <c r="A676" t="s">
        <v>87</v>
      </c>
    </row>
    <row r="677" spans="1:11" x14ac:dyDescent="0.25">
      <c r="A677">
        <v>925</v>
      </c>
      <c r="B677">
        <v>0</v>
      </c>
      <c r="C677">
        <v>72.464051818304</v>
      </c>
      <c r="D677">
        <v>5.0183489976501798</v>
      </c>
      <c r="E677">
        <v>10</v>
      </c>
      <c r="F677">
        <v>1.01722196789785</v>
      </c>
      <c r="G677" t="s">
        <v>85</v>
      </c>
      <c r="H677" t="s">
        <v>88</v>
      </c>
      <c r="I677">
        <v>0</v>
      </c>
      <c r="J677">
        <v>190</v>
      </c>
      <c r="K677">
        <v>0.105605243465119</v>
      </c>
    </row>
    <row r="678" spans="1:11" x14ac:dyDescent="0.25">
      <c r="A678" t="s">
        <v>86</v>
      </c>
    </row>
    <row r="679" spans="1:11" x14ac:dyDescent="0.25">
      <c r="A679">
        <v>90.044677423804202</v>
      </c>
      <c r="B679">
        <v>51.458330445200502</v>
      </c>
      <c r="C679">
        <v>2000</v>
      </c>
    </row>
    <row r="680" spans="1:11" x14ac:dyDescent="0.25">
      <c r="A680">
        <v>88.804854990828105</v>
      </c>
      <c r="B680">
        <v>50.218508012224397</v>
      </c>
      <c r="C680">
        <v>2000</v>
      </c>
    </row>
    <row r="681" spans="1:11" x14ac:dyDescent="0.25">
      <c r="A681">
        <v>49.610953638173399</v>
      </c>
      <c r="B681">
        <v>11.0246066595698</v>
      </c>
      <c r="C681">
        <v>2000</v>
      </c>
    </row>
    <row r="682" spans="1:11" x14ac:dyDescent="0.25">
      <c r="A682">
        <v>38.586346978603601</v>
      </c>
      <c r="B682">
        <v>0</v>
      </c>
      <c r="C682">
        <v>2000</v>
      </c>
    </row>
    <row r="683" spans="1:11" x14ac:dyDescent="0.25">
      <c r="A683">
        <v>39.460379027501197</v>
      </c>
      <c r="B683">
        <v>0</v>
      </c>
      <c r="C683">
        <v>2001</v>
      </c>
    </row>
    <row r="684" spans="1:11" x14ac:dyDescent="0.25">
      <c r="A684">
        <v>50.389046361826601</v>
      </c>
      <c r="B684">
        <v>10.928667334325301</v>
      </c>
      <c r="C684">
        <v>2001</v>
      </c>
    </row>
    <row r="685" spans="1:11" x14ac:dyDescent="0.25">
      <c r="A685">
        <v>89.241871015276899</v>
      </c>
      <c r="B685">
        <v>49.781491987775603</v>
      </c>
      <c r="C685">
        <v>2001</v>
      </c>
    </row>
    <row r="686" spans="1:11" x14ac:dyDescent="0.25">
      <c r="A686">
        <v>90.481693448252997</v>
      </c>
      <c r="B686">
        <v>51.0213144207517</v>
      </c>
      <c r="C686">
        <v>2001</v>
      </c>
    </row>
    <row r="687" spans="1:11" x14ac:dyDescent="0.25">
      <c r="A687">
        <v>94.030202054852197</v>
      </c>
      <c r="B687">
        <v>54.5698230273509</v>
      </c>
      <c r="C687">
        <v>2001</v>
      </c>
    </row>
    <row r="688" spans="1:11" x14ac:dyDescent="0.25">
      <c r="A688">
        <v>93.593186030403402</v>
      </c>
      <c r="B688">
        <v>55.006839051799702</v>
      </c>
      <c r="C688">
        <v>2000</v>
      </c>
    </row>
    <row r="689" spans="1:11" x14ac:dyDescent="0.25">
      <c r="A689" t="s">
        <v>87</v>
      </c>
    </row>
    <row r="690" spans="1:11" x14ac:dyDescent="0.25">
      <c r="A690">
        <v>871</v>
      </c>
      <c r="B690">
        <v>0</v>
      </c>
      <c r="C690">
        <v>9.5997664517361692</v>
      </c>
      <c r="D690">
        <v>67.8487159938161</v>
      </c>
      <c r="E690">
        <v>10</v>
      </c>
      <c r="F690">
        <v>1.01722196789785</v>
      </c>
      <c r="G690" t="s">
        <v>85</v>
      </c>
      <c r="H690" t="s">
        <v>85</v>
      </c>
      <c r="I690">
        <v>0</v>
      </c>
      <c r="J690">
        <v>0</v>
      </c>
      <c r="K690">
        <v>0.104333136997122</v>
      </c>
    </row>
    <row r="691" spans="1:11" x14ac:dyDescent="0.25">
      <c r="A691" t="s">
        <v>86</v>
      </c>
    </row>
    <row r="692" spans="1:11" x14ac:dyDescent="0.25">
      <c r="A692">
        <v>6.9531435318781396</v>
      </c>
      <c r="B692">
        <v>101.751780377572</v>
      </c>
      <c r="C692">
        <v>2000</v>
      </c>
    </row>
    <row r="693" spans="1:11" x14ac:dyDescent="0.25">
      <c r="A693">
        <v>4.9177117182178103</v>
      </c>
      <c r="B693">
        <v>99.716348563911694</v>
      </c>
      <c r="C693">
        <v>2000</v>
      </c>
    </row>
    <row r="694" spans="1:11" x14ac:dyDescent="0.25">
      <c r="A694">
        <v>0</v>
      </c>
      <c r="B694">
        <v>94.798636845693906</v>
      </c>
      <c r="C694">
        <v>2000</v>
      </c>
    </row>
    <row r="695" spans="1:11" x14ac:dyDescent="0.25">
      <c r="A695">
        <v>0</v>
      </c>
      <c r="B695">
        <v>95.672668894591496</v>
      </c>
      <c r="C695">
        <v>2001</v>
      </c>
    </row>
    <row r="696" spans="1:11" x14ac:dyDescent="0.25">
      <c r="A696">
        <v>4.6109825414968197</v>
      </c>
      <c r="B696">
        <v>100.28365143608799</v>
      </c>
      <c r="C696">
        <v>2001</v>
      </c>
    </row>
    <row r="697" spans="1:11" x14ac:dyDescent="0.25">
      <c r="A697">
        <v>6.6229763797814201</v>
      </c>
      <c r="B697">
        <v>102.295645274373</v>
      </c>
      <c r="C697">
        <v>2001</v>
      </c>
    </row>
    <row r="698" spans="1:11" x14ac:dyDescent="0.25">
      <c r="A698">
        <v>49.584683195774602</v>
      </c>
      <c r="B698">
        <v>145.257352090366</v>
      </c>
      <c r="C698">
        <v>2001</v>
      </c>
    </row>
    <row r="699" spans="1:11" x14ac:dyDescent="0.25">
      <c r="A699">
        <v>54.327331105408497</v>
      </c>
      <c r="B699">
        <v>150</v>
      </c>
      <c r="C699">
        <v>2001</v>
      </c>
    </row>
    <row r="700" spans="1:11" x14ac:dyDescent="0.25">
      <c r="A700">
        <v>55.2013631543062</v>
      </c>
      <c r="B700">
        <v>150</v>
      </c>
      <c r="C700">
        <v>2000</v>
      </c>
    </row>
    <row r="701" spans="1:11" x14ac:dyDescent="0.25">
      <c r="A701">
        <v>50.415316804225398</v>
      </c>
      <c r="B701">
        <v>145.21395364991901</v>
      </c>
      <c r="C701">
        <v>2000</v>
      </c>
    </row>
    <row r="702" spans="1:11" x14ac:dyDescent="0.25">
      <c r="A702" t="s">
        <v>87</v>
      </c>
    </row>
    <row r="703" spans="1:11" x14ac:dyDescent="0.25">
      <c r="A703">
        <v>949</v>
      </c>
      <c r="B703">
        <v>0</v>
      </c>
      <c r="C703">
        <v>69.011840053780105</v>
      </c>
      <c r="D703">
        <v>7.8000430395773304</v>
      </c>
      <c r="E703">
        <v>10</v>
      </c>
      <c r="F703">
        <v>1.01722196789785</v>
      </c>
      <c r="G703" t="s">
        <v>88</v>
      </c>
      <c r="H703" t="s">
        <v>85</v>
      </c>
      <c r="I703">
        <v>488</v>
      </c>
      <c r="J703">
        <v>0</v>
      </c>
      <c r="K703">
        <v>0.106877891620739</v>
      </c>
    </row>
    <row r="704" spans="1:11" x14ac:dyDescent="0.25">
      <c r="A704" t="s">
        <v>86</v>
      </c>
    </row>
    <row r="705" spans="1:11" x14ac:dyDescent="0.25">
      <c r="A705">
        <v>89.642120028243298</v>
      </c>
      <c r="B705">
        <v>144.510984375866</v>
      </c>
      <c r="C705">
        <v>2000</v>
      </c>
    </row>
    <row r="706" spans="1:11" x14ac:dyDescent="0.25">
      <c r="A706">
        <v>49.781491987775603</v>
      </c>
      <c r="B706">
        <v>104.650356335398</v>
      </c>
      <c r="C706">
        <v>2000</v>
      </c>
    </row>
    <row r="707" spans="1:11" x14ac:dyDescent="0.25">
      <c r="A707">
        <v>45.3496436646018</v>
      </c>
      <c r="B707">
        <v>100.21850801222401</v>
      </c>
      <c r="C707">
        <v>2000</v>
      </c>
    </row>
    <row r="708" spans="1:11" x14ac:dyDescent="0.25">
      <c r="A708">
        <v>41.035440253580497</v>
      </c>
      <c r="B708">
        <v>95.904304601203094</v>
      </c>
      <c r="C708">
        <v>2000</v>
      </c>
    </row>
    <row r="709" spans="1:11" x14ac:dyDescent="0.25">
      <c r="A709">
        <v>41.472456278029298</v>
      </c>
      <c r="B709">
        <v>95.467288576754299</v>
      </c>
      <c r="C709">
        <v>2001</v>
      </c>
    </row>
    <row r="710" spans="1:11" x14ac:dyDescent="0.25">
      <c r="A710">
        <v>45.786659689050602</v>
      </c>
      <c r="B710">
        <v>99.781491987775595</v>
      </c>
      <c r="C710">
        <v>2001</v>
      </c>
    </row>
    <row r="711" spans="1:11" x14ac:dyDescent="0.25">
      <c r="A711">
        <v>50.218508012224397</v>
      </c>
      <c r="B711">
        <v>104.21334031094899</v>
      </c>
      <c r="C711">
        <v>2001</v>
      </c>
    </row>
    <row r="712" spans="1:11" x14ac:dyDescent="0.25">
      <c r="A712">
        <v>90.4632566717451</v>
      </c>
      <c r="B712">
        <v>144.45808897046999</v>
      </c>
      <c r="C712">
        <v>2001</v>
      </c>
    </row>
    <row r="713" spans="1:11" x14ac:dyDescent="0.25">
      <c r="A713">
        <v>96.005167701275099</v>
      </c>
      <c r="B713">
        <v>150</v>
      </c>
      <c r="C713">
        <v>2001</v>
      </c>
    </row>
    <row r="714" spans="1:11" x14ac:dyDescent="0.25">
      <c r="A714">
        <v>95.131135652377495</v>
      </c>
      <c r="B714">
        <v>150</v>
      </c>
      <c r="C714">
        <v>2000</v>
      </c>
    </row>
    <row r="715" spans="1:11" x14ac:dyDescent="0.25">
      <c r="A715" t="s">
        <v>87</v>
      </c>
    </row>
    <row r="716" spans="1:11" x14ac:dyDescent="0.25">
      <c r="A716">
        <v>885</v>
      </c>
      <c r="B716">
        <v>0</v>
      </c>
      <c r="C716">
        <v>68.2698191844825</v>
      </c>
      <c r="D716">
        <v>8.4225075853722302</v>
      </c>
      <c r="E716">
        <v>10</v>
      </c>
      <c r="F716">
        <v>1.01722196789785</v>
      </c>
      <c r="G716" t="s">
        <v>85</v>
      </c>
      <c r="H716" t="s">
        <v>88</v>
      </c>
      <c r="I716">
        <v>0</v>
      </c>
      <c r="J716">
        <v>892</v>
      </c>
      <c r="K716">
        <v>0.104525721151597</v>
      </c>
    </row>
    <row r="717" spans="1:11" x14ac:dyDescent="0.25">
      <c r="A717" t="s">
        <v>86</v>
      </c>
    </row>
    <row r="718" spans="1:11" x14ac:dyDescent="0.25">
      <c r="A718">
        <v>48.0628120283857</v>
      </c>
      <c r="B718">
        <v>123.267916054019</v>
      </c>
      <c r="C718">
        <v>2000</v>
      </c>
    </row>
    <row r="719" spans="1:11" x14ac:dyDescent="0.25">
      <c r="A719">
        <v>25.117702093159799</v>
      </c>
      <c r="B719">
        <v>100.322806118793</v>
      </c>
      <c r="C719">
        <v>2000</v>
      </c>
    </row>
    <row r="720" spans="1:11" x14ac:dyDescent="0.25">
      <c r="A720">
        <v>0</v>
      </c>
      <c r="B720">
        <v>75.205104025633105</v>
      </c>
      <c r="C720">
        <v>2000</v>
      </c>
    </row>
    <row r="721" spans="1:11" x14ac:dyDescent="0.25">
      <c r="A721">
        <v>0</v>
      </c>
      <c r="B721">
        <v>74.331071976735402</v>
      </c>
      <c r="C721">
        <v>2001</v>
      </c>
    </row>
    <row r="722" spans="1:11" x14ac:dyDescent="0.25">
      <c r="A722">
        <v>25.346121904471701</v>
      </c>
      <c r="B722">
        <v>99.677193881207103</v>
      </c>
      <c r="C722">
        <v>2001</v>
      </c>
    </row>
    <row r="723" spans="1:11" x14ac:dyDescent="0.25">
      <c r="A723">
        <v>48.485292163068401</v>
      </c>
      <c r="B723">
        <v>122.81636413980399</v>
      </c>
      <c r="C723">
        <v>2001</v>
      </c>
    </row>
    <row r="724" spans="1:11" x14ac:dyDescent="0.25">
      <c r="A724">
        <v>50.218508012224397</v>
      </c>
      <c r="B724">
        <v>124.54957998896001</v>
      </c>
      <c r="C724">
        <v>2001</v>
      </c>
    </row>
    <row r="725" spans="1:11" x14ac:dyDescent="0.25">
      <c r="A725">
        <v>54.448172336163303</v>
      </c>
      <c r="B725">
        <v>128.77924431289901</v>
      </c>
      <c r="C725">
        <v>2001</v>
      </c>
    </row>
    <row r="726" spans="1:11" x14ac:dyDescent="0.25">
      <c r="A726">
        <v>54.011156311714501</v>
      </c>
      <c r="B726">
        <v>129.21626033734799</v>
      </c>
      <c r="C726">
        <v>2000</v>
      </c>
    </row>
    <row r="727" spans="1:11" x14ac:dyDescent="0.25">
      <c r="A727">
        <v>49.781491987775603</v>
      </c>
      <c r="B727">
        <v>124.986596013409</v>
      </c>
      <c r="C727">
        <v>2000</v>
      </c>
    </row>
    <row r="728" spans="1:11" x14ac:dyDescent="0.25">
      <c r="A728" t="s">
        <v>87</v>
      </c>
    </row>
    <row r="729" spans="1:11" x14ac:dyDescent="0.25">
      <c r="A729">
        <v>961</v>
      </c>
      <c r="B729">
        <v>0</v>
      </c>
      <c r="C729">
        <v>13.430136056716099</v>
      </c>
      <c r="D729">
        <v>62.514834814780798</v>
      </c>
      <c r="E729">
        <v>10</v>
      </c>
      <c r="F729">
        <v>1.01722196789785</v>
      </c>
      <c r="G729" t="s">
        <v>85</v>
      </c>
      <c r="H729" t="s">
        <v>88</v>
      </c>
      <c r="I729">
        <v>0</v>
      </c>
      <c r="J729">
        <v>329</v>
      </c>
      <c r="K729">
        <v>0.107734454235453</v>
      </c>
    </row>
    <row r="730" spans="1:11" x14ac:dyDescent="0.25">
      <c r="A730" t="s">
        <v>86</v>
      </c>
    </row>
    <row r="731" spans="1:11" x14ac:dyDescent="0.25">
      <c r="A731">
        <v>9.2811126327302098</v>
      </c>
      <c r="B731">
        <v>100.085798800373</v>
      </c>
      <c r="C731">
        <v>2000</v>
      </c>
    </row>
    <row r="732" spans="1:11" x14ac:dyDescent="0.25">
      <c r="A732">
        <v>0</v>
      </c>
      <c r="B732">
        <v>90.804686167643197</v>
      </c>
      <c r="C732">
        <v>2000</v>
      </c>
    </row>
    <row r="733" spans="1:11" x14ac:dyDescent="0.25">
      <c r="A733">
        <v>0</v>
      </c>
      <c r="B733">
        <v>89.930654118745494</v>
      </c>
      <c r="C733">
        <v>2001</v>
      </c>
    </row>
    <row r="734" spans="1:11" x14ac:dyDescent="0.25">
      <c r="A734">
        <v>9.7119679231935798</v>
      </c>
      <c r="B734">
        <v>99.642622041939106</v>
      </c>
      <c r="C734">
        <v>2001</v>
      </c>
    </row>
    <row r="735" spans="1:11" x14ac:dyDescent="0.25">
      <c r="A735">
        <v>9.8508378690300606</v>
      </c>
      <c r="B735">
        <v>99.781491987775595</v>
      </c>
      <c r="C735">
        <v>2001</v>
      </c>
    </row>
    <row r="736" spans="1:11" x14ac:dyDescent="0.25">
      <c r="A736">
        <v>50.218508012224397</v>
      </c>
      <c r="B736">
        <v>140.14916213097001</v>
      </c>
      <c r="C736">
        <v>2001</v>
      </c>
    </row>
    <row r="737" spans="1:11" x14ac:dyDescent="0.25">
      <c r="A737">
        <v>53.919711912474703</v>
      </c>
      <c r="B737">
        <v>143.85036603122001</v>
      </c>
      <c r="C737">
        <v>2001</v>
      </c>
    </row>
    <row r="738" spans="1:11" x14ac:dyDescent="0.25">
      <c r="A738">
        <v>53.482695888025802</v>
      </c>
      <c r="B738">
        <v>144.28738205566901</v>
      </c>
      <c r="C738">
        <v>2000</v>
      </c>
    </row>
    <row r="739" spans="1:11" x14ac:dyDescent="0.25">
      <c r="A739">
        <v>49.781491987775603</v>
      </c>
      <c r="B739">
        <v>140.58617815541899</v>
      </c>
      <c r="C739">
        <v>2000</v>
      </c>
    </row>
    <row r="740" spans="1:11" x14ac:dyDescent="0.25">
      <c r="A740">
        <v>9.4138218445812392</v>
      </c>
      <c r="B740">
        <v>100.21850801222401</v>
      </c>
      <c r="C740">
        <v>2000</v>
      </c>
    </row>
    <row r="741" spans="1:11" x14ac:dyDescent="0.25">
      <c r="A741" t="s">
        <v>87</v>
      </c>
    </row>
    <row r="742" spans="1:11" x14ac:dyDescent="0.25">
      <c r="A742">
        <v>438</v>
      </c>
      <c r="B742">
        <v>0</v>
      </c>
      <c r="C742">
        <v>68.960495100075406</v>
      </c>
      <c r="D742">
        <v>5.7617640661833001</v>
      </c>
      <c r="E742">
        <v>10</v>
      </c>
      <c r="F742">
        <v>1.01722196789785</v>
      </c>
      <c r="G742" t="s">
        <v>85</v>
      </c>
      <c r="H742" t="s">
        <v>88</v>
      </c>
      <c r="I742">
        <v>0</v>
      </c>
      <c r="J742">
        <v>186</v>
      </c>
      <c r="K742">
        <v>0</v>
      </c>
    </row>
    <row r="743" spans="1:11" x14ac:dyDescent="0.25">
      <c r="A743" t="s">
        <v>86</v>
      </c>
    </row>
    <row r="744" spans="1:11" x14ac:dyDescent="0.25">
      <c r="A744">
        <v>111.590524552205</v>
      </c>
      <c r="B744">
        <v>48.5489268408068</v>
      </c>
      <c r="C744">
        <v>2000</v>
      </c>
    </row>
    <row r="745" spans="1:11" x14ac:dyDescent="0.25">
      <c r="A745">
        <v>100.269444435038</v>
      </c>
      <c r="B745">
        <v>37.227846723639303</v>
      </c>
      <c r="C745">
        <v>2000</v>
      </c>
    </row>
    <row r="746" spans="1:11" x14ac:dyDescent="0.25">
      <c r="A746">
        <v>63.041597711398403</v>
      </c>
      <c r="B746">
        <v>0</v>
      </c>
      <c r="C746">
        <v>2000</v>
      </c>
    </row>
    <row r="747" spans="1:11" x14ac:dyDescent="0.25">
      <c r="A747">
        <v>62.167565662500799</v>
      </c>
      <c r="B747">
        <v>0</v>
      </c>
      <c r="C747">
        <v>2001</v>
      </c>
    </row>
    <row r="748" spans="1:11" x14ac:dyDescent="0.25">
      <c r="A748">
        <v>99.730555564962202</v>
      </c>
      <c r="B748">
        <v>37.562989902461403</v>
      </c>
      <c r="C748">
        <v>2001</v>
      </c>
    </row>
    <row r="749" spans="1:11" x14ac:dyDescent="0.25">
      <c r="A749">
        <v>111.143506260184</v>
      </c>
      <c r="B749">
        <v>48.975940597683099</v>
      </c>
      <c r="C749">
        <v>2001</v>
      </c>
    </row>
    <row r="750" spans="1:11" x14ac:dyDescent="0.25">
      <c r="A750">
        <v>112.386073674725</v>
      </c>
      <c r="B750">
        <v>50.218508012224397</v>
      </c>
      <c r="C750">
        <v>2001</v>
      </c>
    </row>
    <row r="751" spans="1:11" x14ac:dyDescent="0.25">
      <c r="A751">
        <v>115.222689836765</v>
      </c>
      <c r="B751">
        <v>53.055124174264598</v>
      </c>
      <c r="C751">
        <v>2001</v>
      </c>
    </row>
    <row r="752" spans="1:11" x14ac:dyDescent="0.25">
      <c r="A752">
        <v>115.65970586121399</v>
      </c>
      <c r="B752">
        <v>52.618108149815697</v>
      </c>
      <c r="C752">
        <v>2000</v>
      </c>
    </row>
    <row r="753" spans="1:11" x14ac:dyDescent="0.25">
      <c r="A753">
        <v>112.82308969917401</v>
      </c>
      <c r="B753">
        <v>49.781491987775603</v>
      </c>
      <c r="C753">
        <v>2000</v>
      </c>
    </row>
    <row r="754" spans="1:11" x14ac:dyDescent="0.25">
      <c r="A754" t="s">
        <v>87</v>
      </c>
    </row>
    <row r="755" spans="1:11" x14ac:dyDescent="0.25">
      <c r="A755">
        <v>344</v>
      </c>
      <c r="B755">
        <v>0</v>
      </c>
      <c r="C755">
        <v>20.5513004128765</v>
      </c>
      <c r="D755">
        <v>52.405410000876699</v>
      </c>
      <c r="E755">
        <v>10</v>
      </c>
      <c r="F755">
        <v>1.01722196789785</v>
      </c>
      <c r="G755" t="s">
        <v>88</v>
      </c>
      <c r="H755" t="s">
        <v>88</v>
      </c>
      <c r="I755">
        <v>492</v>
      </c>
      <c r="J755">
        <v>332</v>
      </c>
      <c r="K755">
        <v>0</v>
      </c>
    </row>
    <row r="756" spans="1:11" x14ac:dyDescent="0.25">
      <c r="A756" t="s">
        <v>86</v>
      </c>
    </row>
    <row r="757" spans="1:11" x14ac:dyDescent="0.25">
      <c r="A757">
        <v>50.225732723817302</v>
      </c>
      <c r="B757">
        <v>109.768507665386</v>
      </c>
      <c r="C757">
        <v>2000</v>
      </c>
    </row>
    <row r="758" spans="1:11" x14ac:dyDescent="0.25">
      <c r="A758">
        <v>50.218508012224397</v>
      </c>
      <c r="B758">
        <v>109.761282953793</v>
      </c>
      <c r="C758">
        <v>2000</v>
      </c>
    </row>
    <row r="759" spans="1:11" x14ac:dyDescent="0.25">
      <c r="A759">
        <v>40.238717046207299</v>
      </c>
      <c r="B759">
        <v>99.781491987775595</v>
      </c>
      <c r="C759">
        <v>2000</v>
      </c>
    </row>
    <row r="760" spans="1:11" x14ac:dyDescent="0.25">
      <c r="A760">
        <v>35.693768839670398</v>
      </c>
      <c r="B760">
        <v>95.236543781238694</v>
      </c>
      <c r="C760">
        <v>2000</v>
      </c>
    </row>
    <row r="761" spans="1:11" x14ac:dyDescent="0.25">
      <c r="A761">
        <v>35.256752815221603</v>
      </c>
      <c r="B761">
        <v>95.673559805687503</v>
      </c>
      <c r="C761">
        <v>2001</v>
      </c>
    </row>
    <row r="762" spans="1:11" x14ac:dyDescent="0.25">
      <c r="A762">
        <v>39.801701021758497</v>
      </c>
      <c r="B762">
        <v>100.21850801222401</v>
      </c>
      <c r="C762">
        <v>2001</v>
      </c>
    </row>
    <row r="763" spans="1:11" x14ac:dyDescent="0.25">
      <c r="A763">
        <v>49.781491987775603</v>
      </c>
      <c r="B763">
        <v>110.198298978241</v>
      </c>
      <c r="C763">
        <v>2001</v>
      </c>
    </row>
    <row r="764" spans="1:11" x14ac:dyDescent="0.25">
      <c r="A764">
        <v>49.7887166993685</v>
      </c>
      <c r="B764">
        <v>110.205523689834</v>
      </c>
      <c r="C764">
        <v>2001</v>
      </c>
    </row>
    <row r="765" spans="1:11" x14ac:dyDescent="0.25">
      <c r="A765">
        <v>86.844937481849698</v>
      </c>
      <c r="B765">
        <v>147.261744472316</v>
      </c>
      <c r="C765">
        <v>2001</v>
      </c>
    </row>
    <row r="766" spans="1:11" x14ac:dyDescent="0.25">
      <c r="A766">
        <v>87.281953506298507</v>
      </c>
      <c r="B766">
        <v>146.82472844786699</v>
      </c>
      <c r="C766">
        <v>2000</v>
      </c>
    </row>
    <row r="767" spans="1:11" x14ac:dyDescent="0.25">
      <c r="A767" t="s">
        <v>87</v>
      </c>
    </row>
    <row r="768" spans="1:11" x14ac:dyDescent="0.25">
      <c r="A768">
        <v>671</v>
      </c>
      <c r="B768">
        <v>0</v>
      </c>
      <c r="C768">
        <v>47.526490765592897</v>
      </c>
      <c r="D768">
        <v>25.220066468501599</v>
      </c>
      <c r="E768">
        <v>10</v>
      </c>
      <c r="F768">
        <v>1.01722196789785</v>
      </c>
      <c r="G768" t="s">
        <v>88</v>
      </c>
      <c r="H768" t="s">
        <v>88</v>
      </c>
      <c r="I768">
        <v>92</v>
      </c>
      <c r="J768">
        <v>757</v>
      </c>
      <c r="K768">
        <v>0</v>
      </c>
    </row>
    <row r="769" spans="1:11" x14ac:dyDescent="0.25">
      <c r="A769" t="s">
        <v>86</v>
      </c>
    </row>
    <row r="770" spans="1:11" x14ac:dyDescent="0.25">
      <c r="A770">
        <v>121.295690724759</v>
      </c>
      <c r="B770">
        <v>114.232988600266</v>
      </c>
      <c r="C770">
        <v>2000</v>
      </c>
    </row>
    <row r="771" spans="1:11" x14ac:dyDescent="0.25">
      <c r="A771">
        <v>106.84419411226899</v>
      </c>
      <c r="B771">
        <v>99.781491987775595</v>
      </c>
      <c r="C771">
        <v>2000</v>
      </c>
    </row>
    <row r="772" spans="1:11" x14ac:dyDescent="0.25">
      <c r="A772">
        <v>100.21850801222401</v>
      </c>
      <c r="B772">
        <v>93.155805887731503</v>
      </c>
      <c r="C772">
        <v>2000</v>
      </c>
    </row>
    <row r="773" spans="1:11" x14ac:dyDescent="0.25">
      <c r="A773">
        <v>87.689386818408806</v>
      </c>
      <c r="B773">
        <v>80.626684693915905</v>
      </c>
      <c r="C773">
        <v>2000</v>
      </c>
    </row>
    <row r="774" spans="1:11" x14ac:dyDescent="0.25">
      <c r="A774">
        <v>87.252370793959997</v>
      </c>
      <c r="B774">
        <v>81.0637007183647</v>
      </c>
      <c r="C774">
        <v>2001</v>
      </c>
    </row>
    <row r="775" spans="1:11" x14ac:dyDescent="0.25">
      <c r="A775">
        <v>99.781491987775595</v>
      </c>
      <c r="B775">
        <v>93.592821912180298</v>
      </c>
      <c r="C775">
        <v>2001</v>
      </c>
    </row>
    <row r="776" spans="1:11" x14ac:dyDescent="0.25">
      <c r="A776">
        <v>106.40717808782</v>
      </c>
      <c r="B776">
        <v>100.21850801222401</v>
      </c>
      <c r="C776">
        <v>2001</v>
      </c>
    </row>
    <row r="777" spans="1:11" x14ac:dyDescent="0.25">
      <c r="A777">
        <v>120.858674700311</v>
      </c>
      <c r="B777">
        <v>114.67000462471501</v>
      </c>
      <c r="C777">
        <v>2001</v>
      </c>
    </row>
    <row r="778" spans="1:11" x14ac:dyDescent="0.25">
      <c r="A778">
        <v>138.69195472216401</v>
      </c>
      <c r="B778">
        <v>132.50328464656801</v>
      </c>
      <c r="C778">
        <v>2001</v>
      </c>
    </row>
    <row r="779" spans="1:11" x14ac:dyDescent="0.25">
      <c r="A779">
        <v>139.128970746612</v>
      </c>
      <c r="B779">
        <v>132.066268622119</v>
      </c>
      <c r="C779">
        <v>2000</v>
      </c>
    </row>
    <row r="780" spans="1:11" x14ac:dyDescent="0.25">
      <c r="A780" t="s">
        <v>87</v>
      </c>
    </row>
    <row r="781" spans="1:11" x14ac:dyDescent="0.25">
      <c r="A781">
        <v>902</v>
      </c>
      <c r="B781">
        <v>0</v>
      </c>
      <c r="C781">
        <v>14.1413379993375</v>
      </c>
      <c r="D781">
        <v>58.315035339594601</v>
      </c>
      <c r="E781">
        <v>10</v>
      </c>
      <c r="F781">
        <v>1.01722196789785</v>
      </c>
      <c r="G781" t="s">
        <v>88</v>
      </c>
      <c r="H781" t="s">
        <v>88</v>
      </c>
      <c r="I781">
        <v>800</v>
      </c>
      <c r="J781">
        <v>653</v>
      </c>
      <c r="K781">
        <v>0.105080877406349</v>
      </c>
    </row>
    <row r="782" spans="1:11" x14ac:dyDescent="0.25">
      <c r="A782" t="s">
        <v>86</v>
      </c>
    </row>
    <row r="783" spans="1:11" x14ac:dyDescent="0.25">
      <c r="A783">
        <v>86.273257203066194</v>
      </c>
      <c r="B783">
        <v>67.443732987360207</v>
      </c>
      <c r="C783">
        <v>2000</v>
      </c>
    </row>
    <row r="784" spans="1:11" x14ac:dyDescent="0.25">
      <c r="A784">
        <v>76.2738212086836</v>
      </c>
      <c r="B784">
        <v>57.444296992977598</v>
      </c>
      <c r="C784">
        <v>2000</v>
      </c>
    </row>
    <row r="785" spans="1:11" x14ac:dyDescent="0.25">
      <c r="A785">
        <v>76.710837233132395</v>
      </c>
      <c r="B785">
        <v>57.007280968528796</v>
      </c>
      <c r="C785">
        <v>2001</v>
      </c>
    </row>
    <row r="786" spans="1:11" x14ac:dyDescent="0.25">
      <c r="A786">
        <v>86.710273227515003</v>
      </c>
      <c r="B786">
        <v>67.006716962911298</v>
      </c>
      <c r="C786">
        <v>2001</v>
      </c>
    </row>
    <row r="787" spans="1:11" x14ac:dyDescent="0.25">
      <c r="A787">
        <v>100.21850801222401</v>
      </c>
      <c r="B787">
        <v>80.5149517476207</v>
      </c>
      <c r="C787">
        <v>2001</v>
      </c>
    </row>
    <row r="788" spans="1:11" x14ac:dyDescent="0.25">
      <c r="A788">
        <v>119.485048252379</v>
      </c>
      <c r="B788">
        <v>99.781491987775595</v>
      </c>
      <c r="C788">
        <v>2001</v>
      </c>
    </row>
    <row r="789" spans="1:11" x14ac:dyDescent="0.25">
      <c r="A789">
        <v>127.945230161276</v>
      </c>
      <c r="B789">
        <v>108.241673896672</v>
      </c>
      <c r="C789">
        <v>2001</v>
      </c>
    </row>
    <row r="790" spans="1:11" x14ac:dyDescent="0.25">
      <c r="A790">
        <v>127.50821413682699</v>
      </c>
      <c r="B790">
        <v>108.67868992112101</v>
      </c>
      <c r="C790">
        <v>2000</v>
      </c>
    </row>
    <row r="791" spans="1:11" x14ac:dyDescent="0.25">
      <c r="A791">
        <v>119.04803222792999</v>
      </c>
      <c r="B791">
        <v>100.21850801222401</v>
      </c>
      <c r="C791">
        <v>2000</v>
      </c>
    </row>
    <row r="792" spans="1:11" x14ac:dyDescent="0.25">
      <c r="A792">
        <v>99.781491987775595</v>
      </c>
      <c r="B792">
        <v>80.951967772069494</v>
      </c>
      <c r="C792">
        <v>2000</v>
      </c>
    </row>
    <row r="793" spans="1:11" x14ac:dyDescent="0.25">
      <c r="A793" t="s">
        <v>87</v>
      </c>
    </row>
    <row r="794" spans="1:11" x14ac:dyDescent="0.25">
      <c r="A794">
        <v>958</v>
      </c>
      <c r="B794">
        <v>0</v>
      </c>
      <c r="C794">
        <v>41.762777437824496</v>
      </c>
      <c r="D794">
        <v>30.3403454802311</v>
      </c>
      <c r="E794">
        <v>10</v>
      </c>
      <c r="F794">
        <v>1.01722196789785</v>
      </c>
      <c r="G794" t="s">
        <v>85</v>
      </c>
      <c r="H794" t="s">
        <v>88</v>
      </c>
      <c r="I794">
        <v>0</v>
      </c>
      <c r="J794">
        <v>91</v>
      </c>
      <c r="K794">
        <v>0.107457051799978</v>
      </c>
    </row>
    <row r="795" spans="1:11" x14ac:dyDescent="0.25">
      <c r="A795" t="s">
        <v>86</v>
      </c>
    </row>
    <row r="796" spans="1:11" x14ac:dyDescent="0.25">
      <c r="A796">
        <v>63.0081517826289</v>
      </c>
      <c r="B796">
        <v>29.689636443070999</v>
      </c>
      <c r="C796">
        <v>2000</v>
      </c>
    </row>
    <row r="797" spans="1:11" x14ac:dyDescent="0.25">
      <c r="A797">
        <v>49.683182323962903</v>
      </c>
      <c r="B797">
        <v>16.364666984405002</v>
      </c>
      <c r="C797">
        <v>2000</v>
      </c>
    </row>
    <row r="798" spans="1:11" x14ac:dyDescent="0.25">
      <c r="A798">
        <v>33.318515339557898</v>
      </c>
      <c r="B798">
        <v>0</v>
      </c>
      <c r="C798">
        <v>2000</v>
      </c>
    </row>
    <row r="799" spans="1:11" x14ac:dyDescent="0.25">
      <c r="A799">
        <v>34.192547388455502</v>
      </c>
      <c r="B799">
        <v>0</v>
      </c>
      <c r="C799">
        <v>2001</v>
      </c>
    </row>
    <row r="800" spans="1:11" x14ac:dyDescent="0.25">
      <c r="A800">
        <v>50.316817676037097</v>
      </c>
      <c r="B800">
        <v>16.124270287581599</v>
      </c>
      <c r="C800">
        <v>2001</v>
      </c>
    </row>
    <row r="801" spans="1:11" x14ac:dyDescent="0.25">
      <c r="A801">
        <v>63.564397200324997</v>
      </c>
      <c r="B801">
        <v>29.371849811869399</v>
      </c>
      <c r="C801">
        <v>2001</v>
      </c>
    </row>
    <row r="802" spans="1:11" x14ac:dyDescent="0.25">
      <c r="A802">
        <v>83.974039376231104</v>
      </c>
      <c r="B802">
        <v>49.781491987775603</v>
      </c>
      <c r="C802">
        <v>2001</v>
      </c>
    </row>
    <row r="803" spans="1:11" x14ac:dyDescent="0.25">
      <c r="A803">
        <v>84.9586465363153</v>
      </c>
      <c r="B803">
        <v>50.766099147859798</v>
      </c>
      <c r="C803">
        <v>2001</v>
      </c>
    </row>
    <row r="804" spans="1:11" x14ac:dyDescent="0.25">
      <c r="A804">
        <v>84.521630511866505</v>
      </c>
      <c r="B804">
        <v>51.2031151723086</v>
      </c>
      <c r="C804">
        <v>2000</v>
      </c>
    </row>
    <row r="805" spans="1:11" x14ac:dyDescent="0.25">
      <c r="A805">
        <v>83.537023351782295</v>
      </c>
      <c r="B805">
        <v>50.218508012224397</v>
      </c>
      <c r="C805">
        <v>2000</v>
      </c>
    </row>
    <row r="806" spans="1:11" x14ac:dyDescent="0.25">
      <c r="A806" t="s">
        <v>87</v>
      </c>
    </row>
    <row r="807" spans="1:11" x14ac:dyDescent="0.25">
      <c r="A807">
        <v>752</v>
      </c>
      <c r="B807">
        <v>0</v>
      </c>
      <c r="C807">
        <v>26.484947660723002</v>
      </c>
      <c r="D807">
        <v>45.5896622722207</v>
      </c>
      <c r="E807">
        <v>10</v>
      </c>
      <c r="F807">
        <v>1.01722196789785</v>
      </c>
      <c r="G807" t="s">
        <v>88</v>
      </c>
      <c r="H807" t="s">
        <v>88</v>
      </c>
      <c r="I807">
        <v>254</v>
      </c>
      <c r="J807">
        <v>975</v>
      </c>
      <c r="K807">
        <v>0.10038021386068</v>
      </c>
    </row>
    <row r="808" spans="1:11" x14ac:dyDescent="0.25">
      <c r="A808" t="s">
        <v>86</v>
      </c>
    </row>
    <row r="809" spans="1:11" x14ac:dyDescent="0.25">
      <c r="A809">
        <v>74.573952863730298</v>
      </c>
      <c r="B809">
        <v>31.729107729494299</v>
      </c>
      <c r="C809">
        <v>2000</v>
      </c>
    </row>
    <row r="810" spans="1:11" x14ac:dyDescent="0.25">
      <c r="A810">
        <v>55.846266773462197</v>
      </c>
      <c r="B810">
        <v>13.001421639226299</v>
      </c>
      <c r="C810">
        <v>2000</v>
      </c>
    </row>
    <row r="811" spans="1:11" x14ac:dyDescent="0.25">
      <c r="A811">
        <v>56.283282797911099</v>
      </c>
      <c r="B811">
        <v>12.564405614777501</v>
      </c>
      <c r="C811">
        <v>2001</v>
      </c>
    </row>
    <row r="812" spans="1:11" x14ac:dyDescent="0.25">
      <c r="A812">
        <v>75.010968888179093</v>
      </c>
      <c r="B812">
        <v>31.2920917050455</v>
      </c>
      <c r="C812">
        <v>2001</v>
      </c>
    </row>
    <row r="813" spans="1:11" x14ac:dyDescent="0.25">
      <c r="A813">
        <v>93.500369170909195</v>
      </c>
      <c r="B813">
        <v>49.781491987775603</v>
      </c>
      <c r="C813">
        <v>2001</v>
      </c>
    </row>
    <row r="814" spans="1:11" x14ac:dyDescent="0.25">
      <c r="A814">
        <v>100.21850801222401</v>
      </c>
      <c r="B814">
        <v>56.499630829090798</v>
      </c>
      <c r="C814">
        <v>2001</v>
      </c>
    </row>
    <row r="815" spans="1:11" x14ac:dyDescent="0.25">
      <c r="A815">
        <v>107.247728232871</v>
      </c>
      <c r="B815">
        <v>63.528851049737298</v>
      </c>
      <c r="C815">
        <v>2001</v>
      </c>
    </row>
    <row r="816" spans="1:11" x14ac:dyDescent="0.25">
      <c r="A816">
        <v>106.810712208422</v>
      </c>
      <c r="B816">
        <v>63.9658670741861</v>
      </c>
      <c r="C816">
        <v>2000</v>
      </c>
    </row>
    <row r="817" spans="1:11" x14ac:dyDescent="0.25">
      <c r="A817">
        <v>99.781491987775595</v>
      </c>
      <c r="B817">
        <v>56.9366468535396</v>
      </c>
      <c r="C817">
        <v>2000</v>
      </c>
    </row>
    <row r="818" spans="1:11" x14ac:dyDescent="0.25">
      <c r="A818">
        <v>93.0633531464604</v>
      </c>
      <c r="B818">
        <v>50.218508012224397</v>
      </c>
      <c r="C818">
        <v>2000</v>
      </c>
    </row>
    <row r="819" spans="1:11" x14ac:dyDescent="0.25">
      <c r="A819" t="s">
        <v>87</v>
      </c>
    </row>
    <row r="820" spans="1:11" x14ac:dyDescent="0.25">
      <c r="A820">
        <v>510</v>
      </c>
      <c r="B820">
        <v>0</v>
      </c>
      <c r="C820">
        <v>45.6002977824932</v>
      </c>
      <c r="D820">
        <v>26.0013604713529</v>
      </c>
      <c r="E820">
        <v>10</v>
      </c>
      <c r="F820">
        <v>1.01722196789785</v>
      </c>
      <c r="G820" t="s">
        <v>85</v>
      </c>
      <c r="H820" t="s">
        <v>88</v>
      </c>
      <c r="I820">
        <v>0</v>
      </c>
      <c r="J820">
        <v>354</v>
      </c>
      <c r="K820">
        <v>0</v>
      </c>
    </row>
    <row r="821" spans="1:11" x14ac:dyDescent="0.25">
      <c r="A821" t="s">
        <v>86</v>
      </c>
    </row>
    <row r="822" spans="1:11" x14ac:dyDescent="0.25">
      <c r="A822">
        <v>32.398058254101599</v>
      </c>
      <c r="B822">
        <v>70.389967225327098</v>
      </c>
      <c r="C822">
        <v>2000</v>
      </c>
    </row>
    <row r="823" spans="1:11" x14ac:dyDescent="0.25">
      <c r="A823">
        <v>11.6494880628671</v>
      </c>
      <c r="B823">
        <v>49.641397034092599</v>
      </c>
      <c r="C823">
        <v>2000</v>
      </c>
    </row>
    <row r="824" spans="1:11" x14ac:dyDescent="0.25">
      <c r="A824">
        <v>0</v>
      </c>
      <c r="B824">
        <v>37.991908971225399</v>
      </c>
      <c r="C824">
        <v>2000</v>
      </c>
    </row>
    <row r="825" spans="1:11" x14ac:dyDescent="0.25">
      <c r="A825">
        <v>0</v>
      </c>
      <c r="B825">
        <v>38.865941020123103</v>
      </c>
      <c r="C825">
        <v>2001</v>
      </c>
    </row>
    <row r="826" spans="1:11" x14ac:dyDescent="0.25">
      <c r="A826">
        <v>11.492661945784301</v>
      </c>
      <c r="B826">
        <v>50.358602965907401</v>
      </c>
      <c r="C826">
        <v>2001</v>
      </c>
    </row>
    <row r="827" spans="1:11" x14ac:dyDescent="0.25">
      <c r="A827">
        <v>32.090501318152</v>
      </c>
      <c r="B827">
        <v>70.956442338275096</v>
      </c>
      <c r="C827">
        <v>2001</v>
      </c>
    </row>
    <row r="828" spans="1:11" x14ac:dyDescent="0.25">
      <c r="A828">
        <v>49.781491987775603</v>
      </c>
      <c r="B828">
        <v>88.647433007898599</v>
      </c>
      <c r="C828">
        <v>2001</v>
      </c>
    </row>
    <row r="829" spans="1:11" x14ac:dyDescent="0.25">
      <c r="A829">
        <v>50.411510083271899</v>
      </c>
      <c r="B829">
        <v>89.277451103394995</v>
      </c>
      <c r="C829">
        <v>2001</v>
      </c>
    </row>
    <row r="830" spans="1:11" x14ac:dyDescent="0.25">
      <c r="A830">
        <v>50.848526107720701</v>
      </c>
      <c r="B830">
        <v>88.840435078946101</v>
      </c>
      <c r="C830">
        <v>2000</v>
      </c>
    </row>
    <row r="831" spans="1:11" x14ac:dyDescent="0.25">
      <c r="A831">
        <v>50.218508012224397</v>
      </c>
      <c r="B831">
        <v>88.210416983449804</v>
      </c>
      <c r="C831">
        <v>2000</v>
      </c>
    </row>
    <row r="832" spans="1:11" x14ac:dyDescent="0.25">
      <c r="A832" t="s">
        <v>87</v>
      </c>
    </row>
    <row r="833" spans="1:11" x14ac:dyDescent="0.25">
      <c r="A833">
        <v>977</v>
      </c>
      <c r="B833">
        <v>0</v>
      </c>
      <c r="C833">
        <v>2.0085256169330798</v>
      </c>
      <c r="D833">
        <v>69.387107130798995</v>
      </c>
      <c r="E833">
        <v>10</v>
      </c>
      <c r="F833">
        <v>1.01722196789785</v>
      </c>
      <c r="G833" t="s">
        <v>85</v>
      </c>
      <c r="H833" t="s">
        <v>88</v>
      </c>
      <c r="I833">
        <v>0</v>
      </c>
      <c r="J833">
        <v>85</v>
      </c>
      <c r="K833">
        <v>0.109940390074196</v>
      </c>
    </row>
    <row r="834" spans="1:11" x14ac:dyDescent="0.25">
      <c r="A834" t="s">
        <v>86</v>
      </c>
    </row>
    <row r="835" spans="1:11" x14ac:dyDescent="0.25">
      <c r="A835">
        <v>37.305950123945699</v>
      </c>
      <c r="B835">
        <v>1.3988838355938</v>
      </c>
      <c r="C835">
        <v>2000</v>
      </c>
    </row>
    <row r="836" spans="1:11" x14ac:dyDescent="0.25">
      <c r="A836">
        <v>35.907066288351899</v>
      </c>
      <c r="B836">
        <v>0</v>
      </c>
      <c r="C836">
        <v>2000</v>
      </c>
    </row>
    <row r="837" spans="1:11" x14ac:dyDescent="0.25">
      <c r="A837">
        <v>35.033034239454302</v>
      </c>
      <c r="B837">
        <v>0</v>
      </c>
      <c r="C837">
        <v>2001</v>
      </c>
    </row>
    <row r="838" spans="1:11" x14ac:dyDescent="0.25">
      <c r="A838">
        <v>36.474634571701102</v>
      </c>
      <c r="B838">
        <v>1.4416003322467601</v>
      </c>
      <c r="C838">
        <v>2001</v>
      </c>
    </row>
    <row r="839" spans="1:11" x14ac:dyDescent="0.25">
      <c r="A839">
        <v>49.781491987775603</v>
      </c>
      <c r="B839">
        <v>14.7484577483213</v>
      </c>
      <c r="C839">
        <v>2001</v>
      </c>
    </row>
    <row r="840" spans="1:11" x14ac:dyDescent="0.25">
      <c r="A840">
        <v>85.2515422516787</v>
      </c>
      <c r="B840">
        <v>50.218508012224397</v>
      </c>
      <c r="C840">
        <v>2001</v>
      </c>
    </row>
    <row r="841" spans="1:11" x14ac:dyDescent="0.25">
      <c r="A841">
        <v>85.735878314704394</v>
      </c>
      <c r="B841">
        <v>50.702844075250098</v>
      </c>
      <c r="C841">
        <v>2001</v>
      </c>
    </row>
    <row r="842" spans="1:11" x14ac:dyDescent="0.25">
      <c r="A842">
        <v>86.172894339153203</v>
      </c>
      <c r="B842">
        <v>50.265828050801296</v>
      </c>
      <c r="C842">
        <v>2000</v>
      </c>
    </row>
    <row r="843" spans="1:11" x14ac:dyDescent="0.25">
      <c r="A843">
        <v>85.688558276127594</v>
      </c>
      <c r="B843">
        <v>49.781491987775603</v>
      </c>
      <c r="C843">
        <v>2000</v>
      </c>
    </row>
    <row r="844" spans="1:11" x14ac:dyDescent="0.25">
      <c r="A844">
        <v>50.218508012224397</v>
      </c>
      <c r="B844">
        <v>14.3114417238725</v>
      </c>
      <c r="C844">
        <v>2000</v>
      </c>
    </row>
    <row r="845" spans="1:11" x14ac:dyDescent="0.25">
      <c r="A845" t="s">
        <v>87</v>
      </c>
    </row>
    <row r="846" spans="1:11" x14ac:dyDescent="0.25">
      <c r="A846">
        <v>781</v>
      </c>
      <c r="B846">
        <v>0</v>
      </c>
      <c r="C846">
        <v>38.697665395726297</v>
      </c>
      <c r="D846">
        <v>32.393980391701596</v>
      </c>
      <c r="E846">
        <v>10</v>
      </c>
      <c r="F846">
        <v>1.01722196789785</v>
      </c>
      <c r="G846" t="s">
        <v>85</v>
      </c>
      <c r="H846" t="s">
        <v>85</v>
      </c>
      <c r="I846">
        <v>0</v>
      </c>
      <c r="J846">
        <v>0</v>
      </c>
      <c r="K846">
        <v>0.101910405093446</v>
      </c>
    </row>
    <row r="847" spans="1:11" x14ac:dyDescent="0.25">
      <c r="A847" t="s">
        <v>86</v>
      </c>
    </row>
    <row r="848" spans="1:11" x14ac:dyDescent="0.25">
      <c r="A848">
        <v>127.312504807628</v>
      </c>
      <c r="B848">
        <v>27.144873605181701</v>
      </c>
      <c r="C848">
        <v>2000</v>
      </c>
    </row>
    <row r="849" spans="1:11" x14ac:dyDescent="0.25">
      <c r="A849">
        <v>100.21850801222401</v>
      </c>
      <c r="B849">
        <v>5.0876809777934302E-2</v>
      </c>
      <c r="C849">
        <v>2000</v>
      </c>
    </row>
    <row r="850" spans="1:11" x14ac:dyDescent="0.25">
      <c r="A850">
        <v>99.949123190222096</v>
      </c>
      <c r="B850">
        <v>-0.218508012224404</v>
      </c>
      <c r="C850">
        <v>2000</v>
      </c>
    </row>
    <row r="851" spans="1:11" x14ac:dyDescent="0.25">
      <c r="A851">
        <v>99.293599153548797</v>
      </c>
      <c r="B851">
        <v>0</v>
      </c>
      <c r="C851">
        <v>2001</v>
      </c>
    </row>
    <row r="852" spans="1:11" x14ac:dyDescent="0.25">
      <c r="A852">
        <v>99.565135125683199</v>
      </c>
      <c r="B852">
        <v>0.27153597213437097</v>
      </c>
      <c r="C852">
        <v>2001</v>
      </c>
    </row>
    <row r="853" spans="1:11" x14ac:dyDescent="0.25">
      <c r="A853">
        <v>126.894652889878</v>
      </c>
      <c r="B853">
        <v>27.601053736329401</v>
      </c>
      <c r="C853">
        <v>2001</v>
      </c>
    </row>
    <row r="854" spans="1:11" x14ac:dyDescent="0.25">
      <c r="A854">
        <v>149.72804542624101</v>
      </c>
      <c r="B854">
        <v>50.434446272691901</v>
      </c>
      <c r="C854">
        <v>2001</v>
      </c>
    </row>
    <row r="855" spans="1:11" x14ac:dyDescent="0.25">
      <c r="A855">
        <v>150</v>
      </c>
      <c r="B855">
        <v>50.706400846451103</v>
      </c>
      <c r="C855">
        <v>2001</v>
      </c>
    </row>
    <row r="856" spans="1:11" x14ac:dyDescent="0.25">
      <c r="A856">
        <v>150.21850801222399</v>
      </c>
      <c r="B856">
        <v>50.050876809777897</v>
      </c>
      <c r="C856">
        <v>2000</v>
      </c>
    </row>
    <row r="857" spans="1:11" x14ac:dyDescent="0.25">
      <c r="A857">
        <v>149.949123190222</v>
      </c>
      <c r="B857">
        <v>49.781491987775603</v>
      </c>
      <c r="C857">
        <v>2000</v>
      </c>
    </row>
    <row r="858" spans="1:11" x14ac:dyDescent="0.25">
      <c r="A858" t="s">
        <v>87</v>
      </c>
    </row>
    <row r="859" spans="1:11" x14ac:dyDescent="0.25">
      <c r="A859">
        <v>984</v>
      </c>
      <c r="B859">
        <v>0</v>
      </c>
      <c r="C859">
        <v>59.956236025060498</v>
      </c>
      <c r="D859">
        <v>10.9362206329939</v>
      </c>
      <c r="E859">
        <v>10</v>
      </c>
      <c r="F859">
        <v>1.01722196789785</v>
      </c>
      <c r="G859" t="s">
        <v>85</v>
      </c>
      <c r="H859" t="s">
        <v>88</v>
      </c>
      <c r="I859">
        <v>0</v>
      </c>
      <c r="J859">
        <v>354</v>
      </c>
      <c r="K859">
        <v>0.110373172763303</v>
      </c>
    </row>
    <row r="860" spans="1:11" x14ac:dyDescent="0.25">
      <c r="A860" t="s">
        <v>86</v>
      </c>
    </row>
    <row r="861" spans="1:11" x14ac:dyDescent="0.25">
      <c r="A861">
        <v>42.582333646786999</v>
      </c>
      <c r="B861">
        <v>81.577205133237598</v>
      </c>
      <c r="C861">
        <v>2000</v>
      </c>
    </row>
    <row r="862" spans="1:11" x14ac:dyDescent="0.25">
      <c r="A862">
        <v>10.6225809910298</v>
      </c>
      <c r="B862">
        <v>49.617452477480398</v>
      </c>
      <c r="C862">
        <v>2000</v>
      </c>
    </row>
    <row r="863" spans="1:11" x14ac:dyDescent="0.25">
      <c r="A863">
        <v>0</v>
      </c>
      <c r="B863">
        <v>38.994871486450599</v>
      </c>
      <c r="C863">
        <v>2000</v>
      </c>
    </row>
    <row r="864" spans="1:11" x14ac:dyDescent="0.25">
      <c r="A864">
        <v>0</v>
      </c>
      <c r="B864">
        <v>39.868903535348302</v>
      </c>
      <c r="C864">
        <v>2001</v>
      </c>
    </row>
    <row r="865" spans="1:11" x14ac:dyDescent="0.25">
      <c r="A865">
        <v>10.513643987171401</v>
      </c>
      <c r="B865">
        <v>50.382547522519602</v>
      </c>
      <c r="C865">
        <v>2001</v>
      </c>
    </row>
    <row r="866" spans="1:11" x14ac:dyDescent="0.25">
      <c r="A866">
        <v>42.208588488696002</v>
      </c>
      <c r="B866">
        <v>82.077492024044204</v>
      </c>
      <c r="C866">
        <v>2001</v>
      </c>
    </row>
    <row r="867" spans="1:11" x14ac:dyDescent="0.25">
      <c r="A867">
        <v>49.781491987775603</v>
      </c>
      <c r="B867">
        <v>89.650395523123805</v>
      </c>
      <c r="C867">
        <v>2001</v>
      </c>
    </row>
    <row r="868" spans="1:11" x14ac:dyDescent="0.25">
      <c r="A868">
        <v>49.910028825659303</v>
      </c>
      <c r="B868">
        <v>89.778932361007506</v>
      </c>
      <c r="C868">
        <v>2001</v>
      </c>
    </row>
    <row r="869" spans="1:11" x14ac:dyDescent="0.25">
      <c r="A869">
        <v>50.347044850108098</v>
      </c>
      <c r="B869">
        <v>89.341916336558697</v>
      </c>
      <c r="C869">
        <v>2000</v>
      </c>
    </row>
    <row r="870" spans="1:11" x14ac:dyDescent="0.25">
      <c r="A870">
        <v>50.218508012224397</v>
      </c>
      <c r="B870">
        <v>89.213379498674996</v>
      </c>
      <c r="C870">
        <v>2000</v>
      </c>
    </row>
    <row r="871" spans="1:11" x14ac:dyDescent="0.25">
      <c r="A871" t="s">
        <v>87</v>
      </c>
    </row>
    <row r="872" spans="1:11" x14ac:dyDescent="0.25">
      <c r="A872">
        <v>960</v>
      </c>
      <c r="B872">
        <v>0</v>
      </c>
      <c r="C872">
        <v>45.161834136659202</v>
      </c>
      <c r="D872">
        <v>25.509391400062899</v>
      </c>
      <c r="E872">
        <v>8</v>
      </c>
      <c r="F872">
        <v>1.01722196789785</v>
      </c>
      <c r="G872" t="s">
        <v>88</v>
      </c>
      <c r="H872" t="s">
        <v>85</v>
      </c>
      <c r="I872">
        <v>753</v>
      </c>
      <c r="J872">
        <v>0</v>
      </c>
      <c r="K872">
        <v>0.10759671493970301</v>
      </c>
    </row>
    <row r="873" spans="1:11" x14ac:dyDescent="0.25">
      <c r="A873" t="s">
        <v>86</v>
      </c>
    </row>
    <row r="874" spans="1:11" x14ac:dyDescent="0.25">
      <c r="A874">
        <v>131.833021686476</v>
      </c>
      <c r="B874">
        <v>62.796527931970203</v>
      </c>
      <c r="C874">
        <v>2000</v>
      </c>
    </row>
    <row r="875" spans="1:11" x14ac:dyDescent="0.25">
      <c r="A875">
        <v>119.25500176673</v>
      </c>
      <c r="B875">
        <v>50.218508012224397</v>
      </c>
      <c r="C875">
        <v>2000</v>
      </c>
    </row>
    <row r="876" spans="1:11" x14ac:dyDescent="0.25">
      <c r="A876">
        <v>99.809389175995506</v>
      </c>
      <c r="B876">
        <v>30.772895421489501</v>
      </c>
      <c r="C876">
        <v>2000</v>
      </c>
    </row>
    <row r="877" spans="1:11" x14ac:dyDescent="0.25">
      <c r="A877">
        <v>100.246405200444</v>
      </c>
      <c r="B877">
        <v>30.335879397040699</v>
      </c>
      <c r="C877">
        <v>2001</v>
      </c>
    </row>
    <row r="878" spans="1:11" x14ac:dyDescent="0.25">
      <c r="A878">
        <v>119.692017791179</v>
      </c>
      <c r="B878">
        <v>49.781491987775603</v>
      </c>
      <c r="C878">
        <v>2001</v>
      </c>
    </row>
    <row r="879" spans="1:11" x14ac:dyDescent="0.25">
      <c r="A879">
        <v>132.09125102767101</v>
      </c>
      <c r="B879">
        <v>62.180725224267697</v>
      </c>
      <c r="C879">
        <v>2001</v>
      </c>
    </row>
    <row r="880" spans="1:11" x14ac:dyDescent="0.25">
      <c r="A880">
        <v>150</v>
      </c>
      <c r="B880">
        <v>80.089474196596399</v>
      </c>
      <c r="C880">
        <v>2001</v>
      </c>
    </row>
    <row r="881" spans="1:11" x14ac:dyDescent="0.25">
      <c r="A881">
        <v>150</v>
      </c>
      <c r="B881">
        <v>80.963506245494003</v>
      </c>
      <c r="C881">
        <v>2000</v>
      </c>
    </row>
    <row r="882" spans="1:11" x14ac:dyDescent="0.25">
      <c r="A882" t="s">
        <v>87</v>
      </c>
    </row>
    <row r="883" spans="1:11" x14ac:dyDescent="0.25">
      <c r="A883">
        <v>878</v>
      </c>
      <c r="B883">
        <v>0</v>
      </c>
      <c r="C883">
        <v>36.737466442523498</v>
      </c>
      <c r="D883">
        <v>33.566022708351099</v>
      </c>
      <c r="E883">
        <v>8</v>
      </c>
      <c r="F883">
        <v>1.01722196789785</v>
      </c>
      <c r="G883" t="s">
        <v>88</v>
      </c>
      <c r="H883" t="s">
        <v>85</v>
      </c>
      <c r="I883">
        <v>831</v>
      </c>
      <c r="J883">
        <v>0</v>
      </c>
      <c r="K883">
        <v>0.104525721151597</v>
      </c>
    </row>
    <row r="884" spans="1:11" x14ac:dyDescent="0.25">
      <c r="A884" t="s">
        <v>86</v>
      </c>
    </row>
    <row r="885" spans="1:11" x14ac:dyDescent="0.25">
      <c r="A885">
        <v>72.636579350007906</v>
      </c>
      <c r="B885">
        <v>126.37629845203701</v>
      </c>
      <c r="C885">
        <v>2000</v>
      </c>
    </row>
    <row r="886" spans="1:11" x14ac:dyDescent="0.25">
      <c r="A886">
        <v>49.781491987775603</v>
      </c>
      <c r="B886">
        <v>103.52121108980501</v>
      </c>
      <c r="C886">
        <v>2000</v>
      </c>
    </row>
    <row r="887" spans="1:11" x14ac:dyDescent="0.25">
      <c r="A887">
        <v>46.766714990537203</v>
      </c>
      <c r="B887">
        <v>100.506434092566</v>
      </c>
      <c r="C887">
        <v>2000</v>
      </c>
    </row>
    <row r="888" spans="1:11" x14ac:dyDescent="0.25">
      <c r="A888">
        <v>47.203731014985998</v>
      </c>
      <c r="B888">
        <v>100.069418068117</v>
      </c>
      <c r="C888">
        <v>2001</v>
      </c>
    </row>
    <row r="889" spans="1:11" x14ac:dyDescent="0.25">
      <c r="A889">
        <v>50.218508012224397</v>
      </c>
      <c r="B889">
        <v>103.084195065356</v>
      </c>
      <c r="C889">
        <v>2001</v>
      </c>
    </row>
    <row r="890" spans="1:11" x14ac:dyDescent="0.25">
      <c r="A890">
        <v>73.2884899457583</v>
      </c>
      <c r="B890">
        <v>126.15417699888999</v>
      </c>
      <c r="C890">
        <v>2001</v>
      </c>
    </row>
    <row r="891" spans="1:11" x14ac:dyDescent="0.25">
      <c r="A891">
        <v>97.134312946868604</v>
      </c>
      <c r="B891">
        <v>150</v>
      </c>
      <c r="C891">
        <v>2001</v>
      </c>
    </row>
    <row r="892" spans="1:11" x14ac:dyDescent="0.25">
      <c r="A892">
        <v>96.260280897971001</v>
      </c>
      <c r="B892">
        <v>150</v>
      </c>
      <c r="C892">
        <v>2000</v>
      </c>
    </row>
    <row r="893" spans="1:11" x14ac:dyDescent="0.25">
      <c r="A893" t="s">
        <v>87</v>
      </c>
    </row>
    <row r="894" spans="1:11" x14ac:dyDescent="0.25">
      <c r="A894">
        <v>823</v>
      </c>
      <c r="B894">
        <v>0</v>
      </c>
      <c r="C894">
        <v>21.497256631941099</v>
      </c>
      <c r="D894">
        <v>48.782616735585698</v>
      </c>
      <c r="E894">
        <v>10</v>
      </c>
      <c r="F894">
        <v>1.01722196789785</v>
      </c>
      <c r="G894" t="s">
        <v>88</v>
      </c>
      <c r="H894" t="s">
        <v>88</v>
      </c>
      <c r="I894">
        <v>506</v>
      </c>
      <c r="J894">
        <v>661</v>
      </c>
      <c r="K894">
        <v>0.103086576425267</v>
      </c>
    </row>
    <row r="895" spans="1:11" x14ac:dyDescent="0.25">
      <c r="A895" t="s">
        <v>86</v>
      </c>
    </row>
    <row r="896" spans="1:11" x14ac:dyDescent="0.25">
      <c r="A896">
        <v>70.452527626167097</v>
      </c>
      <c r="B896">
        <v>112.590643295823</v>
      </c>
      <c r="C896">
        <v>2000</v>
      </c>
    </row>
    <row r="897" spans="1:11" x14ac:dyDescent="0.25">
      <c r="A897">
        <v>58.080392342568302</v>
      </c>
      <c r="B897">
        <v>100.21850801222401</v>
      </c>
      <c r="C897">
        <v>2000</v>
      </c>
    </row>
    <row r="898" spans="1:11" x14ac:dyDescent="0.25">
      <c r="A898">
        <v>55.251671684813999</v>
      </c>
      <c r="B898">
        <v>97.389787354470101</v>
      </c>
      <c r="C898">
        <v>2000</v>
      </c>
    </row>
    <row r="899" spans="1:11" x14ac:dyDescent="0.25">
      <c r="A899">
        <v>55.688687709262901</v>
      </c>
      <c r="B899">
        <v>96.952771330021307</v>
      </c>
      <c r="C899">
        <v>2001</v>
      </c>
    </row>
    <row r="900" spans="1:11" x14ac:dyDescent="0.25">
      <c r="A900">
        <v>58.517408367017197</v>
      </c>
      <c r="B900">
        <v>99.781491987775595</v>
      </c>
      <c r="C900">
        <v>2001</v>
      </c>
    </row>
    <row r="901" spans="1:11" x14ac:dyDescent="0.25">
      <c r="A901">
        <v>70.889543650615906</v>
      </c>
      <c r="B901">
        <v>112.15362727137401</v>
      </c>
      <c r="C901">
        <v>2001</v>
      </c>
    </row>
    <row r="902" spans="1:11" x14ac:dyDescent="0.25">
      <c r="A902">
        <v>100.21850801222401</v>
      </c>
      <c r="B902">
        <v>141.482591632983</v>
      </c>
      <c r="C902">
        <v>2001</v>
      </c>
    </row>
    <row r="903" spans="1:11" x14ac:dyDescent="0.25">
      <c r="A903">
        <v>105.384062748373</v>
      </c>
      <c r="B903">
        <v>146.64814636913101</v>
      </c>
      <c r="C903">
        <v>2001</v>
      </c>
    </row>
    <row r="904" spans="1:11" x14ac:dyDescent="0.25">
      <c r="A904">
        <v>104.947046723924</v>
      </c>
      <c r="B904">
        <v>147.08516239357999</v>
      </c>
      <c r="C904">
        <v>2000</v>
      </c>
    </row>
    <row r="905" spans="1:11" x14ac:dyDescent="0.25">
      <c r="A905">
        <v>99.781491987775595</v>
      </c>
      <c r="B905">
        <v>141.91960765743201</v>
      </c>
      <c r="C905">
        <v>2000</v>
      </c>
    </row>
    <row r="906" spans="1:11" x14ac:dyDescent="0.25">
      <c r="A906" t="s">
        <v>87</v>
      </c>
    </row>
    <row r="907" spans="1:11" x14ac:dyDescent="0.25">
      <c r="A907">
        <v>672</v>
      </c>
      <c r="B907">
        <v>0</v>
      </c>
      <c r="C907">
        <v>37.596767394706497</v>
      </c>
      <c r="D907">
        <v>32.095359647177602</v>
      </c>
      <c r="E907">
        <v>8</v>
      </c>
      <c r="F907">
        <v>1.01722196789785</v>
      </c>
      <c r="G907" t="s">
        <v>88</v>
      </c>
      <c r="H907" t="s">
        <v>88</v>
      </c>
      <c r="I907">
        <v>106</v>
      </c>
      <c r="J907">
        <v>652</v>
      </c>
      <c r="K907">
        <v>0</v>
      </c>
    </row>
    <row r="908" spans="1:11" x14ac:dyDescent="0.25">
      <c r="A908" t="s">
        <v>86</v>
      </c>
    </row>
    <row r="909" spans="1:11" x14ac:dyDescent="0.25">
      <c r="A909">
        <v>122.84023859065501</v>
      </c>
      <c r="B909">
        <v>127.230880926466</v>
      </c>
      <c r="C909">
        <v>2000</v>
      </c>
    </row>
    <row r="910" spans="1:11" x14ac:dyDescent="0.25">
      <c r="A910">
        <v>99.781491987775595</v>
      </c>
      <c r="B910">
        <v>104.172134323587</v>
      </c>
      <c r="C910">
        <v>2000</v>
      </c>
    </row>
    <row r="911" spans="1:11" x14ac:dyDescent="0.25">
      <c r="A911">
        <v>96.255309415164604</v>
      </c>
      <c r="B911">
        <v>100.645951750976</v>
      </c>
      <c r="C911">
        <v>2000</v>
      </c>
    </row>
    <row r="912" spans="1:11" x14ac:dyDescent="0.25">
      <c r="A912">
        <v>96.692325439613398</v>
      </c>
      <c r="B912">
        <v>100.208935726527</v>
      </c>
      <c r="C912">
        <v>2001</v>
      </c>
    </row>
    <row r="913" spans="1:11" x14ac:dyDescent="0.25">
      <c r="A913">
        <v>100.21850801222401</v>
      </c>
      <c r="B913">
        <v>103.73511829913799</v>
      </c>
      <c r="C913">
        <v>2001</v>
      </c>
    </row>
    <row r="914" spans="1:11" x14ac:dyDescent="0.25">
      <c r="A914">
        <v>123.277254615104</v>
      </c>
      <c r="B914">
        <v>126.79386490201701</v>
      </c>
      <c r="C914">
        <v>2001</v>
      </c>
    </row>
    <row r="915" spans="1:11" x14ac:dyDescent="0.25">
      <c r="A915">
        <v>145.97210106624399</v>
      </c>
      <c r="B915">
        <v>149.48871135315801</v>
      </c>
      <c r="C915">
        <v>2001</v>
      </c>
    </row>
    <row r="916" spans="1:11" x14ac:dyDescent="0.25">
      <c r="A916">
        <v>145.53508504179501</v>
      </c>
      <c r="B916">
        <v>149.92572737760699</v>
      </c>
      <c r="C916">
        <v>2000</v>
      </c>
    </row>
    <row r="917" spans="1:11" x14ac:dyDescent="0.25">
      <c r="A917" t="s">
        <v>87</v>
      </c>
    </row>
    <row r="918" spans="1:11" x14ac:dyDescent="0.25">
      <c r="A918">
        <v>899</v>
      </c>
      <c r="B918">
        <v>0</v>
      </c>
      <c r="C918">
        <v>32.5780532788363</v>
      </c>
      <c r="D918">
        <v>35.6853625086368</v>
      </c>
      <c r="E918">
        <v>10</v>
      </c>
      <c r="F918">
        <v>1.01722196789785</v>
      </c>
      <c r="G918" t="s">
        <v>88</v>
      </c>
      <c r="H918" t="s">
        <v>88</v>
      </c>
      <c r="I918">
        <v>979</v>
      </c>
      <c r="J918">
        <v>666</v>
      </c>
      <c r="K918">
        <v>0.10489943576939401</v>
      </c>
    </row>
    <row r="919" spans="1:11" x14ac:dyDescent="0.25">
      <c r="A919" t="s">
        <v>86</v>
      </c>
    </row>
    <row r="920" spans="1:11" x14ac:dyDescent="0.25">
      <c r="A920">
        <v>85.255402886432094</v>
      </c>
      <c r="B920">
        <v>59.051529710200597</v>
      </c>
      <c r="C920">
        <v>2000</v>
      </c>
    </row>
    <row r="921" spans="1:11" x14ac:dyDescent="0.25">
      <c r="A921">
        <v>76.422381188456001</v>
      </c>
      <c r="B921">
        <v>50.218508012224397</v>
      </c>
      <c r="C921">
        <v>2000</v>
      </c>
    </row>
    <row r="922" spans="1:11" x14ac:dyDescent="0.25">
      <c r="A922">
        <v>62.219240495110299</v>
      </c>
      <c r="B922">
        <v>36.015367318878802</v>
      </c>
      <c r="C922">
        <v>2000</v>
      </c>
    </row>
    <row r="923" spans="1:11" x14ac:dyDescent="0.25">
      <c r="A923">
        <v>62.656256519559101</v>
      </c>
      <c r="B923">
        <v>35.57835129443</v>
      </c>
      <c r="C923">
        <v>2001</v>
      </c>
    </row>
    <row r="924" spans="1:11" x14ac:dyDescent="0.25">
      <c r="A924">
        <v>76.859397212904796</v>
      </c>
      <c r="B924">
        <v>49.781491987775603</v>
      </c>
      <c r="C924">
        <v>2001</v>
      </c>
    </row>
    <row r="925" spans="1:11" x14ac:dyDescent="0.25">
      <c r="A925">
        <v>85.692418910880903</v>
      </c>
      <c r="B925">
        <v>58.614513685751703</v>
      </c>
      <c r="C925">
        <v>2001</v>
      </c>
    </row>
    <row r="926" spans="1:11" x14ac:dyDescent="0.25">
      <c r="A926">
        <v>100.21850801222401</v>
      </c>
      <c r="B926">
        <v>73.140602787095204</v>
      </c>
      <c r="C926">
        <v>2001</v>
      </c>
    </row>
    <row r="927" spans="1:11" x14ac:dyDescent="0.25">
      <c r="A927">
        <v>110.925780729838</v>
      </c>
      <c r="B927">
        <v>83.847875504708995</v>
      </c>
      <c r="C927">
        <v>2001</v>
      </c>
    </row>
    <row r="928" spans="1:11" x14ac:dyDescent="0.25">
      <c r="A928">
        <v>110.488764705389</v>
      </c>
      <c r="B928">
        <v>84.284891529157804</v>
      </c>
      <c r="C928">
        <v>2000</v>
      </c>
    </row>
    <row r="929" spans="1:11" x14ac:dyDescent="0.25">
      <c r="A929">
        <v>99.781491987775595</v>
      </c>
      <c r="B929">
        <v>73.577618811543999</v>
      </c>
      <c r="C929">
        <v>2000</v>
      </c>
    </row>
    <row r="930" spans="1:11" x14ac:dyDescent="0.25">
      <c r="A930" t="s">
        <v>87</v>
      </c>
    </row>
    <row r="931" spans="1:11" x14ac:dyDescent="0.25">
      <c r="A931">
        <v>278</v>
      </c>
      <c r="B931">
        <v>0</v>
      </c>
      <c r="C931">
        <v>43.244259183425299</v>
      </c>
      <c r="D931">
        <v>24.5224584621789</v>
      </c>
      <c r="E931">
        <v>8</v>
      </c>
      <c r="F931">
        <v>1.01722196789785</v>
      </c>
      <c r="G931" t="s">
        <v>85</v>
      </c>
      <c r="H931" t="s">
        <v>88</v>
      </c>
      <c r="I931">
        <v>0</v>
      </c>
      <c r="J931">
        <v>828</v>
      </c>
      <c r="K931">
        <v>0</v>
      </c>
    </row>
    <row r="932" spans="1:11" x14ac:dyDescent="0.25">
      <c r="A932" t="s">
        <v>86</v>
      </c>
    </row>
    <row r="933" spans="1:11" x14ac:dyDescent="0.25">
      <c r="A933">
        <v>53.7458024816559</v>
      </c>
      <c r="B933">
        <v>30.380642874467998</v>
      </c>
      <c r="C933">
        <v>2000</v>
      </c>
    </row>
    <row r="934" spans="1:11" x14ac:dyDescent="0.25">
      <c r="A934">
        <v>50.243564596208898</v>
      </c>
      <c r="B934">
        <v>26.878404989021099</v>
      </c>
      <c r="C934">
        <v>2000</v>
      </c>
    </row>
    <row r="935" spans="1:11" x14ac:dyDescent="0.25">
      <c r="A935">
        <v>23.365159607187799</v>
      </c>
      <c r="B935">
        <v>0</v>
      </c>
      <c r="C935">
        <v>2000</v>
      </c>
    </row>
    <row r="936" spans="1:11" x14ac:dyDescent="0.25">
      <c r="A936">
        <v>22.491127558290199</v>
      </c>
      <c r="B936">
        <v>0</v>
      </c>
      <c r="C936">
        <v>2001</v>
      </c>
    </row>
    <row r="937" spans="1:11" x14ac:dyDescent="0.25">
      <c r="A937">
        <v>49.756435403791102</v>
      </c>
      <c r="B937">
        <v>27.265307845500999</v>
      </c>
      <c r="C937">
        <v>2001</v>
      </c>
    </row>
    <row r="938" spans="1:11" x14ac:dyDescent="0.25">
      <c r="A938">
        <v>53.2671025157995</v>
      </c>
      <c r="B938">
        <v>30.775974957509298</v>
      </c>
      <c r="C938">
        <v>2001</v>
      </c>
    </row>
    <row r="939" spans="1:11" x14ac:dyDescent="0.25">
      <c r="A939">
        <v>70.627941156475501</v>
      </c>
      <c r="B939">
        <v>48.136813598185299</v>
      </c>
      <c r="C939">
        <v>2001</v>
      </c>
    </row>
    <row r="940" spans="1:11" x14ac:dyDescent="0.25">
      <c r="A940">
        <v>71.064957180924296</v>
      </c>
      <c r="B940">
        <v>47.699797573736397</v>
      </c>
      <c r="C940">
        <v>2000</v>
      </c>
    </row>
    <row r="941" spans="1:11" x14ac:dyDescent="0.25">
      <c r="A941" t="s">
        <v>87</v>
      </c>
    </row>
    <row r="942" spans="1:11" x14ac:dyDescent="0.25">
      <c r="A942">
        <v>981</v>
      </c>
      <c r="B942">
        <v>0</v>
      </c>
      <c r="C942">
        <v>1.85405395608839</v>
      </c>
      <c r="D942">
        <v>65.773235564035204</v>
      </c>
      <c r="E942">
        <v>8</v>
      </c>
      <c r="F942">
        <v>1.01722196789785</v>
      </c>
      <c r="G942" t="s">
        <v>88</v>
      </c>
      <c r="H942" t="s">
        <v>85</v>
      </c>
      <c r="I942">
        <v>937</v>
      </c>
      <c r="J942">
        <v>0</v>
      </c>
      <c r="K942">
        <v>0.110266613647937</v>
      </c>
    </row>
    <row r="943" spans="1:11" x14ac:dyDescent="0.25">
      <c r="A943" t="s">
        <v>86</v>
      </c>
    </row>
    <row r="944" spans="1:11" x14ac:dyDescent="0.25">
      <c r="A944">
        <v>103.27857664810401</v>
      </c>
      <c r="B944">
        <v>29.937307295928399</v>
      </c>
      <c r="C944">
        <v>2000</v>
      </c>
    </row>
    <row r="945" spans="1:11" x14ac:dyDescent="0.25">
      <c r="A945">
        <v>101.96177697483</v>
      </c>
      <c r="B945">
        <v>28.620507622654699</v>
      </c>
      <c r="C945">
        <v>2000</v>
      </c>
    </row>
    <row r="946" spans="1:11" x14ac:dyDescent="0.25">
      <c r="A946">
        <v>102.398792999279</v>
      </c>
      <c r="B946">
        <v>28.183491598205901</v>
      </c>
      <c r="C946">
        <v>2001</v>
      </c>
    </row>
    <row r="947" spans="1:11" x14ac:dyDescent="0.25">
      <c r="A947">
        <v>103.704021576077</v>
      </c>
      <c r="B947">
        <v>29.488720175004001</v>
      </c>
      <c r="C947">
        <v>2001</v>
      </c>
    </row>
    <row r="948" spans="1:11" x14ac:dyDescent="0.25">
      <c r="A948">
        <v>123.901480706317</v>
      </c>
      <c r="B948">
        <v>49.686179305244004</v>
      </c>
      <c r="C948">
        <v>2001</v>
      </c>
    </row>
    <row r="949" spans="1:11" x14ac:dyDescent="0.25">
      <c r="A949">
        <v>150</v>
      </c>
      <c r="B949">
        <v>75.784698598926795</v>
      </c>
      <c r="C949">
        <v>2001</v>
      </c>
    </row>
    <row r="950" spans="1:11" x14ac:dyDescent="0.25">
      <c r="A950">
        <v>150</v>
      </c>
      <c r="B950">
        <v>76.658730647824399</v>
      </c>
      <c r="C950">
        <v>2000</v>
      </c>
    </row>
    <row r="951" spans="1:11" x14ac:dyDescent="0.25">
      <c r="A951">
        <v>123.655090046932</v>
      </c>
      <c r="B951">
        <v>50.313820694755996</v>
      </c>
      <c r="C951">
        <v>2000</v>
      </c>
    </row>
    <row r="952" spans="1:11" x14ac:dyDescent="0.25">
      <c r="A952" t="s">
        <v>87</v>
      </c>
    </row>
    <row r="953" spans="1:11" x14ac:dyDescent="0.25">
      <c r="A953">
        <v>942</v>
      </c>
      <c r="B953">
        <v>0</v>
      </c>
      <c r="C953">
        <v>32.4007657558357</v>
      </c>
      <c r="D953">
        <v>35.200815784636902</v>
      </c>
      <c r="E953">
        <v>10</v>
      </c>
      <c r="F953">
        <v>1.01722196789785</v>
      </c>
      <c r="G953" t="s">
        <v>88</v>
      </c>
      <c r="H953" t="s">
        <v>88</v>
      </c>
      <c r="I953">
        <v>743</v>
      </c>
      <c r="J953">
        <v>802</v>
      </c>
      <c r="K953">
        <v>0.10641999380403</v>
      </c>
    </row>
    <row r="954" spans="1:11" x14ac:dyDescent="0.25">
      <c r="A954" t="s">
        <v>86</v>
      </c>
    </row>
    <row r="955" spans="1:11" x14ac:dyDescent="0.25">
      <c r="A955">
        <v>95.484493352702899</v>
      </c>
      <c r="B955">
        <v>101.119264836474</v>
      </c>
      <c r="C955">
        <v>2000</v>
      </c>
    </row>
    <row r="956" spans="1:11" x14ac:dyDescent="0.25">
      <c r="A956">
        <v>94.583736528453102</v>
      </c>
      <c r="B956">
        <v>100.21850801222401</v>
      </c>
      <c r="C956">
        <v>2000</v>
      </c>
    </row>
    <row r="957" spans="1:11" x14ac:dyDescent="0.25">
      <c r="A957">
        <v>72.573692171114601</v>
      </c>
      <c r="B957">
        <v>78.208463654885904</v>
      </c>
      <c r="C957">
        <v>2000</v>
      </c>
    </row>
    <row r="958" spans="1:11" x14ac:dyDescent="0.25">
      <c r="A958">
        <v>73.010708195563396</v>
      </c>
      <c r="B958">
        <v>77.771447630437095</v>
      </c>
      <c r="C958">
        <v>2001</v>
      </c>
    </row>
    <row r="959" spans="1:11" x14ac:dyDescent="0.25">
      <c r="A959">
        <v>95.020752552901897</v>
      </c>
      <c r="B959">
        <v>99.781491987775595</v>
      </c>
      <c r="C959">
        <v>2001</v>
      </c>
    </row>
    <row r="960" spans="1:11" x14ac:dyDescent="0.25">
      <c r="A960">
        <v>95.921509377151693</v>
      </c>
      <c r="B960">
        <v>100.68224881202499</v>
      </c>
      <c r="C960">
        <v>2001</v>
      </c>
    </row>
    <row r="961" spans="1:11" x14ac:dyDescent="0.25">
      <c r="A961">
        <v>100.21850801222401</v>
      </c>
      <c r="B961">
        <v>104.979247447098</v>
      </c>
      <c r="C961">
        <v>2001</v>
      </c>
    </row>
    <row r="962" spans="1:11" x14ac:dyDescent="0.25">
      <c r="A962">
        <v>120.812244921767</v>
      </c>
      <c r="B962">
        <v>125.572984356641</v>
      </c>
      <c r="C962">
        <v>2001</v>
      </c>
    </row>
    <row r="963" spans="1:11" x14ac:dyDescent="0.25">
      <c r="A963">
        <v>120.375228897318</v>
      </c>
      <c r="B963">
        <v>126.010000381089</v>
      </c>
      <c r="C963">
        <v>2000</v>
      </c>
    </row>
    <row r="964" spans="1:11" x14ac:dyDescent="0.25">
      <c r="A964">
        <v>99.781491987775595</v>
      </c>
      <c r="B964">
        <v>105.416263471547</v>
      </c>
      <c r="C964">
        <v>2000</v>
      </c>
    </row>
    <row r="965" spans="1:11" x14ac:dyDescent="0.25">
      <c r="A965" t="s">
        <v>87</v>
      </c>
    </row>
    <row r="966" spans="1:11" x14ac:dyDescent="0.25">
      <c r="A966">
        <v>39</v>
      </c>
      <c r="B966">
        <v>0</v>
      </c>
      <c r="C966">
        <v>0.68843383220017895</v>
      </c>
      <c r="D966">
        <v>66.377958320261101</v>
      </c>
      <c r="E966">
        <v>10</v>
      </c>
      <c r="F966">
        <v>1.01722196789785</v>
      </c>
      <c r="G966" t="s">
        <v>88</v>
      </c>
      <c r="H966" t="s">
        <v>88</v>
      </c>
      <c r="I966">
        <v>1023</v>
      </c>
      <c r="J966">
        <v>947</v>
      </c>
      <c r="K966">
        <v>0</v>
      </c>
    </row>
    <row r="967" spans="1:11" x14ac:dyDescent="0.25">
      <c r="A967" t="s">
        <v>86</v>
      </c>
    </row>
    <row r="968" spans="1:11" x14ac:dyDescent="0.25">
      <c r="A968">
        <v>6.3095959244851096</v>
      </c>
      <c r="B968">
        <v>28.157655573984599</v>
      </c>
      <c r="C968">
        <v>2000</v>
      </c>
    </row>
    <row r="969" spans="1:11" x14ac:dyDescent="0.25">
      <c r="A969">
        <v>5.8227996933381201</v>
      </c>
      <c r="B969">
        <v>27.670859342837701</v>
      </c>
      <c r="C969">
        <v>2000</v>
      </c>
    </row>
    <row r="970" spans="1:11" x14ac:dyDescent="0.25">
      <c r="A970">
        <v>6.2598157177869398</v>
      </c>
      <c r="B970">
        <v>27.2338433183888</v>
      </c>
      <c r="C970">
        <v>2001</v>
      </c>
    </row>
    <row r="971" spans="1:11" x14ac:dyDescent="0.25">
      <c r="A971">
        <v>6.7466119489339302</v>
      </c>
      <c r="B971">
        <v>27.7206395495358</v>
      </c>
      <c r="C971">
        <v>2001</v>
      </c>
    </row>
    <row r="972" spans="1:11" x14ac:dyDescent="0.25">
      <c r="A972">
        <v>28.807464387173699</v>
      </c>
      <c r="B972">
        <v>49.781491987775603</v>
      </c>
      <c r="C972">
        <v>2001</v>
      </c>
    </row>
    <row r="973" spans="1:11" x14ac:dyDescent="0.25">
      <c r="A973">
        <v>50.218508012224397</v>
      </c>
      <c r="B973">
        <v>71.192535612826205</v>
      </c>
      <c r="C973">
        <v>2001</v>
      </c>
    </row>
    <row r="974" spans="1:11" x14ac:dyDescent="0.25">
      <c r="A974">
        <v>53.682916398508603</v>
      </c>
      <c r="B974">
        <v>74.656943999110396</v>
      </c>
      <c r="C974">
        <v>2001</v>
      </c>
    </row>
    <row r="975" spans="1:11" x14ac:dyDescent="0.25">
      <c r="A975">
        <v>53.245900374059801</v>
      </c>
      <c r="B975">
        <v>75.093960023559205</v>
      </c>
      <c r="C975">
        <v>2000</v>
      </c>
    </row>
    <row r="976" spans="1:11" x14ac:dyDescent="0.25">
      <c r="A976">
        <v>49.781491987775603</v>
      </c>
      <c r="B976">
        <v>71.6295516372751</v>
      </c>
      <c r="C976">
        <v>2000</v>
      </c>
    </row>
    <row r="977" spans="1:11" x14ac:dyDescent="0.25">
      <c r="A977">
        <v>28.3704483627249</v>
      </c>
      <c r="B977">
        <v>50.218508012224397</v>
      </c>
      <c r="C977">
        <v>2000</v>
      </c>
    </row>
    <row r="978" spans="1:11" x14ac:dyDescent="0.25">
      <c r="A978" t="s">
        <v>87</v>
      </c>
    </row>
    <row r="979" spans="1:11" x14ac:dyDescent="0.25">
      <c r="A979">
        <v>743</v>
      </c>
      <c r="B979">
        <v>0</v>
      </c>
      <c r="C979">
        <v>2.31943177743246</v>
      </c>
      <c r="D979">
        <v>64.650481417016493</v>
      </c>
      <c r="E979">
        <v>10</v>
      </c>
      <c r="F979">
        <v>1.01722196789785</v>
      </c>
      <c r="G979" t="s">
        <v>88</v>
      </c>
      <c r="H979" t="s">
        <v>88</v>
      </c>
      <c r="I979">
        <v>30</v>
      </c>
      <c r="J979">
        <v>942</v>
      </c>
      <c r="K979">
        <v>0.100785207567138</v>
      </c>
    </row>
    <row r="980" spans="1:11" x14ac:dyDescent="0.25">
      <c r="A980" t="s">
        <v>86</v>
      </c>
    </row>
    <row r="981" spans="1:11" x14ac:dyDescent="0.25">
      <c r="A981">
        <v>27.1631095605686</v>
      </c>
      <c r="B981">
        <v>32.189458631537399</v>
      </c>
      <c r="C981">
        <v>2000</v>
      </c>
    </row>
    <row r="982" spans="1:11" x14ac:dyDescent="0.25">
      <c r="A982">
        <v>25.523023622246502</v>
      </c>
      <c r="B982">
        <v>30.5493726932154</v>
      </c>
      <c r="C982">
        <v>2000</v>
      </c>
    </row>
    <row r="983" spans="1:11" x14ac:dyDescent="0.25">
      <c r="A983">
        <v>25.0860075977977</v>
      </c>
      <c r="B983">
        <v>30.986388717664202</v>
      </c>
      <c r="C983">
        <v>2001</v>
      </c>
    </row>
    <row r="984" spans="1:11" x14ac:dyDescent="0.25">
      <c r="A984">
        <v>26.726093536119802</v>
      </c>
      <c r="B984">
        <v>32.6264746559862</v>
      </c>
      <c r="C984">
        <v>2001</v>
      </c>
    </row>
    <row r="985" spans="1:11" x14ac:dyDescent="0.25">
      <c r="A985">
        <v>44.318126892358002</v>
      </c>
      <c r="B985">
        <v>50.218508012224397</v>
      </c>
      <c r="C985">
        <v>2001</v>
      </c>
    </row>
    <row r="986" spans="1:11" x14ac:dyDescent="0.25">
      <c r="A986">
        <v>49.781491987775603</v>
      </c>
      <c r="B986">
        <v>55.681873107641998</v>
      </c>
      <c r="C986">
        <v>2001</v>
      </c>
    </row>
    <row r="987" spans="1:11" x14ac:dyDescent="0.25">
      <c r="A987">
        <v>72.440887353067097</v>
      </c>
      <c r="B987">
        <v>78.341268472933507</v>
      </c>
      <c r="C987">
        <v>2001</v>
      </c>
    </row>
    <row r="988" spans="1:11" x14ac:dyDescent="0.25">
      <c r="A988">
        <v>72.877903377515906</v>
      </c>
      <c r="B988">
        <v>77.904252448484698</v>
      </c>
      <c r="C988">
        <v>2000</v>
      </c>
    </row>
    <row r="989" spans="1:11" x14ac:dyDescent="0.25">
      <c r="A989">
        <v>50.218508012224397</v>
      </c>
      <c r="B989">
        <v>55.244857083193203</v>
      </c>
      <c r="C989">
        <v>2000</v>
      </c>
    </row>
    <row r="990" spans="1:11" x14ac:dyDescent="0.25">
      <c r="A990">
        <v>44.755142916806797</v>
      </c>
      <c r="B990">
        <v>49.781491987775603</v>
      </c>
      <c r="C990">
        <v>2000</v>
      </c>
    </row>
    <row r="991" spans="1:11" x14ac:dyDescent="0.25">
      <c r="A991" t="s">
        <v>87</v>
      </c>
    </row>
    <row r="992" spans="1:11" x14ac:dyDescent="0.25">
      <c r="A992">
        <v>584</v>
      </c>
      <c r="B992">
        <v>0</v>
      </c>
      <c r="C992">
        <v>37.231830173734103</v>
      </c>
      <c r="D992">
        <v>29.157836998029399</v>
      </c>
      <c r="E992">
        <v>6</v>
      </c>
      <c r="F992">
        <v>1.01722196789785</v>
      </c>
      <c r="G992" t="s">
        <v>85</v>
      </c>
      <c r="H992" t="s">
        <v>85</v>
      </c>
      <c r="I992">
        <v>0</v>
      </c>
      <c r="J992">
        <v>0</v>
      </c>
      <c r="K992">
        <v>0</v>
      </c>
    </row>
    <row r="993" spans="1:11" x14ac:dyDescent="0.25">
      <c r="A993" t="s">
        <v>86</v>
      </c>
    </row>
    <row r="994" spans="1:11" x14ac:dyDescent="0.25">
      <c r="A994">
        <v>26.081797682273699</v>
      </c>
      <c r="B994">
        <v>129.57422984885099</v>
      </c>
      <c r="C994">
        <v>2000</v>
      </c>
    </row>
    <row r="995" spans="1:11" x14ac:dyDescent="0.25">
      <c r="A995">
        <v>0</v>
      </c>
      <c r="B995">
        <v>103.492432166577</v>
      </c>
      <c r="C995">
        <v>2000</v>
      </c>
    </row>
    <row r="996" spans="1:11" x14ac:dyDescent="0.25">
      <c r="A996">
        <v>0</v>
      </c>
      <c r="B996">
        <v>102.618400117679</v>
      </c>
      <c r="C996">
        <v>2001</v>
      </c>
    </row>
    <row r="997" spans="1:11" x14ac:dyDescent="0.25">
      <c r="A997">
        <v>26.571961501392799</v>
      </c>
      <c r="B997">
        <v>129.19036161907201</v>
      </c>
      <c r="C997">
        <v>2001</v>
      </c>
    </row>
    <row r="998" spans="1:11" x14ac:dyDescent="0.25">
      <c r="A998">
        <v>47.3815998823207</v>
      </c>
      <c r="B998">
        <v>150</v>
      </c>
      <c r="C998">
        <v>2001</v>
      </c>
    </row>
    <row r="999" spans="1:11" x14ac:dyDescent="0.25">
      <c r="A999">
        <v>46.507567833423003</v>
      </c>
      <c r="B999">
        <v>150</v>
      </c>
      <c r="C999">
        <v>2000</v>
      </c>
    </row>
    <row r="1000" spans="1:11" x14ac:dyDescent="0.25">
      <c r="A1000" t="s">
        <v>87</v>
      </c>
    </row>
    <row r="1001" spans="1:11" x14ac:dyDescent="0.25">
      <c r="A1001">
        <v>1015</v>
      </c>
      <c r="B1001">
        <v>0</v>
      </c>
      <c r="C1001">
        <v>49.435851087642902</v>
      </c>
      <c r="D1001">
        <v>16.031734826954601</v>
      </c>
      <c r="E1001">
        <v>8</v>
      </c>
      <c r="F1001">
        <v>1.01722196789785</v>
      </c>
      <c r="G1001" t="s">
        <v>85</v>
      </c>
      <c r="H1001" t="s">
        <v>88</v>
      </c>
      <c r="I1001">
        <v>0</v>
      </c>
      <c r="J1001">
        <v>839</v>
      </c>
      <c r="K1001">
        <v>0.113082995979816</v>
      </c>
    </row>
    <row r="1002" spans="1:11" x14ac:dyDescent="0.25">
      <c r="A1002" t="s">
        <v>86</v>
      </c>
    </row>
    <row r="1003" spans="1:11" x14ac:dyDescent="0.25">
      <c r="A1003">
        <v>93.406128046358901</v>
      </c>
      <c r="B1003">
        <v>35.141379181419502</v>
      </c>
      <c r="C1003">
        <v>2000</v>
      </c>
    </row>
    <row r="1004" spans="1:11" x14ac:dyDescent="0.25">
      <c r="A1004">
        <v>58.264748864939399</v>
      </c>
      <c r="B1004">
        <v>0</v>
      </c>
      <c r="C1004">
        <v>2000</v>
      </c>
    </row>
    <row r="1005" spans="1:11" x14ac:dyDescent="0.25">
      <c r="A1005">
        <v>59.138780913837003</v>
      </c>
      <c r="B1005">
        <v>0</v>
      </c>
      <c r="C1005">
        <v>2001</v>
      </c>
    </row>
    <row r="1006" spans="1:11" x14ac:dyDescent="0.25">
      <c r="A1006">
        <v>93.910252808018797</v>
      </c>
      <c r="B1006">
        <v>34.771471894181801</v>
      </c>
      <c r="C1006">
        <v>2001</v>
      </c>
    </row>
    <row r="1007" spans="1:11" x14ac:dyDescent="0.25">
      <c r="A1007">
        <v>100.21850801222401</v>
      </c>
      <c r="B1007">
        <v>41.079727098387302</v>
      </c>
      <c r="C1007">
        <v>2001</v>
      </c>
    </row>
    <row r="1008" spans="1:11" x14ac:dyDescent="0.25">
      <c r="A1008">
        <v>105.21284684973701</v>
      </c>
      <c r="B1008">
        <v>46.0740659359004</v>
      </c>
      <c r="C1008">
        <v>2001</v>
      </c>
    </row>
    <row r="1009" spans="1:11" x14ac:dyDescent="0.25">
      <c r="A1009">
        <v>104.77583082528901</v>
      </c>
      <c r="B1009">
        <v>46.511081960349202</v>
      </c>
      <c r="C1009">
        <v>2000</v>
      </c>
    </row>
    <row r="1010" spans="1:11" x14ac:dyDescent="0.25">
      <c r="A1010">
        <v>99.781491987775595</v>
      </c>
      <c r="B1010">
        <v>41.516743122836097</v>
      </c>
      <c r="C1010">
        <v>2000</v>
      </c>
    </row>
    <row r="1011" spans="1:11" x14ac:dyDescent="0.25">
      <c r="A1011" t="s">
        <v>87</v>
      </c>
    </row>
    <row r="1012" spans="1:11" x14ac:dyDescent="0.25">
      <c r="A1012">
        <v>343</v>
      </c>
      <c r="B1012">
        <v>0</v>
      </c>
      <c r="C1012">
        <v>21.635038641116001</v>
      </c>
      <c r="D1012">
        <v>43.6351518423374</v>
      </c>
      <c r="E1012">
        <v>8</v>
      </c>
      <c r="F1012">
        <v>1.01722196789785</v>
      </c>
      <c r="G1012" t="s">
        <v>88</v>
      </c>
      <c r="H1012" t="s">
        <v>85</v>
      </c>
      <c r="I1012">
        <v>866</v>
      </c>
      <c r="J1012">
        <v>0</v>
      </c>
      <c r="K1012">
        <v>0</v>
      </c>
    </row>
    <row r="1013" spans="1:11" x14ac:dyDescent="0.25">
      <c r="A1013" t="s">
        <v>86</v>
      </c>
    </row>
    <row r="1014" spans="1:11" x14ac:dyDescent="0.25">
      <c r="A1014">
        <v>69.278801389172898</v>
      </c>
      <c r="B1014">
        <v>119.363796246403</v>
      </c>
      <c r="C1014">
        <v>2000</v>
      </c>
    </row>
    <row r="1015" spans="1:11" x14ac:dyDescent="0.25">
      <c r="A1015">
        <v>53.980518854806803</v>
      </c>
      <c r="B1015">
        <v>104.065513712037</v>
      </c>
      <c r="C1015">
        <v>2000</v>
      </c>
    </row>
    <row r="1016" spans="1:11" x14ac:dyDescent="0.25">
      <c r="A1016">
        <v>54.417534879255598</v>
      </c>
      <c r="B1016">
        <v>103.62849768758799</v>
      </c>
      <c r="C1016">
        <v>2001</v>
      </c>
    </row>
    <row r="1017" spans="1:11" x14ac:dyDescent="0.25">
      <c r="A1017">
        <v>69.787970015027994</v>
      </c>
      <c r="B1017">
        <v>118.99893282335999</v>
      </c>
      <c r="C1017">
        <v>2001</v>
      </c>
    </row>
    <row r="1018" spans="1:11" x14ac:dyDescent="0.25">
      <c r="A1018">
        <v>100.434523068232</v>
      </c>
      <c r="B1018">
        <v>149.645485876565</v>
      </c>
      <c r="C1018">
        <v>2001</v>
      </c>
    </row>
    <row r="1019" spans="1:11" x14ac:dyDescent="0.25">
      <c r="A1019">
        <v>100.789037191668</v>
      </c>
      <c r="B1019">
        <v>150</v>
      </c>
      <c r="C1019">
        <v>2001</v>
      </c>
    </row>
    <row r="1020" spans="1:11" x14ac:dyDescent="0.25">
      <c r="A1020">
        <v>100.13351315499401</v>
      </c>
      <c r="B1020">
        <v>150.21850801222399</v>
      </c>
      <c r="C1020">
        <v>2000</v>
      </c>
    </row>
    <row r="1021" spans="1:11" x14ac:dyDescent="0.25">
      <c r="A1021">
        <v>99.781491987775595</v>
      </c>
      <c r="B1021">
        <v>149.86648684500599</v>
      </c>
      <c r="C1021">
        <v>2000</v>
      </c>
    </row>
    <row r="1022" spans="1:11" x14ac:dyDescent="0.25">
      <c r="A1022" t="s">
        <v>87</v>
      </c>
    </row>
    <row r="1023" spans="1:11" x14ac:dyDescent="0.25">
      <c r="A1023">
        <v>947</v>
      </c>
      <c r="B1023">
        <v>0</v>
      </c>
      <c r="C1023">
        <v>23.1135037913531</v>
      </c>
      <c r="D1023">
        <v>42.104500743596603</v>
      </c>
      <c r="E1023">
        <v>8</v>
      </c>
      <c r="F1023">
        <v>1.01722196789785</v>
      </c>
      <c r="G1023" t="s">
        <v>88</v>
      </c>
      <c r="H1023" t="s">
        <v>88</v>
      </c>
      <c r="I1023">
        <v>39</v>
      </c>
      <c r="J1023">
        <v>328</v>
      </c>
      <c r="K1023">
        <v>0.106727627876698</v>
      </c>
    </row>
    <row r="1024" spans="1:11" x14ac:dyDescent="0.25">
      <c r="A1024" t="s">
        <v>86</v>
      </c>
    </row>
    <row r="1025" spans="1:11" x14ac:dyDescent="0.25">
      <c r="A1025">
        <v>69.786685729761203</v>
      </c>
      <c r="B1025">
        <v>91.240605203551297</v>
      </c>
      <c r="C1025">
        <v>2000</v>
      </c>
    </row>
    <row r="1026" spans="1:11" x14ac:dyDescent="0.25">
      <c r="A1026">
        <v>53.442970461914399</v>
      </c>
      <c r="B1026">
        <v>74.896889935704607</v>
      </c>
      <c r="C1026">
        <v>2000</v>
      </c>
    </row>
    <row r="1027" spans="1:11" x14ac:dyDescent="0.25">
      <c r="A1027">
        <v>53.005954437465597</v>
      </c>
      <c r="B1027">
        <v>75.333905960153402</v>
      </c>
      <c r="C1027">
        <v>2001</v>
      </c>
    </row>
    <row r="1028" spans="1:11" x14ac:dyDescent="0.25">
      <c r="A1028">
        <v>69.349669705312394</v>
      </c>
      <c r="B1028">
        <v>91.677621228000106</v>
      </c>
      <c r="C1028">
        <v>2001</v>
      </c>
    </row>
    <row r="1029" spans="1:11" x14ac:dyDescent="0.25">
      <c r="A1029">
        <v>77.890556489536706</v>
      </c>
      <c r="B1029">
        <v>100.21850801222401</v>
      </c>
      <c r="C1029">
        <v>2001</v>
      </c>
    </row>
    <row r="1030" spans="1:11" x14ac:dyDescent="0.25">
      <c r="A1030">
        <v>99.122047699583504</v>
      </c>
      <c r="B1030">
        <v>121.449999222271</v>
      </c>
      <c r="C1030">
        <v>2001</v>
      </c>
    </row>
    <row r="1031" spans="1:11" x14ac:dyDescent="0.25">
      <c r="A1031">
        <v>99.559063724032399</v>
      </c>
      <c r="B1031">
        <v>121.012983197822</v>
      </c>
      <c r="C1031">
        <v>2000</v>
      </c>
    </row>
    <row r="1032" spans="1:11" x14ac:dyDescent="0.25">
      <c r="A1032">
        <v>78.327572513985501</v>
      </c>
      <c r="B1032">
        <v>99.781491987775595</v>
      </c>
      <c r="C1032">
        <v>2000</v>
      </c>
    </row>
    <row r="1033" spans="1:11" x14ac:dyDescent="0.25">
      <c r="A1033" t="s">
        <v>87</v>
      </c>
    </row>
    <row r="1034" spans="1:11" x14ac:dyDescent="0.25">
      <c r="A1034">
        <v>906</v>
      </c>
      <c r="B1034">
        <v>0</v>
      </c>
      <c r="C1034">
        <v>12.0295854820214</v>
      </c>
      <c r="D1034">
        <v>52.983111223129001</v>
      </c>
      <c r="E1034">
        <v>6</v>
      </c>
      <c r="F1034">
        <v>1.01722196789785</v>
      </c>
      <c r="G1034" t="s">
        <v>88</v>
      </c>
      <c r="H1034" t="s">
        <v>85</v>
      </c>
      <c r="I1034">
        <v>849</v>
      </c>
      <c r="J1034">
        <v>0</v>
      </c>
      <c r="K1034">
        <v>0.105080877406349</v>
      </c>
    </row>
    <row r="1035" spans="1:11" x14ac:dyDescent="0.25">
      <c r="A1035" t="s">
        <v>86</v>
      </c>
    </row>
    <row r="1036" spans="1:11" x14ac:dyDescent="0.25">
      <c r="A1036">
        <v>112.357206252997</v>
      </c>
      <c r="B1036">
        <v>60.830242502376997</v>
      </c>
      <c r="C1036">
        <v>2000</v>
      </c>
    </row>
    <row r="1037" spans="1:11" x14ac:dyDescent="0.25">
      <c r="A1037">
        <v>103.810573284339</v>
      </c>
      <c r="B1037">
        <v>52.283609533719002</v>
      </c>
      <c r="C1037">
        <v>2000</v>
      </c>
    </row>
    <row r="1038" spans="1:11" x14ac:dyDescent="0.25">
      <c r="A1038">
        <v>104.24758930878799</v>
      </c>
      <c r="B1038">
        <v>51.8465935092701</v>
      </c>
      <c r="C1038">
        <v>2001</v>
      </c>
    </row>
    <row r="1039" spans="1:11" x14ac:dyDescent="0.25">
      <c r="A1039">
        <v>112.713359278531</v>
      </c>
      <c r="B1039">
        <v>60.3123634790133</v>
      </c>
      <c r="C1039">
        <v>2001</v>
      </c>
    </row>
    <row r="1040" spans="1:11" x14ac:dyDescent="0.25">
      <c r="A1040">
        <v>150</v>
      </c>
      <c r="B1040">
        <v>97.5990042004819</v>
      </c>
      <c r="C1040">
        <v>2001</v>
      </c>
    </row>
    <row r="1041" spans="1:11" x14ac:dyDescent="0.25">
      <c r="A1041">
        <v>150</v>
      </c>
      <c r="B1041">
        <v>98.473036249379504</v>
      </c>
      <c r="C1041">
        <v>2000</v>
      </c>
    </row>
    <row r="1042" spans="1:11" x14ac:dyDescent="0.25">
      <c r="A1042" t="s">
        <v>87</v>
      </c>
    </row>
    <row r="1043" spans="1:11" x14ac:dyDescent="0.25">
      <c r="A1043">
        <v>829</v>
      </c>
      <c r="B1043">
        <v>0</v>
      </c>
      <c r="C1043">
        <v>9.4448147979860799</v>
      </c>
      <c r="D1043">
        <v>54.800724852963398</v>
      </c>
      <c r="E1043">
        <v>8</v>
      </c>
      <c r="F1043">
        <v>1.01722196789785</v>
      </c>
      <c r="G1043" t="s">
        <v>88</v>
      </c>
      <c r="H1043" t="s">
        <v>85</v>
      </c>
      <c r="I1043">
        <v>930</v>
      </c>
      <c r="J1043">
        <v>0</v>
      </c>
      <c r="K1043">
        <v>0.103306082875794</v>
      </c>
    </row>
    <row r="1044" spans="1:11" x14ac:dyDescent="0.25">
      <c r="A1044" t="s">
        <v>86</v>
      </c>
    </row>
    <row r="1045" spans="1:11" x14ac:dyDescent="0.25">
      <c r="A1045">
        <v>111.45304769901099</v>
      </c>
      <c r="B1045">
        <v>95.096530053323207</v>
      </c>
      <c r="C1045">
        <v>2000</v>
      </c>
    </row>
    <row r="1046" spans="1:11" x14ac:dyDescent="0.25">
      <c r="A1046">
        <v>104.790051264049</v>
      </c>
      <c r="B1046">
        <v>88.433533618361295</v>
      </c>
      <c r="C1046">
        <v>2000</v>
      </c>
    </row>
    <row r="1047" spans="1:11" x14ac:dyDescent="0.25">
      <c r="A1047">
        <v>104.3530352396</v>
      </c>
      <c r="B1047">
        <v>88.870549642810104</v>
      </c>
      <c r="C1047">
        <v>2001</v>
      </c>
    </row>
    <row r="1048" spans="1:11" x14ac:dyDescent="0.25">
      <c r="A1048">
        <v>111.047023986052</v>
      </c>
      <c r="B1048">
        <v>95.564538389262196</v>
      </c>
      <c r="C1048">
        <v>2001</v>
      </c>
    </row>
    <row r="1049" spans="1:11" x14ac:dyDescent="0.25">
      <c r="A1049">
        <v>115.72732436073601</v>
      </c>
      <c r="B1049">
        <v>100.24483876394601</v>
      </c>
      <c r="C1049">
        <v>2001</v>
      </c>
    </row>
    <row r="1050" spans="1:11" x14ac:dyDescent="0.25">
      <c r="A1050">
        <v>150</v>
      </c>
      <c r="B1050">
        <v>134.51751440320999</v>
      </c>
      <c r="C1050">
        <v>2001</v>
      </c>
    </row>
    <row r="1051" spans="1:11" x14ac:dyDescent="0.25">
      <c r="A1051">
        <v>150</v>
      </c>
      <c r="B1051">
        <v>133.643482354312</v>
      </c>
      <c r="C1051">
        <v>2000</v>
      </c>
    </row>
    <row r="1052" spans="1:11" x14ac:dyDescent="0.25">
      <c r="A1052">
        <v>116.111678881741</v>
      </c>
      <c r="B1052">
        <v>99.755161236053894</v>
      </c>
      <c r="C1052">
        <v>2000</v>
      </c>
    </row>
    <row r="1053" spans="1:11" x14ac:dyDescent="0.25">
      <c r="A1053" t="s">
        <v>87</v>
      </c>
    </row>
    <row r="1054" spans="1:11" x14ac:dyDescent="0.25">
      <c r="A1054">
        <v>669</v>
      </c>
      <c r="B1054">
        <v>0</v>
      </c>
      <c r="C1054">
        <v>55.539494636196103</v>
      </c>
      <c r="D1054">
        <v>8.0845128973890006</v>
      </c>
      <c r="E1054">
        <v>8</v>
      </c>
      <c r="F1054">
        <v>1.01722196789785</v>
      </c>
      <c r="G1054" t="s">
        <v>88</v>
      </c>
      <c r="H1054" t="s">
        <v>85</v>
      </c>
      <c r="I1054">
        <v>325</v>
      </c>
      <c r="J1054">
        <v>0</v>
      </c>
      <c r="K1054">
        <v>0</v>
      </c>
    </row>
    <row r="1055" spans="1:11" x14ac:dyDescent="0.25">
      <c r="A1055" t="s">
        <v>86</v>
      </c>
    </row>
    <row r="1056" spans="1:11" x14ac:dyDescent="0.25">
      <c r="A1056">
        <v>136.974145537331</v>
      </c>
      <c r="B1056">
        <v>144.253844270245</v>
      </c>
      <c r="C1056">
        <v>2000</v>
      </c>
    </row>
    <row r="1057" spans="1:11" x14ac:dyDescent="0.25">
      <c r="A1057">
        <v>100.21850801222401</v>
      </c>
      <c r="B1057">
        <v>107.49820674513801</v>
      </c>
      <c r="C1057">
        <v>2000</v>
      </c>
    </row>
    <row r="1058" spans="1:11" x14ac:dyDescent="0.25">
      <c r="A1058">
        <v>97.512826081599698</v>
      </c>
      <c r="B1058">
        <v>104.792524814514</v>
      </c>
      <c r="C1058">
        <v>2000</v>
      </c>
    </row>
    <row r="1059" spans="1:11" x14ac:dyDescent="0.25">
      <c r="A1059">
        <v>97.075810057150903</v>
      </c>
      <c r="B1059">
        <v>105.229540838962</v>
      </c>
      <c r="C1059">
        <v>2001</v>
      </c>
    </row>
    <row r="1060" spans="1:11" x14ac:dyDescent="0.25">
      <c r="A1060">
        <v>99.781491987775595</v>
      </c>
      <c r="B1060">
        <v>107.935222769587</v>
      </c>
      <c r="C1060">
        <v>2001</v>
      </c>
    </row>
    <row r="1061" spans="1:11" x14ac:dyDescent="0.25">
      <c r="A1061">
        <v>136.15919716327599</v>
      </c>
      <c r="B1061">
        <v>144.31292794508701</v>
      </c>
      <c r="C1061">
        <v>2001</v>
      </c>
    </row>
    <row r="1062" spans="1:11" x14ac:dyDescent="0.25">
      <c r="A1062">
        <v>141.84626921818801</v>
      </c>
      <c r="B1062">
        <v>150</v>
      </c>
      <c r="C1062">
        <v>2001</v>
      </c>
    </row>
    <row r="1063" spans="1:11" x14ac:dyDescent="0.25">
      <c r="A1063">
        <v>142.720301267086</v>
      </c>
      <c r="B1063">
        <v>150</v>
      </c>
      <c r="C1063">
        <v>2000</v>
      </c>
    </row>
    <row r="1064" spans="1:11" x14ac:dyDescent="0.25">
      <c r="A1064" t="s">
        <v>87</v>
      </c>
    </row>
    <row r="1065" spans="1:11" x14ac:dyDescent="0.25">
      <c r="A1065">
        <v>196</v>
      </c>
      <c r="B1065">
        <v>0</v>
      </c>
      <c r="C1065">
        <v>59.742240868769002</v>
      </c>
      <c r="D1065">
        <v>3.8588602818964799</v>
      </c>
      <c r="E1065">
        <v>6</v>
      </c>
      <c r="F1065">
        <v>1.01722196789785</v>
      </c>
      <c r="G1065" t="s">
        <v>88</v>
      </c>
      <c r="H1065" t="s">
        <v>85</v>
      </c>
      <c r="I1065">
        <v>272</v>
      </c>
      <c r="J1065">
        <v>0</v>
      </c>
      <c r="K1065">
        <v>0</v>
      </c>
    </row>
    <row r="1066" spans="1:11" x14ac:dyDescent="0.25">
      <c r="A1066" t="s">
        <v>86</v>
      </c>
    </row>
    <row r="1067" spans="1:11" x14ac:dyDescent="0.25">
      <c r="A1067">
        <v>147.28463123159699</v>
      </c>
      <c r="B1067">
        <v>96.357290169530103</v>
      </c>
      <c r="C1067">
        <v>2000</v>
      </c>
    </row>
    <row r="1068" spans="1:11" x14ac:dyDescent="0.25">
      <c r="A1068">
        <v>105.245738097657</v>
      </c>
      <c r="B1068">
        <v>54.318397035590202</v>
      </c>
      <c r="C1068">
        <v>2000</v>
      </c>
    </row>
    <row r="1069" spans="1:11" x14ac:dyDescent="0.25">
      <c r="A1069">
        <v>104.808722073208</v>
      </c>
      <c r="B1069">
        <v>54.755413060038997</v>
      </c>
      <c r="C1069">
        <v>2001</v>
      </c>
    </row>
    <row r="1070" spans="1:11" x14ac:dyDescent="0.25">
      <c r="A1070">
        <v>147.258116222442</v>
      </c>
      <c r="B1070">
        <v>97.204807209272403</v>
      </c>
      <c r="C1070">
        <v>2001</v>
      </c>
    </row>
    <row r="1071" spans="1:11" x14ac:dyDescent="0.25">
      <c r="A1071">
        <v>150</v>
      </c>
      <c r="B1071">
        <v>99.946690986830504</v>
      </c>
      <c r="C1071">
        <v>2001</v>
      </c>
    </row>
    <row r="1072" spans="1:11" x14ac:dyDescent="0.25">
      <c r="A1072">
        <v>150</v>
      </c>
      <c r="B1072">
        <v>99.0726589379329</v>
      </c>
      <c r="C1072">
        <v>2000</v>
      </c>
    </row>
    <row r="1073" spans="1:11" x14ac:dyDescent="0.25">
      <c r="A1073" t="s">
        <v>87</v>
      </c>
    </row>
    <row r="1074" spans="1:11" x14ac:dyDescent="0.25">
      <c r="A1074">
        <v>852</v>
      </c>
      <c r="B1074">
        <v>0</v>
      </c>
      <c r="C1074">
        <v>34.0783603527872</v>
      </c>
      <c r="D1074">
        <v>28.748576684579099</v>
      </c>
      <c r="E1074">
        <v>10</v>
      </c>
      <c r="F1074">
        <v>1.01722196789785</v>
      </c>
      <c r="G1074" t="s">
        <v>88</v>
      </c>
      <c r="H1074" t="s">
        <v>88</v>
      </c>
      <c r="I1074">
        <v>819</v>
      </c>
      <c r="J1074">
        <v>778</v>
      </c>
      <c r="K1074">
        <v>0.103730452296059</v>
      </c>
    </row>
    <row r="1075" spans="1:11" x14ac:dyDescent="0.25">
      <c r="A1075" t="s">
        <v>86</v>
      </c>
    </row>
    <row r="1076" spans="1:11" x14ac:dyDescent="0.25">
      <c r="A1076">
        <v>53.540347324000102</v>
      </c>
      <c r="B1076">
        <v>63.6313165215035</v>
      </c>
      <c r="C1076">
        <v>2000</v>
      </c>
    </row>
    <row r="1077" spans="1:11" x14ac:dyDescent="0.25">
      <c r="A1077">
        <v>50.218508012224397</v>
      </c>
      <c r="B1077">
        <v>60.309477209727802</v>
      </c>
      <c r="C1077">
        <v>2000</v>
      </c>
    </row>
    <row r="1078" spans="1:11" x14ac:dyDescent="0.25">
      <c r="A1078">
        <v>39.690522790272198</v>
      </c>
      <c r="B1078">
        <v>49.781491987775603</v>
      </c>
      <c r="C1078">
        <v>2000</v>
      </c>
    </row>
    <row r="1079" spans="1:11" x14ac:dyDescent="0.25">
      <c r="A1079">
        <v>29.443307626825501</v>
      </c>
      <c r="B1079">
        <v>39.534276824328899</v>
      </c>
      <c r="C1079">
        <v>2000</v>
      </c>
    </row>
    <row r="1080" spans="1:11" x14ac:dyDescent="0.25">
      <c r="A1080">
        <v>29.006291602376699</v>
      </c>
      <c r="B1080">
        <v>39.971292848777701</v>
      </c>
      <c r="C1080">
        <v>2001</v>
      </c>
    </row>
    <row r="1081" spans="1:11" x14ac:dyDescent="0.25">
      <c r="A1081">
        <v>39.253506765823403</v>
      </c>
      <c r="B1081">
        <v>50.218508012224397</v>
      </c>
      <c r="C1081">
        <v>2001</v>
      </c>
    </row>
    <row r="1082" spans="1:11" x14ac:dyDescent="0.25">
      <c r="A1082">
        <v>49.781491987775603</v>
      </c>
      <c r="B1082">
        <v>60.746493234176597</v>
      </c>
      <c r="C1082">
        <v>2001</v>
      </c>
    </row>
    <row r="1083" spans="1:11" x14ac:dyDescent="0.25">
      <c r="A1083">
        <v>53.1033312995513</v>
      </c>
      <c r="B1083">
        <v>64.068332545952302</v>
      </c>
      <c r="C1083">
        <v>2001</v>
      </c>
    </row>
    <row r="1084" spans="1:11" x14ac:dyDescent="0.25">
      <c r="A1084">
        <v>73.431644822678606</v>
      </c>
      <c r="B1084">
        <v>84.396646069079694</v>
      </c>
      <c r="C1084">
        <v>2001</v>
      </c>
    </row>
    <row r="1085" spans="1:11" x14ac:dyDescent="0.25">
      <c r="A1085">
        <v>73.868660847127501</v>
      </c>
      <c r="B1085">
        <v>83.959630044630799</v>
      </c>
      <c r="C1085">
        <v>2000</v>
      </c>
    </row>
    <row r="1086" spans="1:11" x14ac:dyDescent="0.25">
      <c r="A1086" t="s">
        <v>87</v>
      </c>
    </row>
    <row r="1087" spans="1:11" x14ac:dyDescent="0.25">
      <c r="A1087">
        <v>990</v>
      </c>
      <c r="B1087">
        <v>0</v>
      </c>
      <c r="C1087">
        <v>57.782091024713402</v>
      </c>
      <c r="D1087">
        <v>4.3700808762741001</v>
      </c>
      <c r="E1087">
        <v>8</v>
      </c>
      <c r="F1087">
        <v>1.01722196789785</v>
      </c>
      <c r="G1087" t="s">
        <v>88</v>
      </c>
      <c r="H1087" t="s">
        <v>85</v>
      </c>
      <c r="I1087">
        <v>1016</v>
      </c>
      <c r="J1087">
        <v>0</v>
      </c>
      <c r="K1087">
        <v>0.111090919612681</v>
      </c>
    </row>
    <row r="1088" spans="1:11" x14ac:dyDescent="0.25">
      <c r="A1088" t="s">
        <v>86</v>
      </c>
    </row>
    <row r="1089" spans="1:11" x14ac:dyDescent="0.25">
      <c r="A1089">
        <v>146.74249500062299</v>
      </c>
      <c r="B1089">
        <v>51.213263813876701</v>
      </c>
      <c r="C1089">
        <v>2000</v>
      </c>
    </row>
    <row r="1090" spans="1:11" x14ac:dyDescent="0.25">
      <c r="A1090">
        <v>145.74773919897001</v>
      </c>
      <c r="B1090">
        <v>50.218508012224397</v>
      </c>
      <c r="C1090">
        <v>2000</v>
      </c>
    </row>
    <row r="1091" spans="1:11" x14ac:dyDescent="0.25">
      <c r="A1091">
        <v>105.833269771115</v>
      </c>
      <c r="B1091">
        <v>10.304038584369399</v>
      </c>
      <c r="C1091">
        <v>2000</v>
      </c>
    </row>
    <row r="1092" spans="1:11" x14ac:dyDescent="0.25">
      <c r="A1092">
        <v>106.27028579556401</v>
      </c>
      <c r="B1092">
        <v>9.8670225599206294</v>
      </c>
      <c r="C1092">
        <v>2001</v>
      </c>
    </row>
    <row r="1093" spans="1:11" x14ac:dyDescent="0.25">
      <c r="A1093">
        <v>146.18475522341899</v>
      </c>
      <c r="B1093">
        <v>49.781491987775603</v>
      </c>
      <c r="C1093">
        <v>2001</v>
      </c>
    </row>
    <row r="1094" spans="1:11" x14ac:dyDescent="0.25">
      <c r="A1094">
        <v>147.07727735548301</v>
      </c>
      <c r="B1094">
        <v>50.674014119839697</v>
      </c>
      <c r="C1094">
        <v>2001</v>
      </c>
    </row>
    <row r="1095" spans="1:11" x14ac:dyDescent="0.25">
      <c r="A1095">
        <v>150</v>
      </c>
      <c r="B1095">
        <v>53.5967367643564</v>
      </c>
      <c r="C1095">
        <v>2001</v>
      </c>
    </row>
    <row r="1096" spans="1:11" x14ac:dyDescent="0.25">
      <c r="A1096">
        <v>150</v>
      </c>
      <c r="B1096">
        <v>54.470768813254097</v>
      </c>
      <c r="C1096">
        <v>2000</v>
      </c>
    </row>
    <row r="1097" spans="1:11" x14ac:dyDescent="0.25">
      <c r="A1097" t="s">
        <v>87</v>
      </c>
    </row>
    <row r="1098" spans="1:11" x14ac:dyDescent="0.25">
      <c r="A1098">
        <v>976</v>
      </c>
      <c r="B1098">
        <v>0</v>
      </c>
      <c r="C1098">
        <v>22.101481126455401</v>
      </c>
      <c r="D1098">
        <v>39.888712827327304</v>
      </c>
      <c r="E1098">
        <v>8</v>
      </c>
      <c r="F1098">
        <v>1.01722196789785</v>
      </c>
      <c r="G1098" t="s">
        <v>85</v>
      </c>
      <c r="H1098" t="s">
        <v>88</v>
      </c>
      <c r="I1098">
        <v>0</v>
      </c>
      <c r="J1098">
        <v>868</v>
      </c>
      <c r="K1098">
        <v>0.109940390074196</v>
      </c>
    </row>
    <row r="1099" spans="1:11" x14ac:dyDescent="0.25">
      <c r="A1099" t="s">
        <v>86</v>
      </c>
    </row>
    <row r="1100" spans="1:11" x14ac:dyDescent="0.25">
      <c r="A1100">
        <v>83.679191636246898</v>
      </c>
      <c r="B1100">
        <v>15.7361045781226</v>
      </c>
      <c r="C1100">
        <v>2000</v>
      </c>
    </row>
    <row r="1101" spans="1:11" x14ac:dyDescent="0.25">
      <c r="A1101">
        <v>67.943087058124306</v>
      </c>
      <c r="B1101">
        <v>0</v>
      </c>
      <c r="C1101">
        <v>2000</v>
      </c>
    </row>
    <row r="1102" spans="1:11" x14ac:dyDescent="0.25">
      <c r="A1102">
        <v>68.817119107021895</v>
      </c>
      <c r="B1102">
        <v>0</v>
      </c>
      <c r="C1102">
        <v>2001</v>
      </c>
    </row>
    <row r="1103" spans="1:11" x14ac:dyDescent="0.25">
      <c r="A1103">
        <v>84.337228886465496</v>
      </c>
      <c r="B1103">
        <v>15.520109779443599</v>
      </c>
      <c r="C1103">
        <v>2001</v>
      </c>
    </row>
    <row r="1104" spans="1:11" x14ac:dyDescent="0.25">
      <c r="A1104">
        <v>100.21850801222401</v>
      </c>
      <c r="B1104">
        <v>31.401388905202499</v>
      </c>
      <c r="C1104">
        <v>2001</v>
      </c>
    </row>
    <row r="1105" spans="1:11" x14ac:dyDescent="0.25">
      <c r="A1105">
        <v>112.432297606587</v>
      </c>
      <c r="B1105">
        <v>43.6151784995646</v>
      </c>
      <c r="C1105">
        <v>2001</v>
      </c>
    </row>
    <row r="1106" spans="1:11" x14ac:dyDescent="0.25">
      <c r="A1106">
        <v>111.99528158213801</v>
      </c>
      <c r="B1106">
        <v>44.052194524013402</v>
      </c>
      <c r="C1106">
        <v>2000</v>
      </c>
    </row>
    <row r="1107" spans="1:11" x14ac:dyDescent="0.25">
      <c r="A1107">
        <v>99.781491987775595</v>
      </c>
      <c r="B1107">
        <v>31.838404929651301</v>
      </c>
      <c r="C1107">
        <v>2000</v>
      </c>
    </row>
    <row r="1108" spans="1:11" x14ac:dyDescent="0.25">
      <c r="A1108" t="s">
        <v>87</v>
      </c>
    </row>
    <row r="1109" spans="1:11" x14ac:dyDescent="0.25">
      <c r="A1109">
        <v>426</v>
      </c>
      <c r="B1109">
        <v>0</v>
      </c>
      <c r="C1109">
        <v>10.745881508894801</v>
      </c>
      <c r="D1109">
        <v>51.211275294044299</v>
      </c>
      <c r="E1109">
        <v>6</v>
      </c>
      <c r="F1109">
        <v>1.01722196789785</v>
      </c>
      <c r="G1109" t="s">
        <v>85</v>
      </c>
      <c r="H1109" t="s">
        <v>85</v>
      </c>
      <c r="I1109">
        <v>0</v>
      </c>
      <c r="J1109">
        <v>0</v>
      </c>
      <c r="K1109">
        <v>0</v>
      </c>
    </row>
    <row r="1110" spans="1:11" x14ac:dyDescent="0.25">
      <c r="A1110" t="s">
        <v>86</v>
      </c>
    </row>
    <row r="1111" spans="1:11" x14ac:dyDescent="0.25">
      <c r="A1111">
        <v>114.149379704183</v>
      </c>
      <c r="B1111">
        <v>7.5226893981301997</v>
      </c>
      <c r="C1111">
        <v>2000</v>
      </c>
    </row>
    <row r="1112" spans="1:11" x14ac:dyDescent="0.25">
      <c r="A1112">
        <v>106.626690306052</v>
      </c>
      <c r="B1112">
        <v>0</v>
      </c>
      <c r="C1112">
        <v>2000</v>
      </c>
    </row>
    <row r="1113" spans="1:11" x14ac:dyDescent="0.25">
      <c r="A1113">
        <v>105.75265825715501</v>
      </c>
      <c r="B1113">
        <v>0</v>
      </c>
      <c r="C1113">
        <v>2001</v>
      </c>
    </row>
    <row r="1114" spans="1:11" x14ac:dyDescent="0.25">
      <c r="A1114">
        <v>113.426940228558</v>
      </c>
      <c r="B1114">
        <v>7.6742819714031096</v>
      </c>
      <c r="C1114">
        <v>2001</v>
      </c>
    </row>
    <row r="1115" spans="1:11" x14ac:dyDescent="0.25">
      <c r="A1115">
        <v>150</v>
      </c>
      <c r="B1115">
        <v>44.2473417428453</v>
      </c>
      <c r="C1115">
        <v>2001</v>
      </c>
    </row>
    <row r="1116" spans="1:11" x14ac:dyDescent="0.25">
      <c r="A1116">
        <v>150</v>
      </c>
      <c r="B1116">
        <v>43.373309693947597</v>
      </c>
      <c r="C1116">
        <v>2000</v>
      </c>
    </row>
    <row r="1117" spans="1:11" x14ac:dyDescent="0.25">
      <c r="A1117" t="s">
        <v>87</v>
      </c>
    </row>
    <row r="1118" spans="1:11" x14ac:dyDescent="0.25">
      <c r="A1118">
        <v>37</v>
      </c>
      <c r="B1118">
        <v>0</v>
      </c>
      <c r="C1118">
        <v>30.605375515748399</v>
      </c>
      <c r="D1118">
        <v>31.2705419587219</v>
      </c>
      <c r="E1118">
        <v>6</v>
      </c>
      <c r="F1118">
        <v>1.01722196789785</v>
      </c>
      <c r="G1118" t="s">
        <v>85</v>
      </c>
      <c r="H1118" t="s">
        <v>88</v>
      </c>
      <c r="I1118">
        <v>0</v>
      </c>
      <c r="J1118">
        <v>750</v>
      </c>
      <c r="K1118">
        <v>0</v>
      </c>
    </row>
    <row r="1119" spans="1:11" x14ac:dyDescent="0.25">
      <c r="A1119" t="s">
        <v>86</v>
      </c>
    </row>
    <row r="1120" spans="1:11" x14ac:dyDescent="0.25">
      <c r="A1120">
        <v>22.904789829328099</v>
      </c>
      <c r="B1120">
        <v>21.749348092910001</v>
      </c>
      <c r="C1120">
        <v>2000</v>
      </c>
    </row>
    <row r="1121" spans="1:11" x14ac:dyDescent="0.25">
      <c r="A1121">
        <v>1.1554417364181</v>
      </c>
      <c r="B1121">
        <v>0</v>
      </c>
      <c r="C1121">
        <v>2000</v>
      </c>
    </row>
    <row r="1122" spans="1:11" x14ac:dyDescent="0.25">
      <c r="A1122">
        <v>2.0294737853157598</v>
      </c>
      <c r="B1122">
        <v>0</v>
      </c>
      <c r="C1122">
        <v>2001</v>
      </c>
    </row>
    <row r="1123" spans="1:11" x14ac:dyDescent="0.25">
      <c r="A1123">
        <v>23.562662828298599</v>
      </c>
      <c r="B1123">
        <v>21.533189042982801</v>
      </c>
      <c r="C1123">
        <v>2001</v>
      </c>
    </row>
    <row r="1124" spans="1:11" x14ac:dyDescent="0.25">
      <c r="A1124">
        <v>45.563846611428403</v>
      </c>
      <c r="B1124">
        <v>43.534372826112701</v>
      </c>
      <c r="C1124">
        <v>2001</v>
      </c>
    </row>
    <row r="1125" spans="1:11" x14ac:dyDescent="0.25">
      <c r="A1125">
        <v>45.126830586979601</v>
      </c>
      <c r="B1125">
        <v>43.971388850561503</v>
      </c>
      <c r="C1125">
        <v>2000</v>
      </c>
    </row>
    <row r="1126" spans="1:11" x14ac:dyDescent="0.25">
      <c r="A1126" t="s">
        <v>87</v>
      </c>
    </row>
    <row r="1127" spans="1:11" x14ac:dyDescent="0.25">
      <c r="A1127">
        <v>974</v>
      </c>
      <c r="B1127">
        <v>0</v>
      </c>
      <c r="C1127">
        <v>59.175924987663301</v>
      </c>
      <c r="D1127">
        <v>2.62676876041064</v>
      </c>
      <c r="E1127">
        <v>10</v>
      </c>
      <c r="F1127">
        <v>1.01722196789785</v>
      </c>
      <c r="G1127" t="s">
        <v>88</v>
      </c>
      <c r="H1127" t="s">
        <v>88</v>
      </c>
      <c r="I1127">
        <v>851</v>
      </c>
      <c r="J1127">
        <v>668</v>
      </c>
      <c r="K1127">
        <v>0.109489164932444</v>
      </c>
    </row>
    <row r="1128" spans="1:11" x14ac:dyDescent="0.25">
      <c r="A1128" t="s">
        <v>86</v>
      </c>
    </row>
    <row r="1129" spans="1:11" x14ac:dyDescent="0.25">
      <c r="A1129">
        <v>91.4585142435823</v>
      </c>
      <c r="B1129">
        <v>134.57226504923901</v>
      </c>
      <c r="C1129">
        <v>2000</v>
      </c>
    </row>
    <row r="1130" spans="1:11" x14ac:dyDescent="0.25">
      <c r="A1130">
        <v>57.104757206567697</v>
      </c>
      <c r="B1130">
        <v>100.21850801222401</v>
      </c>
      <c r="C1130">
        <v>2000</v>
      </c>
    </row>
    <row r="1131" spans="1:11" x14ac:dyDescent="0.25">
      <c r="A1131">
        <v>49.781491987775603</v>
      </c>
      <c r="B1131">
        <v>92.895242793432303</v>
      </c>
      <c r="C1131">
        <v>2000</v>
      </c>
    </row>
    <row r="1132" spans="1:11" x14ac:dyDescent="0.25">
      <c r="A1132">
        <v>49.614816401819098</v>
      </c>
      <c r="B1132">
        <v>92.728567207475805</v>
      </c>
      <c r="C1132">
        <v>2000</v>
      </c>
    </row>
    <row r="1133" spans="1:11" x14ac:dyDescent="0.25">
      <c r="A1133">
        <v>50.0518324262679</v>
      </c>
      <c r="B1133">
        <v>92.291551183026996</v>
      </c>
      <c r="C1133">
        <v>2001</v>
      </c>
    </row>
    <row r="1134" spans="1:11" x14ac:dyDescent="0.25">
      <c r="A1134">
        <v>50.218508012224397</v>
      </c>
      <c r="B1134">
        <v>92.458226768983494</v>
      </c>
      <c r="C1134">
        <v>2001</v>
      </c>
    </row>
    <row r="1135" spans="1:11" x14ac:dyDescent="0.25">
      <c r="A1135">
        <v>57.541773231016499</v>
      </c>
      <c r="B1135">
        <v>99.781491987775595</v>
      </c>
      <c r="C1135">
        <v>2001</v>
      </c>
    </row>
    <row r="1136" spans="1:11" x14ac:dyDescent="0.25">
      <c r="A1136">
        <v>91.895530268031095</v>
      </c>
      <c r="B1136">
        <v>134.13524902479</v>
      </c>
      <c r="C1136">
        <v>2001</v>
      </c>
    </row>
    <row r="1137" spans="1:11" x14ac:dyDescent="0.25">
      <c r="A1137">
        <v>93.752936271126501</v>
      </c>
      <c r="B1137">
        <v>135.992655027886</v>
      </c>
      <c r="C1137">
        <v>2001</v>
      </c>
    </row>
    <row r="1138" spans="1:11" x14ac:dyDescent="0.25">
      <c r="A1138">
        <v>93.315920246677706</v>
      </c>
      <c r="B1138">
        <v>136.42967105233399</v>
      </c>
      <c r="C1138">
        <v>2000</v>
      </c>
    </row>
    <row r="1139" spans="1:11" x14ac:dyDescent="0.25">
      <c r="A1139" t="s">
        <v>87</v>
      </c>
    </row>
    <row r="1140" spans="1:11" x14ac:dyDescent="0.25">
      <c r="A1140">
        <v>784</v>
      </c>
      <c r="B1140">
        <v>0</v>
      </c>
      <c r="C1140">
        <v>33.689314479142602</v>
      </c>
      <c r="D1140">
        <v>27.927209393005999</v>
      </c>
      <c r="E1140">
        <v>8</v>
      </c>
      <c r="F1140">
        <v>1.01722196789785</v>
      </c>
      <c r="G1140" t="s">
        <v>88</v>
      </c>
      <c r="H1140" t="s">
        <v>88</v>
      </c>
      <c r="I1140">
        <v>817</v>
      </c>
      <c r="J1140">
        <v>335</v>
      </c>
      <c r="K1140">
        <v>0.102156287543144</v>
      </c>
    </row>
    <row r="1141" spans="1:11" x14ac:dyDescent="0.25">
      <c r="A1141" t="s">
        <v>86</v>
      </c>
    </row>
    <row r="1142" spans="1:11" x14ac:dyDescent="0.25">
      <c r="A1142">
        <v>78.186509709430894</v>
      </c>
      <c r="B1142">
        <v>113.657077702995</v>
      </c>
      <c r="C1142">
        <v>2000</v>
      </c>
    </row>
    <row r="1143" spans="1:11" x14ac:dyDescent="0.25">
      <c r="A1143">
        <v>64.747940018660202</v>
      </c>
      <c r="B1143">
        <v>100.21850801222401</v>
      </c>
      <c r="C1143">
        <v>2000</v>
      </c>
    </row>
    <row r="1144" spans="1:11" x14ac:dyDescent="0.25">
      <c r="A1144">
        <v>54.364566987703</v>
      </c>
      <c r="B1144">
        <v>89.835134981267302</v>
      </c>
      <c r="C1144">
        <v>2000</v>
      </c>
    </row>
    <row r="1145" spans="1:11" x14ac:dyDescent="0.25">
      <c r="A1145">
        <v>54.801583012151902</v>
      </c>
      <c r="B1145">
        <v>89.398118956818493</v>
      </c>
      <c r="C1145">
        <v>2001</v>
      </c>
    </row>
    <row r="1146" spans="1:11" x14ac:dyDescent="0.25">
      <c r="A1146">
        <v>65.184956043108997</v>
      </c>
      <c r="B1146">
        <v>99.781491987775595</v>
      </c>
      <c r="C1146">
        <v>2001</v>
      </c>
    </row>
    <row r="1147" spans="1:11" x14ac:dyDescent="0.25">
      <c r="A1147">
        <v>78.623525733879703</v>
      </c>
      <c r="B1147">
        <v>113.220061678546</v>
      </c>
      <c r="C1147">
        <v>2001</v>
      </c>
    </row>
    <row r="1148" spans="1:11" x14ac:dyDescent="0.25">
      <c r="A1148">
        <v>98.371044875290906</v>
      </c>
      <c r="B1148">
        <v>132.96758081995799</v>
      </c>
      <c r="C1148">
        <v>2001</v>
      </c>
    </row>
    <row r="1149" spans="1:11" x14ac:dyDescent="0.25">
      <c r="A1149">
        <v>97.934028850842097</v>
      </c>
      <c r="B1149">
        <v>133.404596844406</v>
      </c>
      <c r="C1149">
        <v>2000</v>
      </c>
    </row>
    <row r="1150" spans="1:11" x14ac:dyDescent="0.25">
      <c r="A1150" t="s">
        <v>87</v>
      </c>
    </row>
    <row r="1151" spans="1:11" x14ac:dyDescent="0.25">
      <c r="A1151">
        <v>439</v>
      </c>
      <c r="B1151">
        <v>0</v>
      </c>
      <c r="C1151">
        <v>38.872364445084798</v>
      </c>
      <c r="D1151">
        <v>22.2055131311092</v>
      </c>
      <c r="E1151">
        <v>8</v>
      </c>
      <c r="F1151">
        <v>1.01722196789785</v>
      </c>
      <c r="G1151" t="s">
        <v>85</v>
      </c>
      <c r="H1151" t="s">
        <v>88</v>
      </c>
      <c r="I1151">
        <v>0</v>
      </c>
      <c r="J1151">
        <v>417</v>
      </c>
      <c r="K1151">
        <v>0</v>
      </c>
    </row>
    <row r="1152" spans="1:11" x14ac:dyDescent="0.25">
      <c r="A1152" t="s">
        <v>86</v>
      </c>
    </row>
    <row r="1153" spans="1:11" x14ac:dyDescent="0.25">
      <c r="A1153">
        <v>122.204625091827</v>
      </c>
      <c r="B1153">
        <v>27.6319080805761</v>
      </c>
      <c r="C1153">
        <v>2000</v>
      </c>
    </row>
    <row r="1154" spans="1:11" x14ac:dyDescent="0.25">
      <c r="A1154">
        <v>99.602654248261601</v>
      </c>
      <c r="B1154">
        <v>5.0299372370111204</v>
      </c>
      <c r="C1154">
        <v>2000</v>
      </c>
    </row>
    <row r="1155" spans="1:11" x14ac:dyDescent="0.25">
      <c r="A1155">
        <v>94.572717011250504</v>
      </c>
      <c r="B1155">
        <v>0</v>
      </c>
      <c r="C1155">
        <v>2000</v>
      </c>
    </row>
    <row r="1156" spans="1:11" x14ac:dyDescent="0.25">
      <c r="A1156">
        <v>95.446749060148093</v>
      </c>
      <c r="B1156">
        <v>0</v>
      </c>
      <c r="C1156">
        <v>2001</v>
      </c>
    </row>
    <row r="1157" spans="1:11" x14ac:dyDescent="0.25">
      <c r="A1157">
        <v>100.397345751738</v>
      </c>
      <c r="B1157">
        <v>4.95059669159021</v>
      </c>
      <c r="C1157">
        <v>2001</v>
      </c>
    </row>
    <row r="1158" spans="1:11" x14ac:dyDescent="0.25">
      <c r="A1158">
        <v>122.788665979321</v>
      </c>
      <c r="B1158">
        <v>27.341916919172501</v>
      </c>
      <c r="C1158">
        <v>2001</v>
      </c>
    </row>
    <row r="1159" spans="1:11" x14ac:dyDescent="0.25">
      <c r="A1159">
        <v>138.416822462532</v>
      </c>
      <c r="B1159">
        <v>42.970073402384102</v>
      </c>
      <c r="C1159">
        <v>2001</v>
      </c>
    </row>
    <row r="1160" spans="1:11" x14ac:dyDescent="0.25">
      <c r="A1160">
        <v>137.97980643808299</v>
      </c>
      <c r="B1160">
        <v>43.407089426832997</v>
      </c>
      <c r="C1160">
        <v>2000</v>
      </c>
    </row>
    <row r="1161" spans="1:11" x14ac:dyDescent="0.25">
      <c r="A1161" t="s">
        <v>87</v>
      </c>
    </row>
    <row r="1162" spans="1:11" x14ac:dyDescent="0.25">
      <c r="A1162">
        <v>804</v>
      </c>
      <c r="B1162">
        <v>0</v>
      </c>
      <c r="C1162">
        <v>10.4337367846638</v>
      </c>
      <c r="D1162">
        <v>50.133009329470603</v>
      </c>
      <c r="E1162">
        <v>10</v>
      </c>
      <c r="F1162">
        <v>1.01722196789785</v>
      </c>
      <c r="G1162" t="s">
        <v>88</v>
      </c>
      <c r="H1162" t="s">
        <v>88</v>
      </c>
      <c r="I1162">
        <v>750</v>
      </c>
      <c r="J1162">
        <v>679</v>
      </c>
      <c r="K1162">
        <v>0.10263209558717</v>
      </c>
    </row>
    <row r="1163" spans="1:11" x14ac:dyDescent="0.25">
      <c r="A1163" t="s">
        <v>86</v>
      </c>
    </row>
    <row r="1164" spans="1:11" x14ac:dyDescent="0.25">
      <c r="A1164">
        <v>82.719136052638603</v>
      </c>
      <c r="B1164">
        <v>80.309760157624297</v>
      </c>
      <c r="C1164">
        <v>2000</v>
      </c>
    </row>
    <row r="1165" spans="1:11" x14ac:dyDescent="0.25">
      <c r="A1165">
        <v>75.341370019087407</v>
      </c>
      <c r="B1165">
        <v>72.931994124073</v>
      </c>
      <c r="C1165">
        <v>2000</v>
      </c>
    </row>
    <row r="1166" spans="1:11" x14ac:dyDescent="0.25">
      <c r="A1166">
        <v>75.778386043536202</v>
      </c>
      <c r="B1166">
        <v>72.494978099624205</v>
      </c>
      <c r="C1166">
        <v>2001</v>
      </c>
    </row>
    <row r="1167" spans="1:11" x14ac:dyDescent="0.25">
      <c r="A1167">
        <v>83.156152077087498</v>
      </c>
      <c r="B1167">
        <v>79.872744133175502</v>
      </c>
      <c r="C1167">
        <v>2001</v>
      </c>
    </row>
    <row r="1168" spans="1:11" x14ac:dyDescent="0.25">
      <c r="A1168">
        <v>100.21850801222401</v>
      </c>
      <c r="B1168">
        <v>96.935100068312494</v>
      </c>
      <c r="C1168">
        <v>2001</v>
      </c>
    </row>
    <row r="1169" spans="1:11" x14ac:dyDescent="0.25">
      <c r="A1169">
        <v>103.064899931688</v>
      </c>
      <c r="B1169">
        <v>99.781491987775595</v>
      </c>
      <c r="C1169">
        <v>2001</v>
      </c>
    </row>
    <row r="1170" spans="1:11" x14ac:dyDescent="0.25">
      <c r="A1170">
        <v>118.605542935245</v>
      </c>
      <c r="B1170">
        <v>115.322134991333</v>
      </c>
      <c r="C1170">
        <v>2001</v>
      </c>
    </row>
    <row r="1171" spans="1:11" x14ac:dyDescent="0.25">
      <c r="A1171">
        <v>118.168526910796</v>
      </c>
      <c r="B1171">
        <v>115.759151015781</v>
      </c>
      <c r="C1171">
        <v>2000</v>
      </c>
    </row>
    <row r="1172" spans="1:11" x14ac:dyDescent="0.25">
      <c r="A1172">
        <v>102.627883907239</v>
      </c>
      <c r="B1172">
        <v>100.21850801222401</v>
      </c>
      <c r="C1172">
        <v>2000</v>
      </c>
    </row>
    <row r="1173" spans="1:11" x14ac:dyDescent="0.25">
      <c r="A1173">
        <v>99.781491987775595</v>
      </c>
      <c r="B1173">
        <v>97.372116092761303</v>
      </c>
      <c r="C1173">
        <v>2000</v>
      </c>
    </row>
    <row r="1174" spans="1:11" x14ac:dyDescent="0.25">
      <c r="A1174" t="s">
        <v>87</v>
      </c>
    </row>
    <row r="1175" spans="1:11" x14ac:dyDescent="0.25">
      <c r="A1175">
        <v>992</v>
      </c>
      <c r="B1175">
        <v>0</v>
      </c>
      <c r="C1175">
        <v>53.013636769648897</v>
      </c>
      <c r="D1175">
        <v>7.3288702160372203</v>
      </c>
      <c r="E1175">
        <v>6</v>
      </c>
      <c r="F1175">
        <v>1.01722196789785</v>
      </c>
      <c r="G1175" t="s">
        <v>85</v>
      </c>
      <c r="H1175" t="s">
        <v>85</v>
      </c>
      <c r="I1175">
        <v>0</v>
      </c>
      <c r="J1175">
        <v>0</v>
      </c>
      <c r="K1175">
        <v>0.11138456779040901</v>
      </c>
    </row>
    <row r="1176" spans="1:11" x14ac:dyDescent="0.25">
      <c r="A1176" t="s">
        <v>86</v>
      </c>
    </row>
    <row r="1177" spans="1:11" x14ac:dyDescent="0.25">
      <c r="A1177">
        <v>37.102363602172296</v>
      </c>
      <c r="B1177">
        <v>144.87078374324599</v>
      </c>
      <c r="C1177">
        <v>2000</v>
      </c>
    </row>
    <row r="1178" spans="1:11" x14ac:dyDescent="0.25">
      <c r="A1178">
        <v>0</v>
      </c>
      <c r="B1178">
        <v>107.768420141074</v>
      </c>
      <c r="C1178">
        <v>2000</v>
      </c>
    </row>
    <row r="1179" spans="1:11" x14ac:dyDescent="0.25">
      <c r="A1179">
        <v>0</v>
      </c>
      <c r="B1179">
        <v>106.894388092176</v>
      </c>
      <c r="C1179">
        <v>2001</v>
      </c>
    </row>
    <row r="1180" spans="1:11" x14ac:dyDescent="0.25">
      <c r="A1180">
        <v>37.8702405081862</v>
      </c>
      <c r="B1180">
        <v>144.76462860036199</v>
      </c>
      <c r="C1180">
        <v>2001</v>
      </c>
    </row>
    <row r="1181" spans="1:11" x14ac:dyDescent="0.25">
      <c r="A1181">
        <v>43.105611907824098</v>
      </c>
      <c r="B1181">
        <v>150</v>
      </c>
      <c r="C1181">
        <v>2001</v>
      </c>
    </row>
    <row r="1182" spans="1:11" x14ac:dyDescent="0.25">
      <c r="A1182">
        <v>42.231579858926501</v>
      </c>
      <c r="B1182">
        <v>150</v>
      </c>
      <c r="C1182">
        <v>2000</v>
      </c>
    </row>
    <row r="1183" spans="1:11" x14ac:dyDescent="0.25">
      <c r="A1183" t="s">
        <v>87</v>
      </c>
    </row>
    <row r="1184" spans="1:11" x14ac:dyDescent="0.25">
      <c r="A1184">
        <v>731</v>
      </c>
      <c r="B1184">
        <v>0</v>
      </c>
      <c r="C1184">
        <v>52.591551030576099</v>
      </c>
      <c r="D1184">
        <v>7.3704369427250196</v>
      </c>
      <c r="E1184">
        <v>8</v>
      </c>
      <c r="F1184">
        <v>1.01722196789785</v>
      </c>
      <c r="G1184" t="s">
        <v>85</v>
      </c>
      <c r="H1184" t="s">
        <v>88</v>
      </c>
      <c r="I1184">
        <v>0</v>
      </c>
      <c r="J1184">
        <v>826</v>
      </c>
      <c r="K1184">
        <v>9.9787223602304201E-2</v>
      </c>
    </row>
    <row r="1185" spans="1:11" x14ac:dyDescent="0.25">
      <c r="A1185" t="s">
        <v>86</v>
      </c>
    </row>
    <row r="1186" spans="1:11" x14ac:dyDescent="0.25">
      <c r="A1186">
        <v>36.994524494171799</v>
      </c>
      <c r="B1186">
        <v>74.409310529085303</v>
      </c>
      <c r="C1186">
        <v>2000</v>
      </c>
    </row>
    <row r="1187" spans="1:11" x14ac:dyDescent="0.25">
      <c r="A1187">
        <v>12.9457140798013</v>
      </c>
      <c r="B1187">
        <v>50.360500114714803</v>
      </c>
      <c r="C1187">
        <v>2000</v>
      </c>
    </row>
    <row r="1188" spans="1:11" x14ac:dyDescent="0.25">
      <c r="A1188">
        <v>0</v>
      </c>
      <c r="B1188">
        <v>37.414786034913597</v>
      </c>
      <c r="C1188">
        <v>2000</v>
      </c>
    </row>
    <row r="1189" spans="1:11" x14ac:dyDescent="0.25">
      <c r="A1189">
        <v>0</v>
      </c>
      <c r="B1189">
        <v>36.540753986015901</v>
      </c>
      <c r="C1189">
        <v>2001</v>
      </c>
    </row>
    <row r="1190" spans="1:11" x14ac:dyDescent="0.25">
      <c r="A1190">
        <v>13.098745899269201</v>
      </c>
      <c r="B1190">
        <v>49.639499885285197</v>
      </c>
      <c r="C1190">
        <v>2001</v>
      </c>
    </row>
    <row r="1191" spans="1:11" x14ac:dyDescent="0.25">
      <c r="A1191">
        <v>37.381160239505697</v>
      </c>
      <c r="B1191">
        <v>73.921914225521604</v>
      </c>
      <c r="C1191">
        <v>2001</v>
      </c>
    </row>
    <row r="1192" spans="1:11" x14ac:dyDescent="0.25">
      <c r="A1192">
        <v>42.6180363215719</v>
      </c>
      <c r="B1192">
        <v>79.158790307587793</v>
      </c>
      <c r="C1192">
        <v>2001</v>
      </c>
    </row>
    <row r="1193" spans="1:11" x14ac:dyDescent="0.25">
      <c r="A1193">
        <v>42.181020297123098</v>
      </c>
      <c r="B1193">
        <v>79.595806332036602</v>
      </c>
      <c r="C1193">
        <v>2000</v>
      </c>
    </row>
    <row r="1194" spans="1:11" x14ac:dyDescent="0.25">
      <c r="A1194" t="s">
        <v>87</v>
      </c>
    </row>
    <row r="1195" spans="1:11" x14ac:dyDescent="0.25">
      <c r="A1195">
        <v>962</v>
      </c>
      <c r="B1195">
        <v>0</v>
      </c>
      <c r="C1195">
        <v>4.7518062828221197</v>
      </c>
      <c r="D1195">
        <v>54.881671695124503</v>
      </c>
      <c r="E1195">
        <v>6</v>
      </c>
      <c r="F1195">
        <v>1.01722196789785</v>
      </c>
      <c r="G1195" t="s">
        <v>88</v>
      </c>
      <c r="H1195" t="s">
        <v>85</v>
      </c>
      <c r="I1195">
        <v>843</v>
      </c>
      <c r="J1195">
        <v>0</v>
      </c>
      <c r="K1195">
        <v>0.107734454235453</v>
      </c>
    </row>
    <row r="1196" spans="1:11" x14ac:dyDescent="0.25">
      <c r="A1196" t="s">
        <v>86</v>
      </c>
    </row>
    <row r="1197" spans="1:11" x14ac:dyDescent="0.25">
      <c r="A1197">
        <v>109.925841090454</v>
      </c>
      <c r="B1197">
        <v>110.991701259968</v>
      </c>
      <c r="C1197">
        <v>2000</v>
      </c>
    </row>
    <row r="1198" spans="1:11" x14ac:dyDescent="0.25">
      <c r="A1198">
        <v>106.54839515431701</v>
      </c>
      <c r="B1198">
        <v>107.614255323831</v>
      </c>
      <c r="C1198">
        <v>2000</v>
      </c>
    </row>
    <row r="1199" spans="1:11" x14ac:dyDescent="0.25">
      <c r="A1199">
        <v>106.111379129868</v>
      </c>
      <c r="B1199">
        <v>108.05127134828</v>
      </c>
      <c r="C1199">
        <v>2001</v>
      </c>
    </row>
    <row r="1200" spans="1:11" x14ac:dyDescent="0.25">
      <c r="A1200">
        <v>109.45400208466801</v>
      </c>
      <c r="B1200">
        <v>111.39389430308</v>
      </c>
      <c r="C1200">
        <v>2001</v>
      </c>
    </row>
    <row r="1201" spans="1:11" x14ac:dyDescent="0.25">
      <c r="A1201">
        <v>148.06010778158901</v>
      </c>
      <c r="B1201">
        <v>150</v>
      </c>
      <c r="C1201">
        <v>2001</v>
      </c>
    </row>
    <row r="1202" spans="1:11" x14ac:dyDescent="0.25">
      <c r="A1202">
        <v>148.934139830486</v>
      </c>
      <c r="B1202">
        <v>150</v>
      </c>
      <c r="C1202">
        <v>2000</v>
      </c>
    </row>
    <row r="1203" spans="1:11" x14ac:dyDescent="0.25">
      <c r="A1203" t="s">
        <v>87</v>
      </c>
    </row>
    <row r="1204" spans="1:11" x14ac:dyDescent="0.25">
      <c r="A1204">
        <v>964</v>
      </c>
      <c r="B1204">
        <v>0</v>
      </c>
      <c r="C1204">
        <v>44.159716458231998</v>
      </c>
      <c r="D1204">
        <v>15.4297507432714</v>
      </c>
      <c r="E1204">
        <v>8</v>
      </c>
      <c r="F1204">
        <v>1.01722196789785</v>
      </c>
      <c r="G1204" t="s">
        <v>88</v>
      </c>
      <c r="H1204" t="s">
        <v>85</v>
      </c>
      <c r="I1204">
        <v>935</v>
      </c>
      <c r="J1204">
        <v>0</v>
      </c>
      <c r="K1204">
        <v>0.107870327793246</v>
      </c>
    </row>
    <row r="1205" spans="1:11" x14ac:dyDescent="0.25">
      <c r="A1205" t="s">
        <v>86</v>
      </c>
    </row>
    <row r="1206" spans="1:11" x14ac:dyDescent="0.25">
      <c r="A1206">
        <v>78.438591970409107</v>
      </c>
      <c r="B1206">
        <v>139.028347713503</v>
      </c>
      <c r="C1206">
        <v>2000</v>
      </c>
    </row>
    <row r="1207" spans="1:11" x14ac:dyDescent="0.25">
      <c r="A1207">
        <v>50.218508012224397</v>
      </c>
      <c r="B1207">
        <v>110.808263755319</v>
      </c>
      <c r="C1207">
        <v>2000</v>
      </c>
    </row>
    <row r="1208" spans="1:11" x14ac:dyDescent="0.25">
      <c r="A1208">
        <v>47.055619899204899</v>
      </c>
      <c r="B1208">
        <v>107.645375642299</v>
      </c>
      <c r="C1208">
        <v>2000</v>
      </c>
    </row>
    <row r="1209" spans="1:11" x14ac:dyDescent="0.25">
      <c r="A1209">
        <v>46.618603874756097</v>
      </c>
      <c r="B1209">
        <v>108.08239166674799</v>
      </c>
      <c r="C1209">
        <v>2001</v>
      </c>
    </row>
    <row r="1210" spans="1:11" x14ac:dyDescent="0.25">
      <c r="A1210">
        <v>49.781491987775603</v>
      </c>
      <c r="B1210">
        <v>111.245279779767</v>
      </c>
      <c r="C1210">
        <v>2001</v>
      </c>
    </row>
    <row r="1211" spans="1:11" x14ac:dyDescent="0.25">
      <c r="A1211">
        <v>77.686901729333997</v>
      </c>
      <c r="B1211">
        <v>139.150689521326</v>
      </c>
      <c r="C1211">
        <v>2001</v>
      </c>
    </row>
    <row r="1212" spans="1:11" x14ac:dyDescent="0.25">
      <c r="A1212">
        <v>88.536212208008095</v>
      </c>
      <c r="B1212">
        <v>150</v>
      </c>
      <c r="C1212">
        <v>2001</v>
      </c>
    </row>
    <row r="1213" spans="1:11" x14ac:dyDescent="0.25">
      <c r="A1213">
        <v>89.410244256905798</v>
      </c>
      <c r="B1213">
        <v>150</v>
      </c>
      <c r="C1213">
        <v>2000</v>
      </c>
    </row>
    <row r="1214" spans="1:11" x14ac:dyDescent="0.25">
      <c r="A1214" t="s">
        <v>87</v>
      </c>
    </row>
    <row r="1215" spans="1:11" x14ac:dyDescent="0.25">
      <c r="A1215">
        <v>856</v>
      </c>
      <c r="B1215">
        <v>0</v>
      </c>
      <c r="C1215">
        <v>44.340457390036299</v>
      </c>
      <c r="D1215">
        <v>14.9080827589171</v>
      </c>
      <c r="E1215">
        <v>10</v>
      </c>
      <c r="F1215">
        <v>1.01722196789785</v>
      </c>
      <c r="G1215" t="s">
        <v>88</v>
      </c>
      <c r="H1215" t="s">
        <v>88</v>
      </c>
      <c r="I1215">
        <v>973</v>
      </c>
      <c r="J1215">
        <v>356</v>
      </c>
      <c r="K1215">
        <v>0.103935679754349</v>
      </c>
    </row>
    <row r="1216" spans="1:11" x14ac:dyDescent="0.25">
      <c r="A1216" t="s">
        <v>86</v>
      </c>
    </row>
    <row r="1217" spans="1:11" x14ac:dyDescent="0.25">
      <c r="A1217">
        <v>47.849632084769802</v>
      </c>
      <c r="B1217">
        <v>99.737324697304402</v>
      </c>
      <c r="C1217">
        <v>2000</v>
      </c>
    </row>
    <row r="1218" spans="1:11" x14ac:dyDescent="0.25">
      <c r="A1218">
        <v>16.496193983362001</v>
      </c>
      <c r="B1218">
        <v>68.383886595896598</v>
      </c>
      <c r="C1218">
        <v>2000</v>
      </c>
    </row>
    <row r="1219" spans="1:11" x14ac:dyDescent="0.25">
      <c r="A1219">
        <v>16.9332100078108</v>
      </c>
      <c r="B1219">
        <v>67.946870571447803</v>
      </c>
      <c r="C1219">
        <v>2001</v>
      </c>
    </row>
    <row r="1220" spans="1:11" x14ac:dyDescent="0.25">
      <c r="A1220">
        <v>48.286648109218604</v>
      </c>
      <c r="B1220">
        <v>99.300308672855607</v>
      </c>
      <c r="C1220">
        <v>2001</v>
      </c>
    </row>
    <row r="1221" spans="1:11" x14ac:dyDescent="0.25">
      <c r="A1221">
        <v>48.767831424138599</v>
      </c>
      <c r="B1221">
        <v>99.781491987775595</v>
      </c>
      <c r="C1221">
        <v>2001</v>
      </c>
    </row>
    <row r="1222" spans="1:11" x14ac:dyDescent="0.25">
      <c r="A1222">
        <v>50.218508012224397</v>
      </c>
      <c r="B1222">
        <v>101.232168575861</v>
      </c>
      <c r="C1222">
        <v>2001</v>
      </c>
    </row>
    <row r="1223" spans="1:11" x14ac:dyDescent="0.25">
      <c r="A1223">
        <v>58.828254522539197</v>
      </c>
      <c r="B1223">
        <v>109.841915086176</v>
      </c>
      <c r="C1223">
        <v>2001</v>
      </c>
    </row>
    <row r="1224" spans="1:11" x14ac:dyDescent="0.25">
      <c r="A1224">
        <v>58.391238498090402</v>
      </c>
      <c r="B1224">
        <v>110.278931110625</v>
      </c>
      <c r="C1224">
        <v>2000</v>
      </c>
    </row>
    <row r="1225" spans="1:11" x14ac:dyDescent="0.25">
      <c r="A1225">
        <v>49.781491987775603</v>
      </c>
      <c r="B1225">
        <v>101.66918460031</v>
      </c>
      <c r="C1225">
        <v>2000</v>
      </c>
    </row>
    <row r="1226" spans="1:11" x14ac:dyDescent="0.25">
      <c r="A1226">
        <v>48.330815399689797</v>
      </c>
      <c r="B1226">
        <v>100.21850801222401</v>
      </c>
      <c r="C1226">
        <v>2000</v>
      </c>
    </row>
    <row r="1227" spans="1:11" x14ac:dyDescent="0.25">
      <c r="A1227" t="s">
        <v>87</v>
      </c>
    </row>
    <row r="1228" spans="1:11" x14ac:dyDescent="0.25">
      <c r="A1228">
        <v>421</v>
      </c>
      <c r="B1228">
        <v>0</v>
      </c>
      <c r="C1228">
        <v>6.1641245958490503</v>
      </c>
      <c r="D1228">
        <v>52.827543056372399</v>
      </c>
      <c r="E1228">
        <v>8</v>
      </c>
      <c r="F1228">
        <v>1.01722196789785</v>
      </c>
      <c r="G1228" t="s">
        <v>88</v>
      </c>
      <c r="H1228" t="s">
        <v>85</v>
      </c>
      <c r="I1228">
        <v>422</v>
      </c>
      <c r="J1228">
        <v>0</v>
      </c>
      <c r="K1228">
        <v>0</v>
      </c>
    </row>
    <row r="1229" spans="1:11" x14ac:dyDescent="0.25">
      <c r="A1229" t="s">
        <v>86</v>
      </c>
    </row>
    <row r="1230" spans="1:11" x14ac:dyDescent="0.25">
      <c r="A1230">
        <v>112.84486030293399</v>
      </c>
      <c r="B1230">
        <v>37.187254228515698</v>
      </c>
      <c r="C1230">
        <v>2000</v>
      </c>
    </row>
    <row r="1231" spans="1:11" x14ac:dyDescent="0.25">
      <c r="A1231">
        <v>108.505099781835</v>
      </c>
      <c r="B1231">
        <v>32.847493707417399</v>
      </c>
      <c r="C1231">
        <v>2000</v>
      </c>
    </row>
    <row r="1232" spans="1:11" x14ac:dyDescent="0.25">
      <c r="A1232">
        <v>108.068083757387</v>
      </c>
      <c r="B1232">
        <v>33.284509731866201</v>
      </c>
      <c r="C1232">
        <v>2001</v>
      </c>
    </row>
    <row r="1233" spans="1:11" x14ac:dyDescent="0.25">
      <c r="A1233">
        <v>112.44571183989601</v>
      </c>
      <c r="B1233">
        <v>37.6621378143752</v>
      </c>
      <c r="C1233">
        <v>2001</v>
      </c>
    </row>
    <row r="1234" spans="1:11" x14ac:dyDescent="0.25">
      <c r="A1234">
        <v>125.07564182141</v>
      </c>
      <c r="B1234">
        <v>50.2920677958898</v>
      </c>
      <c r="C1234">
        <v>2001</v>
      </c>
    </row>
    <row r="1235" spans="1:11" x14ac:dyDescent="0.25">
      <c r="A1235">
        <v>150</v>
      </c>
      <c r="B1235">
        <v>75.216425974479506</v>
      </c>
      <c r="C1235">
        <v>2001</v>
      </c>
    </row>
    <row r="1236" spans="1:11" x14ac:dyDescent="0.25">
      <c r="A1236">
        <v>150</v>
      </c>
      <c r="B1236">
        <v>74.342393925581902</v>
      </c>
      <c r="C1236">
        <v>2000</v>
      </c>
    </row>
    <row r="1237" spans="1:11" x14ac:dyDescent="0.25">
      <c r="A1237">
        <v>125.36553827852801</v>
      </c>
      <c r="B1237">
        <v>49.707932204110101</v>
      </c>
      <c r="C1237">
        <v>2000</v>
      </c>
    </row>
    <row r="1238" spans="1:11" x14ac:dyDescent="0.25">
      <c r="A1238" t="s">
        <v>87</v>
      </c>
    </row>
    <row r="1239" spans="1:11" x14ac:dyDescent="0.25">
      <c r="A1239">
        <v>950</v>
      </c>
      <c r="B1239">
        <v>0</v>
      </c>
      <c r="C1239">
        <v>7.2432372534732998</v>
      </c>
      <c r="D1239">
        <v>51.700876431977697</v>
      </c>
      <c r="E1239">
        <v>6</v>
      </c>
      <c r="F1239">
        <v>1.01722196789785</v>
      </c>
      <c r="G1239" t="s">
        <v>88</v>
      </c>
      <c r="H1239" t="s">
        <v>85</v>
      </c>
      <c r="I1239">
        <v>642</v>
      </c>
      <c r="J1239">
        <v>0</v>
      </c>
      <c r="K1239">
        <v>0.10702589295230699</v>
      </c>
    </row>
    <row r="1240" spans="1:11" x14ac:dyDescent="0.25">
      <c r="A1240" t="s">
        <v>86</v>
      </c>
    </row>
    <row r="1241" spans="1:11" x14ac:dyDescent="0.25">
      <c r="A1241">
        <v>110.718816194884</v>
      </c>
      <c r="B1241">
        <v>113.63361674515799</v>
      </c>
      <c r="C1241">
        <v>2000</v>
      </c>
    </row>
    <row r="1242" spans="1:11" x14ac:dyDescent="0.25">
      <c r="A1242">
        <v>105.623924963937</v>
      </c>
      <c r="B1242">
        <v>108.538725514211</v>
      </c>
      <c r="C1242">
        <v>2000</v>
      </c>
    </row>
    <row r="1243" spans="1:11" x14ac:dyDescent="0.25">
      <c r="A1243">
        <v>106.06094098838599</v>
      </c>
      <c r="B1243">
        <v>108.101709489762</v>
      </c>
      <c r="C1243">
        <v>2001</v>
      </c>
    </row>
    <row r="1244" spans="1:11" x14ac:dyDescent="0.25">
      <c r="A1244">
        <v>111.209534116787</v>
      </c>
      <c r="B1244">
        <v>113.250302618163</v>
      </c>
      <c r="C1244">
        <v>2001</v>
      </c>
    </row>
    <row r="1245" spans="1:11" x14ac:dyDescent="0.25">
      <c r="A1245">
        <v>147.95923149862301</v>
      </c>
      <c r="B1245">
        <v>150</v>
      </c>
      <c r="C1245">
        <v>2001</v>
      </c>
    </row>
    <row r="1246" spans="1:11" x14ac:dyDescent="0.25">
      <c r="A1246">
        <v>147.08519944972599</v>
      </c>
      <c r="B1246">
        <v>150</v>
      </c>
      <c r="C1246">
        <v>2000</v>
      </c>
    </row>
    <row r="1247" spans="1:11" x14ac:dyDescent="0.25">
      <c r="A1247" t="s">
        <v>87</v>
      </c>
    </row>
    <row r="1248" spans="1:11" x14ac:dyDescent="0.25">
      <c r="A1248">
        <v>959</v>
      </c>
      <c r="B1248">
        <v>0</v>
      </c>
      <c r="C1248">
        <v>18.761942392496401</v>
      </c>
      <c r="D1248">
        <v>39.736649370274101</v>
      </c>
      <c r="E1248">
        <v>8</v>
      </c>
      <c r="F1248">
        <v>1.01722196789785</v>
      </c>
      <c r="G1248" t="s">
        <v>85</v>
      </c>
      <c r="H1248" t="s">
        <v>88</v>
      </c>
      <c r="I1248">
        <v>0</v>
      </c>
      <c r="J1248">
        <v>732</v>
      </c>
      <c r="K1248">
        <v>0.107457051799978</v>
      </c>
    </row>
    <row r="1249" spans="1:11" x14ac:dyDescent="0.25">
      <c r="A1249" t="s">
        <v>86</v>
      </c>
    </row>
    <row r="1250" spans="1:11" x14ac:dyDescent="0.25">
      <c r="A1250">
        <v>13.352798476113801</v>
      </c>
      <c r="B1250">
        <v>29.2477276094295</v>
      </c>
      <c r="C1250">
        <v>2000</v>
      </c>
    </row>
    <row r="1251" spans="1:11" x14ac:dyDescent="0.25">
      <c r="A1251">
        <v>0</v>
      </c>
      <c r="B1251">
        <v>15.8949291333156</v>
      </c>
      <c r="C1251">
        <v>2000</v>
      </c>
    </row>
    <row r="1252" spans="1:11" x14ac:dyDescent="0.25">
      <c r="A1252">
        <v>0</v>
      </c>
      <c r="B1252">
        <v>16.7689611822133</v>
      </c>
      <c r="C1252">
        <v>2001</v>
      </c>
    </row>
    <row r="1253" spans="1:11" x14ac:dyDescent="0.25">
      <c r="A1253">
        <v>13.1805949118173</v>
      </c>
      <c r="B1253">
        <v>29.949556094030601</v>
      </c>
      <c r="C1253">
        <v>2001</v>
      </c>
    </row>
    <row r="1254" spans="1:11" x14ac:dyDescent="0.25">
      <c r="A1254">
        <v>33.449546830011201</v>
      </c>
      <c r="B1254">
        <v>50.218508012224397</v>
      </c>
      <c r="C1254">
        <v>2001</v>
      </c>
    </row>
    <row r="1255" spans="1:11" x14ac:dyDescent="0.25">
      <c r="A1255">
        <v>41.146242913094099</v>
      </c>
      <c r="B1255">
        <v>57.915204095307402</v>
      </c>
      <c r="C1255">
        <v>2001</v>
      </c>
    </row>
    <row r="1256" spans="1:11" x14ac:dyDescent="0.25">
      <c r="A1256">
        <v>41.583258937542901</v>
      </c>
      <c r="B1256">
        <v>57.4781880708586</v>
      </c>
      <c r="C1256">
        <v>2000</v>
      </c>
    </row>
    <row r="1257" spans="1:11" x14ac:dyDescent="0.25">
      <c r="A1257">
        <v>33.886562854460003</v>
      </c>
      <c r="B1257">
        <v>49.781491987775603</v>
      </c>
      <c r="C1257">
        <v>2000</v>
      </c>
    </row>
    <row r="1258" spans="1:11" x14ac:dyDescent="0.25">
      <c r="A1258" t="s">
        <v>87</v>
      </c>
    </row>
    <row r="1259" spans="1:11" x14ac:dyDescent="0.25">
      <c r="A1259">
        <v>1029</v>
      </c>
      <c r="B1259">
        <v>0</v>
      </c>
      <c r="C1259">
        <v>35.6833466281348</v>
      </c>
      <c r="D1259">
        <v>22.718194344278999</v>
      </c>
      <c r="E1259">
        <v>6</v>
      </c>
      <c r="F1259">
        <v>1.01722196789785</v>
      </c>
      <c r="G1259" t="s">
        <v>85</v>
      </c>
      <c r="H1259" t="s">
        <v>88</v>
      </c>
      <c r="I1259">
        <v>0</v>
      </c>
      <c r="J1259">
        <v>15</v>
      </c>
      <c r="K1259">
        <v>0.113961322730311</v>
      </c>
    </row>
    <row r="1260" spans="1:11" x14ac:dyDescent="0.25">
      <c r="A1260" t="s">
        <v>86</v>
      </c>
    </row>
    <row r="1261" spans="1:11" x14ac:dyDescent="0.25">
      <c r="A1261">
        <v>28.274841703157598</v>
      </c>
      <c r="B1261">
        <v>25.098427961656</v>
      </c>
      <c r="C1261">
        <v>2000</v>
      </c>
    </row>
    <row r="1262" spans="1:11" x14ac:dyDescent="0.25">
      <c r="A1262">
        <v>3.1764137415015998</v>
      </c>
      <c r="B1262">
        <v>0</v>
      </c>
      <c r="C1262">
        <v>2000</v>
      </c>
    </row>
    <row r="1263" spans="1:11" x14ac:dyDescent="0.25">
      <c r="A1263">
        <v>2.30238169260396</v>
      </c>
      <c r="B1263">
        <v>0</v>
      </c>
      <c r="C1263">
        <v>2001</v>
      </c>
    </row>
    <row r="1264" spans="1:11" x14ac:dyDescent="0.25">
      <c r="A1264">
        <v>27.667826483316301</v>
      </c>
      <c r="B1264">
        <v>25.365444790712399</v>
      </c>
      <c r="C1264">
        <v>2001</v>
      </c>
    </row>
    <row r="1265" spans="1:11" x14ac:dyDescent="0.25">
      <c r="A1265">
        <v>43.817015358166103</v>
      </c>
      <c r="B1265">
        <v>41.514633665562101</v>
      </c>
      <c r="C1265">
        <v>2001</v>
      </c>
    </row>
    <row r="1266" spans="1:11" x14ac:dyDescent="0.25">
      <c r="A1266">
        <v>44.254031382614897</v>
      </c>
      <c r="B1266">
        <v>41.077617641113299</v>
      </c>
      <c r="C1266">
        <v>2000</v>
      </c>
    </row>
    <row r="1267" spans="1:11" x14ac:dyDescent="0.25">
      <c r="A1267" t="s">
        <v>87</v>
      </c>
    </row>
    <row r="1268" spans="1:11" x14ac:dyDescent="0.25">
      <c r="A1268">
        <v>1013</v>
      </c>
      <c r="B1268">
        <v>0</v>
      </c>
      <c r="C1268">
        <v>41.117813631948401</v>
      </c>
      <c r="D1268">
        <v>17.004871821540998</v>
      </c>
      <c r="E1268">
        <v>8</v>
      </c>
      <c r="F1268">
        <v>1.01722196789785</v>
      </c>
      <c r="G1268" t="s">
        <v>88</v>
      </c>
      <c r="H1268" t="s">
        <v>85</v>
      </c>
      <c r="I1268">
        <v>799</v>
      </c>
      <c r="J1268">
        <v>0</v>
      </c>
      <c r="K1268">
        <v>0.112746146041728</v>
      </c>
    </row>
    <row r="1269" spans="1:11" x14ac:dyDescent="0.25">
      <c r="A1269" t="s">
        <v>86</v>
      </c>
    </row>
    <row r="1270" spans="1:11" x14ac:dyDescent="0.25">
      <c r="A1270">
        <v>46.244013924108799</v>
      </c>
      <c r="B1270">
        <v>137.82167611434301</v>
      </c>
      <c r="C1270">
        <v>2000</v>
      </c>
    </row>
    <row r="1271" spans="1:11" x14ac:dyDescent="0.25">
      <c r="A1271">
        <v>17.104884772605899</v>
      </c>
      <c r="B1271">
        <v>108.682546962841</v>
      </c>
      <c r="C1271">
        <v>2000</v>
      </c>
    </row>
    <row r="1272" spans="1:11" x14ac:dyDescent="0.25">
      <c r="A1272">
        <v>16.667868748157002</v>
      </c>
      <c r="B1272">
        <v>109.119562987289</v>
      </c>
      <c r="C1272">
        <v>2001</v>
      </c>
    </row>
    <row r="1273" spans="1:11" x14ac:dyDescent="0.25">
      <c r="A1273">
        <v>45.678109290084898</v>
      </c>
      <c r="B1273">
        <v>138.12980352921701</v>
      </c>
      <c r="C1273">
        <v>2001</v>
      </c>
    </row>
    <row r="1274" spans="1:11" x14ac:dyDescent="0.25">
      <c r="A1274">
        <v>49.708095339112802</v>
      </c>
      <c r="B1274">
        <v>142.15978957824501</v>
      </c>
      <c r="C1274">
        <v>2001</v>
      </c>
    </row>
    <row r="1275" spans="1:11" x14ac:dyDescent="0.25">
      <c r="A1275">
        <v>57.548305760867699</v>
      </c>
      <c r="B1275">
        <v>150</v>
      </c>
      <c r="C1275">
        <v>2001</v>
      </c>
    </row>
    <row r="1276" spans="1:11" x14ac:dyDescent="0.25">
      <c r="A1276">
        <v>58.422337809765303</v>
      </c>
      <c r="B1276">
        <v>150</v>
      </c>
      <c r="C1276">
        <v>2000</v>
      </c>
    </row>
    <row r="1277" spans="1:11" x14ac:dyDescent="0.25">
      <c r="A1277">
        <v>50.291904660887099</v>
      </c>
      <c r="B1277">
        <v>141.86956685112199</v>
      </c>
      <c r="C1277">
        <v>2000</v>
      </c>
    </row>
    <row r="1278" spans="1:11" x14ac:dyDescent="0.25">
      <c r="A1278" t="s">
        <v>87</v>
      </c>
    </row>
    <row r="1279" spans="1:11" x14ac:dyDescent="0.25">
      <c r="A1279">
        <v>830</v>
      </c>
      <c r="B1279">
        <v>0</v>
      </c>
      <c r="C1279">
        <v>48.036684507982301</v>
      </c>
      <c r="D1279">
        <v>9.4069275963335492</v>
      </c>
      <c r="E1279">
        <v>6</v>
      </c>
      <c r="F1279">
        <v>1.01722196789785</v>
      </c>
      <c r="G1279" t="s">
        <v>85</v>
      </c>
      <c r="H1279" t="s">
        <v>85</v>
      </c>
      <c r="I1279">
        <v>0</v>
      </c>
      <c r="J1279">
        <v>0</v>
      </c>
      <c r="K1279">
        <v>0.103306082875794</v>
      </c>
    </row>
    <row r="1280" spans="1:11" x14ac:dyDescent="0.25">
      <c r="A1280" t="s">
        <v>86</v>
      </c>
    </row>
    <row r="1281" spans="1:11" x14ac:dyDescent="0.25">
      <c r="A1281">
        <v>33.601614789485197</v>
      </c>
      <c r="B1281">
        <v>143.419863159123</v>
      </c>
      <c r="C1281">
        <v>2000</v>
      </c>
    </row>
    <row r="1282" spans="1:11" x14ac:dyDescent="0.25">
      <c r="A1282">
        <v>0</v>
      </c>
      <c r="B1282">
        <v>109.818248369637</v>
      </c>
      <c r="C1282">
        <v>2000</v>
      </c>
    </row>
    <row r="1283" spans="1:11" x14ac:dyDescent="0.25">
      <c r="A1283">
        <v>0</v>
      </c>
      <c r="B1283">
        <v>108.94421632074</v>
      </c>
      <c r="C1283">
        <v>2001</v>
      </c>
    </row>
    <row r="1284" spans="1:11" x14ac:dyDescent="0.25">
      <c r="A1284">
        <v>34.332515933141003</v>
      </c>
      <c r="B1284">
        <v>143.27673225388099</v>
      </c>
      <c r="C1284">
        <v>2001</v>
      </c>
    </row>
    <row r="1285" spans="1:11" x14ac:dyDescent="0.25">
      <c r="A1285">
        <v>41.055783679260202</v>
      </c>
      <c r="B1285">
        <v>150</v>
      </c>
      <c r="C1285">
        <v>2001</v>
      </c>
    </row>
    <row r="1286" spans="1:11" x14ac:dyDescent="0.25">
      <c r="A1286">
        <v>40.181751630362598</v>
      </c>
      <c r="B1286">
        <v>150</v>
      </c>
      <c r="C1286">
        <v>2000</v>
      </c>
    </row>
    <row r="1287" spans="1:11" x14ac:dyDescent="0.25">
      <c r="A1287" t="s">
        <v>87</v>
      </c>
    </row>
    <row r="1288" spans="1:11" x14ac:dyDescent="0.25">
      <c r="A1288">
        <v>1006</v>
      </c>
      <c r="B1288">
        <v>0</v>
      </c>
      <c r="C1288">
        <v>17.2687572902393</v>
      </c>
      <c r="D1288">
        <v>39.774103098233098</v>
      </c>
      <c r="E1288">
        <v>10</v>
      </c>
      <c r="F1288">
        <v>1.01722196789785</v>
      </c>
      <c r="G1288" t="s">
        <v>88</v>
      </c>
      <c r="H1288" t="s">
        <v>88</v>
      </c>
      <c r="I1288">
        <v>96</v>
      </c>
      <c r="J1288">
        <v>873</v>
      </c>
      <c r="K1288">
        <v>0.112398968056819</v>
      </c>
    </row>
    <row r="1289" spans="1:11" x14ac:dyDescent="0.25">
      <c r="A1289" t="s">
        <v>86</v>
      </c>
    </row>
    <row r="1290" spans="1:11" x14ac:dyDescent="0.25">
      <c r="A1290">
        <v>103.63761358271699</v>
      </c>
      <c r="B1290">
        <v>77.832722871025197</v>
      </c>
      <c r="C1290">
        <v>2000</v>
      </c>
    </row>
    <row r="1291" spans="1:11" x14ac:dyDescent="0.25">
      <c r="A1291">
        <v>100.21850801222401</v>
      </c>
      <c r="B1291">
        <v>74.413617300532394</v>
      </c>
      <c r="C1291">
        <v>2000</v>
      </c>
    </row>
    <row r="1292" spans="1:11" x14ac:dyDescent="0.25">
      <c r="A1292">
        <v>91.426758200124397</v>
      </c>
      <c r="B1292">
        <v>65.6218674884324</v>
      </c>
      <c r="C1292">
        <v>2000</v>
      </c>
    </row>
    <row r="1293" spans="1:11" x14ac:dyDescent="0.25">
      <c r="A1293">
        <v>90.989742175675602</v>
      </c>
      <c r="B1293">
        <v>66.058883512881295</v>
      </c>
      <c r="C1293">
        <v>2001</v>
      </c>
    </row>
    <row r="1294" spans="1:11" x14ac:dyDescent="0.25">
      <c r="A1294">
        <v>99.781491987775595</v>
      </c>
      <c r="B1294">
        <v>74.850633324981203</v>
      </c>
      <c r="C1294">
        <v>2001</v>
      </c>
    </row>
    <row r="1295" spans="1:11" x14ac:dyDescent="0.25">
      <c r="A1295">
        <v>103.200597558268</v>
      </c>
      <c r="B1295">
        <v>78.269738895474106</v>
      </c>
      <c r="C1295">
        <v>2001</v>
      </c>
    </row>
    <row r="1296" spans="1:11" x14ac:dyDescent="0.25">
      <c r="A1296">
        <v>125.149366675019</v>
      </c>
      <c r="B1296">
        <v>100.21850801222401</v>
      </c>
      <c r="C1296">
        <v>2001</v>
      </c>
    </row>
    <row r="1297" spans="1:11" x14ac:dyDescent="0.25">
      <c r="A1297">
        <v>131.32513557464199</v>
      </c>
      <c r="B1297">
        <v>106.394276911848</v>
      </c>
      <c r="C1297">
        <v>2001</v>
      </c>
    </row>
    <row r="1298" spans="1:11" x14ac:dyDescent="0.25">
      <c r="A1298">
        <v>131.762151599091</v>
      </c>
      <c r="B1298">
        <v>105.957260887399</v>
      </c>
      <c r="C1298">
        <v>2000</v>
      </c>
    </row>
    <row r="1299" spans="1:11" x14ac:dyDescent="0.25">
      <c r="A1299">
        <v>125.586382699468</v>
      </c>
      <c r="B1299">
        <v>99.781491987775595</v>
      </c>
      <c r="C1299">
        <v>2000</v>
      </c>
    </row>
    <row r="1300" spans="1:11" x14ac:dyDescent="0.25">
      <c r="A1300" t="s">
        <v>87</v>
      </c>
    </row>
    <row r="1301" spans="1:11" x14ac:dyDescent="0.25">
      <c r="A1301">
        <v>722</v>
      </c>
      <c r="B1301">
        <v>0</v>
      </c>
      <c r="C1301">
        <v>17.254459590435498</v>
      </c>
      <c r="D1301">
        <v>39.661104388043199</v>
      </c>
      <c r="E1301">
        <v>6</v>
      </c>
      <c r="F1301">
        <v>1.01722196789785</v>
      </c>
      <c r="G1301" t="s">
        <v>88</v>
      </c>
      <c r="H1301" t="s">
        <v>85</v>
      </c>
      <c r="I1301">
        <v>856</v>
      </c>
      <c r="J1301">
        <v>0</v>
      </c>
      <c r="K1301">
        <v>0.10038021386068</v>
      </c>
    </row>
    <row r="1302" spans="1:11" x14ac:dyDescent="0.25">
      <c r="A1302" t="s">
        <v>86</v>
      </c>
    </row>
    <row r="1303" spans="1:11" x14ac:dyDescent="0.25">
      <c r="A1303">
        <v>70.8315455748929</v>
      </c>
      <c r="B1303">
        <v>122.107629502148</v>
      </c>
      <c r="C1303">
        <v>2000</v>
      </c>
    </row>
    <row r="1304" spans="1:11" x14ac:dyDescent="0.25">
      <c r="A1304">
        <v>58.6970428407299</v>
      </c>
      <c r="B1304">
        <v>109.97312676798499</v>
      </c>
      <c r="C1304">
        <v>2000</v>
      </c>
    </row>
    <row r="1305" spans="1:11" x14ac:dyDescent="0.25">
      <c r="A1305">
        <v>59.134058865178702</v>
      </c>
      <c r="B1305">
        <v>109.53611074353699</v>
      </c>
      <c r="C1305">
        <v>2001</v>
      </c>
    </row>
    <row r="1306" spans="1:11" x14ac:dyDescent="0.25">
      <c r="A1306">
        <v>71.401046895228006</v>
      </c>
      <c r="B1306">
        <v>121.803098773586</v>
      </c>
      <c r="C1306">
        <v>2001</v>
      </c>
    </row>
    <row r="1307" spans="1:11" x14ac:dyDescent="0.25">
      <c r="A1307">
        <v>99.597948121642105</v>
      </c>
      <c r="B1307">
        <v>150</v>
      </c>
      <c r="C1307">
        <v>2001</v>
      </c>
    </row>
    <row r="1308" spans="1:11" x14ac:dyDescent="0.25">
      <c r="A1308">
        <v>98.723916072744501</v>
      </c>
      <c r="B1308">
        <v>150</v>
      </c>
      <c r="C1308">
        <v>2000</v>
      </c>
    </row>
    <row r="1309" spans="1:11" x14ac:dyDescent="0.25">
      <c r="A1309" t="s">
        <v>87</v>
      </c>
    </row>
    <row r="1310" spans="1:11" x14ac:dyDescent="0.25">
      <c r="A1310">
        <v>515</v>
      </c>
      <c r="B1310">
        <v>0</v>
      </c>
      <c r="C1310">
        <v>31.544467277949501</v>
      </c>
      <c r="D1310">
        <v>24.7024847824445</v>
      </c>
      <c r="E1310">
        <v>10</v>
      </c>
      <c r="F1310">
        <v>1.01722196789785</v>
      </c>
      <c r="G1310" t="s">
        <v>88</v>
      </c>
      <c r="H1310" t="s">
        <v>88</v>
      </c>
      <c r="I1310">
        <v>19</v>
      </c>
      <c r="J1310">
        <v>746</v>
      </c>
      <c r="K1310">
        <v>0</v>
      </c>
    </row>
    <row r="1311" spans="1:11" x14ac:dyDescent="0.25">
      <c r="A1311" t="s">
        <v>86</v>
      </c>
    </row>
    <row r="1312" spans="1:11" x14ac:dyDescent="0.25">
      <c r="A1312">
        <v>32.589909853227198</v>
      </c>
      <c r="B1312">
        <v>57.445830358395497</v>
      </c>
      <c r="C1312">
        <v>2000</v>
      </c>
    </row>
    <row r="1313" spans="1:11" x14ac:dyDescent="0.25">
      <c r="A1313">
        <v>25.362587507056201</v>
      </c>
      <c r="B1313">
        <v>50.218508012224397</v>
      </c>
      <c r="C1313">
        <v>2000</v>
      </c>
    </row>
    <row r="1314" spans="1:11" x14ac:dyDescent="0.25">
      <c r="A1314">
        <v>10.284603132072</v>
      </c>
      <c r="B1314">
        <v>35.1405236372403</v>
      </c>
      <c r="C1314">
        <v>2000</v>
      </c>
    </row>
    <row r="1315" spans="1:11" x14ac:dyDescent="0.25">
      <c r="A1315">
        <v>10.7216191565208</v>
      </c>
      <c r="B1315">
        <v>34.703507612791398</v>
      </c>
      <c r="C1315">
        <v>2001</v>
      </c>
    </row>
    <row r="1316" spans="1:11" x14ac:dyDescent="0.25">
      <c r="A1316">
        <v>25.799603531504999</v>
      </c>
      <c r="B1316">
        <v>49.781491987775603</v>
      </c>
      <c r="C1316">
        <v>2001</v>
      </c>
    </row>
    <row r="1317" spans="1:11" x14ac:dyDescent="0.25">
      <c r="A1317">
        <v>33.026925877676</v>
      </c>
      <c r="B1317">
        <v>57.008814333946603</v>
      </c>
      <c r="C1317">
        <v>2001</v>
      </c>
    </row>
    <row r="1318" spans="1:11" x14ac:dyDescent="0.25">
      <c r="A1318">
        <v>50.218508012224397</v>
      </c>
      <c r="B1318">
        <v>74.200396468495001</v>
      </c>
      <c r="C1318">
        <v>2001</v>
      </c>
    </row>
    <row r="1319" spans="1:11" x14ac:dyDescent="0.25">
      <c r="A1319">
        <v>50.4942203795</v>
      </c>
      <c r="B1319">
        <v>74.476108835770603</v>
      </c>
      <c r="C1319">
        <v>2001</v>
      </c>
    </row>
    <row r="1320" spans="1:11" x14ac:dyDescent="0.25">
      <c r="A1320">
        <v>50.057204355051198</v>
      </c>
      <c r="B1320">
        <v>74.913124860219398</v>
      </c>
      <c r="C1320">
        <v>2000</v>
      </c>
    </row>
    <row r="1321" spans="1:11" x14ac:dyDescent="0.25">
      <c r="A1321">
        <v>49.781491987775603</v>
      </c>
      <c r="B1321">
        <v>74.637412492943795</v>
      </c>
      <c r="C1321">
        <v>2000</v>
      </c>
    </row>
    <row r="1322" spans="1:11" x14ac:dyDescent="0.25">
      <c r="A1322" t="s">
        <v>87</v>
      </c>
    </row>
    <row r="1323" spans="1:11" x14ac:dyDescent="0.25">
      <c r="A1323">
        <v>726</v>
      </c>
      <c r="B1323">
        <v>0</v>
      </c>
      <c r="C1323">
        <v>45.8095800332867</v>
      </c>
      <c r="D1323">
        <v>10.3911184127049</v>
      </c>
      <c r="E1323">
        <v>10</v>
      </c>
      <c r="F1323">
        <v>1.01722196789785</v>
      </c>
      <c r="G1323" t="s">
        <v>88</v>
      </c>
      <c r="H1323" t="s">
        <v>88</v>
      </c>
      <c r="I1323">
        <v>483</v>
      </c>
      <c r="J1323">
        <v>337</v>
      </c>
      <c r="K1323">
        <v>9.9787223602304201E-2</v>
      </c>
    </row>
    <row r="1324" spans="1:11" x14ac:dyDescent="0.25">
      <c r="A1324" t="s">
        <v>86</v>
      </c>
    </row>
    <row r="1325" spans="1:11" x14ac:dyDescent="0.25">
      <c r="A1325">
        <v>49.308277557752</v>
      </c>
      <c r="B1325">
        <v>114.77124337002699</v>
      </c>
      <c r="C1325">
        <v>2000</v>
      </c>
    </row>
    <row r="1326" spans="1:11" x14ac:dyDescent="0.25">
      <c r="A1326">
        <v>34.755542199949303</v>
      </c>
      <c r="B1326">
        <v>100.21850801222401</v>
      </c>
      <c r="C1326">
        <v>2000</v>
      </c>
    </row>
    <row r="1327" spans="1:11" x14ac:dyDescent="0.25">
      <c r="A1327">
        <v>16.9160128729071</v>
      </c>
      <c r="B1327">
        <v>82.378978685182204</v>
      </c>
      <c r="C1327">
        <v>2000</v>
      </c>
    </row>
    <row r="1328" spans="1:11" x14ac:dyDescent="0.25">
      <c r="A1328">
        <v>17.353028897356001</v>
      </c>
      <c r="B1328">
        <v>81.941962660733395</v>
      </c>
      <c r="C1328">
        <v>2001</v>
      </c>
    </row>
    <row r="1329" spans="1:11" x14ac:dyDescent="0.25">
      <c r="A1329">
        <v>35.192558224398098</v>
      </c>
      <c r="B1329">
        <v>99.781491987775595</v>
      </c>
      <c r="C1329">
        <v>2001</v>
      </c>
    </row>
    <row r="1330" spans="1:11" x14ac:dyDescent="0.25">
      <c r="A1330">
        <v>49.745293582200901</v>
      </c>
      <c r="B1330">
        <v>114.334227345578</v>
      </c>
      <c r="C1330">
        <v>2001</v>
      </c>
    </row>
    <row r="1331" spans="1:11" x14ac:dyDescent="0.25">
      <c r="A1331">
        <v>50.218508012224397</v>
      </c>
      <c r="B1331">
        <v>114.807441775602</v>
      </c>
      <c r="C1331">
        <v>2001</v>
      </c>
    </row>
    <row r="1332" spans="1:11" x14ac:dyDescent="0.25">
      <c r="A1332">
        <v>57.092923875936897</v>
      </c>
      <c r="B1332">
        <v>121.681857639314</v>
      </c>
      <c r="C1332">
        <v>2001</v>
      </c>
    </row>
    <row r="1333" spans="1:11" x14ac:dyDescent="0.25">
      <c r="A1333">
        <v>56.655907851488102</v>
      </c>
      <c r="B1333">
        <v>122.118873663763</v>
      </c>
      <c r="C1333">
        <v>2000</v>
      </c>
    </row>
    <row r="1334" spans="1:11" x14ac:dyDescent="0.25">
      <c r="A1334">
        <v>49.781491987775603</v>
      </c>
      <c r="B1334">
        <v>115.24445780005099</v>
      </c>
      <c r="C1334">
        <v>2000</v>
      </c>
    </row>
    <row r="1335" spans="1:11" x14ac:dyDescent="0.25">
      <c r="A1335" t="s">
        <v>87</v>
      </c>
    </row>
    <row r="1336" spans="1:11" x14ac:dyDescent="0.25">
      <c r="A1336">
        <v>818</v>
      </c>
      <c r="B1336">
        <v>0</v>
      </c>
      <c r="C1336">
        <v>35.551584495706599</v>
      </c>
      <c r="D1336">
        <v>20.579183615411399</v>
      </c>
      <c r="E1336">
        <v>8</v>
      </c>
      <c r="F1336">
        <v>1.01722196789785</v>
      </c>
      <c r="G1336" t="s">
        <v>88</v>
      </c>
      <c r="H1336" t="s">
        <v>85</v>
      </c>
      <c r="I1336">
        <v>118</v>
      </c>
      <c r="J1336">
        <v>0</v>
      </c>
      <c r="K1336">
        <v>0.102861961526139</v>
      </c>
    </row>
    <row r="1337" spans="1:11" x14ac:dyDescent="0.25">
      <c r="A1337" t="s">
        <v>86</v>
      </c>
    </row>
    <row r="1338" spans="1:11" x14ac:dyDescent="0.25">
      <c r="A1338">
        <v>135.53631942809599</v>
      </c>
      <c r="B1338">
        <v>121.231906512592</v>
      </c>
      <c r="C1338">
        <v>2000</v>
      </c>
    </row>
    <row r="1339" spans="1:11" x14ac:dyDescent="0.25">
      <c r="A1339">
        <v>114.08590490328</v>
      </c>
      <c r="B1339">
        <v>99.781491987775595</v>
      </c>
      <c r="C1339">
        <v>2000</v>
      </c>
    </row>
    <row r="1340" spans="1:11" x14ac:dyDescent="0.25">
      <c r="A1340">
        <v>110.528061247643</v>
      </c>
      <c r="B1340">
        <v>96.223648332139106</v>
      </c>
      <c r="C1340">
        <v>2000</v>
      </c>
    </row>
    <row r="1341" spans="1:11" x14ac:dyDescent="0.25">
      <c r="A1341">
        <v>110.091045223194</v>
      </c>
      <c r="B1341">
        <v>96.660664356587901</v>
      </c>
      <c r="C1341">
        <v>2001</v>
      </c>
    </row>
    <row r="1342" spans="1:11" x14ac:dyDescent="0.25">
      <c r="A1342">
        <v>113.648888878831</v>
      </c>
      <c r="B1342">
        <v>100.21850801222401</v>
      </c>
      <c r="C1342">
        <v>2001</v>
      </c>
    </row>
    <row r="1343" spans="1:11" x14ac:dyDescent="0.25">
      <c r="A1343">
        <v>135.360320000423</v>
      </c>
      <c r="B1343">
        <v>121.92993913381601</v>
      </c>
      <c r="C1343">
        <v>2001</v>
      </c>
    </row>
    <row r="1344" spans="1:11" x14ac:dyDescent="0.25">
      <c r="A1344">
        <v>150</v>
      </c>
      <c r="B1344">
        <v>136.56961913339401</v>
      </c>
      <c r="C1344">
        <v>2001</v>
      </c>
    </row>
    <row r="1345" spans="1:11" x14ac:dyDescent="0.25">
      <c r="A1345">
        <v>150</v>
      </c>
      <c r="B1345">
        <v>135.695587084496</v>
      </c>
      <c r="C1345">
        <v>2000</v>
      </c>
    </row>
    <row r="1346" spans="1:11" x14ac:dyDescent="0.25">
      <c r="A1346" t="s">
        <v>87</v>
      </c>
    </row>
    <row r="1347" spans="1:11" x14ac:dyDescent="0.25">
      <c r="A1347">
        <v>352</v>
      </c>
      <c r="B1347">
        <v>0</v>
      </c>
      <c r="C1347">
        <v>43.387261003874698</v>
      </c>
      <c r="D1347">
        <v>12.7272629908881</v>
      </c>
      <c r="E1347">
        <v>8</v>
      </c>
      <c r="F1347">
        <v>1.01722196789785</v>
      </c>
      <c r="G1347" t="s">
        <v>88</v>
      </c>
      <c r="H1347" t="s">
        <v>88</v>
      </c>
      <c r="I1347">
        <v>769</v>
      </c>
      <c r="J1347">
        <v>680</v>
      </c>
      <c r="K1347">
        <v>0</v>
      </c>
    </row>
    <row r="1348" spans="1:11" x14ac:dyDescent="0.25">
      <c r="A1348" t="s">
        <v>86</v>
      </c>
    </row>
    <row r="1349" spans="1:11" x14ac:dyDescent="0.25">
      <c r="A1349">
        <v>82.908041565640701</v>
      </c>
      <c r="B1349">
        <v>109.577976070609</v>
      </c>
      <c r="C1349">
        <v>2000</v>
      </c>
    </row>
    <row r="1350" spans="1:11" x14ac:dyDescent="0.25">
      <c r="A1350">
        <v>73.548573507255995</v>
      </c>
      <c r="B1350">
        <v>100.21850801222401</v>
      </c>
      <c r="C1350">
        <v>2000</v>
      </c>
    </row>
    <row r="1351" spans="1:11" x14ac:dyDescent="0.25">
      <c r="A1351">
        <v>52.228615092690198</v>
      </c>
      <c r="B1351">
        <v>78.8985495976587</v>
      </c>
      <c r="C1351">
        <v>2000</v>
      </c>
    </row>
    <row r="1352" spans="1:11" x14ac:dyDescent="0.25">
      <c r="A1352">
        <v>52.665631117139</v>
      </c>
      <c r="B1352">
        <v>78.461533573209806</v>
      </c>
      <c r="C1352">
        <v>2001</v>
      </c>
    </row>
    <row r="1353" spans="1:11" x14ac:dyDescent="0.25">
      <c r="A1353">
        <v>73.985589531704804</v>
      </c>
      <c r="B1353">
        <v>99.781491987775595</v>
      </c>
      <c r="C1353">
        <v>2001</v>
      </c>
    </row>
    <row r="1354" spans="1:11" x14ac:dyDescent="0.25">
      <c r="A1354">
        <v>83.345057590089496</v>
      </c>
      <c r="B1354">
        <v>109.14096004616</v>
      </c>
      <c r="C1354">
        <v>2001</v>
      </c>
    </row>
    <row r="1355" spans="1:11" x14ac:dyDescent="0.25">
      <c r="A1355">
        <v>92.344591556891004</v>
      </c>
      <c r="B1355">
        <v>118.14049401296199</v>
      </c>
      <c r="C1355">
        <v>2001</v>
      </c>
    </row>
    <row r="1356" spans="1:11" x14ac:dyDescent="0.25">
      <c r="A1356">
        <v>91.907575532442195</v>
      </c>
      <c r="B1356">
        <v>118.577510037411</v>
      </c>
      <c r="C1356">
        <v>2000</v>
      </c>
    </row>
    <row r="1357" spans="1:11" x14ac:dyDescent="0.25">
      <c r="A1357" t="s">
        <v>87</v>
      </c>
    </row>
    <row r="1358" spans="1:11" x14ac:dyDescent="0.25">
      <c r="A1358">
        <v>897</v>
      </c>
      <c r="B1358">
        <v>0</v>
      </c>
      <c r="C1358">
        <v>46.7071110680332</v>
      </c>
      <c r="D1358">
        <v>9.2007134530214607</v>
      </c>
      <c r="E1358">
        <v>6</v>
      </c>
      <c r="F1358">
        <v>1.01722196789785</v>
      </c>
      <c r="G1358" t="s">
        <v>85</v>
      </c>
      <c r="H1358" t="s">
        <v>88</v>
      </c>
      <c r="I1358">
        <v>0</v>
      </c>
      <c r="J1358">
        <v>518</v>
      </c>
      <c r="K1358">
        <v>0.10489943576939401</v>
      </c>
    </row>
    <row r="1359" spans="1:11" x14ac:dyDescent="0.25">
      <c r="A1359" t="s">
        <v>86</v>
      </c>
    </row>
    <row r="1360" spans="1:11" x14ac:dyDescent="0.25">
      <c r="A1360">
        <v>32.844366671684803</v>
      </c>
      <c r="B1360">
        <v>42.612605370631599</v>
      </c>
      <c r="C1360">
        <v>2000</v>
      </c>
    </row>
    <row r="1361" spans="1:11" x14ac:dyDescent="0.25">
      <c r="A1361">
        <v>0</v>
      </c>
      <c r="B1361">
        <v>9.7682386989467993</v>
      </c>
      <c r="C1361">
        <v>2000</v>
      </c>
    </row>
    <row r="1362" spans="1:11" x14ac:dyDescent="0.25">
      <c r="A1362">
        <v>0</v>
      </c>
      <c r="B1362">
        <v>8.8942066500491705</v>
      </c>
      <c r="C1362">
        <v>2001</v>
      </c>
    </row>
    <row r="1363" spans="1:11" x14ac:dyDescent="0.25">
      <c r="A1363">
        <v>33.209463259994301</v>
      </c>
      <c r="B1363">
        <v>42.103669910043401</v>
      </c>
      <c r="C1363">
        <v>2001</v>
      </c>
    </row>
    <row r="1364" spans="1:11" x14ac:dyDescent="0.25">
      <c r="A1364">
        <v>39.751309852449701</v>
      </c>
      <c r="B1364">
        <v>48.6455165024989</v>
      </c>
      <c r="C1364">
        <v>2001</v>
      </c>
    </row>
    <row r="1365" spans="1:11" x14ac:dyDescent="0.25">
      <c r="A1365">
        <v>39.314293828000899</v>
      </c>
      <c r="B1365">
        <v>49.082532526947702</v>
      </c>
      <c r="C1365">
        <v>2000</v>
      </c>
    </row>
    <row r="1366" spans="1:11" x14ac:dyDescent="0.25">
      <c r="A1366" t="s">
        <v>87</v>
      </c>
    </row>
    <row r="1367" spans="1:11" x14ac:dyDescent="0.25">
      <c r="A1367">
        <v>666</v>
      </c>
      <c r="B1367">
        <v>0</v>
      </c>
      <c r="C1367">
        <v>42.346787588876602</v>
      </c>
      <c r="D1367">
        <v>13.261547773558901</v>
      </c>
      <c r="E1367">
        <v>8</v>
      </c>
      <c r="F1367">
        <v>1.01722196789785</v>
      </c>
      <c r="G1367" t="s">
        <v>88</v>
      </c>
      <c r="H1367" t="s">
        <v>85</v>
      </c>
      <c r="I1367">
        <v>899</v>
      </c>
      <c r="J1367">
        <v>0</v>
      </c>
      <c r="K1367">
        <v>0</v>
      </c>
    </row>
    <row r="1368" spans="1:11" x14ac:dyDescent="0.25">
      <c r="A1368" t="s">
        <v>86</v>
      </c>
    </row>
    <row r="1369" spans="1:11" x14ac:dyDescent="0.25">
      <c r="A1369">
        <v>140.535163385218</v>
      </c>
      <c r="B1369">
        <v>114.387897694762</v>
      </c>
      <c r="C1369">
        <v>2000</v>
      </c>
    </row>
    <row r="1370" spans="1:11" x14ac:dyDescent="0.25">
      <c r="A1370">
        <v>126.365773702681</v>
      </c>
      <c r="B1370">
        <v>100.21850801222401</v>
      </c>
      <c r="C1370">
        <v>2000</v>
      </c>
    </row>
    <row r="1371" spans="1:11" x14ac:dyDescent="0.25">
      <c r="A1371">
        <v>110.460460962502</v>
      </c>
      <c r="B1371">
        <v>84.313195272045405</v>
      </c>
      <c r="C1371">
        <v>2000</v>
      </c>
    </row>
    <row r="1372" spans="1:11" x14ac:dyDescent="0.25">
      <c r="A1372">
        <v>110.89747698695101</v>
      </c>
      <c r="B1372">
        <v>83.876179247596596</v>
      </c>
      <c r="C1372">
        <v>2001</v>
      </c>
    </row>
    <row r="1373" spans="1:11" x14ac:dyDescent="0.25">
      <c r="A1373">
        <v>126.80278972713</v>
      </c>
      <c r="B1373">
        <v>99.781491987775595</v>
      </c>
      <c r="C1373">
        <v>2001</v>
      </c>
    </row>
    <row r="1374" spans="1:11" x14ac:dyDescent="0.25">
      <c r="A1374">
        <v>140.710175895356</v>
      </c>
      <c r="B1374">
        <v>113.688878156002</v>
      </c>
      <c r="C1374">
        <v>2001</v>
      </c>
    </row>
    <row r="1375" spans="1:11" x14ac:dyDescent="0.25">
      <c r="A1375">
        <v>150</v>
      </c>
      <c r="B1375">
        <v>122.978702260646</v>
      </c>
      <c r="C1375">
        <v>2001</v>
      </c>
    </row>
    <row r="1376" spans="1:11" x14ac:dyDescent="0.25">
      <c r="A1376">
        <v>150</v>
      </c>
      <c r="B1376">
        <v>123.852734309544</v>
      </c>
      <c r="C1376">
        <v>2000</v>
      </c>
    </row>
    <row r="1377" spans="1:11" x14ac:dyDescent="0.25">
      <c r="A1377" t="s">
        <v>87</v>
      </c>
    </row>
    <row r="1378" spans="1:11" x14ac:dyDescent="0.25">
      <c r="A1378">
        <v>957</v>
      </c>
      <c r="B1378">
        <v>0</v>
      </c>
      <c r="C1378">
        <v>55.342681332977001</v>
      </c>
      <c r="D1378">
        <v>0.23555007657679999</v>
      </c>
      <c r="E1378">
        <v>6</v>
      </c>
      <c r="F1378">
        <v>1.01722196789785</v>
      </c>
      <c r="G1378" t="s">
        <v>85</v>
      </c>
      <c r="H1378" t="s">
        <v>85</v>
      </c>
      <c r="I1378">
        <v>0</v>
      </c>
      <c r="J1378">
        <v>0</v>
      </c>
      <c r="K1378">
        <v>0.107457051799978</v>
      </c>
    </row>
    <row r="1379" spans="1:11" x14ac:dyDescent="0.25">
      <c r="A1379" t="s">
        <v>86</v>
      </c>
    </row>
    <row r="1380" spans="1:11" x14ac:dyDescent="0.25">
      <c r="A1380">
        <v>39.568349135181698</v>
      </c>
      <c r="B1380">
        <v>149.83158879468201</v>
      </c>
      <c r="C1380">
        <v>2000</v>
      </c>
    </row>
    <row r="1381" spans="1:11" x14ac:dyDescent="0.25">
      <c r="A1381">
        <v>0</v>
      </c>
      <c r="B1381">
        <v>110.263239659501</v>
      </c>
      <c r="C1381">
        <v>2000</v>
      </c>
    </row>
    <row r="1382" spans="1:11" x14ac:dyDescent="0.25">
      <c r="A1382">
        <v>0</v>
      </c>
      <c r="B1382">
        <v>111.137271708398</v>
      </c>
      <c r="C1382">
        <v>2001</v>
      </c>
    </row>
    <row r="1383" spans="1:11" x14ac:dyDescent="0.25">
      <c r="A1383">
        <v>38.6980213840068</v>
      </c>
      <c r="B1383">
        <v>149.83529309240501</v>
      </c>
      <c r="C1383">
        <v>2001</v>
      </c>
    </row>
    <row r="1384" spans="1:11" x14ac:dyDescent="0.25">
      <c r="A1384">
        <v>38.862728291601798</v>
      </c>
      <c r="B1384">
        <v>150</v>
      </c>
      <c r="C1384">
        <v>2001</v>
      </c>
    </row>
    <row r="1385" spans="1:11" x14ac:dyDescent="0.25">
      <c r="A1385">
        <v>39.736760340499501</v>
      </c>
      <c r="B1385">
        <v>150</v>
      </c>
      <c r="C1385">
        <v>2000</v>
      </c>
    </row>
    <row r="1386" spans="1:11" x14ac:dyDescent="0.25">
      <c r="A1386" t="s">
        <v>87</v>
      </c>
    </row>
    <row r="1387" spans="1:11" x14ac:dyDescent="0.25">
      <c r="A1387">
        <v>778</v>
      </c>
      <c r="B1387">
        <v>0</v>
      </c>
      <c r="C1387">
        <v>30.2374538362692</v>
      </c>
      <c r="D1387">
        <v>24.9301280890767</v>
      </c>
      <c r="E1387">
        <v>10</v>
      </c>
      <c r="F1387">
        <v>1.01722196789785</v>
      </c>
      <c r="G1387" t="s">
        <v>88</v>
      </c>
      <c r="H1387" t="s">
        <v>88</v>
      </c>
      <c r="I1387">
        <v>852</v>
      </c>
      <c r="J1387">
        <v>760</v>
      </c>
      <c r="K1387">
        <v>0.101659477666818</v>
      </c>
    </row>
    <row r="1388" spans="1:11" x14ac:dyDescent="0.25">
      <c r="A1388" t="s">
        <v>86</v>
      </c>
    </row>
    <row r="1389" spans="1:11" x14ac:dyDescent="0.25">
      <c r="A1389">
        <v>94.855981123562103</v>
      </c>
      <c r="B1389">
        <v>105.73452707507801</v>
      </c>
      <c r="C1389">
        <v>2000</v>
      </c>
    </row>
    <row r="1390" spans="1:11" x14ac:dyDescent="0.25">
      <c r="A1390">
        <v>88.902946036259394</v>
      </c>
      <c r="B1390">
        <v>99.781491987775595</v>
      </c>
      <c r="C1390">
        <v>2000</v>
      </c>
    </row>
    <row r="1391" spans="1:11" x14ac:dyDescent="0.25">
      <c r="A1391">
        <v>73.474872470120999</v>
      </c>
      <c r="B1391">
        <v>84.353418421637301</v>
      </c>
      <c r="C1391">
        <v>2000</v>
      </c>
    </row>
    <row r="1392" spans="1:11" x14ac:dyDescent="0.25">
      <c r="A1392">
        <v>73.037856445672205</v>
      </c>
      <c r="B1392">
        <v>84.790434446086095</v>
      </c>
      <c r="C1392">
        <v>2001</v>
      </c>
    </row>
    <row r="1393" spans="1:11" x14ac:dyDescent="0.25">
      <c r="A1393">
        <v>88.465930011810499</v>
      </c>
      <c r="B1393">
        <v>100.21850801222401</v>
      </c>
      <c r="C1393">
        <v>2001</v>
      </c>
    </row>
    <row r="1394" spans="1:11" x14ac:dyDescent="0.25">
      <c r="A1394">
        <v>94.418965099113294</v>
      </c>
      <c r="B1394">
        <v>106.171543099527</v>
      </c>
      <c r="C1394">
        <v>2001</v>
      </c>
    </row>
    <row r="1395" spans="1:11" x14ac:dyDescent="0.25">
      <c r="A1395">
        <v>99.781491987775595</v>
      </c>
      <c r="B1395">
        <v>111.534069988189</v>
      </c>
      <c r="C1395">
        <v>2001</v>
      </c>
    </row>
    <row r="1396" spans="1:11" x14ac:dyDescent="0.25">
      <c r="A1396">
        <v>112.047227726749</v>
      </c>
      <c r="B1396">
        <v>123.799805727163</v>
      </c>
      <c r="C1396">
        <v>2001</v>
      </c>
    </row>
    <row r="1397" spans="1:11" x14ac:dyDescent="0.25">
      <c r="A1397">
        <v>112.48424375119799</v>
      </c>
      <c r="B1397">
        <v>123.362789702714</v>
      </c>
      <c r="C1397">
        <v>2000</v>
      </c>
    </row>
    <row r="1398" spans="1:11" x14ac:dyDescent="0.25">
      <c r="A1398">
        <v>100.21850801222401</v>
      </c>
      <c r="B1398">
        <v>111.097053963741</v>
      </c>
      <c r="C1398">
        <v>2000</v>
      </c>
    </row>
    <row r="1399" spans="1:11" x14ac:dyDescent="0.25">
      <c r="A1399" t="s">
        <v>87</v>
      </c>
    </row>
    <row r="1400" spans="1:11" x14ac:dyDescent="0.25">
      <c r="A1400">
        <v>744</v>
      </c>
      <c r="B1400">
        <v>0</v>
      </c>
      <c r="C1400">
        <v>31.1442624302396</v>
      </c>
      <c r="D1400">
        <v>23.8472892454431</v>
      </c>
      <c r="E1400">
        <v>10</v>
      </c>
      <c r="F1400">
        <v>1.01722196789785</v>
      </c>
      <c r="G1400" t="s">
        <v>88</v>
      </c>
      <c r="H1400" t="s">
        <v>88</v>
      </c>
      <c r="I1400">
        <v>16</v>
      </c>
      <c r="J1400">
        <v>813</v>
      </c>
      <c r="K1400">
        <v>0.101113411737407</v>
      </c>
    </row>
    <row r="1401" spans="1:11" x14ac:dyDescent="0.25">
      <c r="A1401" t="s">
        <v>86</v>
      </c>
    </row>
    <row r="1402" spans="1:11" x14ac:dyDescent="0.25">
      <c r="A1402">
        <v>46.569275567102999</v>
      </c>
      <c r="B1402">
        <v>48.2138451259692</v>
      </c>
      <c r="C1402">
        <v>2000</v>
      </c>
    </row>
    <row r="1403" spans="1:11" x14ac:dyDescent="0.25">
      <c r="A1403">
        <v>24.546956407627199</v>
      </c>
      <c r="B1403">
        <v>26.191525966493401</v>
      </c>
      <c r="C1403">
        <v>2000</v>
      </c>
    </row>
    <row r="1404" spans="1:11" x14ac:dyDescent="0.25">
      <c r="A1404">
        <v>24.109940383178401</v>
      </c>
      <c r="B1404">
        <v>26.628541990942299</v>
      </c>
      <c r="C1404">
        <v>2001</v>
      </c>
    </row>
    <row r="1405" spans="1:11" x14ac:dyDescent="0.25">
      <c r="A1405">
        <v>46.132259542654197</v>
      </c>
      <c r="B1405">
        <v>48.650861150418102</v>
      </c>
      <c r="C1405">
        <v>2001</v>
      </c>
    </row>
    <row r="1406" spans="1:11" x14ac:dyDescent="0.25">
      <c r="A1406">
        <v>47.699906404460499</v>
      </c>
      <c r="B1406">
        <v>50.218508012224397</v>
      </c>
      <c r="C1406">
        <v>2001</v>
      </c>
    </row>
    <row r="1407" spans="1:11" x14ac:dyDescent="0.25">
      <c r="A1407">
        <v>49.781491987775603</v>
      </c>
      <c r="B1407">
        <v>52.300093595539401</v>
      </c>
      <c r="C1407">
        <v>2001</v>
      </c>
    </row>
    <row r="1408" spans="1:11" x14ac:dyDescent="0.25">
      <c r="A1408">
        <v>62.994839481024101</v>
      </c>
      <c r="B1408">
        <v>65.5134410887879</v>
      </c>
      <c r="C1408">
        <v>2001</v>
      </c>
    </row>
    <row r="1409" spans="1:11" x14ac:dyDescent="0.25">
      <c r="A1409">
        <v>63.431855505472903</v>
      </c>
      <c r="B1409">
        <v>65.076425064339105</v>
      </c>
      <c r="C1409">
        <v>2000</v>
      </c>
    </row>
    <row r="1410" spans="1:11" x14ac:dyDescent="0.25">
      <c r="A1410">
        <v>50.218508012224397</v>
      </c>
      <c r="B1410">
        <v>51.863077571090599</v>
      </c>
      <c r="C1410">
        <v>2000</v>
      </c>
    </row>
    <row r="1411" spans="1:11" x14ac:dyDescent="0.25">
      <c r="A1411">
        <v>48.136922428909401</v>
      </c>
      <c r="B1411">
        <v>49.781491987775603</v>
      </c>
      <c r="C1411">
        <v>2000</v>
      </c>
    </row>
    <row r="1412" spans="1:11" x14ac:dyDescent="0.25">
      <c r="A1412" t="s">
        <v>87</v>
      </c>
    </row>
    <row r="1413" spans="1:11" x14ac:dyDescent="0.25">
      <c r="A1413">
        <v>517</v>
      </c>
      <c r="B1413">
        <v>0</v>
      </c>
      <c r="C1413">
        <v>51.2598308343117</v>
      </c>
      <c r="D1413">
        <v>3.5127566465558999</v>
      </c>
      <c r="E1413">
        <v>8</v>
      </c>
      <c r="F1413">
        <v>1.01722196789785</v>
      </c>
      <c r="G1413" t="s">
        <v>85</v>
      </c>
      <c r="H1413" t="s">
        <v>88</v>
      </c>
      <c r="I1413">
        <v>0</v>
      </c>
      <c r="J1413">
        <v>509</v>
      </c>
      <c r="K1413">
        <v>0</v>
      </c>
    </row>
    <row r="1414" spans="1:11" x14ac:dyDescent="0.25">
      <c r="A1414" t="s">
        <v>86</v>
      </c>
    </row>
    <row r="1415" spans="1:11" x14ac:dyDescent="0.25">
      <c r="A1415">
        <v>36.461716413893001</v>
      </c>
      <c r="B1415">
        <v>50.391945068164603</v>
      </c>
      <c r="C1415">
        <v>2000</v>
      </c>
    </row>
    <row r="1416" spans="1:11" x14ac:dyDescent="0.25">
      <c r="A1416">
        <v>35.847565373740899</v>
      </c>
      <c r="B1416">
        <v>49.7777940280126</v>
      </c>
      <c r="C1416">
        <v>2000</v>
      </c>
    </row>
    <row r="1417" spans="1:11" x14ac:dyDescent="0.25">
      <c r="A1417">
        <v>0</v>
      </c>
      <c r="B1417">
        <v>13.9302286542717</v>
      </c>
      <c r="C1417">
        <v>2000</v>
      </c>
    </row>
    <row r="1418" spans="1:11" x14ac:dyDescent="0.25">
      <c r="A1418">
        <v>0</v>
      </c>
      <c r="B1418">
        <v>14.8042607031693</v>
      </c>
      <c r="C1418">
        <v>2001</v>
      </c>
    </row>
    <row r="1419" spans="1:11" x14ac:dyDescent="0.25">
      <c r="A1419">
        <v>35.417945268818102</v>
      </c>
      <c r="B1419">
        <v>50.2222059719874</v>
      </c>
      <c r="C1419">
        <v>2001</v>
      </c>
    </row>
    <row r="1420" spans="1:11" x14ac:dyDescent="0.25">
      <c r="A1420">
        <v>36.030631556941202</v>
      </c>
      <c r="B1420">
        <v>50.8348922601105</v>
      </c>
      <c r="C1420">
        <v>2001</v>
      </c>
    </row>
    <row r="1421" spans="1:11" x14ac:dyDescent="0.25">
      <c r="A1421">
        <v>38.511560018630497</v>
      </c>
      <c r="B1421">
        <v>53.315820721799803</v>
      </c>
      <c r="C1421">
        <v>2001</v>
      </c>
    </row>
    <row r="1422" spans="1:11" x14ac:dyDescent="0.25">
      <c r="A1422">
        <v>38.948576043079299</v>
      </c>
      <c r="B1422">
        <v>52.878804697350901</v>
      </c>
      <c r="C1422">
        <v>2000</v>
      </c>
    </row>
    <row r="1423" spans="1:11" x14ac:dyDescent="0.25">
      <c r="A1423" t="s">
        <v>87</v>
      </c>
    </row>
    <row r="1424" spans="1:11" x14ac:dyDescent="0.25">
      <c r="A1424">
        <v>946</v>
      </c>
      <c r="B1424">
        <v>0</v>
      </c>
      <c r="C1424">
        <v>7.57058384115766</v>
      </c>
      <c r="D1424">
        <v>47.092982654341803</v>
      </c>
      <c r="E1424">
        <v>8</v>
      </c>
      <c r="F1424">
        <v>1.01722196789785</v>
      </c>
      <c r="G1424" t="s">
        <v>88</v>
      </c>
      <c r="H1424" t="s">
        <v>85</v>
      </c>
      <c r="I1424">
        <v>117</v>
      </c>
      <c r="J1424">
        <v>0</v>
      </c>
      <c r="K1424">
        <v>0.106575022946752</v>
      </c>
    </row>
    <row r="1425" spans="1:11" x14ac:dyDescent="0.25">
      <c r="A1425" t="s">
        <v>86</v>
      </c>
    </row>
    <row r="1426" spans="1:11" x14ac:dyDescent="0.25">
      <c r="A1426">
        <v>116.901716926528</v>
      </c>
      <c r="B1426">
        <v>94.7304844784979</v>
      </c>
      <c r="C1426">
        <v>2000</v>
      </c>
    </row>
    <row r="1427" spans="1:11" x14ac:dyDescent="0.25">
      <c r="A1427">
        <v>111.565529459415</v>
      </c>
      <c r="B1427">
        <v>89.394297011384694</v>
      </c>
      <c r="C1427">
        <v>2000</v>
      </c>
    </row>
    <row r="1428" spans="1:11" x14ac:dyDescent="0.25">
      <c r="A1428">
        <v>111.128513434966</v>
      </c>
      <c r="B1428">
        <v>89.831313035833503</v>
      </c>
      <c r="C1428">
        <v>2001</v>
      </c>
    </row>
    <row r="1429" spans="1:11" x14ac:dyDescent="0.25">
      <c r="A1429">
        <v>116.498748311101</v>
      </c>
      <c r="B1429">
        <v>95.201547911968106</v>
      </c>
      <c r="C1429">
        <v>2001</v>
      </c>
    </row>
    <row r="1430" spans="1:11" x14ac:dyDescent="0.25">
      <c r="A1430">
        <v>121.54874064795401</v>
      </c>
      <c r="B1430">
        <v>100.251540248821</v>
      </c>
      <c r="C1430">
        <v>2001</v>
      </c>
    </row>
    <row r="1431" spans="1:11" x14ac:dyDescent="0.25">
      <c r="A1431">
        <v>150</v>
      </c>
      <c r="B1431">
        <v>128.702799600867</v>
      </c>
      <c r="C1431">
        <v>2001</v>
      </c>
    </row>
    <row r="1432" spans="1:11" x14ac:dyDescent="0.25">
      <c r="A1432">
        <v>150</v>
      </c>
      <c r="B1432">
        <v>127.82876755197</v>
      </c>
      <c r="C1432">
        <v>2000</v>
      </c>
    </row>
    <row r="1433" spans="1:11" x14ac:dyDescent="0.25">
      <c r="A1433">
        <v>121.919692199209</v>
      </c>
      <c r="B1433">
        <v>99.748459751178899</v>
      </c>
      <c r="C1433">
        <v>2000</v>
      </c>
    </row>
    <row r="1434" spans="1:11" x14ac:dyDescent="0.25">
      <c r="A1434" t="s">
        <v>87</v>
      </c>
    </row>
    <row r="1435" spans="1:11" x14ac:dyDescent="0.25">
      <c r="A1435">
        <v>427</v>
      </c>
      <c r="B1435">
        <v>0</v>
      </c>
      <c r="C1435">
        <v>9.4451181864136498</v>
      </c>
      <c r="D1435">
        <v>44.782173517720501</v>
      </c>
      <c r="E1435">
        <v>8</v>
      </c>
      <c r="F1435">
        <v>1.01722196789785</v>
      </c>
      <c r="G1435" t="s">
        <v>88</v>
      </c>
      <c r="H1435" t="s">
        <v>85</v>
      </c>
      <c r="I1435">
        <v>999</v>
      </c>
      <c r="J1435">
        <v>0</v>
      </c>
      <c r="K1435">
        <v>0</v>
      </c>
    </row>
    <row r="1436" spans="1:11" x14ac:dyDescent="0.25">
      <c r="A1436" t="s">
        <v>86</v>
      </c>
    </row>
    <row r="1437" spans="1:11" x14ac:dyDescent="0.25">
      <c r="A1437">
        <v>118.144918572744</v>
      </c>
      <c r="B1437">
        <v>38.693079615844901</v>
      </c>
      <c r="C1437">
        <v>2000</v>
      </c>
    </row>
    <row r="1438" spans="1:11" x14ac:dyDescent="0.25">
      <c r="A1438">
        <v>111.437006298401</v>
      </c>
      <c r="B1438">
        <v>31.9851673415018</v>
      </c>
      <c r="C1438">
        <v>2000</v>
      </c>
    </row>
    <row r="1439" spans="1:11" x14ac:dyDescent="0.25">
      <c r="A1439">
        <v>111.87402232285</v>
      </c>
      <c r="B1439">
        <v>31.548151317053001</v>
      </c>
      <c r="C1439">
        <v>2001</v>
      </c>
    </row>
    <row r="1440" spans="1:11" x14ac:dyDescent="0.25">
      <c r="A1440">
        <v>118.52352428595</v>
      </c>
      <c r="B1440">
        <v>38.197653280152799</v>
      </c>
      <c r="C1440">
        <v>2001</v>
      </c>
    </row>
    <row r="1441" spans="1:11" x14ac:dyDescent="0.25">
      <c r="A1441">
        <v>130.02763086243999</v>
      </c>
      <c r="B1441">
        <v>49.701759856642397</v>
      </c>
      <c r="C1441">
        <v>2001</v>
      </c>
    </row>
    <row r="1442" spans="1:11" x14ac:dyDescent="0.25">
      <c r="A1442">
        <v>150</v>
      </c>
      <c r="B1442">
        <v>69.674128994202803</v>
      </c>
      <c r="C1442">
        <v>2001</v>
      </c>
    </row>
    <row r="1443" spans="1:11" x14ac:dyDescent="0.25">
      <c r="A1443">
        <v>150</v>
      </c>
      <c r="B1443">
        <v>70.548161043100507</v>
      </c>
      <c r="C1443">
        <v>2000</v>
      </c>
    </row>
    <row r="1444" spans="1:11" x14ac:dyDescent="0.25">
      <c r="A1444">
        <v>129.75007910025701</v>
      </c>
      <c r="B1444">
        <v>50.298240143357603</v>
      </c>
      <c r="C1444">
        <v>2000</v>
      </c>
    </row>
    <row r="1445" spans="1:11" x14ac:dyDescent="0.25">
      <c r="A1445" t="s">
        <v>87</v>
      </c>
    </row>
    <row r="1446" spans="1:11" x14ac:dyDescent="0.25">
      <c r="A1446">
        <v>909</v>
      </c>
      <c r="B1446">
        <v>0</v>
      </c>
      <c r="C1446">
        <v>44.242215375215302</v>
      </c>
      <c r="D1446">
        <v>9.2322225048292008</v>
      </c>
      <c r="E1446">
        <v>10</v>
      </c>
      <c r="F1446">
        <v>1.01722196789785</v>
      </c>
      <c r="G1446" t="s">
        <v>88</v>
      </c>
      <c r="H1446" t="s">
        <v>88</v>
      </c>
      <c r="I1446">
        <v>997</v>
      </c>
      <c r="J1446">
        <v>321</v>
      </c>
      <c r="K1446">
        <v>0.10525890298501001</v>
      </c>
    </row>
    <row r="1447" spans="1:11" x14ac:dyDescent="0.25">
      <c r="A1447" t="s">
        <v>86</v>
      </c>
    </row>
    <row r="1448" spans="1:11" x14ac:dyDescent="0.25">
      <c r="A1448">
        <v>53.142787735048898</v>
      </c>
      <c r="B1448">
        <v>125.309358867025</v>
      </c>
      <c r="C1448">
        <v>2000</v>
      </c>
    </row>
    <row r="1449" spans="1:11" x14ac:dyDescent="0.25">
      <c r="A1449">
        <v>49.781491987775603</v>
      </c>
      <c r="B1449">
        <v>121.94806311975201</v>
      </c>
      <c r="C1449">
        <v>2000</v>
      </c>
    </row>
    <row r="1450" spans="1:11" x14ac:dyDescent="0.25">
      <c r="A1450">
        <v>28.051936880248299</v>
      </c>
      <c r="B1450">
        <v>100.21850801222401</v>
      </c>
      <c r="C1450">
        <v>2000</v>
      </c>
    </row>
    <row r="1451" spans="1:11" x14ac:dyDescent="0.25">
      <c r="A1451">
        <v>21.858817228518401</v>
      </c>
      <c r="B1451">
        <v>94.025388360494503</v>
      </c>
      <c r="C1451">
        <v>2000</v>
      </c>
    </row>
    <row r="1452" spans="1:11" x14ac:dyDescent="0.25">
      <c r="A1452">
        <v>22.295833252967199</v>
      </c>
      <c r="B1452">
        <v>93.588372336045694</v>
      </c>
      <c r="C1452">
        <v>2001</v>
      </c>
    </row>
    <row r="1453" spans="1:11" x14ac:dyDescent="0.25">
      <c r="A1453">
        <v>28.4889529046972</v>
      </c>
      <c r="B1453">
        <v>99.781491987775595</v>
      </c>
      <c r="C1453">
        <v>2001</v>
      </c>
    </row>
    <row r="1454" spans="1:11" x14ac:dyDescent="0.25">
      <c r="A1454">
        <v>50.218508012224397</v>
      </c>
      <c r="B1454">
        <v>121.511047095303</v>
      </c>
      <c r="C1454">
        <v>2001</v>
      </c>
    </row>
    <row r="1455" spans="1:11" x14ac:dyDescent="0.25">
      <c r="A1455">
        <v>53.5798037594977</v>
      </c>
      <c r="B1455">
        <v>124.872342842576</v>
      </c>
      <c r="C1455">
        <v>2001</v>
      </c>
    </row>
    <row r="1456" spans="1:11" x14ac:dyDescent="0.25">
      <c r="A1456">
        <v>60.107970898085497</v>
      </c>
      <c r="B1456">
        <v>131.40050998116399</v>
      </c>
      <c r="C1456">
        <v>2001</v>
      </c>
    </row>
    <row r="1457" spans="1:11" x14ac:dyDescent="0.25">
      <c r="A1457">
        <v>59.670954873636603</v>
      </c>
      <c r="B1457">
        <v>131.837526005613</v>
      </c>
      <c r="C1457">
        <v>2000</v>
      </c>
    </row>
    <row r="1458" spans="1:11" x14ac:dyDescent="0.25">
      <c r="A1458" t="s">
        <v>87</v>
      </c>
    </row>
    <row r="1459" spans="1:11" x14ac:dyDescent="0.25">
      <c r="A1459">
        <v>761</v>
      </c>
      <c r="B1459">
        <v>0</v>
      </c>
      <c r="C1459">
        <v>12.1808409703976</v>
      </c>
      <c r="D1459">
        <v>40.440608046709301</v>
      </c>
      <c r="E1459">
        <v>6</v>
      </c>
      <c r="F1459">
        <v>1.01722196789785</v>
      </c>
      <c r="G1459" t="s">
        <v>85</v>
      </c>
      <c r="H1459" t="s">
        <v>85</v>
      </c>
      <c r="I1459">
        <v>0</v>
      </c>
      <c r="J1459">
        <v>0</v>
      </c>
      <c r="K1459">
        <v>9.9787223602304201E-2</v>
      </c>
    </row>
    <row r="1460" spans="1:11" x14ac:dyDescent="0.25">
      <c r="A1460" t="s">
        <v>86</v>
      </c>
    </row>
    <row r="1461" spans="1:11" x14ac:dyDescent="0.25">
      <c r="A1461">
        <v>121.068316491893</v>
      </c>
      <c r="B1461">
        <v>8.7143159522004492</v>
      </c>
      <c r="C1461">
        <v>2000</v>
      </c>
    </row>
    <row r="1462" spans="1:11" x14ac:dyDescent="0.25">
      <c r="A1462">
        <v>112.354000539693</v>
      </c>
      <c r="B1462">
        <v>0</v>
      </c>
      <c r="C1462">
        <v>2000</v>
      </c>
    </row>
    <row r="1463" spans="1:11" x14ac:dyDescent="0.25">
      <c r="A1463">
        <v>113.22803258859</v>
      </c>
      <c r="B1463">
        <v>0</v>
      </c>
      <c r="C1463">
        <v>2001</v>
      </c>
    </row>
    <row r="1464" spans="1:11" x14ac:dyDescent="0.25">
      <c r="A1464">
        <v>121.74002713783599</v>
      </c>
      <c r="B1464">
        <v>8.5119945492456992</v>
      </c>
      <c r="C1464">
        <v>2001</v>
      </c>
    </row>
    <row r="1465" spans="1:11" x14ac:dyDescent="0.25">
      <c r="A1465">
        <v>150</v>
      </c>
      <c r="B1465">
        <v>36.771967411409598</v>
      </c>
      <c r="C1465">
        <v>2001</v>
      </c>
    </row>
    <row r="1466" spans="1:11" x14ac:dyDescent="0.25">
      <c r="A1466">
        <v>150</v>
      </c>
      <c r="B1466">
        <v>37.645999460307301</v>
      </c>
      <c r="C1466">
        <v>2000</v>
      </c>
    </row>
    <row r="1467" spans="1:11" x14ac:dyDescent="0.25">
      <c r="A1467" t="s">
        <v>87</v>
      </c>
    </row>
    <row r="1468" spans="1:11" x14ac:dyDescent="0.25">
      <c r="A1468">
        <v>846</v>
      </c>
      <c r="B1468">
        <v>0</v>
      </c>
      <c r="C1468">
        <v>32.125502958001398</v>
      </c>
      <c r="D1468">
        <v>20.373264294973499</v>
      </c>
      <c r="E1468">
        <v>8</v>
      </c>
      <c r="F1468">
        <v>1.01722196789785</v>
      </c>
      <c r="G1468" t="s">
        <v>85</v>
      </c>
      <c r="H1468" t="s">
        <v>88</v>
      </c>
      <c r="I1468">
        <v>0</v>
      </c>
      <c r="J1468">
        <v>747</v>
      </c>
      <c r="K1468">
        <v>0.103730452296059</v>
      </c>
    </row>
    <row r="1469" spans="1:11" x14ac:dyDescent="0.25">
      <c r="A1469" t="s">
        <v>86</v>
      </c>
    </row>
    <row r="1470" spans="1:11" x14ac:dyDescent="0.25">
      <c r="A1470">
        <v>47.122166582234797</v>
      </c>
      <c r="B1470">
        <v>22.524060659623899</v>
      </c>
      <c r="C1470">
        <v>2000</v>
      </c>
    </row>
    <row r="1471" spans="1:11" x14ac:dyDescent="0.25">
      <c r="A1471">
        <v>24.598105922610898</v>
      </c>
      <c r="B1471">
        <v>0</v>
      </c>
      <c r="C1471">
        <v>2000</v>
      </c>
    </row>
    <row r="1472" spans="1:11" x14ac:dyDescent="0.25">
      <c r="A1472">
        <v>23.724073873713301</v>
      </c>
      <c r="B1472">
        <v>0</v>
      </c>
      <c r="C1472">
        <v>2001</v>
      </c>
    </row>
    <row r="1473" spans="1:11" x14ac:dyDescent="0.25">
      <c r="A1473">
        <v>46.632335195351899</v>
      </c>
      <c r="B1473">
        <v>22.908261321638602</v>
      </c>
      <c r="C1473">
        <v>2001</v>
      </c>
    </row>
    <row r="1474" spans="1:11" x14ac:dyDescent="0.25">
      <c r="A1474">
        <v>49.781491987775603</v>
      </c>
      <c r="B1474">
        <v>26.057418114062301</v>
      </c>
      <c r="C1474">
        <v>2001</v>
      </c>
    </row>
    <row r="1475" spans="1:11" x14ac:dyDescent="0.25">
      <c r="A1475">
        <v>61.064816214450502</v>
      </c>
      <c r="B1475">
        <v>37.340742340737201</v>
      </c>
      <c r="C1475">
        <v>2001</v>
      </c>
    </row>
    <row r="1476" spans="1:11" x14ac:dyDescent="0.25">
      <c r="A1476">
        <v>61.501832238899297</v>
      </c>
      <c r="B1476">
        <v>36.903726316288399</v>
      </c>
      <c r="C1476">
        <v>2000</v>
      </c>
    </row>
    <row r="1477" spans="1:11" x14ac:dyDescent="0.25">
      <c r="A1477">
        <v>50.218508012224397</v>
      </c>
      <c r="B1477">
        <v>25.620402089613499</v>
      </c>
      <c r="C1477">
        <v>2000</v>
      </c>
    </row>
    <row r="1478" spans="1:11" x14ac:dyDescent="0.25">
      <c r="A1478" t="s">
        <v>87</v>
      </c>
    </row>
    <row r="1479" spans="1:11" x14ac:dyDescent="0.25">
      <c r="A1479">
        <v>857</v>
      </c>
      <c r="B1479">
        <v>0</v>
      </c>
      <c r="C1479">
        <v>37.197318769046802</v>
      </c>
      <c r="D1479">
        <v>15.2536257639527</v>
      </c>
      <c r="E1479">
        <v>10</v>
      </c>
      <c r="F1479">
        <v>1.01722196789785</v>
      </c>
      <c r="G1479" t="s">
        <v>88</v>
      </c>
      <c r="H1479" t="s">
        <v>88</v>
      </c>
      <c r="I1479">
        <v>35</v>
      </c>
      <c r="J1479">
        <v>930</v>
      </c>
      <c r="K1479">
        <v>0.103935679754349</v>
      </c>
    </row>
    <row r="1480" spans="1:11" x14ac:dyDescent="0.25">
      <c r="A1480" t="s">
        <v>86</v>
      </c>
    </row>
    <row r="1481" spans="1:11" x14ac:dyDescent="0.25">
      <c r="A1481">
        <v>72.911682673693306</v>
      </c>
      <c r="B1481">
        <v>58.625113936893399</v>
      </c>
      <c r="C1481">
        <v>2000</v>
      </c>
    </row>
    <row r="1482" spans="1:11" x14ac:dyDescent="0.25">
      <c r="A1482">
        <v>64.505076749024298</v>
      </c>
      <c r="B1482">
        <v>50.218508012224397</v>
      </c>
      <c r="C1482">
        <v>2000</v>
      </c>
    </row>
    <row r="1483" spans="1:11" x14ac:dyDescent="0.25">
      <c r="A1483">
        <v>49.781491987775603</v>
      </c>
      <c r="B1483">
        <v>35.494923250975702</v>
      </c>
      <c r="C1483">
        <v>2000</v>
      </c>
    </row>
    <row r="1484" spans="1:11" x14ac:dyDescent="0.25">
      <c r="A1484">
        <v>46.609206330142598</v>
      </c>
      <c r="B1484">
        <v>32.322637593342797</v>
      </c>
      <c r="C1484">
        <v>2000</v>
      </c>
    </row>
    <row r="1485" spans="1:11" x14ac:dyDescent="0.25">
      <c r="A1485">
        <v>47.046222354591499</v>
      </c>
      <c r="B1485">
        <v>31.8856215688939</v>
      </c>
      <c r="C1485">
        <v>2001</v>
      </c>
    </row>
    <row r="1486" spans="1:11" x14ac:dyDescent="0.25">
      <c r="A1486">
        <v>50.218508012224397</v>
      </c>
      <c r="B1486">
        <v>35.057907226526901</v>
      </c>
      <c r="C1486">
        <v>2001</v>
      </c>
    </row>
    <row r="1487" spans="1:11" x14ac:dyDescent="0.25">
      <c r="A1487">
        <v>64.942092773473107</v>
      </c>
      <c r="B1487">
        <v>49.781491987775603</v>
      </c>
      <c r="C1487">
        <v>2001</v>
      </c>
    </row>
    <row r="1488" spans="1:11" x14ac:dyDescent="0.25">
      <c r="A1488">
        <v>73.348698698142101</v>
      </c>
      <c r="B1488">
        <v>58.188097912444597</v>
      </c>
      <c r="C1488">
        <v>2001</v>
      </c>
    </row>
    <row r="1489" spans="1:11" x14ac:dyDescent="0.25">
      <c r="A1489">
        <v>84.1346409135149</v>
      </c>
      <c r="B1489">
        <v>68.974040127817403</v>
      </c>
      <c r="C1489">
        <v>2001</v>
      </c>
    </row>
    <row r="1490" spans="1:11" x14ac:dyDescent="0.25">
      <c r="A1490">
        <v>83.697624889066105</v>
      </c>
      <c r="B1490">
        <v>69.411056152266198</v>
      </c>
      <c r="C1490">
        <v>2000</v>
      </c>
    </row>
    <row r="1491" spans="1:11" x14ac:dyDescent="0.25">
      <c r="A1491" t="s">
        <v>87</v>
      </c>
    </row>
    <row r="1492" spans="1:11" x14ac:dyDescent="0.25">
      <c r="A1492">
        <v>831</v>
      </c>
      <c r="B1492">
        <v>0</v>
      </c>
      <c r="C1492">
        <v>12.5544956112933</v>
      </c>
      <c r="D1492">
        <v>39.686143056358603</v>
      </c>
      <c r="E1492">
        <v>8</v>
      </c>
      <c r="F1492">
        <v>1.01722196789785</v>
      </c>
      <c r="G1492" t="s">
        <v>88</v>
      </c>
      <c r="H1492" t="s">
        <v>88</v>
      </c>
      <c r="I1492">
        <v>505</v>
      </c>
      <c r="J1492">
        <v>878</v>
      </c>
      <c r="K1492">
        <v>0.103306082875794</v>
      </c>
    </row>
    <row r="1493" spans="1:11" x14ac:dyDescent="0.25">
      <c r="A1493" t="s">
        <v>86</v>
      </c>
    </row>
    <row r="1494" spans="1:11" x14ac:dyDescent="0.25">
      <c r="A1494">
        <v>19.388057339181401</v>
      </c>
      <c r="B1494">
        <v>71.760409995340794</v>
      </c>
      <c r="C1494">
        <v>2000</v>
      </c>
    </row>
    <row r="1495" spans="1:11" x14ac:dyDescent="0.25">
      <c r="A1495">
        <v>10.5106883580592</v>
      </c>
      <c r="B1495">
        <v>62.883041014218499</v>
      </c>
      <c r="C1495">
        <v>2000</v>
      </c>
    </row>
    <row r="1496" spans="1:11" x14ac:dyDescent="0.25">
      <c r="A1496">
        <v>10.0736723336103</v>
      </c>
      <c r="B1496">
        <v>63.320057038667301</v>
      </c>
      <c r="C1496">
        <v>2001</v>
      </c>
    </row>
    <row r="1497" spans="1:11" x14ac:dyDescent="0.25">
      <c r="A1497">
        <v>18.951041314732599</v>
      </c>
      <c r="B1497">
        <v>72.197426019789603</v>
      </c>
      <c r="C1497">
        <v>2001</v>
      </c>
    </row>
    <row r="1498" spans="1:11" x14ac:dyDescent="0.25">
      <c r="A1498">
        <v>46.972123307167401</v>
      </c>
      <c r="B1498">
        <v>100.21850801222401</v>
      </c>
      <c r="C1498">
        <v>2001</v>
      </c>
    </row>
    <row r="1499" spans="1:11" x14ac:dyDescent="0.25">
      <c r="A1499">
        <v>47.013382189023197</v>
      </c>
      <c r="B1499">
        <v>100.25976689408</v>
      </c>
      <c r="C1499">
        <v>2001</v>
      </c>
    </row>
    <row r="1500" spans="1:11" x14ac:dyDescent="0.25">
      <c r="A1500">
        <v>47.450398213471999</v>
      </c>
      <c r="B1500">
        <v>99.822750869631307</v>
      </c>
      <c r="C1500">
        <v>2000</v>
      </c>
    </row>
    <row r="1501" spans="1:11" x14ac:dyDescent="0.25">
      <c r="A1501">
        <v>47.409139331616302</v>
      </c>
      <c r="B1501">
        <v>99.781491987775595</v>
      </c>
      <c r="C1501">
        <v>2000</v>
      </c>
    </row>
    <row r="1502" spans="1:11" x14ac:dyDescent="0.25">
      <c r="A1502" t="s">
        <v>87</v>
      </c>
    </row>
    <row r="1503" spans="1:11" x14ac:dyDescent="0.25">
      <c r="A1503">
        <v>596</v>
      </c>
      <c r="B1503">
        <v>0</v>
      </c>
      <c r="C1503">
        <v>3.2248089541264</v>
      </c>
      <c r="D1503">
        <v>48.704149479081302</v>
      </c>
      <c r="E1503">
        <v>8</v>
      </c>
      <c r="F1503">
        <v>1.01722196789785</v>
      </c>
      <c r="G1503" t="s">
        <v>88</v>
      </c>
      <c r="H1503" t="s">
        <v>88</v>
      </c>
      <c r="I1503">
        <v>590</v>
      </c>
      <c r="J1503">
        <v>326</v>
      </c>
      <c r="K1503">
        <v>0</v>
      </c>
    </row>
    <row r="1504" spans="1:11" x14ac:dyDescent="0.25">
      <c r="A1504" t="s">
        <v>86</v>
      </c>
    </row>
    <row r="1505" spans="1:11" x14ac:dyDescent="0.25">
      <c r="A1505">
        <v>39.576695676234699</v>
      </c>
      <c r="B1505">
        <v>108.682565433752</v>
      </c>
      <c r="C1505">
        <v>2000</v>
      </c>
    </row>
    <row r="1506" spans="1:11" x14ac:dyDescent="0.25">
      <c r="A1506">
        <v>37.296411396740801</v>
      </c>
      <c r="B1506">
        <v>106.40228115425801</v>
      </c>
      <c r="C1506">
        <v>2000</v>
      </c>
    </row>
    <row r="1507" spans="1:11" x14ac:dyDescent="0.25">
      <c r="A1507">
        <v>37.733427421189603</v>
      </c>
      <c r="B1507">
        <v>105.96526512981001</v>
      </c>
      <c r="C1507">
        <v>2001</v>
      </c>
    </row>
    <row r="1508" spans="1:11" x14ac:dyDescent="0.25">
      <c r="A1508">
        <v>40.013711700683501</v>
      </c>
      <c r="B1508">
        <v>108.245549409303</v>
      </c>
      <c r="C1508">
        <v>2001</v>
      </c>
    </row>
    <row r="1509" spans="1:11" x14ac:dyDescent="0.25">
      <c r="A1509">
        <v>50.218508012224397</v>
      </c>
      <c r="B1509">
        <v>118.450345720844</v>
      </c>
      <c r="C1509">
        <v>2001</v>
      </c>
    </row>
    <row r="1510" spans="1:11" x14ac:dyDescent="0.25">
      <c r="A1510">
        <v>74.452746069265103</v>
      </c>
      <c r="B1510">
        <v>142.684583777885</v>
      </c>
      <c r="C1510">
        <v>2001</v>
      </c>
    </row>
    <row r="1511" spans="1:11" x14ac:dyDescent="0.25">
      <c r="A1511">
        <v>74.015730044816294</v>
      </c>
      <c r="B1511">
        <v>143.121599802334</v>
      </c>
      <c r="C1511">
        <v>2000</v>
      </c>
    </row>
    <row r="1512" spans="1:11" x14ac:dyDescent="0.25">
      <c r="A1512">
        <v>49.781491987775603</v>
      </c>
      <c r="B1512">
        <v>118.88736174529301</v>
      </c>
      <c r="C1512">
        <v>2000</v>
      </c>
    </row>
    <row r="1513" spans="1:11" x14ac:dyDescent="0.25">
      <c r="A1513" t="s">
        <v>87</v>
      </c>
    </row>
    <row r="1514" spans="1:11" x14ac:dyDescent="0.25">
      <c r="A1514">
        <v>953</v>
      </c>
      <c r="B1514">
        <v>0</v>
      </c>
      <c r="C1514">
        <v>13.3910056383785</v>
      </c>
      <c r="D1514">
        <v>38.255729050758497</v>
      </c>
      <c r="E1514">
        <v>6</v>
      </c>
      <c r="F1514">
        <v>1.01722196789785</v>
      </c>
      <c r="G1514" t="s">
        <v>85</v>
      </c>
      <c r="H1514" t="s">
        <v>85</v>
      </c>
      <c r="I1514">
        <v>0</v>
      </c>
      <c r="J1514">
        <v>0</v>
      </c>
      <c r="K1514">
        <v>0.10702589295230699</v>
      </c>
    </row>
    <row r="1515" spans="1:11" x14ac:dyDescent="0.25">
      <c r="A1515" t="s">
        <v>86</v>
      </c>
    </row>
    <row r="1516" spans="1:11" x14ac:dyDescent="0.25">
      <c r="A1516">
        <v>9.5821807493586402</v>
      </c>
      <c r="B1516">
        <v>122.625408400079</v>
      </c>
      <c r="C1516">
        <v>2000</v>
      </c>
    </row>
    <row r="1517" spans="1:11" x14ac:dyDescent="0.25">
      <c r="A1517">
        <v>0</v>
      </c>
      <c r="B1517">
        <v>113.04322765072</v>
      </c>
      <c r="C1517">
        <v>2000</v>
      </c>
    </row>
    <row r="1518" spans="1:11" x14ac:dyDescent="0.25">
      <c r="A1518">
        <v>0</v>
      </c>
      <c r="B1518">
        <v>113.917259699618</v>
      </c>
      <c r="C1518">
        <v>2001</v>
      </c>
    </row>
    <row r="1519" spans="1:11" x14ac:dyDescent="0.25">
      <c r="A1519">
        <v>9.3555610382508707</v>
      </c>
      <c r="B1519">
        <v>123.272820737868</v>
      </c>
      <c r="C1519">
        <v>2001</v>
      </c>
    </row>
    <row r="1520" spans="1:11" x14ac:dyDescent="0.25">
      <c r="A1520">
        <v>36.082740300382497</v>
      </c>
      <c r="B1520">
        <v>150</v>
      </c>
      <c r="C1520">
        <v>2001</v>
      </c>
    </row>
    <row r="1521" spans="1:11" x14ac:dyDescent="0.25">
      <c r="A1521">
        <v>36.956772349280101</v>
      </c>
      <c r="B1521">
        <v>150</v>
      </c>
      <c r="C1521">
        <v>2000</v>
      </c>
    </row>
    <row r="1522" spans="1:11" x14ac:dyDescent="0.25">
      <c r="A1522" t="s">
        <v>87</v>
      </c>
    </row>
    <row r="1523" spans="1:11" x14ac:dyDescent="0.25">
      <c r="A1523">
        <v>1028</v>
      </c>
      <c r="B1523">
        <v>0</v>
      </c>
      <c r="C1523">
        <v>46.573877207784697</v>
      </c>
      <c r="D1523">
        <v>4.9089099921592503</v>
      </c>
      <c r="E1523">
        <v>8</v>
      </c>
      <c r="F1523">
        <v>1.01722196789785</v>
      </c>
      <c r="G1523" t="s">
        <v>88</v>
      </c>
      <c r="H1523" t="s">
        <v>88</v>
      </c>
      <c r="I1523">
        <v>245</v>
      </c>
      <c r="J1523">
        <v>185</v>
      </c>
      <c r="K1523">
        <v>0.113961322730311</v>
      </c>
    </row>
    <row r="1524" spans="1:11" x14ac:dyDescent="0.25">
      <c r="A1524" t="s">
        <v>86</v>
      </c>
    </row>
    <row r="1525" spans="1:11" x14ac:dyDescent="0.25">
      <c r="A1525">
        <v>107.238630123552</v>
      </c>
      <c r="B1525">
        <v>41.866598895218701</v>
      </c>
      <c r="C1525">
        <v>2000</v>
      </c>
    </row>
    <row r="1526" spans="1:11" x14ac:dyDescent="0.25">
      <c r="A1526">
        <v>99.781491987775595</v>
      </c>
      <c r="B1526">
        <v>34.409460759442197</v>
      </c>
      <c r="C1526">
        <v>2000</v>
      </c>
    </row>
    <row r="1527" spans="1:11" x14ac:dyDescent="0.25">
      <c r="A1527">
        <v>74.305925723777904</v>
      </c>
      <c r="B1527">
        <v>8.9338944954445196</v>
      </c>
      <c r="C1527">
        <v>2000</v>
      </c>
    </row>
    <row r="1528" spans="1:11" x14ac:dyDescent="0.25">
      <c r="A1528">
        <v>74.742941748226698</v>
      </c>
      <c r="B1528">
        <v>8.4968784709956999</v>
      </c>
      <c r="C1528">
        <v>2001</v>
      </c>
    </row>
    <row r="1529" spans="1:11" x14ac:dyDescent="0.25">
      <c r="A1529">
        <v>100.21850801222401</v>
      </c>
      <c r="B1529">
        <v>33.972444734993402</v>
      </c>
      <c r="C1529">
        <v>2001</v>
      </c>
    </row>
    <row r="1530" spans="1:11" x14ac:dyDescent="0.25">
      <c r="A1530">
        <v>107.67564614800099</v>
      </c>
      <c r="B1530">
        <v>41.429582870769899</v>
      </c>
      <c r="C1530">
        <v>2001</v>
      </c>
    </row>
    <row r="1531" spans="1:11" x14ac:dyDescent="0.25">
      <c r="A1531">
        <v>111.14676969169101</v>
      </c>
      <c r="B1531">
        <v>44.900706414460103</v>
      </c>
      <c r="C1531">
        <v>2001</v>
      </c>
    </row>
    <row r="1532" spans="1:11" x14ac:dyDescent="0.25">
      <c r="A1532">
        <v>110.709753667242</v>
      </c>
      <c r="B1532">
        <v>45.337722438908898</v>
      </c>
      <c r="C1532">
        <v>2000</v>
      </c>
    </row>
    <row r="1533" spans="1:11" x14ac:dyDescent="0.25">
      <c r="A1533" t="s">
        <v>87</v>
      </c>
    </row>
    <row r="1534" spans="1:11" x14ac:dyDescent="0.25">
      <c r="A1534">
        <v>911</v>
      </c>
      <c r="B1534">
        <v>0</v>
      </c>
      <c r="C1534">
        <v>30.1117350139737</v>
      </c>
      <c r="D1534">
        <v>21.183475481965001</v>
      </c>
      <c r="E1534">
        <v>6</v>
      </c>
      <c r="F1534">
        <v>1.01722196789785</v>
      </c>
      <c r="G1534" t="s">
        <v>88</v>
      </c>
      <c r="H1534" t="s">
        <v>85</v>
      </c>
      <c r="I1534">
        <v>659</v>
      </c>
      <c r="J1534">
        <v>0</v>
      </c>
      <c r="K1534">
        <v>0.10525890298501001</v>
      </c>
    </row>
    <row r="1535" spans="1:11" x14ac:dyDescent="0.25">
      <c r="A1535" t="s">
        <v>86</v>
      </c>
    </row>
    <row r="1536" spans="1:11" x14ac:dyDescent="0.25">
      <c r="A1536">
        <v>126.22633591294699</v>
      </c>
      <c r="B1536">
        <v>134.930783190174</v>
      </c>
      <c r="C1536">
        <v>2000</v>
      </c>
    </row>
    <row r="1537" spans="1:11" x14ac:dyDescent="0.25">
      <c r="A1537">
        <v>104.805853526479</v>
      </c>
      <c r="B1537">
        <v>113.510300803706</v>
      </c>
      <c r="C1537">
        <v>2000</v>
      </c>
    </row>
    <row r="1538" spans="1:11" x14ac:dyDescent="0.25">
      <c r="A1538">
        <v>104.36883750203</v>
      </c>
      <c r="B1538">
        <v>113.947316828155</v>
      </c>
      <c r="C1538">
        <v>2001</v>
      </c>
    </row>
    <row r="1539" spans="1:11" x14ac:dyDescent="0.25">
      <c r="A1539">
        <v>125.532779158908</v>
      </c>
      <c r="B1539">
        <v>135.11125848503301</v>
      </c>
      <c r="C1539">
        <v>2001</v>
      </c>
    </row>
    <row r="1540" spans="1:11" x14ac:dyDescent="0.25">
      <c r="A1540">
        <v>140.42152067387499</v>
      </c>
      <c r="B1540">
        <v>150</v>
      </c>
      <c r="C1540">
        <v>2001</v>
      </c>
    </row>
    <row r="1541" spans="1:11" x14ac:dyDescent="0.25">
      <c r="A1541">
        <v>141.29555272277301</v>
      </c>
      <c r="B1541">
        <v>150</v>
      </c>
      <c r="C1541">
        <v>2000</v>
      </c>
    </row>
    <row r="1542" spans="1:11" x14ac:dyDescent="0.25">
      <c r="A1542" t="s">
        <v>87</v>
      </c>
    </row>
    <row r="1543" spans="1:11" x14ac:dyDescent="0.25">
      <c r="A1543">
        <v>1017</v>
      </c>
      <c r="B1543">
        <v>0</v>
      </c>
      <c r="C1543">
        <v>26.763156554794701</v>
      </c>
      <c r="D1543">
        <v>23.888321234835299</v>
      </c>
      <c r="E1543">
        <v>6</v>
      </c>
      <c r="F1543">
        <v>1.01722196789785</v>
      </c>
      <c r="G1543" t="s">
        <v>85</v>
      </c>
      <c r="H1543" t="s">
        <v>88</v>
      </c>
      <c r="I1543">
        <v>0</v>
      </c>
      <c r="J1543">
        <v>725</v>
      </c>
      <c r="K1543">
        <v>0.112999713672855</v>
      </c>
    </row>
    <row r="1544" spans="1:11" x14ac:dyDescent="0.25">
      <c r="A1544" t="s">
        <v>86</v>
      </c>
    </row>
    <row r="1545" spans="1:11" x14ac:dyDescent="0.25">
      <c r="A1545">
        <v>19.039864441854601</v>
      </c>
      <c r="B1545">
        <v>73.941799852969297</v>
      </c>
      <c r="C1545">
        <v>2000</v>
      </c>
    </row>
    <row r="1546" spans="1:11" x14ac:dyDescent="0.25">
      <c r="A1546">
        <v>0</v>
      </c>
      <c r="B1546">
        <v>54.901935411114799</v>
      </c>
      <c r="C1546">
        <v>2000</v>
      </c>
    </row>
    <row r="1547" spans="1:11" x14ac:dyDescent="0.25">
      <c r="A1547">
        <v>0</v>
      </c>
      <c r="B1547">
        <v>55.775967460012403</v>
      </c>
      <c r="C1547">
        <v>2001</v>
      </c>
    </row>
    <row r="1548" spans="1:11" x14ac:dyDescent="0.25">
      <c r="A1548">
        <v>18.808954529850499</v>
      </c>
      <c r="B1548">
        <v>74.584921989862906</v>
      </c>
      <c r="C1548">
        <v>2001</v>
      </c>
    </row>
    <row r="1549" spans="1:11" x14ac:dyDescent="0.25">
      <c r="A1549">
        <v>35.597495409942702</v>
      </c>
      <c r="B1549">
        <v>91.373462869955205</v>
      </c>
      <c r="C1549">
        <v>2001</v>
      </c>
    </row>
    <row r="1550" spans="1:11" x14ac:dyDescent="0.25">
      <c r="A1550">
        <v>36.034511434391597</v>
      </c>
      <c r="B1550">
        <v>90.936446845506396</v>
      </c>
      <c r="C1550">
        <v>2000</v>
      </c>
    </row>
    <row r="1551" spans="1:11" x14ac:dyDescent="0.25">
      <c r="A1551" t="s">
        <v>87</v>
      </c>
    </row>
    <row r="1552" spans="1:11" x14ac:dyDescent="0.25">
      <c r="A1552">
        <v>592</v>
      </c>
      <c r="B1552">
        <v>0</v>
      </c>
      <c r="C1552">
        <v>10.711809285402699</v>
      </c>
      <c r="D1552">
        <v>39.714481033874002</v>
      </c>
      <c r="E1552">
        <v>8</v>
      </c>
      <c r="F1552">
        <v>1.01722196789785</v>
      </c>
      <c r="G1552" t="s">
        <v>88</v>
      </c>
      <c r="H1552" t="s">
        <v>85</v>
      </c>
      <c r="I1552">
        <v>854</v>
      </c>
      <c r="J1552">
        <v>0</v>
      </c>
      <c r="K1552">
        <v>0</v>
      </c>
    </row>
    <row r="1553" spans="1:11" x14ac:dyDescent="0.25">
      <c r="A1553" t="s">
        <v>86</v>
      </c>
    </row>
    <row r="1554" spans="1:11" x14ac:dyDescent="0.25">
      <c r="A1554">
        <v>21.786292520722299</v>
      </c>
      <c r="B1554">
        <v>122.136129161868</v>
      </c>
      <c r="C1554">
        <v>2000</v>
      </c>
    </row>
    <row r="1555" spans="1:11" x14ac:dyDescent="0.25">
      <c r="A1555">
        <v>14.211899536237</v>
      </c>
      <c r="B1555">
        <v>114.561736177382</v>
      </c>
      <c r="C1555">
        <v>2000</v>
      </c>
    </row>
    <row r="1556" spans="1:11" x14ac:dyDescent="0.25">
      <c r="A1556">
        <v>14.6489155606859</v>
      </c>
      <c r="B1556">
        <v>114.12472015293299</v>
      </c>
      <c r="C1556">
        <v>2001</v>
      </c>
    </row>
    <row r="1557" spans="1:11" x14ac:dyDescent="0.25">
      <c r="A1557">
        <v>22.269694444736199</v>
      </c>
      <c r="B1557">
        <v>121.745499036984</v>
      </c>
      <c r="C1557">
        <v>2001</v>
      </c>
    </row>
    <row r="1558" spans="1:11" x14ac:dyDescent="0.25">
      <c r="A1558">
        <v>50.436337684702302</v>
      </c>
      <c r="B1558">
        <v>149.91214227694999</v>
      </c>
      <c r="C1558">
        <v>2001</v>
      </c>
    </row>
    <row r="1559" spans="1:11" x14ac:dyDescent="0.25">
      <c r="A1559">
        <v>50.524195407752501</v>
      </c>
      <c r="B1559">
        <v>150</v>
      </c>
      <c r="C1559">
        <v>2001</v>
      </c>
    </row>
    <row r="1560" spans="1:11" x14ac:dyDescent="0.25">
      <c r="A1560">
        <v>49.868671371079202</v>
      </c>
      <c r="B1560">
        <v>150.21850801222399</v>
      </c>
      <c r="C1560">
        <v>2000</v>
      </c>
    </row>
    <row r="1561" spans="1:11" x14ac:dyDescent="0.25">
      <c r="A1561">
        <v>49.781491987775603</v>
      </c>
      <c r="B1561">
        <v>150.13132862892101</v>
      </c>
      <c r="C1561">
        <v>2000</v>
      </c>
    </row>
    <row r="1562" spans="1:11" x14ac:dyDescent="0.25">
      <c r="A1562" t="s">
        <v>87</v>
      </c>
    </row>
    <row r="1563" spans="1:11" x14ac:dyDescent="0.25">
      <c r="A1563">
        <v>1004</v>
      </c>
      <c r="B1563">
        <v>0</v>
      </c>
      <c r="C1563">
        <v>9.9511054319816292</v>
      </c>
      <c r="D1563">
        <v>40.259110052138404</v>
      </c>
      <c r="E1563">
        <v>6</v>
      </c>
      <c r="F1563">
        <v>1.01722196789785</v>
      </c>
      <c r="G1563" t="s">
        <v>88</v>
      </c>
      <c r="H1563" t="s">
        <v>85</v>
      </c>
      <c r="I1563">
        <v>587</v>
      </c>
      <c r="J1563">
        <v>0</v>
      </c>
      <c r="K1563">
        <v>0.11213136114788901</v>
      </c>
    </row>
    <row r="1564" spans="1:11" x14ac:dyDescent="0.25">
      <c r="A1564" t="s">
        <v>86</v>
      </c>
    </row>
    <row r="1565" spans="1:11" x14ac:dyDescent="0.25">
      <c r="A1565">
        <v>17.078278010535598</v>
      </c>
      <c r="B1565">
        <v>121.357308119499</v>
      </c>
      <c r="C1565">
        <v>2000</v>
      </c>
    </row>
    <row r="1566" spans="1:11" x14ac:dyDescent="0.25">
      <c r="A1566">
        <v>9.9984780251533092</v>
      </c>
      <c r="B1566">
        <v>114.277508134117</v>
      </c>
      <c r="C1566">
        <v>2000</v>
      </c>
    </row>
    <row r="1567" spans="1:11" x14ac:dyDescent="0.25">
      <c r="A1567">
        <v>9.5614620007044895</v>
      </c>
      <c r="B1567">
        <v>114.714524158565</v>
      </c>
      <c r="C1567">
        <v>2001</v>
      </c>
    </row>
    <row r="1568" spans="1:11" x14ac:dyDescent="0.25">
      <c r="A1568">
        <v>16.554650277835201</v>
      </c>
      <c r="B1568">
        <v>121.707712435696</v>
      </c>
      <c r="C1568">
        <v>2001</v>
      </c>
    </row>
    <row r="1569" spans="1:11" x14ac:dyDescent="0.25">
      <c r="A1569">
        <v>44.846937842139099</v>
      </c>
      <c r="B1569">
        <v>150</v>
      </c>
      <c r="C1569">
        <v>2001</v>
      </c>
    </row>
    <row r="1570" spans="1:11" x14ac:dyDescent="0.25">
      <c r="A1570">
        <v>45.720969891036802</v>
      </c>
      <c r="B1570">
        <v>150</v>
      </c>
      <c r="C1570">
        <v>2000</v>
      </c>
    </row>
    <row r="1571" spans="1:11" x14ac:dyDescent="0.25">
      <c r="A1571" t="s">
        <v>87</v>
      </c>
    </row>
    <row r="1572" spans="1:11" x14ac:dyDescent="0.25">
      <c r="A1572">
        <v>599</v>
      </c>
      <c r="B1572">
        <v>0</v>
      </c>
      <c r="C1572">
        <v>21.686525843900501</v>
      </c>
      <c r="D1572">
        <v>28.3363066752054</v>
      </c>
      <c r="E1572">
        <v>8</v>
      </c>
      <c r="F1572">
        <v>1.01722196789785</v>
      </c>
      <c r="G1572" t="s">
        <v>85</v>
      </c>
      <c r="H1572" t="s">
        <v>88</v>
      </c>
      <c r="I1572">
        <v>0</v>
      </c>
      <c r="J1572">
        <v>568</v>
      </c>
      <c r="K1572">
        <v>0</v>
      </c>
    </row>
    <row r="1573" spans="1:11" x14ac:dyDescent="0.25">
      <c r="A1573" t="s">
        <v>86</v>
      </c>
    </row>
    <row r="1574" spans="1:11" x14ac:dyDescent="0.25">
      <c r="A1574">
        <v>15.5412753217943</v>
      </c>
      <c r="B1574">
        <v>100.642717486126</v>
      </c>
      <c r="C1574">
        <v>2000</v>
      </c>
    </row>
    <row r="1575" spans="1:11" x14ac:dyDescent="0.25">
      <c r="A1575">
        <v>14.6676081132492</v>
      </c>
      <c r="B1575">
        <v>99.769050277581201</v>
      </c>
      <c r="C1575">
        <v>2000</v>
      </c>
    </row>
    <row r="1576" spans="1:11" x14ac:dyDescent="0.25">
      <c r="A1576">
        <v>0</v>
      </c>
      <c r="B1576">
        <v>85.101442164331999</v>
      </c>
      <c r="C1576">
        <v>2000</v>
      </c>
    </row>
    <row r="1577" spans="1:11" x14ac:dyDescent="0.25">
      <c r="A1577">
        <v>0</v>
      </c>
      <c r="B1577">
        <v>85.975474213229603</v>
      </c>
      <c r="C1577">
        <v>2001</v>
      </c>
    </row>
    <row r="1578" spans="1:11" x14ac:dyDescent="0.25">
      <c r="A1578">
        <v>14.2554755091892</v>
      </c>
      <c r="B1578">
        <v>100.230949722419</v>
      </c>
      <c r="C1578">
        <v>2001</v>
      </c>
    </row>
    <row r="1579" spans="1:11" x14ac:dyDescent="0.25">
      <c r="A1579">
        <v>15.128103647404499</v>
      </c>
      <c r="B1579">
        <v>101.103577860634</v>
      </c>
      <c r="C1579">
        <v>2001</v>
      </c>
    </row>
    <row r="1580" spans="1:11" x14ac:dyDescent="0.25">
      <c r="A1580">
        <v>35.152976076194399</v>
      </c>
      <c r="B1580">
        <v>121.12845028942399</v>
      </c>
      <c r="C1580">
        <v>2001</v>
      </c>
    </row>
    <row r="1581" spans="1:11" x14ac:dyDescent="0.25">
      <c r="A1581">
        <v>35.589992100643201</v>
      </c>
      <c r="B1581">
        <v>120.691434264975</v>
      </c>
      <c r="C1581">
        <v>2000</v>
      </c>
    </row>
    <row r="1582" spans="1:11" x14ac:dyDescent="0.25">
      <c r="A1582" t="s">
        <v>87</v>
      </c>
    </row>
    <row r="1583" spans="1:11" x14ac:dyDescent="0.25">
      <c r="A1583">
        <v>833</v>
      </c>
      <c r="B1583">
        <v>0</v>
      </c>
      <c r="C1583">
        <v>7.6314560706003798</v>
      </c>
      <c r="D1583">
        <v>42.258249804886503</v>
      </c>
      <c r="E1583">
        <v>10</v>
      </c>
      <c r="F1583">
        <v>1.01722196789785</v>
      </c>
      <c r="G1583" t="s">
        <v>88</v>
      </c>
      <c r="H1583" t="s">
        <v>88</v>
      </c>
      <c r="I1583">
        <v>29</v>
      </c>
      <c r="J1583">
        <v>926</v>
      </c>
      <c r="K1583">
        <v>0.103306082875794</v>
      </c>
    </row>
    <row r="1584" spans="1:11" x14ac:dyDescent="0.25">
      <c r="A1584" t="s">
        <v>86</v>
      </c>
    </row>
    <row r="1585" spans="1:11" x14ac:dyDescent="0.25">
      <c r="A1585">
        <v>24.0090047740375</v>
      </c>
      <c r="B1585">
        <v>30.033302980960801</v>
      </c>
      <c r="C1585">
        <v>2000</v>
      </c>
    </row>
    <row r="1586" spans="1:11" x14ac:dyDescent="0.25">
      <c r="A1586">
        <v>18.612750436188701</v>
      </c>
      <c r="B1586">
        <v>24.637048643111999</v>
      </c>
      <c r="C1586">
        <v>2000</v>
      </c>
    </row>
    <row r="1587" spans="1:11" x14ac:dyDescent="0.25">
      <c r="A1587">
        <v>18.175734411739899</v>
      </c>
      <c r="B1587">
        <v>25.074064667560801</v>
      </c>
      <c r="C1587">
        <v>2001</v>
      </c>
    </row>
    <row r="1588" spans="1:11" x14ac:dyDescent="0.25">
      <c r="A1588">
        <v>23.571988749588701</v>
      </c>
      <c r="B1588">
        <v>30.4703190054096</v>
      </c>
      <c r="C1588">
        <v>2001</v>
      </c>
    </row>
    <row r="1589" spans="1:11" x14ac:dyDescent="0.25">
      <c r="A1589">
        <v>43.320177756403503</v>
      </c>
      <c r="B1589">
        <v>50.218508012224397</v>
      </c>
      <c r="C1589">
        <v>2001</v>
      </c>
    </row>
    <row r="1590" spans="1:11" x14ac:dyDescent="0.25">
      <c r="A1590">
        <v>49.781491987775603</v>
      </c>
      <c r="B1590">
        <v>56.679822243596497</v>
      </c>
      <c r="C1590">
        <v>2001</v>
      </c>
    </row>
    <row r="1591" spans="1:11" x14ac:dyDescent="0.25">
      <c r="A1591">
        <v>53.453083747698997</v>
      </c>
      <c r="B1591">
        <v>60.351414003519899</v>
      </c>
      <c r="C1591">
        <v>2001</v>
      </c>
    </row>
    <row r="1592" spans="1:11" x14ac:dyDescent="0.25">
      <c r="A1592">
        <v>53.890099772147899</v>
      </c>
      <c r="B1592">
        <v>59.914397979071097</v>
      </c>
      <c r="C1592">
        <v>2000</v>
      </c>
    </row>
    <row r="1593" spans="1:11" x14ac:dyDescent="0.25">
      <c r="A1593">
        <v>50.218508012224397</v>
      </c>
      <c r="B1593">
        <v>56.242806219147703</v>
      </c>
      <c r="C1593">
        <v>2000</v>
      </c>
    </row>
    <row r="1594" spans="1:11" x14ac:dyDescent="0.25">
      <c r="A1594">
        <v>43.757193780852297</v>
      </c>
      <c r="B1594">
        <v>49.781491987775603</v>
      </c>
      <c r="C1594">
        <v>2000</v>
      </c>
    </row>
    <row r="1595" spans="1:11" x14ac:dyDescent="0.25">
      <c r="A1595" t="s">
        <v>87</v>
      </c>
    </row>
    <row r="1596" spans="1:11" x14ac:dyDescent="0.25">
      <c r="A1596">
        <v>280</v>
      </c>
      <c r="B1596">
        <v>0</v>
      </c>
      <c r="C1596">
        <v>47.954561768747297</v>
      </c>
      <c r="D1596">
        <v>1.9146750396496901</v>
      </c>
      <c r="E1596">
        <v>8</v>
      </c>
      <c r="F1596">
        <v>1.01722196789785</v>
      </c>
      <c r="G1596" t="s">
        <v>85</v>
      </c>
      <c r="H1596" t="s">
        <v>88</v>
      </c>
      <c r="I1596">
        <v>0</v>
      </c>
      <c r="J1596">
        <v>251</v>
      </c>
      <c r="K1596">
        <v>0</v>
      </c>
    </row>
    <row r="1597" spans="1:11" x14ac:dyDescent="0.25">
      <c r="A1597" t="s">
        <v>86</v>
      </c>
    </row>
    <row r="1598" spans="1:11" x14ac:dyDescent="0.25">
      <c r="A1598">
        <v>50.255985570963396</v>
      </c>
      <c r="B1598">
        <v>33.690721376436599</v>
      </c>
      <c r="C1598">
        <v>2000</v>
      </c>
    </row>
    <row r="1599" spans="1:11" x14ac:dyDescent="0.25">
      <c r="A1599">
        <v>50.218748010757601</v>
      </c>
      <c r="B1599">
        <v>33.653483816230903</v>
      </c>
      <c r="C1599">
        <v>2000</v>
      </c>
    </row>
    <row r="1600" spans="1:11" x14ac:dyDescent="0.25">
      <c r="A1600">
        <v>16.565264194526701</v>
      </c>
      <c r="B1600">
        <v>0</v>
      </c>
      <c r="C1600">
        <v>2000</v>
      </c>
    </row>
    <row r="1601" spans="1:11" x14ac:dyDescent="0.25">
      <c r="A1601">
        <v>15.691232145629099</v>
      </c>
      <c r="B1601">
        <v>0</v>
      </c>
      <c r="C1601">
        <v>2001</v>
      </c>
    </row>
    <row r="1602" spans="1:11" x14ac:dyDescent="0.25">
      <c r="A1602">
        <v>49.781251989242399</v>
      </c>
      <c r="B1602">
        <v>34.090019843613298</v>
      </c>
      <c r="C1602">
        <v>2001</v>
      </c>
    </row>
    <row r="1603" spans="1:11" x14ac:dyDescent="0.25">
      <c r="A1603">
        <v>49.818502400213298</v>
      </c>
      <c r="B1603">
        <v>34.127270254584197</v>
      </c>
      <c r="C1603">
        <v>2001</v>
      </c>
    </row>
    <row r="1604" spans="1:11" x14ac:dyDescent="0.25">
      <c r="A1604">
        <v>51.172615677668801</v>
      </c>
      <c r="B1604">
        <v>35.4813835320397</v>
      </c>
      <c r="C1604">
        <v>2001</v>
      </c>
    </row>
    <row r="1605" spans="1:11" x14ac:dyDescent="0.25">
      <c r="A1605">
        <v>51.609631702117603</v>
      </c>
      <c r="B1605">
        <v>35.044367507590898</v>
      </c>
      <c r="C1605">
        <v>2000</v>
      </c>
    </row>
    <row r="1606" spans="1:11" x14ac:dyDescent="0.25">
      <c r="A1606" t="s">
        <v>87</v>
      </c>
    </row>
    <row r="1607" spans="1:11" x14ac:dyDescent="0.25">
      <c r="A1607">
        <v>1007</v>
      </c>
      <c r="B1607">
        <v>0</v>
      </c>
      <c r="C1607">
        <v>9.8169762942477004</v>
      </c>
      <c r="D1607">
        <v>40.041037746811597</v>
      </c>
      <c r="E1607">
        <v>6</v>
      </c>
      <c r="F1607">
        <v>1.01722196789785</v>
      </c>
      <c r="G1607" t="s">
        <v>85</v>
      </c>
      <c r="H1607" t="s">
        <v>88</v>
      </c>
      <c r="I1607">
        <v>0</v>
      </c>
      <c r="J1607">
        <v>492</v>
      </c>
      <c r="K1607">
        <v>0.11231047408881099</v>
      </c>
    </row>
    <row r="1608" spans="1:11" x14ac:dyDescent="0.25">
      <c r="A1608" t="s">
        <v>86</v>
      </c>
    </row>
    <row r="1609" spans="1:11" x14ac:dyDescent="0.25">
      <c r="A1609">
        <v>6.89862657299338</v>
      </c>
      <c r="B1609">
        <v>67.756075568497096</v>
      </c>
      <c r="C1609">
        <v>2000</v>
      </c>
    </row>
    <row r="1610" spans="1:11" x14ac:dyDescent="0.25">
      <c r="A1610">
        <v>0</v>
      </c>
      <c r="B1610">
        <v>60.857448995503702</v>
      </c>
      <c r="C1610">
        <v>2000</v>
      </c>
    </row>
    <row r="1611" spans="1:11" x14ac:dyDescent="0.25">
      <c r="A1611">
        <v>0</v>
      </c>
      <c r="B1611">
        <v>59.983416946606098</v>
      </c>
      <c r="C1611">
        <v>2001</v>
      </c>
    </row>
    <row r="1612" spans="1:11" x14ac:dyDescent="0.25">
      <c r="A1612">
        <v>6.98467444382689</v>
      </c>
      <c r="B1612">
        <v>66.968091390433003</v>
      </c>
      <c r="C1612">
        <v>2001</v>
      </c>
    </row>
    <row r="1613" spans="1:11" x14ac:dyDescent="0.25">
      <c r="A1613">
        <v>35.473447837151497</v>
      </c>
      <c r="B1613">
        <v>95.456864783757595</v>
      </c>
      <c r="C1613">
        <v>2001</v>
      </c>
    </row>
    <row r="1614" spans="1:11" x14ac:dyDescent="0.25">
      <c r="A1614">
        <v>35.036431812702702</v>
      </c>
      <c r="B1614">
        <v>95.893880808206404</v>
      </c>
      <c r="C1614">
        <v>2000</v>
      </c>
    </row>
    <row r="1615" spans="1:11" x14ac:dyDescent="0.25">
      <c r="A1615" t="s">
        <v>87</v>
      </c>
    </row>
    <row r="1616" spans="1:11" x14ac:dyDescent="0.25">
      <c r="A1616">
        <v>351</v>
      </c>
      <c r="B1616">
        <v>0</v>
      </c>
      <c r="C1616">
        <v>28.050883658534602</v>
      </c>
      <c r="D1616">
        <v>21.196503237481899</v>
      </c>
      <c r="E1616">
        <v>6</v>
      </c>
      <c r="F1616">
        <v>1.01722196789785</v>
      </c>
      <c r="G1616" t="s">
        <v>88</v>
      </c>
      <c r="H1616" t="s">
        <v>85</v>
      </c>
      <c r="I1616">
        <v>874</v>
      </c>
      <c r="J1616">
        <v>0</v>
      </c>
      <c r="K1616">
        <v>0</v>
      </c>
    </row>
    <row r="1617" spans="1:11" x14ac:dyDescent="0.25">
      <c r="A1617" t="s">
        <v>86</v>
      </c>
    </row>
    <row r="1618" spans="1:11" x14ac:dyDescent="0.25">
      <c r="A1618">
        <v>71.535057802015899</v>
      </c>
      <c r="B1618">
        <v>134.91776107622599</v>
      </c>
      <c r="C1618">
        <v>2000</v>
      </c>
    </row>
    <row r="1619" spans="1:11" x14ac:dyDescent="0.25">
      <c r="A1619">
        <v>51.5756274836749</v>
      </c>
      <c r="B1619">
        <v>114.95833075788499</v>
      </c>
      <c r="C1619">
        <v>2000</v>
      </c>
    </row>
    <row r="1620" spans="1:11" x14ac:dyDescent="0.25">
      <c r="A1620">
        <v>51.138611459226098</v>
      </c>
      <c r="B1620">
        <v>115.395346782334</v>
      </c>
      <c r="C1620">
        <v>2001</v>
      </c>
    </row>
    <row r="1621" spans="1:11" x14ac:dyDescent="0.25">
      <c r="A1621">
        <v>70.849121247334494</v>
      </c>
      <c r="B1621">
        <v>135.105856570442</v>
      </c>
      <c r="C1621">
        <v>2001</v>
      </c>
    </row>
    <row r="1622" spans="1:11" x14ac:dyDescent="0.25">
      <c r="A1622">
        <v>85.743264676892395</v>
      </c>
      <c r="B1622">
        <v>150</v>
      </c>
      <c r="C1622">
        <v>2001</v>
      </c>
    </row>
    <row r="1623" spans="1:11" x14ac:dyDescent="0.25">
      <c r="A1623">
        <v>86.617296725790098</v>
      </c>
      <c r="B1623">
        <v>150</v>
      </c>
      <c r="C1623">
        <v>2000</v>
      </c>
    </row>
    <row r="1624" spans="1:11" x14ac:dyDescent="0.25">
      <c r="A1624" t="s">
        <v>87</v>
      </c>
    </row>
    <row r="1625" spans="1:11" x14ac:dyDescent="0.25">
      <c r="A1625">
        <v>1001</v>
      </c>
      <c r="B1625">
        <v>0</v>
      </c>
      <c r="C1625">
        <v>43.072928194100001</v>
      </c>
      <c r="D1625">
        <v>6.1743842349975901</v>
      </c>
      <c r="E1625">
        <v>6</v>
      </c>
      <c r="F1625">
        <v>1.01722196789785</v>
      </c>
      <c r="G1625" t="s">
        <v>85</v>
      </c>
      <c r="H1625" t="s">
        <v>85</v>
      </c>
      <c r="I1625">
        <v>0</v>
      </c>
      <c r="J1625">
        <v>0</v>
      </c>
      <c r="K1625">
        <v>0.111764262772312</v>
      </c>
    </row>
    <row r="1626" spans="1:11" x14ac:dyDescent="0.25">
      <c r="A1626" t="s">
        <v>86</v>
      </c>
    </row>
    <row r="1627" spans="1:11" x14ac:dyDescent="0.25">
      <c r="A1627">
        <v>30.074934492871101</v>
      </c>
      <c r="B1627">
        <v>145.68884194349201</v>
      </c>
      <c r="C1627">
        <v>2000</v>
      </c>
    </row>
    <row r="1628" spans="1:11" x14ac:dyDescent="0.25">
      <c r="A1628">
        <v>0</v>
      </c>
      <c r="B1628">
        <v>115.613907450621</v>
      </c>
      <c r="C1628">
        <v>2000</v>
      </c>
    </row>
    <row r="1629" spans="1:11" x14ac:dyDescent="0.25">
      <c r="A1629">
        <v>0</v>
      </c>
      <c r="B1629">
        <v>114.73987540172401</v>
      </c>
      <c r="C1629">
        <v>2001</v>
      </c>
    </row>
    <row r="1630" spans="1:11" x14ac:dyDescent="0.25">
      <c r="A1630">
        <v>30.8393847303477</v>
      </c>
      <c r="B1630">
        <v>145.579260132071</v>
      </c>
      <c r="C1630">
        <v>2001</v>
      </c>
    </row>
    <row r="1631" spans="1:11" x14ac:dyDescent="0.25">
      <c r="A1631">
        <v>35.260124598276299</v>
      </c>
      <c r="B1631">
        <v>150</v>
      </c>
      <c r="C1631">
        <v>2001</v>
      </c>
    </row>
    <row r="1632" spans="1:11" x14ac:dyDescent="0.25">
      <c r="A1632">
        <v>34.386092549378702</v>
      </c>
      <c r="B1632">
        <v>150</v>
      </c>
      <c r="C1632">
        <v>2000</v>
      </c>
    </row>
    <row r="1633" spans="1:11" x14ac:dyDescent="0.25">
      <c r="A1633" t="s">
        <v>87</v>
      </c>
    </row>
    <row r="1634" spans="1:11" x14ac:dyDescent="0.25">
      <c r="A1634">
        <v>901</v>
      </c>
      <c r="B1634">
        <v>0</v>
      </c>
      <c r="C1634">
        <v>9.1437076899369192</v>
      </c>
      <c r="D1634">
        <v>39.688193583464397</v>
      </c>
      <c r="E1634">
        <v>8</v>
      </c>
      <c r="F1634">
        <v>1.01722196789785</v>
      </c>
      <c r="G1634" t="s">
        <v>88</v>
      </c>
      <c r="H1634" t="s">
        <v>85</v>
      </c>
      <c r="I1634">
        <v>978</v>
      </c>
      <c r="J1634">
        <v>0</v>
      </c>
      <c r="K1634">
        <v>0.10489943576939401</v>
      </c>
    </row>
    <row r="1635" spans="1:11" x14ac:dyDescent="0.25">
      <c r="A1635" t="s">
        <v>86</v>
      </c>
    </row>
    <row r="1636" spans="1:11" x14ac:dyDescent="0.25">
      <c r="A1636">
        <v>104.23459818493301</v>
      </c>
      <c r="B1636">
        <v>122.12461868387901</v>
      </c>
      <c r="C1636">
        <v>2000</v>
      </c>
    </row>
    <row r="1637" spans="1:11" x14ac:dyDescent="0.25">
      <c r="A1637">
        <v>99.781491987775595</v>
      </c>
      <c r="B1637">
        <v>117.671512486721</v>
      </c>
      <c r="C1637">
        <v>2000</v>
      </c>
    </row>
    <row r="1638" spans="1:11" x14ac:dyDescent="0.25">
      <c r="A1638">
        <v>97.799118984624599</v>
      </c>
      <c r="B1638">
        <v>115.68913948357</v>
      </c>
      <c r="C1638">
        <v>2000</v>
      </c>
    </row>
    <row r="1639" spans="1:11" x14ac:dyDescent="0.25">
      <c r="A1639">
        <v>98.236135009073394</v>
      </c>
      <c r="B1639">
        <v>115.252123459122</v>
      </c>
      <c r="C1639">
        <v>2001</v>
      </c>
    </row>
    <row r="1640" spans="1:11" x14ac:dyDescent="0.25">
      <c r="A1640">
        <v>100.21850801222401</v>
      </c>
      <c r="B1640">
        <v>117.234496462273</v>
      </c>
      <c r="C1640">
        <v>2001</v>
      </c>
    </row>
    <row r="1641" spans="1:11" x14ac:dyDescent="0.25">
      <c r="A1641">
        <v>104.73181123424899</v>
      </c>
      <c r="B1641">
        <v>121.74779968429699</v>
      </c>
      <c r="C1641">
        <v>2001</v>
      </c>
    </row>
    <row r="1642" spans="1:11" x14ac:dyDescent="0.25">
      <c r="A1642">
        <v>132.98401154995199</v>
      </c>
      <c r="B1642">
        <v>150</v>
      </c>
      <c r="C1642">
        <v>2001</v>
      </c>
    </row>
    <row r="1643" spans="1:11" x14ac:dyDescent="0.25">
      <c r="A1643">
        <v>132.109979501054</v>
      </c>
      <c r="B1643">
        <v>150</v>
      </c>
      <c r="C1643">
        <v>2000</v>
      </c>
    </row>
    <row r="1644" spans="1:11" x14ac:dyDescent="0.25">
      <c r="A1644" t="s">
        <v>87</v>
      </c>
    </row>
    <row r="1645" spans="1:11" x14ac:dyDescent="0.25">
      <c r="A1645">
        <v>776</v>
      </c>
      <c r="B1645">
        <v>0</v>
      </c>
      <c r="C1645">
        <v>31.862933656357299</v>
      </c>
      <c r="D1645">
        <v>16.558741799289901</v>
      </c>
      <c r="E1645">
        <v>8</v>
      </c>
      <c r="F1645">
        <v>1.01722196789785</v>
      </c>
      <c r="G1645" t="s">
        <v>88</v>
      </c>
      <c r="H1645" t="s">
        <v>85</v>
      </c>
      <c r="I1645">
        <v>412</v>
      </c>
      <c r="J1645">
        <v>0</v>
      </c>
      <c r="K1645">
        <v>0.101659477666818</v>
      </c>
    </row>
    <row r="1646" spans="1:11" x14ac:dyDescent="0.25">
      <c r="A1646" t="s">
        <v>86</v>
      </c>
    </row>
    <row r="1647" spans="1:11" x14ac:dyDescent="0.25">
      <c r="A1647">
        <v>138.20236001232399</v>
      </c>
      <c r="B1647">
        <v>67.437516030245703</v>
      </c>
      <c r="C1647">
        <v>2000</v>
      </c>
    </row>
    <row r="1648" spans="1:11" x14ac:dyDescent="0.25">
      <c r="A1648">
        <v>120.98335199430301</v>
      </c>
      <c r="B1648">
        <v>50.218508012224397</v>
      </c>
      <c r="C1648">
        <v>2000</v>
      </c>
    </row>
    <row r="1649" spans="1:11" x14ac:dyDescent="0.25">
      <c r="A1649">
        <v>115.54219691667301</v>
      </c>
      <c r="B1649">
        <v>44.7773529345951</v>
      </c>
      <c r="C1649">
        <v>2000</v>
      </c>
    </row>
    <row r="1650" spans="1:11" x14ac:dyDescent="0.25">
      <c r="A1650">
        <v>115.979212941122</v>
      </c>
      <c r="B1650">
        <v>44.340336910146299</v>
      </c>
      <c r="C1650">
        <v>2001</v>
      </c>
    </row>
    <row r="1651" spans="1:11" x14ac:dyDescent="0.25">
      <c r="A1651">
        <v>121.42036801875101</v>
      </c>
      <c r="B1651">
        <v>49.781491987775603</v>
      </c>
      <c r="C1651">
        <v>2001</v>
      </c>
    </row>
    <row r="1652" spans="1:11" x14ac:dyDescent="0.25">
      <c r="A1652">
        <v>138.380042759286</v>
      </c>
      <c r="B1652">
        <v>66.741166728310404</v>
      </c>
      <c r="C1652">
        <v>2001</v>
      </c>
    </row>
    <row r="1653" spans="1:11" x14ac:dyDescent="0.25">
      <c r="A1653">
        <v>150</v>
      </c>
      <c r="B1653">
        <v>78.361123969024206</v>
      </c>
      <c r="C1653">
        <v>2001</v>
      </c>
    </row>
    <row r="1654" spans="1:11" x14ac:dyDescent="0.25">
      <c r="A1654">
        <v>150</v>
      </c>
      <c r="B1654">
        <v>79.235156017921895</v>
      </c>
      <c r="C1654">
        <v>2000</v>
      </c>
    </row>
    <row r="1655" spans="1:11" x14ac:dyDescent="0.25">
      <c r="A1655" t="s">
        <v>87</v>
      </c>
    </row>
    <row r="1656" spans="1:11" x14ac:dyDescent="0.25">
      <c r="A1656">
        <v>896</v>
      </c>
      <c r="B1656">
        <v>0</v>
      </c>
      <c r="C1656">
        <v>3.8769201108564499</v>
      </c>
      <c r="D1656">
        <v>44.432961326118303</v>
      </c>
      <c r="E1656">
        <v>6</v>
      </c>
      <c r="F1656">
        <v>1.01722196789785</v>
      </c>
      <c r="G1656" t="s">
        <v>88</v>
      </c>
      <c r="H1656" t="s">
        <v>85</v>
      </c>
      <c r="I1656">
        <v>970</v>
      </c>
      <c r="J1656">
        <v>0</v>
      </c>
      <c r="K1656">
        <v>0.10489943576939401</v>
      </c>
    </row>
    <row r="1657" spans="1:11" x14ac:dyDescent="0.25">
      <c r="A1657" t="s">
        <v>86</v>
      </c>
    </row>
    <row r="1658" spans="1:11" x14ac:dyDescent="0.25">
      <c r="A1658">
        <v>61.970458375960803</v>
      </c>
      <c r="B1658">
        <v>118.782124246579</v>
      </c>
      <c r="C1658">
        <v>2000</v>
      </c>
    </row>
    <row r="1659" spans="1:11" x14ac:dyDescent="0.25">
      <c r="A1659">
        <v>59.246597379203202</v>
      </c>
      <c r="B1659">
        <v>116.058263249821</v>
      </c>
      <c r="C1659">
        <v>2000</v>
      </c>
    </row>
    <row r="1660" spans="1:11" x14ac:dyDescent="0.25">
      <c r="A1660">
        <v>59.683613403651997</v>
      </c>
      <c r="B1660">
        <v>115.621247225373</v>
      </c>
      <c r="C1660">
        <v>2001</v>
      </c>
    </row>
    <row r="1661" spans="1:11" x14ac:dyDescent="0.25">
      <c r="A1661">
        <v>62.442545407904497</v>
      </c>
      <c r="B1661">
        <v>118.380179229625</v>
      </c>
      <c r="C1661">
        <v>2001</v>
      </c>
    </row>
    <row r="1662" spans="1:11" x14ac:dyDescent="0.25">
      <c r="A1662">
        <v>94.062366178279404</v>
      </c>
      <c r="B1662">
        <v>150</v>
      </c>
      <c r="C1662">
        <v>2001</v>
      </c>
    </row>
    <row r="1663" spans="1:11" x14ac:dyDescent="0.25">
      <c r="A1663">
        <v>93.188334129381701</v>
      </c>
      <c r="B1663">
        <v>150</v>
      </c>
      <c r="C1663">
        <v>2000</v>
      </c>
    </row>
    <row r="1664" spans="1:11" x14ac:dyDescent="0.25">
      <c r="A1664" t="s">
        <v>87</v>
      </c>
    </row>
    <row r="1665" spans="1:11" x14ac:dyDescent="0.25">
      <c r="A1665">
        <v>112</v>
      </c>
      <c r="B1665">
        <v>0</v>
      </c>
      <c r="C1665">
        <v>12.41477286676</v>
      </c>
      <c r="D1665">
        <v>35.890107903752202</v>
      </c>
      <c r="E1665">
        <v>8</v>
      </c>
      <c r="F1665">
        <v>1.01722196789785</v>
      </c>
      <c r="G1665" t="s">
        <v>88</v>
      </c>
      <c r="H1665" t="s">
        <v>88</v>
      </c>
      <c r="I1665">
        <v>1009</v>
      </c>
      <c r="J1665">
        <v>994</v>
      </c>
      <c r="K1665">
        <v>0</v>
      </c>
    </row>
    <row r="1666" spans="1:11" x14ac:dyDescent="0.25">
      <c r="A1666" t="s">
        <v>86</v>
      </c>
    </row>
    <row r="1667" spans="1:11" x14ac:dyDescent="0.25">
      <c r="A1667">
        <v>75.199443687773297</v>
      </c>
      <c r="B1667">
        <v>70.1092686909804</v>
      </c>
      <c r="C1667">
        <v>2000</v>
      </c>
    </row>
    <row r="1668" spans="1:11" x14ac:dyDescent="0.25">
      <c r="A1668">
        <v>66.420873606796505</v>
      </c>
      <c r="B1668">
        <v>61.330698610003701</v>
      </c>
      <c r="C1668">
        <v>2000</v>
      </c>
    </row>
    <row r="1669" spans="1:11" x14ac:dyDescent="0.25">
      <c r="A1669">
        <v>65.983857582347696</v>
      </c>
      <c r="B1669">
        <v>61.767714634452503</v>
      </c>
      <c r="C1669">
        <v>2001</v>
      </c>
    </row>
    <row r="1670" spans="1:11" x14ac:dyDescent="0.25">
      <c r="A1670">
        <v>74.762427663324402</v>
      </c>
      <c r="B1670">
        <v>70.546284715429294</v>
      </c>
      <c r="C1670">
        <v>2001</v>
      </c>
    </row>
    <row r="1671" spans="1:11" x14ac:dyDescent="0.25">
      <c r="A1671">
        <v>99.781491987775595</v>
      </c>
      <c r="B1671">
        <v>95.565349039880402</v>
      </c>
      <c r="C1671">
        <v>2001</v>
      </c>
    </row>
    <row r="1672" spans="1:11" x14ac:dyDescent="0.25">
      <c r="A1672">
        <v>100.14056633958501</v>
      </c>
      <c r="B1672">
        <v>95.924423391689302</v>
      </c>
      <c r="C1672">
        <v>2001</v>
      </c>
    </row>
    <row r="1673" spans="1:11" x14ac:dyDescent="0.25">
      <c r="A1673">
        <v>100.57758236403301</v>
      </c>
      <c r="B1673">
        <v>95.487407367240493</v>
      </c>
      <c r="C1673">
        <v>2000</v>
      </c>
    </row>
    <row r="1674" spans="1:11" x14ac:dyDescent="0.25">
      <c r="A1674">
        <v>100.21850801222401</v>
      </c>
      <c r="B1674">
        <v>95.128333015431593</v>
      </c>
      <c r="C1674">
        <v>2000</v>
      </c>
    </row>
    <row r="1675" spans="1:11" x14ac:dyDescent="0.25">
      <c r="A1675" t="s">
        <v>87</v>
      </c>
    </row>
    <row r="1676" spans="1:11" x14ac:dyDescent="0.25">
      <c r="A1676">
        <v>821</v>
      </c>
      <c r="B1676">
        <v>0</v>
      </c>
      <c r="C1676">
        <v>25.1988573384298</v>
      </c>
      <c r="D1676">
        <v>23.078386572557001</v>
      </c>
      <c r="E1676">
        <v>6</v>
      </c>
      <c r="F1676">
        <v>1.01722196789785</v>
      </c>
      <c r="G1676" t="s">
        <v>85</v>
      </c>
      <c r="H1676" t="s">
        <v>88</v>
      </c>
      <c r="I1676">
        <v>0</v>
      </c>
      <c r="J1676">
        <v>869</v>
      </c>
      <c r="K1676">
        <v>0.103086576425267</v>
      </c>
    </row>
    <row r="1677" spans="1:11" x14ac:dyDescent="0.25">
      <c r="A1677" t="s">
        <v>86</v>
      </c>
    </row>
    <row r="1678" spans="1:11" x14ac:dyDescent="0.25">
      <c r="A1678">
        <v>27.923659066399299</v>
      </c>
      <c r="B1678">
        <v>17.704230156363501</v>
      </c>
      <c r="C1678">
        <v>2000</v>
      </c>
    </row>
    <row r="1679" spans="1:11" x14ac:dyDescent="0.25">
      <c r="A1679">
        <v>10.219428910035701</v>
      </c>
      <c r="B1679">
        <v>0</v>
      </c>
      <c r="C1679">
        <v>2000</v>
      </c>
    </row>
    <row r="1680" spans="1:11" x14ac:dyDescent="0.25">
      <c r="A1680">
        <v>9.3453968611380898</v>
      </c>
      <c r="B1680">
        <v>0</v>
      </c>
      <c r="C1680">
        <v>2001</v>
      </c>
    </row>
    <row r="1681" spans="1:11" x14ac:dyDescent="0.25">
      <c r="A1681">
        <v>27.2777325090868</v>
      </c>
      <c r="B1681">
        <v>17.932335647948701</v>
      </c>
      <c r="C1681">
        <v>2001</v>
      </c>
    </row>
    <row r="1682" spans="1:11" x14ac:dyDescent="0.25">
      <c r="A1682">
        <v>43.701071419818298</v>
      </c>
      <c r="B1682">
        <v>34.355674558680199</v>
      </c>
      <c r="C1682">
        <v>2001</v>
      </c>
    </row>
    <row r="1683" spans="1:11" x14ac:dyDescent="0.25">
      <c r="A1683">
        <v>44.1380874442671</v>
      </c>
      <c r="B1683">
        <v>33.918658534231298</v>
      </c>
      <c r="C1683">
        <v>2000</v>
      </c>
    </row>
    <row r="1684" spans="1:11" x14ac:dyDescent="0.25">
      <c r="A1684" t="s">
        <v>87</v>
      </c>
    </row>
    <row r="1685" spans="1:11" x14ac:dyDescent="0.25">
      <c r="A1685">
        <v>809</v>
      </c>
      <c r="B1685">
        <v>0</v>
      </c>
      <c r="C1685">
        <v>11.0084141954642</v>
      </c>
      <c r="D1685">
        <v>37.003834844695703</v>
      </c>
      <c r="E1685">
        <v>8</v>
      </c>
      <c r="F1685">
        <v>1.01722196789785</v>
      </c>
      <c r="G1685" t="s">
        <v>85</v>
      </c>
      <c r="H1685" t="s">
        <v>88</v>
      </c>
      <c r="I1685">
        <v>0</v>
      </c>
      <c r="J1685">
        <v>349</v>
      </c>
      <c r="K1685">
        <v>0.10263209558717</v>
      </c>
    </row>
    <row r="1686" spans="1:11" x14ac:dyDescent="0.25">
      <c r="A1686" t="s">
        <v>86</v>
      </c>
    </row>
    <row r="1687" spans="1:11" x14ac:dyDescent="0.25">
      <c r="A1687">
        <v>7.9125431939340301</v>
      </c>
      <c r="B1687">
        <v>94.230638907013599</v>
      </c>
      <c r="C1687">
        <v>2000</v>
      </c>
    </row>
    <row r="1688" spans="1:11" x14ac:dyDescent="0.25">
      <c r="A1688">
        <v>0</v>
      </c>
      <c r="B1688">
        <v>86.3180957130796</v>
      </c>
      <c r="C1688">
        <v>2000</v>
      </c>
    </row>
    <row r="1689" spans="1:11" x14ac:dyDescent="0.25">
      <c r="A1689">
        <v>0</v>
      </c>
      <c r="B1689">
        <v>87.192127761977204</v>
      </c>
      <c r="C1689">
        <v>2001</v>
      </c>
    </row>
    <row r="1690" spans="1:11" x14ac:dyDescent="0.25">
      <c r="A1690">
        <v>7.6557054615119604</v>
      </c>
      <c r="B1690">
        <v>94.847833223489204</v>
      </c>
      <c r="C1690">
        <v>2001</v>
      </c>
    </row>
    <row r="1691" spans="1:11" x14ac:dyDescent="0.25">
      <c r="A1691">
        <v>13.0263802502472</v>
      </c>
      <c r="B1691">
        <v>100.21850801222401</v>
      </c>
      <c r="C1691">
        <v>2001</v>
      </c>
    </row>
    <row r="1692" spans="1:11" x14ac:dyDescent="0.25">
      <c r="A1692">
        <v>33.731278864090001</v>
      </c>
      <c r="B1692">
        <v>120.92340662606701</v>
      </c>
      <c r="C1692">
        <v>2001</v>
      </c>
    </row>
    <row r="1693" spans="1:11" x14ac:dyDescent="0.25">
      <c r="A1693">
        <v>34.168294888538803</v>
      </c>
      <c r="B1693">
        <v>120.486390601618</v>
      </c>
      <c r="C1693">
        <v>2000</v>
      </c>
    </row>
    <row r="1694" spans="1:11" x14ac:dyDescent="0.25">
      <c r="A1694">
        <v>13.463396274696001</v>
      </c>
      <c r="B1694">
        <v>99.781491987775595</v>
      </c>
      <c r="C1694">
        <v>2000</v>
      </c>
    </row>
    <row r="1695" spans="1:11" x14ac:dyDescent="0.25">
      <c r="A1695" t="s">
        <v>87</v>
      </c>
    </row>
    <row r="1696" spans="1:11" x14ac:dyDescent="0.25">
      <c r="A1696">
        <v>916</v>
      </c>
      <c r="B1696">
        <v>0</v>
      </c>
      <c r="C1696">
        <v>40.600681407977603</v>
      </c>
      <c r="D1696">
        <v>7.1969432538290201</v>
      </c>
      <c r="E1696">
        <v>10</v>
      </c>
      <c r="F1696">
        <v>1.01722196789785</v>
      </c>
      <c r="G1696" t="s">
        <v>88</v>
      </c>
      <c r="H1696" t="s">
        <v>88</v>
      </c>
      <c r="I1696">
        <v>908</v>
      </c>
      <c r="J1696">
        <v>95</v>
      </c>
      <c r="K1696">
        <v>0.105433648714889</v>
      </c>
    </row>
    <row r="1697" spans="1:11" x14ac:dyDescent="0.25">
      <c r="A1697" t="s">
        <v>86</v>
      </c>
    </row>
    <row r="1698" spans="1:11" x14ac:dyDescent="0.25">
      <c r="A1698">
        <v>52.073841387910498</v>
      </c>
      <c r="B1698">
        <v>56.082675274961197</v>
      </c>
      <c r="C1698">
        <v>2000</v>
      </c>
    </row>
    <row r="1699" spans="1:11" x14ac:dyDescent="0.25">
      <c r="A1699">
        <v>49.781491987775603</v>
      </c>
      <c r="B1699">
        <v>53.790325874826301</v>
      </c>
      <c r="C1699">
        <v>2000</v>
      </c>
    </row>
    <row r="1700" spans="1:11" x14ac:dyDescent="0.25">
      <c r="A1700">
        <v>46.209674125173699</v>
      </c>
      <c r="B1700">
        <v>50.218508012224397</v>
      </c>
      <c r="C1700">
        <v>2000</v>
      </c>
    </row>
    <row r="1701" spans="1:11" x14ac:dyDescent="0.25">
      <c r="A1701">
        <v>23.364824243535001</v>
      </c>
      <c r="B1701">
        <v>27.373658130585699</v>
      </c>
      <c r="C1701">
        <v>2000</v>
      </c>
    </row>
    <row r="1702" spans="1:11" x14ac:dyDescent="0.25">
      <c r="A1702">
        <v>23.801840267983799</v>
      </c>
      <c r="B1702">
        <v>26.936642106136901</v>
      </c>
      <c r="C1702">
        <v>2001</v>
      </c>
    </row>
    <row r="1703" spans="1:11" x14ac:dyDescent="0.25">
      <c r="A1703">
        <v>46.646690149622501</v>
      </c>
      <c r="B1703">
        <v>49.781491987775603</v>
      </c>
      <c r="C1703">
        <v>2001</v>
      </c>
    </row>
    <row r="1704" spans="1:11" x14ac:dyDescent="0.25">
      <c r="A1704">
        <v>50.218508012224397</v>
      </c>
      <c r="B1704">
        <v>53.353309850377499</v>
      </c>
      <c r="C1704">
        <v>2001</v>
      </c>
    </row>
    <row r="1705" spans="1:11" x14ac:dyDescent="0.25">
      <c r="A1705">
        <v>52.5108574123593</v>
      </c>
      <c r="B1705">
        <v>55.645659250512402</v>
      </c>
      <c r="C1705">
        <v>2001</v>
      </c>
    </row>
    <row r="1706" spans="1:11" x14ac:dyDescent="0.25">
      <c r="A1706">
        <v>57.599864790956602</v>
      </c>
      <c r="B1706">
        <v>60.734666629109697</v>
      </c>
      <c r="C1706">
        <v>2001</v>
      </c>
    </row>
    <row r="1707" spans="1:11" x14ac:dyDescent="0.25">
      <c r="A1707">
        <v>57.1628487665078</v>
      </c>
      <c r="B1707">
        <v>61.171682653558499</v>
      </c>
      <c r="C1707">
        <v>2000</v>
      </c>
    </row>
    <row r="1708" spans="1:11" x14ac:dyDescent="0.25">
      <c r="A1708" t="s">
        <v>87</v>
      </c>
    </row>
    <row r="1709" spans="1:11" x14ac:dyDescent="0.25">
      <c r="A1709">
        <v>507</v>
      </c>
      <c r="B1709">
        <v>0</v>
      </c>
      <c r="C1709">
        <v>23.652252554458201</v>
      </c>
      <c r="D1709">
        <v>24.116446955838601</v>
      </c>
      <c r="E1709">
        <v>6</v>
      </c>
      <c r="F1709">
        <v>1.01722196789785</v>
      </c>
      <c r="G1709" t="s">
        <v>85</v>
      </c>
      <c r="H1709" t="s">
        <v>88</v>
      </c>
      <c r="I1709">
        <v>0</v>
      </c>
      <c r="J1709">
        <v>935</v>
      </c>
      <c r="K1709">
        <v>0</v>
      </c>
    </row>
    <row r="1710" spans="1:11" x14ac:dyDescent="0.25">
      <c r="A1710" t="s">
        <v>86</v>
      </c>
    </row>
    <row r="1711" spans="1:11" x14ac:dyDescent="0.25">
      <c r="A1711">
        <v>16.832860497181599</v>
      </c>
      <c r="B1711">
        <v>78.664809867094206</v>
      </c>
      <c r="C1711">
        <v>2000</v>
      </c>
    </row>
    <row r="1712" spans="1:11" x14ac:dyDescent="0.25">
      <c r="A1712">
        <v>0</v>
      </c>
      <c r="B1712">
        <v>61.8319493699126</v>
      </c>
      <c r="C1712">
        <v>2000</v>
      </c>
    </row>
    <row r="1713" spans="1:11" x14ac:dyDescent="0.25">
      <c r="A1713">
        <v>0</v>
      </c>
      <c r="B1713">
        <v>62.705981418810197</v>
      </c>
      <c r="C1713">
        <v>2001</v>
      </c>
    </row>
    <row r="1714" spans="1:11" x14ac:dyDescent="0.25">
      <c r="A1714">
        <v>16.6164758460068</v>
      </c>
      <c r="B1714">
        <v>79.322457264817004</v>
      </c>
      <c r="C1714">
        <v>2001</v>
      </c>
    </row>
    <row r="1715" spans="1:11" x14ac:dyDescent="0.25">
      <c r="A1715">
        <v>33.559063339969001</v>
      </c>
      <c r="B1715">
        <v>96.265044758779197</v>
      </c>
      <c r="C1715">
        <v>2001</v>
      </c>
    </row>
    <row r="1716" spans="1:11" x14ac:dyDescent="0.25">
      <c r="A1716">
        <v>33.996079364417803</v>
      </c>
      <c r="B1716">
        <v>95.828028734330402</v>
      </c>
      <c r="C1716">
        <v>2000</v>
      </c>
    </row>
    <row r="1717" spans="1:11" x14ac:dyDescent="0.25">
      <c r="A1717" t="s">
        <v>87</v>
      </c>
    </row>
    <row r="1718" spans="1:11" x14ac:dyDescent="0.25">
      <c r="A1718">
        <v>875</v>
      </c>
      <c r="B1718">
        <v>0</v>
      </c>
      <c r="C1718">
        <v>23.719042779909199</v>
      </c>
      <c r="D1718">
        <v>23.830210012998101</v>
      </c>
      <c r="E1718">
        <v>10</v>
      </c>
      <c r="F1718">
        <v>1.01722196789785</v>
      </c>
      <c r="G1718" t="s">
        <v>88</v>
      </c>
      <c r="H1718" t="s">
        <v>88</v>
      </c>
      <c r="I1718">
        <v>865</v>
      </c>
      <c r="J1718">
        <v>107</v>
      </c>
      <c r="K1718">
        <v>0.104333136997122</v>
      </c>
    </row>
    <row r="1719" spans="1:11" x14ac:dyDescent="0.25">
      <c r="A1719" t="s">
        <v>86</v>
      </c>
    </row>
    <row r="1720" spans="1:11" x14ac:dyDescent="0.25">
      <c r="A1720">
        <v>58.008653891747002</v>
      </c>
      <c r="B1720">
        <v>51.277491373134701</v>
      </c>
      <c r="C1720">
        <v>2000</v>
      </c>
    </row>
    <row r="1721" spans="1:11" x14ac:dyDescent="0.25">
      <c r="A1721">
        <v>56.949670530836698</v>
      </c>
      <c r="B1721">
        <v>50.218508012224397</v>
      </c>
      <c r="C1721">
        <v>2000</v>
      </c>
    </row>
    <row r="1722" spans="1:11" x14ac:dyDescent="0.25">
      <c r="A1722">
        <v>49.781491987775603</v>
      </c>
      <c r="B1722">
        <v>43.050329469163302</v>
      </c>
      <c r="C1722">
        <v>2000</v>
      </c>
    </row>
    <row r="1723" spans="1:11" x14ac:dyDescent="0.25">
      <c r="A1723">
        <v>41.236757898819398</v>
      </c>
      <c r="B1723">
        <v>34.505595380207097</v>
      </c>
      <c r="C1723">
        <v>2000</v>
      </c>
    </row>
    <row r="1724" spans="1:11" x14ac:dyDescent="0.25">
      <c r="A1724">
        <v>41.6737739232682</v>
      </c>
      <c r="B1724">
        <v>34.068579355758303</v>
      </c>
      <c r="C1724">
        <v>2001</v>
      </c>
    </row>
    <row r="1725" spans="1:11" x14ac:dyDescent="0.25">
      <c r="A1725">
        <v>50.218508012224397</v>
      </c>
      <c r="B1725">
        <v>42.6133134447145</v>
      </c>
      <c r="C1725">
        <v>2001</v>
      </c>
    </row>
    <row r="1726" spans="1:11" x14ac:dyDescent="0.25">
      <c r="A1726">
        <v>57.3866865552855</v>
      </c>
      <c r="B1726">
        <v>49.781491987775603</v>
      </c>
      <c r="C1726">
        <v>2001</v>
      </c>
    </row>
    <row r="1727" spans="1:11" x14ac:dyDescent="0.25">
      <c r="A1727">
        <v>58.445669916195797</v>
      </c>
      <c r="B1727">
        <v>50.840475348685899</v>
      </c>
      <c r="C1727">
        <v>2001</v>
      </c>
    </row>
    <row r="1728" spans="1:11" x14ac:dyDescent="0.25">
      <c r="A1728">
        <v>75.296173013486396</v>
      </c>
      <c r="B1728">
        <v>67.690978445976398</v>
      </c>
      <c r="C1728">
        <v>2001</v>
      </c>
    </row>
    <row r="1729" spans="1:11" x14ac:dyDescent="0.25">
      <c r="A1729">
        <v>74.859156989037501</v>
      </c>
      <c r="B1729">
        <v>68.127994470425307</v>
      </c>
      <c r="C1729">
        <v>2000</v>
      </c>
    </row>
    <row r="1730" spans="1:11" x14ac:dyDescent="0.25">
      <c r="A1730" t="s">
        <v>87</v>
      </c>
    </row>
    <row r="1731" spans="1:11" x14ac:dyDescent="0.25">
      <c r="A1731">
        <v>512</v>
      </c>
      <c r="B1731">
        <v>0</v>
      </c>
      <c r="C1731">
        <v>9.9634170670465902</v>
      </c>
      <c r="D1731">
        <v>37.516996722244699</v>
      </c>
      <c r="E1731">
        <v>6</v>
      </c>
      <c r="F1731">
        <v>1.01722196789785</v>
      </c>
      <c r="G1731" t="s">
        <v>85</v>
      </c>
      <c r="H1731" t="s">
        <v>88</v>
      </c>
      <c r="I1731">
        <v>0</v>
      </c>
      <c r="J1731">
        <v>357</v>
      </c>
      <c r="K1731">
        <v>0</v>
      </c>
    </row>
    <row r="1732" spans="1:11" x14ac:dyDescent="0.25">
      <c r="A1732" t="s">
        <v>86</v>
      </c>
    </row>
    <row r="1733" spans="1:11" x14ac:dyDescent="0.25">
      <c r="A1733">
        <v>7.0910520778186097</v>
      </c>
      <c r="B1733">
        <v>65.858670127121101</v>
      </c>
      <c r="C1733">
        <v>2000</v>
      </c>
    </row>
    <row r="1734" spans="1:11" x14ac:dyDescent="0.25">
      <c r="A1734">
        <v>0</v>
      </c>
      <c r="B1734">
        <v>58.767618049302499</v>
      </c>
      <c r="C1734">
        <v>2000</v>
      </c>
    </row>
    <row r="1735" spans="1:11" x14ac:dyDescent="0.25">
      <c r="A1735">
        <v>0</v>
      </c>
      <c r="B1735">
        <v>59.641650098200202</v>
      </c>
      <c r="C1735">
        <v>2001</v>
      </c>
    </row>
    <row r="1736" spans="1:11" x14ac:dyDescent="0.25">
      <c r="A1736">
        <v>6.99934746597825</v>
      </c>
      <c r="B1736">
        <v>66.640997564178406</v>
      </c>
      <c r="C1736">
        <v>2001</v>
      </c>
    </row>
    <row r="1737" spans="1:11" x14ac:dyDescent="0.25">
      <c r="A1737">
        <v>33.355214551726803</v>
      </c>
      <c r="B1737">
        <v>92.996864649926906</v>
      </c>
      <c r="C1737">
        <v>2001</v>
      </c>
    </row>
    <row r="1738" spans="1:11" x14ac:dyDescent="0.25">
      <c r="A1738">
        <v>33.792230576175598</v>
      </c>
      <c r="B1738">
        <v>92.559848625478097</v>
      </c>
      <c r="C1738">
        <v>2000</v>
      </c>
    </row>
    <row r="1739" spans="1:11" x14ac:dyDescent="0.25">
      <c r="A1739" t="s">
        <v>87</v>
      </c>
    </row>
    <row r="1740" spans="1:11" x14ac:dyDescent="0.25">
      <c r="A1740">
        <v>795</v>
      </c>
      <c r="B1740">
        <v>0</v>
      </c>
      <c r="C1740">
        <v>31.5373195861536</v>
      </c>
      <c r="D1740">
        <v>15.7456895290748</v>
      </c>
      <c r="E1740">
        <v>10</v>
      </c>
      <c r="F1740">
        <v>1.01722196789785</v>
      </c>
      <c r="G1740" t="s">
        <v>88</v>
      </c>
      <c r="H1740" t="s">
        <v>88</v>
      </c>
      <c r="I1740">
        <v>518</v>
      </c>
      <c r="J1740">
        <v>659</v>
      </c>
      <c r="K1740">
        <v>0.102396880332516</v>
      </c>
    </row>
    <row r="1741" spans="1:11" x14ac:dyDescent="0.25">
      <c r="A1741" t="s">
        <v>86</v>
      </c>
    </row>
    <row r="1742" spans="1:11" x14ac:dyDescent="0.25">
      <c r="A1742">
        <v>93.661400921015002</v>
      </c>
      <c r="B1742">
        <v>102.386985728236</v>
      </c>
      <c r="C1742">
        <v>2000</v>
      </c>
    </row>
    <row r="1743" spans="1:11" x14ac:dyDescent="0.25">
      <c r="A1743">
        <v>91.055907180554399</v>
      </c>
      <c r="B1743">
        <v>99.781491987775595</v>
      </c>
      <c r="C1743">
        <v>2000</v>
      </c>
    </row>
    <row r="1744" spans="1:11" x14ac:dyDescent="0.25">
      <c r="A1744">
        <v>71.361148381198404</v>
      </c>
      <c r="B1744">
        <v>80.0867331884197</v>
      </c>
      <c r="C1744">
        <v>2000</v>
      </c>
    </row>
    <row r="1745" spans="1:11" x14ac:dyDescent="0.25">
      <c r="A1745">
        <v>70.924132356749595</v>
      </c>
      <c r="B1745">
        <v>80.523749212868495</v>
      </c>
      <c r="C1745">
        <v>2001</v>
      </c>
    </row>
    <row r="1746" spans="1:11" x14ac:dyDescent="0.25">
      <c r="A1746">
        <v>90.618891156105605</v>
      </c>
      <c r="B1746">
        <v>100.21850801222401</v>
      </c>
      <c r="C1746">
        <v>2001</v>
      </c>
    </row>
    <row r="1747" spans="1:11" x14ac:dyDescent="0.25">
      <c r="A1747">
        <v>93.224384896566207</v>
      </c>
      <c r="B1747">
        <v>102.82400175268501</v>
      </c>
      <c r="C1747">
        <v>2001</v>
      </c>
    </row>
    <row r="1748" spans="1:11" x14ac:dyDescent="0.25">
      <c r="A1748">
        <v>99.781491987775595</v>
      </c>
      <c r="B1748">
        <v>109.381108843894</v>
      </c>
      <c r="C1748">
        <v>2001</v>
      </c>
    </row>
    <row r="1749" spans="1:11" x14ac:dyDescent="0.25">
      <c r="A1749">
        <v>104.358268737033</v>
      </c>
      <c r="B1749">
        <v>113.957885593152</v>
      </c>
      <c r="C1749">
        <v>2001</v>
      </c>
    </row>
    <row r="1750" spans="1:11" x14ac:dyDescent="0.25">
      <c r="A1750">
        <v>104.79528476148199</v>
      </c>
      <c r="B1750">
        <v>113.52086956870301</v>
      </c>
      <c r="C1750">
        <v>2000</v>
      </c>
    </row>
    <row r="1751" spans="1:11" x14ac:dyDescent="0.25">
      <c r="A1751">
        <v>100.21850801222401</v>
      </c>
      <c r="B1751">
        <v>108.944092819446</v>
      </c>
      <c r="C1751">
        <v>2000</v>
      </c>
    </row>
    <row r="1752" spans="1:11" x14ac:dyDescent="0.25">
      <c r="A1752" t="s">
        <v>87</v>
      </c>
    </row>
    <row r="1753" spans="1:11" x14ac:dyDescent="0.25">
      <c r="A1753">
        <v>1014</v>
      </c>
      <c r="B1753">
        <v>0</v>
      </c>
      <c r="C1753">
        <v>22.638354992881201</v>
      </c>
      <c r="D1753">
        <v>24.584944202464602</v>
      </c>
      <c r="E1753">
        <v>6</v>
      </c>
      <c r="F1753">
        <v>1.01722196789785</v>
      </c>
      <c r="G1753" t="s">
        <v>85</v>
      </c>
      <c r="H1753" t="s">
        <v>85</v>
      </c>
      <c r="I1753">
        <v>0</v>
      </c>
      <c r="J1753">
        <v>0</v>
      </c>
      <c r="K1753">
        <v>0.11291581848957701</v>
      </c>
    </row>
    <row r="1754" spans="1:11" x14ac:dyDescent="0.25">
      <c r="A1754" t="s">
        <v>86</v>
      </c>
    </row>
    <row r="1755" spans="1:11" x14ac:dyDescent="0.25">
      <c r="A1755">
        <v>132.388304119483</v>
      </c>
      <c r="B1755">
        <v>16.217235234962502</v>
      </c>
      <c r="C1755">
        <v>2000</v>
      </c>
    </row>
    <row r="1756" spans="1:11" x14ac:dyDescent="0.25">
      <c r="A1756">
        <v>116.17106888452101</v>
      </c>
      <c r="B1756">
        <v>0</v>
      </c>
      <c r="C1756">
        <v>2000</v>
      </c>
    </row>
    <row r="1757" spans="1:11" x14ac:dyDescent="0.25">
      <c r="A1757">
        <v>117.04510093341899</v>
      </c>
      <c r="B1757">
        <v>0</v>
      </c>
      <c r="C1757">
        <v>2001</v>
      </c>
    </row>
    <row r="1758" spans="1:11" x14ac:dyDescent="0.25">
      <c r="A1758">
        <v>132.84333435920499</v>
      </c>
      <c r="B1758">
        <v>15.7982334257867</v>
      </c>
      <c r="C1758">
        <v>2001</v>
      </c>
    </row>
    <row r="1759" spans="1:11" x14ac:dyDescent="0.25">
      <c r="A1759">
        <v>150</v>
      </c>
      <c r="B1759">
        <v>32.954899066581397</v>
      </c>
      <c r="C1759">
        <v>2001</v>
      </c>
    </row>
    <row r="1760" spans="1:11" x14ac:dyDescent="0.25">
      <c r="A1760">
        <v>150</v>
      </c>
      <c r="B1760">
        <v>33.828931115479101</v>
      </c>
      <c r="C1760">
        <v>2000</v>
      </c>
    </row>
    <row r="1761" spans="1:11" x14ac:dyDescent="0.25">
      <c r="A1761" t="s">
        <v>87</v>
      </c>
    </row>
    <row r="1762" spans="1:11" x14ac:dyDescent="0.25">
      <c r="A1762">
        <v>832</v>
      </c>
      <c r="B1762">
        <v>0</v>
      </c>
      <c r="C1762">
        <v>9.53154580217549</v>
      </c>
      <c r="D1762">
        <v>37.634646232410198</v>
      </c>
      <c r="E1762">
        <v>10</v>
      </c>
      <c r="F1762">
        <v>1.01722196789785</v>
      </c>
      <c r="G1762" t="s">
        <v>88</v>
      </c>
      <c r="H1762" t="s">
        <v>88</v>
      </c>
      <c r="I1762">
        <v>787</v>
      </c>
      <c r="J1762">
        <v>815</v>
      </c>
      <c r="K1762">
        <v>0.103306082875794</v>
      </c>
    </row>
    <row r="1763" spans="1:11" x14ac:dyDescent="0.25">
      <c r="A1763" t="s">
        <v>86</v>
      </c>
    </row>
    <row r="1764" spans="1:11" x14ac:dyDescent="0.25">
      <c r="A1764">
        <v>85.100296706934799</v>
      </c>
      <c r="B1764">
        <v>54.450415527196597</v>
      </c>
      <c r="C1764">
        <v>2000</v>
      </c>
    </row>
    <row r="1765" spans="1:11" x14ac:dyDescent="0.25">
      <c r="A1765">
        <v>80.431373167513797</v>
      </c>
      <c r="B1765">
        <v>49.781491987775603</v>
      </c>
      <c r="C1765">
        <v>2000</v>
      </c>
    </row>
    <row r="1766" spans="1:11" x14ac:dyDescent="0.25">
      <c r="A1766">
        <v>78.360476035026295</v>
      </c>
      <c r="B1766">
        <v>47.7105948552882</v>
      </c>
      <c r="C1766">
        <v>2000</v>
      </c>
    </row>
    <row r="1767" spans="1:11" x14ac:dyDescent="0.25">
      <c r="A1767">
        <v>77.9234600105775</v>
      </c>
      <c r="B1767">
        <v>48.147610879737002</v>
      </c>
      <c r="C1767">
        <v>2001</v>
      </c>
    </row>
    <row r="1768" spans="1:11" x14ac:dyDescent="0.25">
      <c r="A1768">
        <v>79.994357143064903</v>
      </c>
      <c r="B1768">
        <v>50.218508012224397</v>
      </c>
      <c r="C1768">
        <v>2001</v>
      </c>
    </row>
    <row r="1769" spans="1:11" x14ac:dyDescent="0.25">
      <c r="A1769">
        <v>84.663280682486004</v>
      </c>
      <c r="B1769">
        <v>54.887431551645399</v>
      </c>
      <c r="C1769">
        <v>2001</v>
      </c>
    </row>
    <row r="1770" spans="1:11" x14ac:dyDescent="0.25">
      <c r="A1770">
        <v>99.781491987775595</v>
      </c>
      <c r="B1770">
        <v>70.005642856935097</v>
      </c>
      <c r="C1770">
        <v>2001</v>
      </c>
    </row>
    <row r="1771" spans="1:11" x14ac:dyDescent="0.25">
      <c r="A1771">
        <v>111.27499424098001</v>
      </c>
      <c r="B1771">
        <v>81.499145110139494</v>
      </c>
      <c r="C1771">
        <v>2001</v>
      </c>
    </row>
    <row r="1772" spans="1:11" x14ac:dyDescent="0.25">
      <c r="A1772">
        <v>111.712010265429</v>
      </c>
      <c r="B1772">
        <v>81.0621290856906</v>
      </c>
      <c r="C1772">
        <v>2000</v>
      </c>
    </row>
    <row r="1773" spans="1:11" x14ac:dyDescent="0.25">
      <c r="A1773">
        <v>100.21850801222401</v>
      </c>
      <c r="B1773">
        <v>69.568626832486203</v>
      </c>
      <c r="C1773">
        <v>2000</v>
      </c>
    </row>
    <row r="1774" spans="1:11" x14ac:dyDescent="0.25">
      <c r="A1774" t="s">
        <v>87</v>
      </c>
    </row>
    <row r="1775" spans="1:11" x14ac:dyDescent="0.25">
      <c r="A1775">
        <v>190</v>
      </c>
      <c r="B1775">
        <v>0</v>
      </c>
      <c r="C1775">
        <v>18.737606569089099</v>
      </c>
      <c r="D1775">
        <v>27.896204796065401</v>
      </c>
      <c r="E1775">
        <v>8</v>
      </c>
      <c r="F1775">
        <v>1.01722196789785</v>
      </c>
      <c r="G1775" t="s">
        <v>88</v>
      </c>
      <c r="H1775" t="s">
        <v>88</v>
      </c>
      <c r="I1775">
        <v>925</v>
      </c>
      <c r="J1775">
        <v>848</v>
      </c>
      <c r="K1775">
        <v>0</v>
      </c>
    </row>
    <row r="1776" spans="1:11" x14ac:dyDescent="0.25">
      <c r="A1776" t="s">
        <v>86</v>
      </c>
    </row>
    <row r="1777" spans="1:11" x14ac:dyDescent="0.25">
      <c r="A1777">
        <v>107.22727486408201</v>
      </c>
      <c r="B1777">
        <v>67.871727554537998</v>
      </c>
      <c r="C1777">
        <v>2000</v>
      </c>
    </row>
    <row r="1778" spans="1:11" x14ac:dyDescent="0.25">
      <c r="A1778">
        <v>100.21850801222401</v>
      </c>
      <c r="B1778">
        <v>60.862960702680297</v>
      </c>
      <c r="C1778">
        <v>2000</v>
      </c>
    </row>
    <row r="1779" spans="1:11" x14ac:dyDescent="0.25">
      <c r="A1779">
        <v>93.977786195873506</v>
      </c>
      <c r="B1779">
        <v>54.622238886329498</v>
      </c>
      <c r="C1779">
        <v>2000</v>
      </c>
    </row>
    <row r="1780" spans="1:11" x14ac:dyDescent="0.25">
      <c r="A1780">
        <v>93.540770171424697</v>
      </c>
      <c r="B1780">
        <v>55.0592549107783</v>
      </c>
      <c r="C1780">
        <v>2001</v>
      </c>
    </row>
    <row r="1781" spans="1:11" x14ac:dyDescent="0.25">
      <c r="A1781">
        <v>99.781491987775595</v>
      </c>
      <c r="B1781">
        <v>61.299976727129099</v>
      </c>
      <c r="C1781">
        <v>2001</v>
      </c>
    </row>
    <row r="1782" spans="1:11" x14ac:dyDescent="0.25">
      <c r="A1782">
        <v>106.790258839633</v>
      </c>
      <c r="B1782">
        <v>68.308743578986807</v>
      </c>
      <c r="C1782">
        <v>2001</v>
      </c>
    </row>
    <row r="1783" spans="1:11" x14ac:dyDescent="0.25">
      <c r="A1783">
        <v>126.5158544203</v>
      </c>
      <c r="B1783">
        <v>88.0343391596533</v>
      </c>
      <c r="C1783">
        <v>2001</v>
      </c>
    </row>
    <row r="1784" spans="1:11" x14ac:dyDescent="0.25">
      <c r="A1784">
        <v>126.952870444749</v>
      </c>
      <c r="B1784">
        <v>87.597323135204505</v>
      </c>
      <c r="C1784">
        <v>2000</v>
      </c>
    </row>
    <row r="1785" spans="1:11" x14ac:dyDescent="0.25">
      <c r="A1785" t="s">
        <v>87</v>
      </c>
    </row>
    <row r="1786" spans="1:11" x14ac:dyDescent="0.25">
      <c r="A1786">
        <v>35</v>
      </c>
      <c r="B1786">
        <v>0</v>
      </c>
      <c r="C1786">
        <v>6.0861118095808102</v>
      </c>
      <c r="D1786">
        <v>39.565627783117897</v>
      </c>
      <c r="E1786">
        <v>6</v>
      </c>
      <c r="F1786">
        <v>1.01722196789785</v>
      </c>
      <c r="G1786" t="s">
        <v>85</v>
      </c>
      <c r="H1786" t="s">
        <v>88</v>
      </c>
      <c r="I1786">
        <v>0</v>
      </c>
      <c r="J1786">
        <v>857</v>
      </c>
      <c r="K1786">
        <v>0</v>
      </c>
    </row>
    <row r="1787" spans="1:11" x14ac:dyDescent="0.25">
      <c r="A1787" t="s">
        <v>86</v>
      </c>
    </row>
    <row r="1788" spans="1:11" x14ac:dyDescent="0.25">
      <c r="A1788">
        <v>19.0819509659609</v>
      </c>
      <c r="B1788">
        <v>4.2744002959460801</v>
      </c>
      <c r="C1788">
        <v>2000</v>
      </c>
    </row>
    <row r="1789" spans="1:11" x14ac:dyDescent="0.25">
      <c r="A1789">
        <v>14.8075506700149</v>
      </c>
      <c r="B1789">
        <v>0</v>
      </c>
      <c r="C1789">
        <v>2000</v>
      </c>
    </row>
    <row r="1790" spans="1:11" x14ac:dyDescent="0.25">
      <c r="A1790">
        <v>13.9335186211172</v>
      </c>
      <c r="B1790">
        <v>0</v>
      </c>
      <c r="C1790">
        <v>2001</v>
      </c>
    </row>
    <row r="1791" spans="1:11" x14ac:dyDescent="0.25">
      <c r="A1791">
        <v>18.266180188399399</v>
      </c>
      <c r="B1791">
        <v>4.3326615672821598</v>
      </c>
      <c r="C1791">
        <v>2001</v>
      </c>
    </row>
    <row r="1792" spans="1:11" x14ac:dyDescent="0.25">
      <c r="A1792">
        <v>46.432681272301302</v>
      </c>
      <c r="B1792">
        <v>32.499162651184101</v>
      </c>
      <c r="C1792">
        <v>2001</v>
      </c>
    </row>
    <row r="1793" spans="1:11" x14ac:dyDescent="0.25">
      <c r="A1793">
        <v>46.869697296750097</v>
      </c>
      <c r="B1793">
        <v>32.062146626735299</v>
      </c>
      <c r="C1793">
        <v>2000</v>
      </c>
    </row>
    <row r="1794" spans="1:11" x14ac:dyDescent="0.25">
      <c r="A1794" t="s">
        <v>87</v>
      </c>
    </row>
    <row r="1795" spans="1:11" x14ac:dyDescent="0.25">
      <c r="A1795">
        <v>888</v>
      </c>
      <c r="B1795">
        <v>0</v>
      </c>
      <c r="C1795">
        <v>42.345405692524501</v>
      </c>
      <c r="D1795">
        <v>3.14838585127923</v>
      </c>
      <c r="E1795">
        <v>6</v>
      </c>
      <c r="F1795">
        <v>1.01722196789785</v>
      </c>
      <c r="G1795" t="s">
        <v>85</v>
      </c>
      <c r="H1795" t="s">
        <v>85</v>
      </c>
      <c r="I1795">
        <v>0</v>
      </c>
      <c r="J1795">
        <v>0</v>
      </c>
      <c r="K1795">
        <v>0.104714434237089</v>
      </c>
    </row>
    <row r="1796" spans="1:11" x14ac:dyDescent="0.25">
      <c r="A1796" t="s">
        <v>86</v>
      </c>
    </row>
    <row r="1797" spans="1:11" x14ac:dyDescent="0.25">
      <c r="A1797">
        <v>147.74351143599699</v>
      </c>
      <c r="B1797">
        <v>30.3494959629571</v>
      </c>
      <c r="C1797">
        <v>2000</v>
      </c>
    </row>
    <row r="1798" spans="1:11" x14ac:dyDescent="0.25">
      <c r="A1798">
        <v>117.39401547304</v>
      </c>
      <c r="B1798">
        <v>0</v>
      </c>
      <c r="C1798">
        <v>2000</v>
      </c>
    </row>
    <row r="1799" spans="1:11" x14ac:dyDescent="0.25">
      <c r="A1799">
        <v>118.268047521938</v>
      </c>
      <c r="B1799">
        <v>0</v>
      </c>
      <c r="C1799">
        <v>2001</v>
      </c>
    </row>
    <row r="1800" spans="1:11" x14ac:dyDescent="0.25">
      <c r="A1800">
        <v>147.80399859354</v>
      </c>
      <c r="B1800">
        <v>29.5359510716019</v>
      </c>
      <c r="C1800">
        <v>2001</v>
      </c>
    </row>
    <row r="1801" spans="1:11" x14ac:dyDescent="0.25">
      <c r="A1801">
        <v>150</v>
      </c>
      <c r="B1801">
        <v>31.731952478061999</v>
      </c>
      <c r="C1801">
        <v>2001</v>
      </c>
    </row>
    <row r="1802" spans="1:11" x14ac:dyDescent="0.25">
      <c r="A1802">
        <v>150</v>
      </c>
      <c r="B1802">
        <v>32.605984526959602</v>
      </c>
      <c r="C1802">
        <v>2000</v>
      </c>
    </row>
    <row r="1803" spans="1:11" x14ac:dyDescent="0.25">
      <c r="A1803" t="s">
        <v>87</v>
      </c>
    </row>
    <row r="1804" spans="1:11" x14ac:dyDescent="0.25">
      <c r="A1804">
        <v>194</v>
      </c>
      <c r="B1804">
        <v>0</v>
      </c>
      <c r="C1804">
        <v>22.7259658444849</v>
      </c>
      <c r="D1804">
        <v>22.5588799447439</v>
      </c>
      <c r="E1804">
        <v>10</v>
      </c>
      <c r="F1804">
        <v>1.01722196789785</v>
      </c>
      <c r="G1804" t="s">
        <v>88</v>
      </c>
      <c r="H1804" t="s">
        <v>88</v>
      </c>
      <c r="I1804">
        <v>88</v>
      </c>
      <c r="J1804">
        <v>873</v>
      </c>
      <c r="K1804">
        <v>0</v>
      </c>
    </row>
    <row r="1805" spans="1:11" x14ac:dyDescent="0.25">
      <c r="A1805" t="s">
        <v>86</v>
      </c>
    </row>
    <row r="1806" spans="1:11" x14ac:dyDescent="0.25">
      <c r="A1806">
        <v>114.795013997613</v>
      </c>
      <c r="B1806">
        <v>91.021324519073403</v>
      </c>
      <c r="C1806">
        <v>2000</v>
      </c>
    </row>
    <row r="1807" spans="1:11" x14ac:dyDescent="0.25">
      <c r="A1807">
        <v>99.781491987775595</v>
      </c>
      <c r="B1807">
        <v>76.0078025092362</v>
      </c>
      <c r="C1807">
        <v>2000</v>
      </c>
    </row>
    <row r="1808" spans="1:11" x14ac:dyDescent="0.25">
      <c r="A1808">
        <v>98.725329439963701</v>
      </c>
      <c r="B1808">
        <v>74.951639961424306</v>
      </c>
      <c r="C1808">
        <v>2000</v>
      </c>
    </row>
    <row r="1809" spans="1:11" x14ac:dyDescent="0.25">
      <c r="A1809">
        <v>99.162345464412496</v>
      </c>
      <c r="B1809">
        <v>74.514623936975497</v>
      </c>
      <c r="C1809">
        <v>2001</v>
      </c>
    </row>
    <row r="1810" spans="1:11" x14ac:dyDescent="0.25">
      <c r="A1810">
        <v>100.21850801222401</v>
      </c>
      <c r="B1810">
        <v>75.570786484787405</v>
      </c>
      <c r="C1810">
        <v>2001</v>
      </c>
    </row>
    <row r="1811" spans="1:11" x14ac:dyDescent="0.25">
      <c r="A1811">
        <v>115.23203002206201</v>
      </c>
      <c r="B1811">
        <v>90.584308494624594</v>
      </c>
      <c r="C1811">
        <v>2001</v>
      </c>
    </row>
    <row r="1812" spans="1:11" x14ac:dyDescent="0.25">
      <c r="A1812">
        <v>124.42921351521299</v>
      </c>
      <c r="B1812">
        <v>99.781491987775595</v>
      </c>
      <c r="C1812">
        <v>2001</v>
      </c>
    </row>
    <row r="1813" spans="1:11" x14ac:dyDescent="0.25">
      <c r="A1813">
        <v>131.18356700696299</v>
      </c>
      <c r="B1813">
        <v>106.535845479526</v>
      </c>
      <c r="C1813">
        <v>2001</v>
      </c>
    </row>
    <row r="1814" spans="1:11" x14ac:dyDescent="0.25">
      <c r="A1814">
        <v>130.74655098251401</v>
      </c>
      <c r="B1814">
        <v>106.972861503975</v>
      </c>
      <c r="C1814">
        <v>2000</v>
      </c>
    </row>
    <row r="1815" spans="1:11" x14ac:dyDescent="0.25">
      <c r="A1815">
        <v>123.992197490764</v>
      </c>
      <c r="B1815">
        <v>100.21850801222401</v>
      </c>
      <c r="C1815">
        <v>2000</v>
      </c>
    </row>
    <row r="1816" spans="1:11" x14ac:dyDescent="0.25">
      <c r="A1816" t="s">
        <v>87</v>
      </c>
    </row>
    <row r="1817" spans="1:11" x14ac:dyDescent="0.25">
      <c r="A1817">
        <v>354</v>
      </c>
      <c r="B1817">
        <v>0</v>
      </c>
      <c r="C1817">
        <v>26.157626570306501</v>
      </c>
      <c r="D1817">
        <v>19.1212627931579</v>
      </c>
      <c r="E1817">
        <v>8</v>
      </c>
      <c r="F1817">
        <v>1.01722196789785</v>
      </c>
      <c r="G1817" t="s">
        <v>88</v>
      </c>
      <c r="H1817" t="s">
        <v>88</v>
      </c>
      <c r="I1817">
        <v>984</v>
      </c>
      <c r="J1817">
        <v>1003</v>
      </c>
      <c r="K1817">
        <v>0</v>
      </c>
    </row>
    <row r="1818" spans="1:11" x14ac:dyDescent="0.25">
      <c r="A1818" t="s">
        <v>86</v>
      </c>
    </row>
    <row r="1819" spans="1:11" x14ac:dyDescent="0.25">
      <c r="A1819">
        <v>68.740988236735902</v>
      </c>
      <c r="B1819">
        <v>107.94044320514899</v>
      </c>
      <c r="C1819">
        <v>2000</v>
      </c>
    </row>
    <row r="1820" spans="1:11" x14ac:dyDescent="0.25">
      <c r="A1820">
        <v>61.019053043810999</v>
      </c>
      <c r="B1820">
        <v>100.21850801222401</v>
      </c>
      <c r="C1820">
        <v>2000</v>
      </c>
    </row>
    <row r="1821" spans="1:11" x14ac:dyDescent="0.25">
      <c r="A1821">
        <v>50.244753109126698</v>
      </c>
      <c r="B1821">
        <v>89.444208077540196</v>
      </c>
      <c r="C1821">
        <v>2000</v>
      </c>
    </row>
    <row r="1822" spans="1:11" x14ac:dyDescent="0.25">
      <c r="A1822">
        <v>50.6817691335755</v>
      </c>
      <c r="B1822">
        <v>89.007192053091302</v>
      </c>
      <c r="C1822">
        <v>2001</v>
      </c>
    </row>
    <row r="1823" spans="1:11" x14ac:dyDescent="0.25">
      <c r="A1823">
        <v>61.456069068259801</v>
      </c>
      <c r="B1823">
        <v>99.781491987775595</v>
      </c>
      <c r="C1823">
        <v>2001</v>
      </c>
    </row>
    <row r="1824" spans="1:11" x14ac:dyDescent="0.25">
      <c r="A1824">
        <v>69.178004261184697</v>
      </c>
      <c r="B1824">
        <v>107.5034271807</v>
      </c>
      <c r="C1824">
        <v>2001</v>
      </c>
    </row>
    <row r="1825" spans="1:11" x14ac:dyDescent="0.25">
      <c r="A1825">
        <v>82.698778847076596</v>
      </c>
      <c r="B1825">
        <v>121.024201766592</v>
      </c>
      <c r="C1825">
        <v>2001</v>
      </c>
    </row>
    <row r="1826" spans="1:11" x14ac:dyDescent="0.25">
      <c r="A1826">
        <v>82.261762822627801</v>
      </c>
      <c r="B1826">
        <v>121.46121779104099</v>
      </c>
      <c r="C1826">
        <v>2000</v>
      </c>
    </row>
    <row r="1827" spans="1:11" x14ac:dyDescent="0.25">
      <c r="A1827" t="s">
        <v>87</v>
      </c>
    </row>
    <row r="1828" spans="1:11" x14ac:dyDescent="0.25">
      <c r="A1828">
        <v>581</v>
      </c>
      <c r="B1828">
        <v>0</v>
      </c>
      <c r="C1828">
        <v>8.6864721005124998</v>
      </c>
      <c r="D1828">
        <v>36.345245465804297</v>
      </c>
      <c r="E1828">
        <v>6</v>
      </c>
      <c r="F1828">
        <v>1.01722196789785</v>
      </c>
      <c r="G1828" t="s">
        <v>85</v>
      </c>
      <c r="H1828" t="s">
        <v>85</v>
      </c>
      <c r="I1828">
        <v>0</v>
      </c>
      <c r="J1828">
        <v>0</v>
      </c>
      <c r="K1828">
        <v>0</v>
      </c>
    </row>
    <row r="1829" spans="1:11" x14ac:dyDescent="0.25">
      <c r="A1829" t="s">
        <v>86</v>
      </c>
    </row>
    <row r="1830" spans="1:11" x14ac:dyDescent="0.25">
      <c r="A1830">
        <v>6.0579643547354198</v>
      </c>
      <c r="B1830">
        <v>124.652747519564</v>
      </c>
      <c r="C1830">
        <v>2000</v>
      </c>
    </row>
    <row r="1831" spans="1:11" x14ac:dyDescent="0.25">
      <c r="A1831">
        <v>0</v>
      </c>
      <c r="B1831">
        <v>118.594783164829</v>
      </c>
      <c r="C1831">
        <v>2000</v>
      </c>
    </row>
    <row r="1832" spans="1:11" x14ac:dyDescent="0.25">
      <c r="A1832">
        <v>0</v>
      </c>
      <c r="B1832">
        <v>117.72075111593099</v>
      </c>
      <c r="C1832">
        <v>2001</v>
      </c>
    </row>
    <row r="1833" spans="1:11" x14ac:dyDescent="0.25">
      <c r="A1833">
        <v>6.2265622989848799</v>
      </c>
      <c r="B1833">
        <v>123.947313414916</v>
      </c>
      <c r="C1833">
        <v>2001</v>
      </c>
    </row>
    <row r="1834" spans="1:11" x14ac:dyDescent="0.25">
      <c r="A1834">
        <v>32.279248884068799</v>
      </c>
      <c r="B1834">
        <v>150</v>
      </c>
      <c r="C1834">
        <v>2001</v>
      </c>
    </row>
    <row r="1835" spans="1:11" x14ac:dyDescent="0.25">
      <c r="A1835">
        <v>31.405216835171199</v>
      </c>
      <c r="B1835">
        <v>150</v>
      </c>
      <c r="C1835">
        <v>2000</v>
      </c>
    </row>
    <row r="1836" spans="1:11" x14ac:dyDescent="0.25">
      <c r="A1836" t="s">
        <v>87</v>
      </c>
    </row>
    <row r="1837" spans="1:11" x14ac:dyDescent="0.25">
      <c r="A1837">
        <v>1009</v>
      </c>
      <c r="B1837">
        <v>0</v>
      </c>
      <c r="C1837">
        <v>9.5156660511655602</v>
      </c>
      <c r="D1837">
        <v>35.472275890350701</v>
      </c>
      <c r="E1837">
        <v>10</v>
      </c>
      <c r="F1837">
        <v>1.01722196789785</v>
      </c>
      <c r="G1837" t="s">
        <v>88</v>
      </c>
      <c r="H1837" t="s">
        <v>88</v>
      </c>
      <c r="I1837">
        <v>810</v>
      </c>
      <c r="J1837">
        <v>112</v>
      </c>
      <c r="K1837">
        <v>0.112486770100389</v>
      </c>
    </row>
    <row r="1838" spans="1:11" x14ac:dyDescent="0.25">
      <c r="A1838" t="s">
        <v>86</v>
      </c>
    </row>
    <row r="1839" spans="1:11" x14ac:dyDescent="0.25">
      <c r="A1839">
        <v>40.992046810678403</v>
      </c>
      <c r="B1839">
        <v>36.594151753747703</v>
      </c>
      <c r="C1839">
        <v>2000</v>
      </c>
    </row>
    <row r="1840" spans="1:11" x14ac:dyDescent="0.25">
      <c r="A1840">
        <v>34.263454818392603</v>
      </c>
      <c r="B1840">
        <v>29.865559761461899</v>
      </c>
      <c r="C1840">
        <v>2000</v>
      </c>
    </row>
    <row r="1841" spans="1:11" x14ac:dyDescent="0.25">
      <c r="A1841">
        <v>33.826438793943801</v>
      </c>
      <c r="B1841">
        <v>30.3025757859108</v>
      </c>
      <c r="C1841">
        <v>2001</v>
      </c>
    </row>
    <row r="1842" spans="1:11" x14ac:dyDescent="0.25">
      <c r="A1842">
        <v>40.555030786229601</v>
      </c>
      <c r="B1842">
        <v>37.031167778196497</v>
      </c>
      <c r="C1842">
        <v>2001</v>
      </c>
    </row>
    <row r="1843" spans="1:11" x14ac:dyDescent="0.25">
      <c r="A1843">
        <v>49.781491987775603</v>
      </c>
      <c r="B1843">
        <v>46.257628979742499</v>
      </c>
      <c r="C1843">
        <v>2001</v>
      </c>
    </row>
    <row r="1844" spans="1:11" x14ac:dyDescent="0.25">
      <c r="A1844">
        <v>53.742371020257501</v>
      </c>
      <c r="B1844">
        <v>50.218508012224397</v>
      </c>
      <c r="C1844">
        <v>2001</v>
      </c>
    </row>
    <row r="1845" spans="1:11" x14ac:dyDescent="0.25">
      <c r="A1845">
        <v>65.637717612416694</v>
      </c>
      <c r="B1845">
        <v>62.113854604383597</v>
      </c>
      <c r="C1845">
        <v>2001</v>
      </c>
    </row>
    <row r="1846" spans="1:11" x14ac:dyDescent="0.25">
      <c r="A1846">
        <v>66.074733636865503</v>
      </c>
      <c r="B1846">
        <v>61.676838579934802</v>
      </c>
      <c r="C1846">
        <v>2000</v>
      </c>
    </row>
    <row r="1847" spans="1:11" x14ac:dyDescent="0.25">
      <c r="A1847">
        <v>54.179387044706303</v>
      </c>
      <c r="B1847">
        <v>49.781491987775603</v>
      </c>
      <c r="C1847">
        <v>2000</v>
      </c>
    </row>
    <row r="1848" spans="1:11" x14ac:dyDescent="0.25">
      <c r="A1848">
        <v>50.218508012224397</v>
      </c>
      <c r="B1848">
        <v>45.820612955293697</v>
      </c>
      <c r="C1848">
        <v>2000</v>
      </c>
    </row>
    <row r="1849" spans="1:11" x14ac:dyDescent="0.25">
      <c r="A1849" t="s">
        <v>87</v>
      </c>
    </row>
    <row r="1850" spans="1:11" x14ac:dyDescent="0.25">
      <c r="A1850">
        <v>117</v>
      </c>
      <c r="B1850">
        <v>0</v>
      </c>
      <c r="C1850">
        <v>10.911736768060001</v>
      </c>
      <c r="D1850">
        <v>33.986686583976002</v>
      </c>
      <c r="E1850">
        <v>8</v>
      </c>
      <c r="F1850">
        <v>1.01722196789785</v>
      </c>
      <c r="G1850" t="s">
        <v>88</v>
      </c>
      <c r="H1850" t="s">
        <v>88</v>
      </c>
      <c r="I1850">
        <v>104</v>
      </c>
      <c r="J1850">
        <v>946</v>
      </c>
      <c r="K1850">
        <v>0</v>
      </c>
    </row>
    <row r="1851" spans="1:11" x14ac:dyDescent="0.25">
      <c r="A1851" t="s">
        <v>86</v>
      </c>
    </row>
    <row r="1852" spans="1:11" x14ac:dyDescent="0.25">
      <c r="A1852">
        <v>87.907230188556795</v>
      </c>
      <c r="B1852">
        <v>64.988163175060293</v>
      </c>
      <c r="C1852">
        <v>2000</v>
      </c>
    </row>
    <row r="1853" spans="1:11" x14ac:dyDescent="0.25">
      <c r="A1853">
        <v>80.191467125338903</v>
      </c>
      <c r="B1853">
        <v>57.272400111842501</v>
      </c>
      <c r="C1853">
        <v>2000</v>
      </c>
    </row>
    <row r="1854" spans="1:11" x14ac:dyDescent="0.25">
      <c r="A1854">
        <v>79.754451100890094</v>
      </c>
      <c r="B1854">
        <v>57.709416136291303</v>
      </c>
      <c r="C1854">
        <v>2001</v>
      </c>
    </row>
    <row r="1855" spans="1:11" x14ac:dyDescent="0.25">
      <c r="A1855">
        <v>87.470214164107901</v>
      </c>
      <c r="B1855">
        <v>65.425179199509103</v>
      </c>
      <c r="C1855">
        <v>2001</v>
      </c>
    </row>
    <row r="1856" spans="1:11" x14ac:dyDescent="0.25">
      <c r="A1856">
        <v>99.781491987775595</v>
      </c>
      <c r="B1856">
        <v>77.736457023176797</v>
      </c>
      <c r="C1856">
        <v>2001</v>
      </c>
    </row>
    <row r="1857" spans="1:11" x14ac:dyDescent="0.25">
      <c r="A1857">
        <v>111.502430717699</v>
      </c>
      <c r="B1857">
        <v>89.4573957531004</v>
      </c>
      <c r="C1857">
        <v>2001</v>
      </c>
    </row>
    <row r="1858" spans="1:11" x14ac:dyDescent="0.25">
      <c r="A1858">
        <v>111.93944674214799</v>
      </c>
      <c r="B1858">
        <v>89.020379728651605</v>
      </c>
      <c r="C1858">
        <v>2000</v>
      </c>
    </row>
    <row r="1859" spans="1:11" x14ac:dyDescent="0.25">
      <c r="A1859">
        <v>100.21850801222401</v>
      </c>
      <c r="B1859">
        <v>77.299440998727903</v>
      </c>
      <c r="C1859">
        <v>2000</v>
      </c>
    </row>
    <row r="1860" spans="1:11" x14ac:dyDescent="0.25">
      <c r="A1860" t="s">
        <v>87</v>
      </c>
    </row>
    <row r="1861" spans="1:11" x14ac:dyDescent="0.25">
      <c r="A1861">
        <v>106</v>
      </c>
      <c r="B1861">
        <v>0</v>
      </c>
      <c r="C1861">
        <v>7.4492885263948203</v>
      </c>
      <c r="D1861">
        <v>37.258512216756898</v>
      </c>
      <c r="E1861">
        <v>8</v>
      </c>
      <c r="F1861">
        <v>1.01722196789785</v>
      </c>
      <c r="G1861" t="s">
        <v>88</v>
      </c>
      <c r="H1861" t="s">
        <v>88</v>
      </c>
      <c r="I1861">
        <v>101</v>
      </c>
      <c r="J1861">
        <v>672</v>
      </c>
      <c r="K1861">
        <v>0</v>
      </c>
    </row>
    <row r="1862" spans="1:11" x14ac:dyDescent="0.25">
      <c r="A1862" t="s">
        <v>86</v>
      </c>
    </row>
    <row r="1863" spans="1:11" x14ac:dyDescent="0.25">
      <c r="A1863">
        <v>70.313438099484799</v>
      </c>
      <c r="B1863">
        <v>73.896329775874506</v>
      </c>
      <c r="C1863">
        <v>2000</v>
      </c>
    </row>
    <row r="1864" spans="1:11" x14ac:dyDescent="0.25">
      <c r="A1864">
        <v>65.045995667455898</v>
      </c>
      <c r="B1864">
        <v>68.628887343845506</v>
      </c>
      <c r="C1864">
        <v>2000</v>
      </c>
    </row>
    <row r="1865" spans="1:11" x14ac:dyDescent="0.25">
      <c r="A1865">
        <v>64.608979643007103</v>
      </c>
      <c r="B1865">
        <v>69.0659033682944</v>
      </c>
      <c r="C1865">
        <v>2001</v>
      </c>
    </row>
    <row r="1866" spans="1:11" x14ac:dyDescent="0.25">
      <c r="A1866">
        <v>69.876422075036004</v>
      </c>
      <c r="B1866">
        <v>74.333345800323301</v>
      </c>
      <c r="C1866">
        <v>2001</v>
      </c>
    </row>
    <row r="1867" spans="1:11" x14ac:dyDescent="0.25">
      <c r="A1867">
        <v>95.761584286937094</v>
      </c>
      <c r="B1867">
        <v>100.21850801222401</v>
      </c>
      <c r="C1867">
        <v>2001</v>
      </c>
    </row>
    <row r="1868" spans="1:11" x14ac:dyDescent="0.25">
      <c r="A1868">
        <v>96.222168720426694</v>
      </c>
      <c r="B1868">
        <v>100.67909244571401</v>
      </c>
      <c r="C1868">
        <v>2001</v>
      </c>
    </row>
    <row r="1869" spans="1:11" x14ac:dyDescent="0.25">
      <c r="A1869">
        <v>96.659184744875503</v>
      </c>
      <c r="B1869">
        <v>100.242076421265</v>
      </c>
      <c r="C1869">
        <v>2000</v>
      </c>
    </row>
    <row r="1870" spans="1:11" x14ac:dyDescent="0.25">
      <c r="A1870">
        <v>96.198600311386002</v>
      </c>
      <c r="B1870">
        <v>99.781491987775595</v>
      </c>
      <c r="C1870">
        <v>2000</v>
      </c>
    </row>
    <row r="1871" spans="1:11" x14ac:dyDescent="0.25">
      <c r="A1871" t="s">
        <v>87</v>
      </c>
    </row>
    <row r="1872" spans="1:11" x14ac:dyDescent="0.25">
      <c r="A1872">
        <v>680</v>
      </c>
      <c r="B1872">
        <v>0</v>
      </c>
      <c r="C1872">
        <v>12.65190355403</v>
      </c>
      <c r="D1872">
        <v>32.054611135592502</v>
      </c>
      <c r="E1872">
        <v>8</v>
      </c>
      <c r="F1872">
        <v>1.01722196789785</v>
      </c>
      <c r="G1872" t="s">
        <v>88</v>
      </c>
      <c r="H1872" t="s">
        <v>85</v>
      </c>
      <c r="I1872">
        <v>352</v>
      </c>
      <c r="J1872">
        <v>0</v>
      </c>
      <c r="K1872">
        <v>0</v>
      </c>
    </row>
    <row r="1873" spans="1:11" x14ac:dyDescent="0.25">
      <c r="A1873" t="s">
        <v>86</v>
      </c>
    </row>
    <row r="1874" spans="1:11" x14ac:dyDescent="0.25">
      <c r="A1874">
        <v>101.27173800577999</v>
      </c>
      <c r="B1874">
        <v>127.125077010982</v>
      </c>
      <c r="C1874">
        <v>2000</v>
      </c>
    </row>
    <row r="1875" spans="1:11" x14ac:dyDescent="0.25">
      <c r="A1875">
        <v>100.21850801222401</v>
      </c>
      <c r="B1875">
        <v>126.071847017427</v>
      </c>
      <c r="C1875">
        <v>2000</v>
      </c>
    </row>
    <row r="1876" spans="1:11" x14ac:dyDescent="0.25">
      <c r="A1876">
        <v>92.3158732823252</v>
      </c>
      <c r="B1876">
        <v>118.169212287528</v>
      </c>
      <c r="C1876">
        <v>2000</v>
      </c>
    </row>
    <row r="1877" spans="1:11" x14ac:dyDescent="0.25">
      <c r="A1877">
        <v>91.878857257876405</v>
      </c>
      <c r="B1877">
        <v>118.606228311976</v>
      </c>
      <c r="C1877">
        <v>2001</v>
      </c>
    </row>
    <row r="1878" spans="1:11" x14ac:dyDescent="0.25">
      <c r="A1878">
        <v>99.781491987775595</v>
      </c>
      <c r="B1878">
        <v>126.508863041876</v>
      </c>
      <c r="C1878">
        <v>2001</v>
      </c>
    </row>
    <row r="1879" spans="1:11" x14ac:dyDescent="0.25">
      <c r="A1879">
        <v>100.81548613036701</v>
      </c>
      <c r="B1879">
        <v>127.542857184467</v>
      </c>
      <c r="C1879">
        <v>2001</v>
      </c>
    </row>
    <row r="1880" spans="1:11" x14ac:dyDescent="0.25">
      <c r="A1880">
        <v>123.2726289459</v>
      </c>
      <c r="B1880">
        <v>150</v>
      </c>
      <c r="C1880">
        <v>2001</v>
      </c>
    </row>
    <row r="1881" spans="1:11" x14ac:dyDescent="0.25">
      <c r="A1881">
        <v>124.146660994798</v>
      </c>
      <c r="B1881">
        <v>150</v>
      </c>
      <c r="C1881">
        <v>2000</v>
      </c>
    </row>
    <row r="1882" spans="1:11" x14ac:dyDescent="0.25">
      <c r="A1882" t="s">
        <v>87</v>
      </c>
    </row>
    <row r="1883" spans="1:11" x14ac:dyDescent="0.25">
      <c r="A1883">
        <v>518</v>
      </c>
      <c r="B1883">
        <v>0</v>
      </c>
      <c r="C1883">
        <v>12.5264178172062</v>
      </c>
      <c r="D1883">
        <v>32.057410886054001</v>
      </c>
      <c r="E1883">
        <v>10</v>
      </c>
      <c r="F1883">
        <v>1.01722196789785</v>
      </c>
      <c r="G1883" t="s">
        <v>88</v>
      </c>
      <c r="H1883" t="s">
        <v>88</v>
      </c>
      <c r="I1883">
        <v>897</v>
      </c>
      <c r="J1883">
        <v>795</v>
      </c>
      <c r="K1883">
        <v>0</v>
      </c>
    </row>
    <row r="1884" spans="1:11" x14ac:dyDescent="0.25">
      <c r="A1884" t="s">
        <v>86</v>
      </c>
    </row>
    <row r="1885" spans="1:11" x14ac:dyDescent="0.25">
      <c r="A1885">
        <v>48.429307744577002</v>
      </c>
      <c r="B1885">
        <v>57.682548575416597</v>
      </c>
      <c r="C1885">
        <v>2000</v>
      </c>
    </row>
    <row r="1886" spans="1:11" x14ac:dyDescent="0.25">
      <c r="A1886">
        <v>40.965267181384803</v>
      </c>
      <c r="B1886">
        <v>50.218508012224397</v>
      </c>
      <c r="C1886">
        <v>2000</v>
      </c>
    </row>
    <row r="1887" spans="1:11" x14ac:dyDescent="0.25">
      <c r="A1887">
        <v>39.5717927620545</v>
      </c>
      <c r="B1887">
        <v>48.825033592894101</v>
      </c>
      <c r="C1887">
        <v>2000</v>
      </c>
    </row>
    <row r="1888" spans="1:11" x14ac:dyDescent="0.25">
      <c r="A1888">
        <v>40.008808786503302</v>
      </c>
      <c r="B1888">
        <v>48.388017568445299</v>
      </c>
      <c r="C1888">
        <v>2001</v>
      </c>
    </row>
    <row r="1889" spans="1:11" x14ac:dyDescent="0.25">
      <c r="A1889">
        <v>41.402283205833598</v>
      </c>
      <c r="B1889">
        <v>49.781491987775603</v>
      </c>
      <c r="C1889">
        <v>2001</v>
      </c>
    </row>
    <row r="1890" spans="1:11" x14ac:dyDescent="0.25">
      <c r="A1890">
        <v>48.866323769025797</v>
      </c>
      <c r="B1890">
        <v>57.245532550967802</v>
      </c>
      <c r="C1890">
        <v>2001</v>
      </c>
    </row>
    <row r="1891" spans="1:11" x14ac:dyDescent="0.25">
      <c r="A1891">
        <v>50.218508012224397</v>
      </c>
      <c r="B1891">
        <v>58.597716794166402</v>
      </c>
      <c r="C1891">
        <v>2001</v>
      </c>
    </row>
    <row r="1892" spans="1:11" x14ac:dyDescent="0.25">
      <c r="A1892">
        <v>71.534336393838103</v>
      </c>
      <c r="B1892">
        <v>79.913545175780101</v>
      </c>
      <c r="C1892">
        <v>2001</v>
      </c>
    </row>
    <row r="1893" spans="1:11" x14ac:dyDescent="0.25">
      <c r="A1893">
        <v>71.097320369389294</v>
      </c>
      <c r="B1893">
        <v>80.350561200228896</v>
      </c>
      <c r="C1893">
        <v>2000</v>
      </c>
    </row>
    <row r="1894" spans="1:11" x14ac:dyDescent="0.25">
      <c r="A1894">
        <v>49.781491987775603</v>
      </c>
      <c r="B1894">
        <v>59.034732818615197</v>
      </c>
      <c r="C1894">
        <v>2000</v>
      </c>
    </row>
    <row r="1895" spans="1:11" x14ac:dyDescent="0.25">
      <c r="A1895" t="s">
        <v>87</v>
      </c>
    </row>
    <row r="1896" spans="1:11" x14ac:dyDescent="0.25">
      <c r="A1896">
        <v>723</v>
      </c>
      <c r="B1896">
        <v>0</v>
      </c>
      <c r="C1896">
        <v>12.348382881745501</v>
      </c>
      <c r="D1896">
        <v>31.647120817238498</v>
      </c>
      <c r="E1896">
        <v>6</v>
      </c>
      <c r="F1896">
        <v>1.01722196789785</v>
      </c>
      <c r="G1896" t="s">
        <v>88</v>
      </c>
      <c r="H1896" t="s">
        <v>85</v>
      </c>
      <c r="I1896">
        <v>583</v>
      </c>
      <c r="J1896">
        <v>0</v>
      </c>
      <c r="K1896">
        <v>0.100785207567138</v>
      </c>
    </row>
    <row r="1897" spans="1:11" x14ac:dyDescent="0.25">
      <c r="A1897" t="s">
        <v>86</v>
      </c>
    </row>
    <row r="1898" spans="1:11" x14ac:dyDescent="0.25">
      <c r="A1898">
        <v>59.902714476430901</v>
      </c>
      <c r="B1898">
        <v>127.779284814748</v>
      </c>
      <c r="C1898">
        <v>2000</v>
      </c>
    </row>
    <row r="1899" spans="1:11" x14ac:dyDescent="0.25">
      <c r="A1899">
        <v>51.232418666638097</v>
      </c>
      <c r="B1899">
        <v>119.10898900495501</v>
      </c>
      <c r="C1899">
        <v>2000</v>
      </c>
    </row>
    <row r="1900" spans="1:11" x14ac:dyDescent="0.25">
      <c r="A1900">
        <v>51.669434691086899</v>
      </c>
      <c r="B1900">
        <v>118.671972980506</v>
      </c>
      <c r="C1900">
        <v>2001</v>
      </c>
    </row>
    <row r="1901" spans="1:11" x14ac:dyDescent="0.25">
      <c r="A1901">
        <v>60.462389426034299</v>
      </c>
      <c r="B1901">
        <v>127.464927715454</v>
      </c>
      <c r="C1901">
        <v>2001</v>
      </c>
    </row>
    <row r="1902" spans="1:11" x14ac:dyDescent="0.25">
      <c r="A1902">
        <v>82.997461710580794</v>
      </c>
      <c r="B1902">
        <v>150</v>
      </c>
      <c r="C1902">
        <v>2001</v>
      </c>
    </row>
    <row r="1903" spans="1:11" x14ac:dyDescent="0.25">
      <c r="A1903">
        <v>82.123429661683105</v>
      </c>
      <c r="B1903">
        <v>150</v>
      </c>
      <c r="C1903">
        <v>2000</v>
      </c>
    </row>
    <row r="1904" spans="1:11" x14ac:dyDescent="0.25">
      <c r="A1904" t="s">
        <v>87</v>
      </c>
    </row>
    <row r="1905" spans="1:11" x14ac:dyDescent="0.25">
      <c r="A1905">
        <v>436</v>
      </c>
      <c r="B1905">
        <v>0</v>
      </c>
      <c r="C1905">
        <v>27.666526817030402</v>
      </c>
      <c r="D1905">
        <v>16.193937545709801</v>
      </c>
      <c r="E1905">
        <v>8</v>
      </c>
      <c r="F1905">
        <v>1.01722196789785</v>
      </c>
      <c r="G1905" t="s">
        <v>88</v>
      </c>
      <c r="H1905" t="s">
        <v>85</v>
      </c>
      <c r="I1905">
        <v>913</v>
      </c>
      <c r="J1905">
        <v>0</v>
      </c>
      <c r="K1905">
        <v>0</v>
      </c>
    </row>
    <row r="1906" spans="1:11" x14ac:dyDescent="0.25">
      <c r="A1906" t="s">
        <v>86</v>
      </c>
    </row>
    <row r="1907" spans="1:11" x14ac:dyDescent="0.25">
      <c r="A1907">
        <v>138.458842054841</v>
      </c>
      <c r="B1907">
        <v>40.115390858344099</v>
      </c>
      <c r="C1907">
        <v>2000</v>
      </c>
    </row>
    <row r="1908" spans="1:11" x14ac:dyDescent="0.25">
      <c r="A1908">
        <v>118.767460210891</v>
      </c>
      <c r="B1908">
        <v>20.4240090143944</v>
      </c>
      <c r="C1908">
        <v>2000</v>
      </c>
    </row>
    <row r="1909" spans="1:11" x14ac:dyDescent="0.25">
      <c r="A1909">
        <v>119.20447623534</v>
      </c>
      <c r="B1909">
        <v>19.986992989945598</v>
      </c>
      <c r="C1909">
        <v>2001</v>
      </c>
    </row>
    <row r="1910" spans="1:11" x14ac:dyDescent="0.25">
      <c r="A1910">
        <v>138.639471839793</v>
      </c>
      <c r="B1910">
        <v>39.421988594399103</v>
      </c>
      <c r="C1910">
        <v>2001</v>
      </c>
    </row>
    <row r="1911" spans="1:11" x14ac:dyDescent="0.25">
      <c r="A1911">
        <v>148.803738667613</v>
      </c>
      <c r="B1911">
        <v>49.586255422218201</v>
      </c>
      <c r="C1911">
        <v>2001</v>
      </c>
    </row>
    <row r="1912" spans="1:11" x14ac:dyDescent="0.25">
      <c r="A1912">
        <v>150</v>
      </c>
      <c r="B1912">
        <v>50.782516754605602</v>
      </c>
      <c r="C1912">
        <v>2001</v>
      </c>
    </row>
    <row r="1913" spans="1:11" x14ac:dyDescent="0.25">
      <c r="A1913">
        <v>150</v>
      </c>
      <c r="B1913">
        <v>51.656548803503298</v>
      </c>
      <c r="C1913">
        <v>2000</v>
      </c>
    </row>
    <row r="1914" spans="1:11" x14ac:dyDescent="0.25">
      <c r="A1914">
        <v>148.75719577427799</v>
      </c>
      <c r="B1914">
        <v>50.413744577781699</v>
      </c>
      <c r="C1914">
        <v>2000</v>
      </c>
    </row>
    <row r="1915" spans="1:11" x14ac:dyDescent="0.25">
      <c r="A1915" t="s">
        <v>87</v>
      </c>
    </row>
    <row r="1916" spans="1:11" x14ac:dyDescent="0.25">
      <c r="A1916">
        <v>187</v>
      </c>
      <c r="B1916">
        <v>0</v>
      </c>
      <c r="C1916">
        <v>26.8284309266935</v>
      </c>
      <c r="D1916">
        <v>16.883830254319001</v>
      </c>
      <c r="E1916">
        <v>8</v>
      </c>
      <c r="F1916">
        <v>1.01722196789785</v>
      </c>
      <c r="G1916" t="s">
        <v>88</v>
      </c>
      <c r="H1916" t="s">
        <v>85</v>
      </c>
      <c r="I1916">
        <v>164</v>
      </c>
      <c r="J1916">
        <v>0</v>
      </c>
      <c r="K1916">
        <v>0</v>
      </c>
    </row>
    <row r="1917" spans="1:11" x14ac:dyDescent="0.25">
      <c r="A1917" t="s">
        <v>86</v>
      </c>
    </row>
    <row r="1918" spans="1:11" x14ac:dyDescent="0.25">
      <c r="A1918">
        <v>137.928149411562</v>
      </c>
      <c r="B1918">
        <v>94.122691909971493</v>
      </c>
      <c r="C1918">
        <v>2000</v>
      </c>
    </row>
    <row r="1919" spans="1:11" x14ac:dyDescent="0.25">
      <c r="A1919">
        <v>118.872255685684</v>
      </c>
      <c r="B1919">
        <v>75.066798184093699</v>
      </c>
      <c r="C1919">
        <v>2000</v>
      </c>
    </row>
    <row r="1920" spans="1:11" x14ac:dyDescent="0.25">
      <c r="A1920">
        <v>119.309271710133</v>
      </c>
      <c r="B1920">
        <v>74.629782159644805</v>
      </c>
      <c r="C1920">
        <v>2001</v>
      </c>
    </row>
    <row r="1921" spans="1:11" x14ac:dyDescent="0.25">
      <c r="A1921">
        <v>138.19450885797499</v>
      </c>
      <c r="B1921">
        <v>93.515019307486696</v>
      </c>
      <c r="C1921">
        <v>2001</v>
      </c>
    </row>
    <row r="1922" spans="1:11" x14ac:dyDescent="0.25">
      <c r="A1922">
        <v>144.347850890015</v>
      </c>
      <c r="B1922">
        <v>99.668361339527095</v>
      </c>
      <c r="C1922">
        <v>2001</v>
      </c>
    </row>
    <row r="1923" spans="1:11" x14ac:dyDescent="0.25">
      <c r="A1923">
        <v>150</v>
      </c>
      <c r="B1923">
        <v>105.320510449512</v>
      </c>
      <c r="C1923">
        <v>2001</v>
      </c>
    </row>
    <row r="1924" spans="1:11" x14ac:dyDescent="0.25">
      <c r="A1924">
        <v>150</v>
      </c>
      <c r="B1924">
        <v>106.19454249840901</v>
      </c>
      <c r="C1924">
        <v>2000</v>
      </c>
    </row>
    <row r="1925" spans="1:11" x14ac:dyDescent="0.25">
      <c r="A1925">
        <v>144.13709616206299</v>
      </c>
      <c r="B1925">
        <v>100.331638660473</v>
      </c>
      <c r="C1925">
        <v>2000</v>
      </c>
    </row>
    <row r="1926" spans="1:11" x14ac:dyDescent="0.25">
      <c r="A1926" t="s">
        <v>87</v>
      </c>
    </row>
    <row r="1927" spans="1:11" x14ac:dyDescent="0.25">
      <c r="A1927">
        <v>812</v>
      </c>
      <c r="B1927">
        <v>0</v>
      </c>
      <c r="C1927">
        <v>20.781647521318099</v>
      </c>
      <c r="D1927">
        <v>22.874056699331</v>
      </c>
      <c r="E1927">
        <v>6</v>
      </c>
      <c r="F1927">
        <v>1.01722196789785</v>
      </c>
      <c r="G1927" t="s">
        <v>88</v>
      </c>
      <c r="H1927" t="s">
        <v>88</v>
      </c>
      <c r="I1927">
        <v>842</v>
      </c>
      <c r="J1927">
        <v>1025</v>
      </c>
      <c r="K1927">
        <v>0.102861961526139</v>
      </c>
    </row>
    <row r="1928" spans="1:11" x14ac:dyDescent="0.25">
      <c r="A1928" t="s">
        <v>86</v>
      </c>
    </row>
    <row r="1929" spans="1:11" x14ac:dyDescent="0.25">
      <c r="A1929">
        <v>81.230366089493003</v>
      </c>
      <c r="B1929">
        <v>117.75945839507</v>
      </c>
      <c r="C1929">
        <v>2000</v>
      </c>
    </row>
    <row r="1930" spans="1:11" x14ac:dyDescent="0.25">
      <c r="A1930">
        <v>66.535522202940399</v>
      </c>
      <c r="B1930">
        <v>103.06461450851801</v>
      </c>
      <c r="C1930">
        <v>2000</v>
      </c>
    </row>
    <row r="1931" spans="1:11" x14ac:dyDescent="0.25">
      <c r="A1931">
        <v>66.972538227389194</v>
      </c>
      <c r="B1931">
        <v>102.627598484069</v>
      </c>
      <c r="C1931">
        <v>2001</v>
      </c>
    </row>
    <row r="1932" spans="1:11" x14ac:dyDescent="0.25">
      <c r="A1932">
        <v>81.667382113941798</v>
      </c>
      <c r="B1932">
        <v>117.322442370622</v>
      </c>
      <c r="C1932">
        <v>2001</v>
      </c>
    </row>
    <row r="1933" spans="1:11" x14ac:dyDescent="0.25">
      <c r="A1933">
        <v>97.841782719284396</v>
      </c>
      <c r="B1933">
        <v>133.496842975964</v>
      </c>
      <c r="C1933">
        <v>2001</v>
      </c>
    </row>
    <row r="1934" spans="1:11" x14ac:dyDescent="0.25">
      <c r="A1934">
        <v>97.404766694835601</v>
      </c>
      <c r="B1934">
        <v>133.93385900041301</v>
      </c>
      <c r="C1934">
        <v>2000</v>
      </c>
    </row>
    <row r="1935" spans="1:11" x14ac:dyDescent="0.25">
      <c r="A1935" t="s">
        <v>87</v>
      </c>
    </row>
    <row r="1936" spans="1:11" x14ac:dyDescent="0.25">
      <c r="A1936">
        <v>1030</v>
      </c>
      <c r="B1936">
        <v>0</v>
      </c>
      <c r="C1936">
        <v>1.5226680740387899</v>
      </c>
      <c r="D1936">
        <v>42.121942443071099</v>
      </c>
      <c r="E1936">
        <v>6</v>
      </c>
      <c r="F1936">
        <v>1.01722196789785</v>
      </c>
      <c r="G1936" t="s">
        <v>85</v>
      </c>
      <c r="H1936" t="s">
        <v>85</v>
      </c>
      <c r="I1936">
        <v>0</v>
      </c>
      <c r="J1936">
        <v>0</v>
      </c>
      <c r="K1936">
        <v>0.11418974790063</v>
      </c>
    </row>
    <row r="1937" spans="1:11" x14ac:dyDescent="0.25">
      <c r="A1937" t="s">
        <v>86</v>
      </c>
    </row>
    <row r="1938" spans="1:11" x14ac:dyDescent="0.25">
      <c r="A1938">
        <v>120.63705832218599</v>
      </c>
      <c r="B1938">
        <v>1.0614423566315101</v>
      </c>
      <c r="C1938">
        <v>2000</v>
      </c>
    </row>
    <row r="1939" spans="1:11" x14ac:dyDescent="0.25">
      <c r="A1939">
        <v>119.575615965555</v>
      </c>
      <c r="B1939">
        <v>0</v>
      </c>
      <c r="C1939">
        <v>2000</v>
      </c>
    </row>
    <row r="1940" spans="1:11" x14ac:dyDescent="0.25">
      <c r="A1940">
        <v>118.701583916657</v>
      </c>
      <c r="B1940">
        <v>0</v>
      </c>
      <c r="C1940">
        <v>2001</v>
      </c>
    </row>
    <row r="1941" spans="1:11" x14ac:dyDescent="0.25">
      <c r="A1941">
        <v>119.79351940132401</v>
      </c>
      <c r="B1941">
        <v>1.09193548466667</v>
      </c>
      <c r="C1941">
        <v>2001</v>
      </c>
    </row>
    <row r="1942" spans="1:11" x14ac:dyDescent="0.25">
      <c r="A1942">
        <v>150</v>
      </c>
      <c r="B1942">
        <v>31.2984160833429</v>
      </c>
      <c r="C1942">
        <v>2001</v>
      </c>
    </row>
    <row r="1943" spans="1:11" x14ac:dyDescent="0.25">
      <c r="A1943">
        <v>150</v>
      </c>
      <c r="B1943">
        <v>30.4243840344453</v>
      </c>
      <c r="C1943">
        <v>2000</v>
      </c>
    </row>
    <row r="1944" spans="1:11" x14ac:dyDescent="0.25">
      <c r="A1944" t="s">
        <v>87</v>
      </c>
    </row>
    <row r="1945" spans="1:11" x14ac:dyDescent="0.25">
      <c r="A1945">
        <v>988</v>
      </c>
      <c r="B1945">
        <v>0</v>
      </c>
      <c r="C1945">
        <v>15.978434584709399</v>
      </c>
      <c r="D1945">
        <v>27.622496518571602</v>
      </c>
      <c r="E1945">
        <v>6</v>
      </c>
      <c r="F1945">
        <v>1.01722196789785</v>
      </c>
      <c r="G1945" t="s">
        <v>85</v>
      </c>
      <c r="H1945" t="s">
        <v>88</v>
      </c>
      <c r="I1945">
        <v>0</v>
      </c>
      <c r="J1945">
        <v>965</v>
      </c>
      <c r="K1945">
        <v>0.110991253371757</v>
      </c>
    </row>
    <row r="1946" spans="1:11" x14ac:dyDescent="0.25">
      <c r="A1946" t="s">
        <v>86</v>
      </c>
    </row>
    <row r="1947" spans="1:11" x14ac:dyDescent="0.25">
      <c r="A1947">
        <v>119.048280489554</v>
      </c>
      <c r="B1947">
        <v>11.378536085665701</v>
      </c>
      <c r="C1947">
        <v>2000</v>
      </c>
    </row>
    <row r="1948" spans="1:11" x14ac:dyDescent="0.25">
      <c r="A1948">
        <v>107.669744403888</v>
      </c>
      <c r="B1948">
        <v>0</v>
      </c>
      <c r="C1948">
        <v>2000</v>
      </c>
    </row>
    <row r="1949" spans="1:11" x14ac:dyDescent="0.25">
      <c r="A1949">
        <v>108.54377645278601</v>
      </c>
      <c r="B1949">
        <v>0</v>
      </c>
      <c r="C1949">
        <v>2001</v>
      </c>
    </row>
    <row r="1950" spans="1:11" x14ac:dyDescent="0.25">
      <c r="A1950">
        <v>119.76215926230699</v>
      </c>
      <c r="B1950">
        <v>11.2183828095216</v>
      </c>
      <c r="C1950">
        <v>2001</v>
      </c>
    </row>
    <row r="1951" spans="1:11" x14ac:dyDescent="0.25">
      <c r="A1951">
        <v>139.15578248973901</v>
      </c>
      <c r="B1951">
        <v>30.612006036953002</v>
      </c>
      <c r="C1951">
        <v>2001</v>
      </c>
    </row>
    <row r="1952" spans="1:11" x14ac:dyDescent="0.25">
      <c r="A1952">
        <v>138.71876646529</v>
      </c>
      <c r="B1952">
        <v>31.0490220614018</v>
      </c>
      <c r="C1952">
        <v>2000</v>
      </c>
    </row>
    <row r="1953" spans="1:11" x14ac:dyDescent="0.25">
      <c r="A1953" t="s">
        <v>87</v>
      </c>
    </row>
    <row r="1954" spans="1:11" x14ac:dyDescent="0.25">
      <c r="A1954">
        <v>195</v>
      </c>
      <c r="B1954">
        <v>0</v>
      </c>
      <c r="C1954">
        <v>27.932228372155301</v>
      </c>
      <c r="D1954">
        <v>15.579963529259899</v>
      </c>
      <c r="E1954">
        <v>8</v>
      </c>
      <c r="F1954">
        <v>1.01722196789785</v>
      </c>
      <c r="G1954" t="s">
        <v>88</v>
      </c>
      <c r="H1954" t="s">
        <v>88</v>
      </c>
      <c r="I1954">
        <v>279</v>
      </c>
      <c r="J1954">
        <v>1002</v>
      </c>
      <c r="K1954">
        <v>0</v>
      </c>
    </row>
    <row r="1955" spans="1:11" x14ac:dyDescent="0.25">
      <c r="A1955" t="s">
        <v>86</v>
      </c>
    </row>
    <row r="1956" spans="1:11" x14ac:dyDescent="0.25">
      <c r="A1956">
        <v>111.034662157309</v>
      </c>
      <c r="B1956">
        <v>82.7176666351628</v>
      </c>
      <c r="C1956">
        <v>2000</v>
      </c>
    </row>
    <row r="1957" spans="1:11" x14ac:dyDescent="0.25">
      <c r="A1957">
        <v>100.21850801222401</v>
      </c>
      <c r="B1957">
        <v>71.901512490078403</v>
      </c>
      <c r="C1957">
        <v>2000</v>
      </c>
    </row>
    <row r="1958" spans="1:11" x14ac:dyDescent="0.25">
      <c r="A1958">
        <v>91.283594061706495</v>
      </c>
      <c r="B1958">
        <v>62.966598539560501</v>
      </c>
      <c r="C1958">
        <v>2000</v>
      </c>
    </row>
    <row r="1959" spans="1:11" x14ac:dyDescent="0.25">
      <c r="A1959">
        <v>90.8465780372577</v>
      </c>
      <c r="B1959">
        <v>63.403614564009303</v>
      </c>
      <c r="C1959">
        <v>2001</v>
      </c>
    </row>
    <row r="1960" spans="1:11" x14ac:dyDescent="0.25">
      <c r="A1960">
        <v>99.781491987775595</v>
      </c>
      <c r="B1960">
        <v>72.338528514527198</v>
      </c>
      <c r="C1960">
        <v>2001</v>
      </c>
    </row>
    <row r="1961" spans="1:11" x14ac:dyDescent="0.25">
      <c r="A1961">
        <v>110.59764613286001</v>
      </c>
      <c r="B1961">
        <v>83.154682659611595</v>
      </c>
      <c r="C1961">
        <v>2001</v>
      </c>
    </row>
    <row r="1962" spans="1:11" x14ac:dyDescent="0.25">
      <c r="A1962">
        <v>121.61434399503899</v>
      </c>
      <c r="B1962">
        <v>94.171380521790397</v>
      </c>
      <c r="C1962">
        <v>2001</v>
      </c>
    </row>
    <row r="1963" spans="1:11" x14ac:dyDescent="0.25">
      <c r="A1963">
        <v>122.051360019488</v>
      </c>
      <c r="B1963">
        <v>93.734364497341602</v>
      </c>
      <c r="C1963">
        <v>2000</v>
      </c>
    </row>
    <row r="1964" spans="1:11" x14ac:dyDescent="0.25">
      <c r="A1964" t="s">
        <v>87</v>
      </c>
    </row>
    <row r="1965" spans="1:11" x14ac:dyDescent="0.25">
      <c r="A1965">
        <v>769</v>
      </c>
      <c r="B1965">
        <v>0</v>
      </c>
      <c r="C1965">
        <v>8.6899194625373593</v>
      </c>
      <c r="D1965">
        <v>34.721981244302</v>
      </c>
      <c r="E1965">
        <v>10</v>
      </c>
      <c r="F1965">
        <v>1.01722196789785</v>
      </c>
      <c r="G1965" t="s">
        <v>88</v>
      </c>
      <c r="H1965" t="s">
        <v>88</v>
      </c>
      <c r="I1965">
        <v>889</v>
      </c>
      <c r="J1965">
        <v>352</v>
      </c>
      <c r="K1965">
        <v>0.101910405093446</v>
      </c>
    </row>
    <row r="1966" spans="1:11" x14ac:dyDescent="0.25">
      <c r="A1966" t="s">
        <v>86</v>
      </c>
    </row>
    <row r="1967" spans="1:11" x14ac:dyDescent="0.25">
      <c r="A1967">
        <v>28.0040333564367</v>
      </c>
      <c r="B1967">
        <v>54.018834545756</v>
      </c>
      <c r="C1967">
        <v>2000</v>
      </c>
    </row>
    <row r="1968" spans="1:11" x14ac:dyDescent="0.25">
      <c r="A1968">
        <v>23.766690798456398</v>
      </c>
      <c r="B1968">
        <v>49.781491987775603</v>
      </c>
      <c r="C1968">
        <v>2000</v>
      </c>
    </row>
    <row r="1969" spans="1:11" x14ac:dyDescent="0.25">
      <c r="A1969">
        <v>21.859332376511599</v>
      </c>
      <c r="B1969">
        <v>47.874133565830803</v>
      </c>
      <c r="C1969">
        <v>2000</v>
      </c>
    </row>
    <row r="1970" spans="1:11" x14ac:dyDescent="0.25">
      <c r="A1970">
        <v>21.422316352062801</v>
      </c>
      <c r="B1970">
        <v>48.311149590279697</v>
      </c>
      <c r="C1970">
        <v>2001</v>
      </c>
    </row>
    <row r="1971" spans="1:11" x14ac:dyDescent="0.25">
      <c r="A1971">
        <v>23.329674774007501</v>
      </c>
      <c r="B1971">
        <v>50.218508012224397</v>
      </c>
      <c r="C1971">
        <v>2001</v>
      </c>
    </row>
    <row r="1972" spans="1:11" x14ac:dyDescent="0.25">
      <c r="A1972">
        <v>27.567017331987898</v>
      </c>
      <c r="B1972">
        <v>54.455850570204802</v>
      </c>
      <c r="C1972">
        <v>2001</v>
      </c>
    </row>
    <row r="1973" spans="1:11" x14ac:dyDescent="0.25">
      <c r="A1973">
        <v>49.781491987775603</v>
      </c>
      <c r="B1973">
        <v>76.6703252259924</v>
      </c>
      <c r="C1973">
        <v>2001</v>
      </c>
    </row>
    <row r="1974" spans="1:11" x14ac:dyDescent="0.25">
      <c r="A1974">
        <v>52.119165726066001</v>
      </c>
      <c r="B1974">
        <v>79.007998964282905</v>
      </c>
      <c r="C1974">
        <v>2001</v>
      </c>
    </row>
    <row r="1975" spans="1:11" x14ac:dyDescent="0.25">
      <c r="A1975">
        <v>52.556181750514803</v>
      </c>
      <c r="B1975">
        <v>78.570982939834096</v>
      </c>
      <c r="C1975">
        <v>2000</v>
      </c>
    </row>
    <row r="1976" spans="1:11" x14ac:dyDescent="0.25">
      <c r="A1976">
        <v>50.218508012224397</v>
      </c>
      <c r="B1976">
        <v>76.233309201543605</v>
      </c>
      <c r="C1976">
        <v>2000</v>
      </c>
    </row>
    <row r="1977" spans="1:11" x14ac:dyDescent="0.25">
      <c r="A1977" t="s">
        <v>87</v>
      </c>
    </row>
    <row r="1978" spans="1:11" x14ac:dyDescent="0.25">
      <c r="A1978">
        <v>796</v>
      </c>
      <c r="B1978">
        <v>0</v>
      </c>
      <c r="C1978">
        <v>32.7204459291519</v>
      </c>
      <c r="D1978">
        <v>10.570537579826601</v>
      </c>
      <c r="E1978">
        <v>6</v>
      </c>
      <c r="F1978">
        <v>1.01722196789785</v>
      </c>
      <c r="G1978" t="s">
        <v>85</v>
      </c>
      <c r="H1978" t="s">
        <v>88</v>
      </c>
      <c r="I1978">
        <v>0</v>
      </c>
      <c r="J1978">
        <v>4</v>
      </c>
      <c r="K1978">
        <v>0.102396880332516</v>
      </c>
    </row>
    <row r="1979" spans="1:11" x14ac:dyDescent="0.25">
      <c r="A1979" t="s">
        <v>86</v>
      </c>
    </row>
    <row r="1980" spans="1:11" x14ac:dyDescent="0.25">
      <c r="A1980">
        <v>41.427331938380497</v>
      </c>
      <c r="B1980">
        <v>22.971695188201899</v>
      </c>
      <c r="C1980">
        <v>2000</v>
      </c>
    </row>
    <row r="1981" spans="1:11" x14ac:dyDescent="0.25">
      <c r="A1981">
        <v>18.455636750178599</v>
      </c>
      <c r="B1981">
        <v>0</v>
      </c>
      <c r="C1981">
        <v>2000</v>
      </c>
    </row>
    <row r="1982" spans="1:11" x14ac:dyDescent="0.25">
      <c r="A1982">
        <v>17.581604701281002</v>
      </c>
      <c r="B1982">
        <v>0</v>
      </c>
      <c r="C1982">
        <v>2001</v>
      </c>
    </row>
    <row r="1983" spans="1:11" x14ac:dyDescent="0.25">
      <c r="A1983">
        <v>40.883607912981198</v>
      </c>
      <c r="B1983">
        <v>23.302003211700299</v>
      </c>
      <c r="C1983">
        <v>2001</v>
      </c>
    </row>
    <row r="1984" spans="1:11" x14ac:dyDescent="0.25">
      <c r="A1984">
        <v>48.411460716939096</v>
      </c>
      <c r="B1984">
        <v>30.829856015658098</v>
      </c>
      <c r="C1984">
        <v>2001</v>
      </c>
    </row>
    <row r="1985" spans="1:11" x14ac:dyDescent="0.25">
      <c r="A1985">
        <v>48.848476741387898</v>
      </c>
      <c r="B1985">
        <v>30.3928399912093</v>
      </c>
      <c r="C1985">
        <v>2000</v>
      </c>
    </row>
    <row r="1986" spans="1:11" x14ac:dyDescent="0.25">
      <c r="A1986" t="s">
        <v>87</v>
      </c>
    </row>
    <row r="1987" spans="1:11" x14ac:dyDescent="0.25">
      <c r="A1987">
        <v>109</v>
      </c>
      <c r="B1987">
        <v>0</v>
      </c>
      <c r="C1987">
        <v>22.185011845938</v>
      </c>
      <c r="D1987">
        <v>20.902629858101701</v>
      </c>
      <c r="E1987">
        <v>10</v>
      </c>
      <c r="F1987">
        <v>1.01722196789785</v>
      </c>
      <c r="G1987" t="s">
        <v>88</v>
      </c>
      <c r="H1987" t="s">
        <v>88</v>
      </c>
      <c r="I1987">
        <v>987</v>
      </c>
      <c r="J1987">
        <v>197</v>
      </c>
      <c r="K1987">
        <v>0</v>
      </c>
    </row>
    <row r="1988" spans="1:11" x14ac:dyDescent="0.25">
      <c r="A1988" t="s">
        <v>86</v>
      </c>
    </row>
    <row r="1989" spans="1:11" x14ac:dyDescent="0.25">
      <c r="A1989">
        <v>95.986456010954498</v>
      </c>
      <c r="B1989">
        <v>55.6671408883564</v>
      </c>
      <c r="C1989">
        <v>2000</v>
      </c>
    </row>
    <row r="1990" spans="1:11" x14ac:dyDescent="0.25">
      <c r="A1990">
        <v>90.537823134822503</v>
      </c>
      <c r="B1990">
        <v>50.218508012224397</v>
      </c>
      <c r="C1990">
        <v>2000</v>
      </c>
    </row>
    <row r="1991" spans="1:11" x14ac:dyDescent="0.25">
      <c r="A1991">
        <v>80.299283693987803</v>
      </c>
      <c r="B1991">
        <v>39.979968571389797</v>
      </c>
      <c r="C1991">
        <v>2000</v>
      </c>
    </row>
    <row r="1992" spans="1:11" x14ac:dyDescent="0.25">
      <c r="A1992">
        <v>80.736299718436698</v>
      </c>
      <c r="B1992">
        <v>39.542952546940903</v>
      </c>
      <c r="C1992">
        <v>2001</v>
      </c>
    </row>
    <row r="1993" spans="1:11" x14ac:dyDescent="0.25">
      <c r="A1993">
        <v>90.974839159271298</v>
      </c>
      <c r="B1993">
        <v>49.781491987775603</v>
      </c>
      <c r="C1993">
        <v>2001</v>
      </c>
    </row>
    <row r="1994" spans="1:11" x14ac:dyDescent="0.25">
      <c r="A1994">
        <v>96.423472035403293</v>
      </c>
      <c r="B1994">
        <v>55.230124863907598</v>
      </c>
      <c r="C1994">
        <v>2001</v>
      </c>
    </row>
    <row r="1995" spans="1:11" x14ac:dyDescent="0.25">
      <c r="A1995">
        <v>100.21850801222401</v>
      </c>
      <c r="B1995">
        <v>59.025160840728702</v>
      </c>
      <c r="C1995">
        <v>2001</v>
      </c>
    </row>
    <row r="1996" spans="1:11" x14ac:dyDescent="0.25">
      <c r="A1996">
        <v>111.203863352699</v>
      </c>
      <c r="B1996">
        <v>70.010516181203698</v>
      </c>
      <c r="C1996">
        <v>2001</v>
      </c>
    </row>
    <row r="1997" spans="1:11" x14ac:dyDescent="0.25">
      <c r="A1997">
        <v>110.766847328251</v>
      </c>
      <c r="B1997">
        <v>70.447532205652493</v>
      </c>
      <c r="C1997">
        <v>2000</v>
      </c>
    </row>
    <row r="1998" spans="1:11" x14ac:dyDescent="0.25">
      <c r="A1998">
        <v>99.781491987775595</v>
      </c>
      <c r="B1998">
        <v>59.462176865177497</v>
      </c>
      <c r="C1998">
        <v>2000</v>
      </c>
    </row>
    <row r="1999" spans="1:11" x14ac:dyDescent="0.25">
      <c r="A1999" t="s">
        <v>87</v>
      </c>
    </row>
    <row r="2000" spans="1:11" x14ac:dyDescent="0.25">
      <c r="A2000">
        <v>189</v>
      </c>
      <c r="B2000">
        <v>0</v>
      </c>
      <c r="C2000">
        <v>32.6032768956089</v>
      </c>
      <c r="D2000">
        <v>10.484364808430801</v>
      </c>
      <c r="E2000">
        <v>10</v>
      </c>
      <c r="F2000">
        <v>1.01722196789785</v>
      </c>
      <c r="G2000" t="s">
        <v>88</v>
      </c>
      <c r="H2000" t="s">
        <v>88</v>
      </c>
      <c r="I2000">
        <v>890</v>
      </c>
      <c r="J2000">
        <v>197</v>
      </c>
      <c r="K2000">
        <v>0</v>
      </c>
    </row>
    <row r="2001" spans="1:11" x14ac:dyDescent="0.25">
      <c r="A2001" t="s">
        <v>86</v>
      </c>
    </row>
    <row r="2002" spans="1:11" x14ac:dyDescent="0.25">
      <c r="A2002">
        <v>103.53460014823099</v>
      </c>
      <c r="B2002">
        <v>62.852648480722202</v>
      </c>
      <c r="C2002">
        <v>2000</v>
      </c>
    </row>
    <row r="2003" spans="1:11" x14ac:dyDescent="0.25">
      <c r="A2003">
        <v>99.781491987775595</v>
      </c>
      <c r="B2003">
        <v>59.099540320266897</v>
      </c>
      <c r="C2003">
        <v>2000</v>
      </c>
    </row>
    <row r="2004" spans="1:11" x14ac:dyDescent="0.25">
      <c r="A2004">
        <v>90.900459679733004</v>
      </c>
      <c r="B2004">
        <v>50.218508012224397</v>
      </c>
      <c r="C2004">
        <v>2000</v>
      </c>
    </row>
    <row r="2005" spans="1:11" x14ac:dyDescent="0.25">
      <c r="A2005">
        <v>80.480601966443103</v>
      </c>
      <c r="B2005">
        <v>39.798650298934497</v>
      </c>
      <c r="C2005">
        <v>2000</v>
      </c>
    </row>
    <row r="2006" spans="1:11" x14ac:dyDescent="0.25">
      <c r="A2006">
        <v>80.917617990891898</v>
      </c>
      <c r="B2006">
        <v>39.361634274485702</v>
      </c>
      <c r="C2006">
        <v>2001</v>
      </c>
    </row>
    <row r="2007" spans="1:11" x14ac:dyDescent="0.25">
      <c r="A2007">
        <v>91.337475704181898</v>
      </c>
      <c r="B2007">
        <v>49.781491987775603</v>
      </c>
      <c r="C2007">
        <v>2001</v>
      </c>
    </row>
    <row r="2008" spans="1:11" x14ac:dyDescent="0.25">
      <c r="A2008">
        <v>100.21850801222401</v>
      </c>
      <c r="B2008">
        <v>58.662524295818102</v>
      </c>
      <c r="C2008">
        <v>2001</v>
      </c>
    </row>
    <row r="2009" spans="1:11" x14ac:dyDescent="0.25">
      <c r="A2009">
        <v>103.97161617268</v>
      </c>
      <c r="B2009">
        <v>62.4156324562734</v>
      </c>
      <c r="C2009">
        <v>2001</v>
      </c>
    </row>
    <row r="2010" spans="1:11" x14ac:dyDescent="0.25">
      <c r="A2010">
        <v>111.385181625155</v>
      </c>
      <c r="B2010">
        <v>69.829197908748398</v>
      </c>
      <c r="C2010">
        <v>2001</v>
      </c>
    </row>
    <row r="2011" spans="1:11" x14ac:dyDescent="0.25">
      <c r="A2011">
        <v>110.94816560070601</v>
      </c>
      <c r="B2011">
        <v>70.266213933197307</v>
      </c>
      <c r="C2011">
        <v>2000</v>
      </c>
    </row>
    <row r="2012" spans="1:11" x14ac:dyDescent="0.25">
      <c r="A2012" t="s">
        <v>87</v>
      </c>
    </row>
    <row r="2013" spans="1:11" x14ac:dyDescent="0.25">
      <c r="A2013">
        <v>25</v>
      </c>
      <c r="B2013">
        <v>0</v>
      </c>
      <c r="C2013">
        <v>8.5558939197753805</v>
      </c>
      <c r="D2013">
        <v>34.284340944008399</v>
      </c>
      <c r="E2013">
        <v>6</v>
      </c>
      <c r="F2013">
        <v>1.01722196789785</v>
      </c>
      <c r="G2013" t="s">
        <v>85</v>
      </c>
      <c r="H2013" t="s">
        <v>88</v>
      </c>
      <c r="I2013">
        <v>0</v>
      </c>
      <c r="J2013">
        <v>120</v>
      </c>
      <c r="K2013">
        <v>0</v>
      </c>
    </row>
    <row r="2014" spans="1:11" x14ac:dyDescent="0.25">
      <c r="A2014" t="s">
        <v>86</v>
      </c>
    </row>
    <row r="2015" spans="1:11" x14ac:dyDescent="0.25">
      <c r="A2015">
        <v>19.551195518622901</v>
      </c>
      <c r="B2015">
        <v>6.0062909943833098</v>
      </c>
      <c r="C2015">
        <v>2000</v>
      </c>
    </row>
    <row r="2016" spans="1:11" x14ac:dyDescent="0.25">
      <c r="A2016">
        <v>13.5449045242396</v>
      </c>
      <c r="B2016">
        <v>0</v>
      </c>
      <c r="C2016">
        <v>2000</v>
      </c>
    </row>
    <row r="2017" spans="1:11" x14ac:dyDescent="0.25">
      <c r="A2017">
        <v>12.6708724753419</v>
      </c>
      <c r="B2017">
        <v>0</v>
      </c>
      <c r="C2017">
        <v>2001</v>
      </c>
    </row>
    <row r="2018" spans="1:11" x14ac:dyDescent="0.25">
      <c r="A2018">
        <v>18.764442700530498</v>
      </c>
      <c r="B2018">
        <v>6.0935702251885298</v>
      </c>
      <c r="C2018">
        <v>2001</v>
      </c>
    </row>
    <row r="2019" spans="1:11" x14ac:dyDescent="0.25">
      <c r="A2019">
        <v>43.182001067372198</v>
      </c>
      <c r="B2019">
        <v>30.5111285920303</v>
      </c>
      <c r="C2019">
        <v>2001</v>
      </c>
    </row>
    <row r="2020" spans="1:11" x14ac:dyDescent="0.25">
      <c r="A2020">
        <v>43.619017091821</v>
      </c>
      <c r="B2020">
        <v>30.074112567581398</v>
      </c>
      <c r="C2020">
        <v>2000</v>
      </c>
    </row>
    <row r="2021" spans="1:11" x14ac:dyDescent="0.25">
      <c r="A2021" t="s">
        <v>87</v>
      </c>
    </row>
    <row r="2022" spans="1:11" x14ac:dyDescent="0.25">
      <c r="A2022">
        <v>1022</v>
      </c>
      <c r="B2022">
        <v>0</v>
      </c>
      <c r="C2022">
        <v>13.522912086925301</v>
      </c>
      <c r="D2022">
        <v>29.249228915854701</v>
      </c>
      <c r="E2022">
        <v>10</v>
      </c>
      <c r="F2022">
        <v>1.01722196789785</v>
      </c>
      <c r="G2022" t="s">
        <v>88</v>
      </c>
      <c r="H2022" t="s">
        <v>88</v>
      </c>
      <c r="I2022">
        <v>82</v>
      </c>
      <c r="J2022">
        <v>643</v>
      </c>
      <c r="K2022">
        <v>0.113410188028275</v>
      </c>
    </row>
    <row r="2023" spans="1:11" x14ac:dyDescent="0.25">
      <c r="A2023" t="s">
        <v>86</v>
      </c>
    </row>
    <row r="2024" spans="1:11" x14ac:dyDescent="0.25">
      <c r="A2024">
        <v>92.080791391940096</v>
      </c>
      <c r="B2024">
        <v>98.753862959213706</v>
      </c>
      <c r="C2024">
        <v>2000</v>
      </c>
    </row>
    <row r="2025" spans="1:11" x14ac:dyDescent="0.25">
      <c r="A2025">
        <v>82.518648553885697</v>
      </c>
      <c r="B2025">
        <v>89.191720121159307</v>
      </c>
      <c r="C2025">
        <v>2000</v>
      </c>
    </row>
    <row r="2026" spans="1:11" x14ac:dyDescent="0.25">
      <c r="A2026">
        <v>82.955664578334506</v>
      </c>
      <c r="B2026">
        <v>88.754704096710498</v>
      </c>
      <c r="C2026">
        <v>2001</v>
      </c>
    </row>
    <row r="2027" spans="1:11" x14ac:dyDescent="0.25">
      <c r="A2027">
        <v>92.517807416388905</v>
      </c>
      <c r="B2027">
        <v>98.316846934764897</v>
      </c>
      <c r="C2027">
        <v>2001</v>
      </c>
    </row>
    <row r="2028" spans="1:11" x14ac:dyDescent="0.25">
      <c r="A2028">
        <v>93.982452469399604</v>
      </c>
      <c r="B2028">
        <v>99.781491987775595</v>
      </c>
      <c r="C2028">
        <v>2001</v>
      </c>
    </row>
    <row r="2029" spans="1:11" x14ac:dyDescent="0.25">
      <c r="A2029">
        <v>100.21850801222401</v>
      </c>
      <c r="B2029">
        <v>106.0175475306</v>
      </c>
      <c r="C2029">
        <v>2001</v>
      </c>
    </row>
    <row r="2030" spans="1:11" x14ac:dyDescent="0.25">
      <c r="A2030">
        <v>113.20013552726699</v>
      </c>
      <c r="B2030">
        <v>118.999175045643</v>
      </c>
      <c r="C2030">
        <v>2001</v>
      </c>
    </row>
    <row r="2031" spans="1:11" x14ac:dyDescent="0.25">
      <c r="A2031">
        <v>112.76311950281899</v>
      </c>
      <c r="B2031">
        <v>119.43619107009199</v>
      </c>
      <c r="C2031">
        <v>2000</v>
      </c>
    </row>
    <row r="2032" spans="1:11" x14ac:dyDescent="0.25">
      <c r="A2032">
        <v>99.781491987775595</v>
      </c>
      <c r="B2032">
        <v>106.45456355504901</v>
      </c>
      <c r="C2032">
        <v>2000</v>
      </c>
    </row>
    <row r="2033" spans="1:11" x14ac:dyDescent="0.25">
      <c r="A2033">
        <v>93.545436444950795</v>
      </c>
      <c r="B2033">
        <v>100.21850801222401</v>
      </c>
      <c r="C2033">
        <v>2000</v>
      </c>
    </row>
    <row r="2034" spans="1:11" x14ac:dyDescent="0.25">
      <c r="A2034" t="s">
        <v>87</v>
      </c>
    </row>
    <row r="2035" spans="1:11" x14ac:dyDescent="0.25">
      <c r="A2035">
        <v>357</v>
      </c>
      <c r="B2035">
        <v>0</v>
      </c>
      <c r="C2035">
        <v>29.351200268887599</v>
      </c>
      <c r="D2035">
        <v>13.352089760326001</v>
      </c>
      <c r="E2035">
        <v>10</v>
      </c>
      <c r="F2035">
        <v>1.01722196789785</v>
      </c>
      <c r="G2035" t="s">
        <v>88</v>
      </c>
      <c r="H2035" t="s">
        <v>88</v>
      </c>
      <c r="I2035">
        <v>512</v>
      </c>
      <c r="J2035">
        <v>860</v>
      </c>
      <c r="K2035">
        <v>0</v>
      </c>
    </row>
    <row r="2036" spans="1:11" x14ac:dyDescent="0.25">
      <c r="A2036" t="s">
        <v>86</v>
      </c>
    </row>
    <row r="2037" spans="1:11" x14ac:dyDescent="0.25">
      <c r="A2037">
        <v>54.977322340927898</v>
      </c>
      <c r="B2037">
        <v>112.883622352915</v>
      </c>
      <c r="C2037">
        <v>2000</v>
      </c>
    </row>
    <row r="2038" spans="1:11" x14ac:dyDescent="0.25">
      <c r="A2038">
        <v>50.218508012224397</v>
      </c>
      <c r="B2038">
        <v>108.124808024212</v>
      </c>
      <c r="C2038">
        <v>2000</v>
      </c>
    </row>
    <row r="2039" spans="1:11" x14ac:dyDescent="0.25">
      <c r="A2039">
        <v>41.875191975787999</v>
      </c>
      <c r="B2039">
        <v>99.781491987775595</v>
      </c>
      <c r="C2039">
        <v>2000</v>
      </c>
    </row>
    <row r="2040" spans="1:11" x14ac:dyDescent="0.25">
      <c r="A2040">
        <v>34.222889594832999</v>
      </c>
      <c r="B2040">
        <v>92.129189606820603</v>
      </c>
      <c r="C2040">
        <v>2000</v>
      </c>
    </row>
    <row r="2041" spans="1:11" x14ac:dyDescent="0.25">
      <c r="A2041">
        <v>33.785873570384197</v>
      </c>
      <c r="B2041">
        <v>92.566205631269398</v>
      </c>
      <c r="C2041">
        <v>2001</v>
      </c>
    </row>
    <row r="2042" spans="1:11" x14ac:dyDescent="0.25">
      <c r="A2042">
        <v>41.438175951339197</v>
      </c>
      <c r="B2042">
        <v>100.21850801222401</v>
      </c>
      <c r="C2042">
        <v>2001</v>
      </c>
    </row>
    <row r="2043" spans="1:11" x14ac:dyDescent="0.25">
      <c r="A2043">
        <v>49.781491987775603</v>
      </c>
      <c r="B2043">
        <v>108.56182404866099</v>
      </c>
      <c r="C2043">
        <v>2001</v>
      </c>
    </row>
    <row r="2044" spans="1:11" x14ac:dyDescent="0.25">
      <c r="A2044">
        <v>54.540306316479104</v>
      </c>
      <c r="B2044">
        <v>113.32063837736401</v>
      </c>
      <c r="C2044">
        <v>2001</v>
      </c>
    </row>
    <row r="2045" spans="1:11" x14ac:dyDescent="0.25">
      <c r="A2045">
        <v>63.981659529017001</v>
      </c>
      <c r="B2045">
        <v>122.761991589902</v>
      </c>
      <c r="C2045">
        <v>2001</v>
      </c>
    </row>
    <row r="2046" spans="1:11" x14ac:dyDescent="0.25">
      <c r="A2046">
        <v>64.418675553465903</v>
      </c>
      <c r="B2046">
        <v>122.324975565453</v>
      </c>
      <c r="C2046">
        <v>2000</v>
      </c>
    </row>
    <row r="2047" spans="1:11" x14ac:dyDescent="0.25">
      <c r="A2047" t="s">
        <v>87</v>
      </c>
    </row>
    <row r="2048" spans="1:11" x14ac:dyDescent="0.25">
      <c r="A2048">
        <v>753</v>
      </c>
      <c r="B2048">
        <v>0</v>
      </c>
      <c r="C2048">
        <v>20.088560185910602</v>
      </c>
      <c r="D2048">
        <v>22.491949274735401</v>
      </c>
      <c r="E2048">
        <v>8</v>
      </c>
      <c r="F2048">
        <v>1.01722196789785</v>
      </c>
      <c r="G2048" t="s">
        <v>85</v>
      </c>
      <c r="H2048" t="s">
        <v>88</v>
      </c>
      <c r="I2048">
        <v>0</v>
      </c>
      <c r="J2048">
        <v>960</v>
      </c>
      <c r="K2048">
        <v>0.100785207567138</v>
      </c>
    </row>
    <row r="2049" spans="1:11" x14ac:dyDescent="0.25">
      <c r="A2049" t="s">
        <v>86</v>
      </c>
    </row>
    <row r="2050" spans="1:11" x14ac:dyDescent="0.25">
      <c r="A2050">
        <v>84.236825501402706</v>
      </c>
      <c r="B2050">
        <v>14.3094909003681</v>
      </c>
      <c r="C2050">
        <v>2000</v>
      </c>
    </row>
    <row r="2051" spans="1:11" x14ac:dyDescent="0.25">
      <c r="A2051">
        <v>69.927334601034701</v>
      </c>
      <c r="B2051">
        <v>0</v>
      </c>
      <c r="C2051">
        <v>2000</v>
      </c>
    </row>
    <row r="2052" spans="1:11" x14ac:dyDescent="0.25">
      <c r="A2052">
        <v>70.801366649932305</v>
      </c>
      <c r="B2052">
        <v>0</v>
      </c>
      <c r="C2052">
        <v>2001</v>
      </c>
    </row>
    <row r="2053" spans="1:11" x14ac:dyDescent="0.25">
      <c r="A2053">
        <v>84.901390013027196</v>
      </c>
      <c r="B2053">
        <v>14.1000233630949</v>
      </c>
      <c r="C2053">
        <v>2001</v>
      </c>
    </row>
    <row r="2054" spans="1:11" x14ac:dyDescent="0.25">
      <c r="A2054">
        <v>100.21850801222401</v>
      </c>
      <c r="B2054">
        <v>29.417141362292099</v>
      </c>
      <c r="C2054">
        <v>2001</v>
      </c>
    </row>
    <row r="2055" spans="1:11" x14ac:dyDescent="0.25">
      <c r="A2055">
        <v>100.69182562370899</v>
      </c>
      <c r="B2055">
        <v>29.890458973776401</v>
      </c>
      <c r="C2055">
        <v>2001</v>
      </c>
    </row>
    <row r="2056" spans="1:11" x14ac:dyDescent="0.25">
      <c r="A2056">
        <v>100.25480959926</v>
      </c>
      <c r="B2056">
        <v>30.327474998225199</v>
      </c>
      <c r="C2056">
        <v>2000</v>
      </c>
    </row>
    <row r="2057" spans="1:11" x14ac:dyDescent="0.25">
      <c r="A2057">
        <v>99.781491987775595</v>
      </c>
      <c r="B2057">
        <v>29.854157386740901</v>
      </c>
      <c r="C2057">
        <v>2000</v>
      </c>
    </row>
    <row r="2058" spans="1:11" x14ac:dyDescent="0.25">
      <c r="A2058" t="s">
        <v>87</v>
      </c>
    </row>
    <row r="2059" spans="1:11" x14ac:dyDescent="0.25">
      <c r="A2059">
        <v>816</v>
      </c>
      <c r="B2059">
        <v>0</v>
      </c>
      <c r="C2059">
        <v>31.200184966999799</v>
      </c>
      <c r="D2059">
        <v>11.357120492656501</v>
      </c>
      <c r="E2059">
        <v>6</v>
      </c>
      <c r="F2059">
        <v>1.01722196789785</v>
      </c>
      <c r="G2059" t="s">
        <v>85</v>
      </c>
      <c r="H2059" t="s">
        <v>88</v>
      </c>
      <c r="I2059">
        <v>0</v>
      </c>
      <c r="J2059">
        <v>965</v>
      </c>
      <c r="K2059">
        <v>0.102861961526139</v>
      </c>
    </row>
    <row r="2060" spans="1:11" x14ac:dyDescent="0.25">
      <c r="A2060" t="s">
        <v>86</v>
      </c>
    </row>
    <row r="2061" spans="1:11" x14ac:dyDescent="0.25">
      <c r="A2061">
        <v>131.92135281955601</v>
      </c>
      <c r="B2061">
        <v>21.901666827515601</v>
      </c>
      <c r="C2061">
        <v>2000</v>
      </c>
    </row>
    <row r="2062" spans="1:11" x14ac:dyDescent="0.25">
      <c r="A2062">
        <v>110.01968599204</v>
      </c>
      <c r="B2062">
        <v>0</v>
      </c>
      <c r="C2062">
        <v>2000</v>
      </c>
    </row>
    <row r="2063" spans="1:11" x14ac:dyDescent="0.25">
      <c r="A2063">
        <v>109.14565394314199</v>
      </c>
      <c r="B2063">
        <v>0</v>
      </c>
      <c r="C2063">
        <v>2001</v>
      </c>
    </row>
    <row r="2064" spans="1:11" x14ac:dyDescent="0.25">
      <c r="A2064">
        <v>131.367711844507</v>
      </c>
      <c r="B2064">
        <v>22.2220579013647</v>
      </c>
      <c r="C2064">
        <v>2001</v>
      </c>
    </row>
    <row r="2065" spans="1:11" x14ac:dyDescent="0.25">
      <c r="A2065">
        <v>139.45672123491701</v>
      </c>
      <c r="B2065">
        <v>30.311067291774702</v>
      </c>
      <c r="C2065">
        <v>2001</v>
      </c>
    </row>
    <row r="2066" spans="1:11" x14ac:dyDescent="0.25">
      <c r="A2066">
        <v>139.89373725936599</v>
      </c>
      <c r="B2066">
        <v>29.8740512673258</v>
      </c>
      <c r="C2066">
        <v>2000</v>
      </c>
    </row>
    <row r="2067" spans="1:11" x14ac:dyDescent="0.25">
      <c r="A2067" t="s">
        <v>87</v>
      </c>
    </row>
    <row r="2068" spans="1:11" x14ac:dyDescent="0.25">
      <c r="A2068">
        <v>1034</v>
      </c>
      <c r="B2068">
        <v>0</v>
      </c>
      <c r="C2068">
        <v>29.686155416403</v>
      </c>
      <c r="D2068">
        <v>12.4657306503334</v>
      </c>
      <c r="E2068">
        <v>6</v>
      </c>
      <c r="F2068">
        <v>1.01722196789785</v>
      </c>
      <c r="G2068" t="s">
        <v>85</v>
      </c>
      <c r="H2068" t="s">
        <v>85</v>
      </c>
      <c r="I2068">
        <v>0</v>
      </c>
      <c r="J2068">
        <v>0</v>
      </c>
      <c r="K2068">
        <v>0.114487545660881</v>
      </c>
    </row>
    <row r="2069" spans="1:11" x14ac:dyDescent="0.25">
      <c r="A2069" t="s">
        <v>86</v>
      </c>
    </row>
    <row r="2070" spans="1:11" x14ac:dyDescent="0.25">
      <c r="A2070">
        <v>141.056156985564</v>
      </c>
      <c r="B2070">
        <v>21.299057487605101</v>
      </c>
      <c r="C2070">
        <v>2000</v>
      </c>
    </row>
    <row r="2071" spans="1:11" x14ac:dyDescent="0.25">
      <c r="A2071">
        <v>119.757099497959</v>
      </c>
      <c r="B2071">
        <v>0</v>
      </c>
      <c r="C2071">
        <v>2000</v>
      </c>
    </row>
    <row r="2072" spans="1:11" x14ac:dyDescent="0.25">
      <c r="A2072">
        <v>120.63113154685701</v>
      </c>
      <c r="B2072">
        <v>0</v>
      </c>
      <c r="C2072">
        <v>2001</v>
      </c>
    </row>
    <row r="2073" spans="1:11" x14ac:dyDescent="0.25">
      <c r="A2073">
        <v>141.314637663844</v>
      </c>
      <c r="B2073">
        <v>20.683506116987498</v>
      </c>
      <c r="C2073">
        <v>2001</v>
      </c>
    </row>
    <row r="2074" spans="1:11" x14ac:dyDescent="0.25">
      <c r="A2074">
        <v>150</v>
      </c>
      <c r="B2074">
        <v>29.3688684531432</v>
      </c>
      <c r="C2074">
        <v>2001</v>
      </c>
    </row>
    <row r="2075" spans="1:11" x14ac:dyDescent="0.25">
      <c r="A2075">
        <v>150</v>
      </c>
      <c r="B2075">
        <v>30.242900502040801</v>
      </c>
      <c r="C2075">
        <v>2000</v>
      </c>
    </row>
    <row r="2076" spans="1:11" x14ac:dyDescent="0.25">
      <c r="A2076" t="s">
        <v>87</v>
      </c>
    </row>
    <row r="2077" spans="1:11" x14ac:dyDescent="0.25">
      <c r="A2077">
        <v>600</v>
      </c>
      <c r="B2077">
        <v>0</v>
      </c>
      <c r="C2077">
        <v>19.5300277454967</v>
      </c>
      <c r="D2077">
        <v>22.5441481924097</v>
      </c>
      <c r="E2077">
        <v>6</v>
      </c>
      <c r="F2077">
        <v>1.01722196789785</v>
      </c>
      <c r="G2077" t="s">
        <v>85</v>
      </c>
      <c r="H2077" t="s">
        <v>85</v>
      </c>
      <c r="I2077">
        <v>0</v>
      </c>
      <c r="J2077">
        <v>0</v>
      </c>
      <c r="K2077">
        <v>0</v>
      </c>
    </row>
    <row r="2078" spans="1:11" x14ac:dyDescent="0.25">
      <c r="A2078" t="s">
        <v>86</v>
      </c>
    </row>
    <row r="2079" spans="1:11" x14ac:dyDescent="0.25">
      <c r="A2079">
        <v>13.6069605755689</v>
      </c>
      <c r="B2079">
        <v>134.29304148148799</v>
      </c>
      <c r="C2079">
        <v>2000</v>
      </c>
    </row>
    <row r="2080" spans="1:11" x14ac:dyDescent="0.25">
      <c r="A2080">
        <v>0</v>
      </c>
      <c r="B2080">
        <v>120.686080905919</v>
      </c>
      <c r="C2080">
        <v>2000</v>
      </c>
    </row>
    <row r="2081" spans="1:11" x14ac:dyDescent="0.25">
      <c r="A2081">
        <v>0</v>
      </c>
      <c r="B2081">
        <v>119.81204885702201</v>
      </c>
      <c r="C2081">
        <v>2001</v>
      </c>
    </row>
    <row r="2082" spans="1:11" x14ac:dyDescent="0.25">
      <c r="A2082">
        <v>14.0126695356354</v>
      </c>
      <c r="B2082">
        <v>133.82471839265699</v>
      </c>
      <c r="C2082">
        <v>2001</v>
      </c>
    </row>
    <row r="2083" spans="1:11" x14ac:dyDescent="0.25">
      <c r="A2083">
        <v>30.187951142978299</v>
      </c>
      <c r="B2083">
        <v>150</v>
      </c>
      <c r="C2083">
        <v>2001</v>
      </c>
    </row>
    <row r="2084" spans="1:11" x14ac:dyDescent="0.25">
      <c r="A2084">
        <v>29.3139190940806</v>
      </c>
      <c r="B2084">
        <v>150</v>
      </c>
      <c r="C2084">
        <v>2000</v>
      </c>
    </row>
    <row r="2085" spans="1:11" x14ac:dyDescent="0.25">
      <c r="A2085" t="s">
        <v>87</v>
      </c>
    </row>
    <row r="2086" spans="1:11" x14ac:dyDescent="0.25">
      <c r="A2086">
        <v>750</v>
      </c>
      <c r="B2086">
        <v>0</v>
      </c>
      <c r="C2086">
        <v>30.9928104310933</v>
      </c>
      <c r="D2086">
        <v>10.8503356679453</v>
      </c>
      <c r="E2086">
        <v>10</v>
      </c>
      <c r="F2086">
        <v>1.01722196789785</v>
      </c>
      <c r="G2086" t="s">
        <v>88</v>
      </c>
      <c r="H2086" t="s">
        <v>88</v>
      </c>
      <c r="I2086">
        <v>37</v>
      </c>
      <c r="J2086">
        <v>748</v>
      </c>
      <c r="K2086">
        <v>0.101399532687084</v>
      </c>
    </row>
    <row r="2087" spans="1:11" x14ac:dyDescent="0.25">
      <c r="A2087" t="s">
        <v>86</v>
      </c>
    </row>
    <row r="2088" spans="1:11" x14ac:dyDescent="0.25">
      <c r="A2088">
        <v>67.853817739917105</v>
      </c>
      <c r="B2088">
        <v>65.074854545334603</v>
      </c>
      <c r="C2088">
        <v>2000</v>
      </c>
    </row>
    <row r="2089" spans="1:11" x14ac:dyDescent="0.25">
      <c r="A2089">
        <v>52.560455182358098</v>
      </c>
      <c r="B2089">
        <v>49.781491987775603</v>
      </c>
      <c r="C2089">
        <v>2000</v>
      </c>
    </row>
    <row r="2090" spans="1:11" x14ac:dyDescent="0.25">
      <c r="A2090">
        <v>50.218508012224397</v>
      </c>
      <c r="B2090">
        <v>47.439544817641902</v>
      </c>
      <c r="C2090">
        <v>2000</v>
      </c>
    </row>
    <row r="2091" spans="1:11" x14ac:dyDescent="0.25">
      <c r="A2091">
        <v>45.938591316061803</v>
      </c>
      <c r="B2091">
        <v>43.159628121479301</v>
      </c>
      <c r="C2091">
        <v>2000</v>
      </c>
    </row>
    <row r="2092" spans="1:11" x14ac:dyDescent="0.25">
      <c r="A2092">
        <v>45.501575291613001</v>
      </c>
      <c r="B2092">
        <v>43.596644145928103</v>
      </c>
      <c r="C2092">
        <v>2001</v>
      </c>
    </row>
    <row r="2093" spans="1:11" x14ac:dyDescent="0.25">
      <c r="A2093">
        <v>49.781491987775603</v>
      </c>
      <c r="B2093">
        <v>47.876560842090697</v>
      </c>
      <c r="C2093">
        <v>2001</v>
      </c>
    </row>
    <row r="2094" spans="1:11" x14ac:dyDescent="0.25">
      <c r="A2094">
        <v>52.123439157909303</v>
      </c>
      <c r="B2094">
        <v>50.218508012224397</v>
      </c>
      <c r="C2094">
        <v>2001</v>
      </c>
    </row>
    <row r="2095" spans="1:11" x14ac:dyDescent="0.25">
      <c r="A2095">
        <v>67.416801715468296</v>
      </c>
      <c r="B2095">
        <v>65.511870569783397</v>
      </c>
      <c r="C2095">
        <v>2001</v>
      </c>
    </row>
    <row r="2096" spans="1:11" x14ac:dyDescent="0.25">
      <c r="A2096">
        <v>75.089147644422596</v>
      </c>
      <c r="B2096">
        <v>73.184216498737797</v>
      </c>
      <c r="C2096">
        <v>2001</v>
      </c>
    </row>
    <row r="2097" spans="1:11" x14ac:dyDescent="0.25">
      <c r="A2097">
        <v>75.526163668871405</v>
      </c>
      <c r="B2097">
        <v>72.747200474289002</v>
      </c>
      <c r="C2097">
        <v>2000</v>
      </c>
    </row>
    <row r="2098" spans="1:11" x14ac:dyDescent="0.25">
      <c r="A2098" t="s">
        <v>87</v>
      </c>
    </row>
    <row r="2099" spans="1:11" x14ac:dyDescent="0.25">
      <c r="A2099">
        <v>261</v>
      </c>
      <c r="B2099">
        <v>0</v>
      </c>
      <c r="C2099">
        <v>33.884244947846099</v>
      </c>
      <c r="D2099">
        <v>7.71392349856146</v>
      </c>
      <c r="E2099">
        <v>8</v>
      </c>
      <c r="F2099">
        <v>1.01722196789785</v>
      </c>
      <c r="G2099" t="s">
        <v>85</v>
      </c>
      <c r="H2099" t="s">
        <v>88</v>
      </c>
      <c r="I2099">
        <v>0</v>
      </c>
      <c r="J2099">
        <v>780</v>
      </c>
      <c r="K2099">
        <v>0</v>
      </c>
    </row>
    <row r="2100" spans="1:11" x14ac:dyDescent="0.25">
      <c r="A2100" t="s">
        <v>86</v>
      </c>
    </row>
    <row r="2101" spans="1:11" x14ac:dyDescent="0.25">
      <c r="A2101">
        <v>95.9650384281519</v>
      </c>
      <c r="B2101">
        <v>23.774431793008201</v>
      </c>
      <c r="C2101">
        <v>2000</v>
      </c>
    </row>
    <row r="2102" spans="1:11" x14ac:dyDescent="0.25">
      <c r="A2102">
        <v>72.190606635143695</v>
      </c>
      <c r="B2102">
        <v>0</v>
      </c>
      <c r="C2102">
        <v>2000</v>
      </c>
    </row>
    <row r="2103" spans="1:11" x14ac:dyDescent="0.25">
      <c r="A2103">
        <v>71.316574586246006</v>
      </c>
      <c r="B2103">
        <v>0</v>
      </c>
      <c r="C2103">
        <v>2001</v>
      </c>
    </row>
    <row r="2104" spans="1:11" x14ac:dyDescent="0.25">
      <c r="A2104">
        <v>95.461701549253902</v>
      </c>
      <c r="B2104">
        <v>24.145126963007801</v>
      </c>
      <c r="C2104">
        <v>2001</v>
      </c>
    </row>
    <row r="2105" spans="1:11" x14ac:dyDescent="0.25">
      <c r="A2105">
        <v>99.781491987775595</v>
      </c>
      <c r="B2105">
        <v>28.464917401529501</v>
      </c>
      <c r="C2105">
        <v>2001</v>
      </c>
    </row>
    <row r="2106" spans="1:11" x14ac:dyDescent="0.25">
      <c r="A2106">
        <v>100.94942959186599</v>
      </c>
      <c r="B2106">
        <v>29.632855005619501</v>
      </c>
      <c r="C2106">
        <v>2001</v>
      </c>
    </row>
    <row r="2107" spans="1:11" x14ac:dyDescent="0.25">
      <c r="A2107">
        <v>101.38644561631401</v>
      </c>
      <c r="B2107">
        <v>29.195838981170599</v>
      </c>
      <c r="C2107">
        <v>2000</v>
      </c>
    </row>
    <row r="2108" spans="1:11" x14ac:dyDescent="0.25">
      <c r="A2108">
        <v>100.21850801222401</v>
      </c>
      <c r="B2108">
        <v>28.027901377080699</v>
      </c>
      <c r="C2108">
        <v>2000</v>
      </c>
    </row>
    <row r="2109" spans="1:11" x14ac:dyDescent="0.25">
      <c r="A2109" t="s">
        <v>87</v>
      </c>
    </row>
    <row r="2110" spans="1:11" x14ac:dyDescent="0.25">
      <c r="A2110">
        <v>819</v>
      </c>
      <c r="B2110">
        <v>0</v>
      </c>
      <c r="C2110">
        <v>5.98739134504945</v>
      </c>
      <c r="D2110">
        <v>35.5065661232126</v>
      </c>
      <c r="E2110">
        <v>6</v>
      </c>
      <c r="F2110">
        <v>1.01722196789785</v>
      </c>
      <c r="G2110" t="s">
        <v>85</v>
      </c>
      <c r="H2110" t="s">
        <v>88</v>
      </c>
      <c r="I2110">
        <v>0</v>
      </c>
      <c r="J2110">
        <v>852</v>
      </c>
      <c r="K2110">
        <v>0.102861961526139</v>
      </c>
    </row>
    <row r="2111" spans="1:11" x14ac:dyDescent="0.25">
      <c r="A2111" t="s">
        <v>86</v>
      </c>
    </row>
    <row r="2112" spans="1:11" x14ac:dyDescent="0.25">
      <c r="A2112">
        <v>4.2652547446073603</v>
      </c>
      <c r="B2112">
        <v>14.124505763164301</v>
      </c>
      <c r="C2112">
        <v>2000</v>
      </c>
    </row>
    <row r="2113" spans="1:11" x14ac:dyDescent="0.25">
      <c r="A2113">
        <v>0</v>
      </c>
      <c r="B2113">
        <v>9.8592510185569804</v>
      </c>
      <c r="C2113">
        <v>2000</v>
      </c>
    </row>
    <row r="2114" spans="1:11" x14ac:dyDescent="0.25">
      <c r="A2114">
        <v>0</v>
      </c>
      <c r="B2114">
        <v>10.7332830674546</v>
      </c>
      <c r="C2114">
        <v>2001</v>
      </c>
    </row>
    <row r="2115" spans="1:11" x14ac:dyDescent="0.25">
      <c r="A2115">
        <v>4.2021952987968598</v>
      </c>
      <c r="B2115">
        <v>14.9354783662515</v>
      </c>
      <c r="C2115">
        <v>2001</v>
      </c>
    </row>
    <row r="2116" spans="1:11" x14ac:dyDescent="0.25">
      <c r="A2116">
        <v>29.1221506918499</v>
      </c>
      <c r="B2116">
        <v>39.855433759304503</v>
      </c>
      <c r="C2116">
        <v>2001</v>
      </c>
    </row>
    <row r="2117" spans="1:11" x14ac:dyDescent="0.25">
      <c r="A2117">
        <v>29.559166716298702</v>
      </c>
      <c r="B2117">
        <v>39.418417734855701</v>
      </c>
      <c r="C2117">
        <v>2000</v>
      </c>
    </row>
    <row r="2118" spans="1:11" x14ac:dyDescent="0.25">
      <c r="A2118" t="s">
        <v>87</v>
      </c>
    </row>
    <row r="2119" spans="1:11" x14ac:dyDescent="0.25">
      <c r="A2119">
        <v>817</v>
      </c>
      <c r="B2119">
        <v>0</v>
      </c>
      <c r="C2119">
        <v>8.2256767045944699</v>
      </c>
      <c r="D2119">
        <v>33.215768149661898</v>
      </c>
      <c r="E2119">
        <v>8</v>
      </c>
      <c r="F2119">
        <v>1.01722196789785</v>
      </c>
      <c r="G2119" t="s">
        <v>88</v>
      </c>
      <c r="H2119" t="s">
        <v>88</v>
      </c>
      <c r="I2119">
        <v>881</v>
      </c>
      <c r="J2119">
        <v>784</v>
      </c>
      <c r="K2119">
        <v>0.102861961526139</v>
      </c>
    </row>
    <row r="2120" spans="1:11" x14ac:dyDescent="0.25">
      <c r="A2120" t="s">
        <v>86</v>
      </c>
    </row>
    <row r="2121" spans="1:11" x14ac:dyDescent="0.25">
      <c r="A2121">
        <v>31.136827542514698</v>
      </c>
      <c r="B2121">
        <v>66.088684624563498</v>
      </c>
      <c r="C2121">
        <v>2000</v>
      </c>
    </row>
    <row r="2122" spans="1:11" x14ac:dyDescent="0.25">
      <c r="A2122">
        <v>25.320395764847799</v>
      </c>
      <c r="B2122">
        <v>60.2722528468965</v>
      </c>
      <c r="C2122">
        <v>2000</v>
      </c>
    </row>
    <row r="2123" spans="1:11" x14ac:dyDescent="0.25">
      <c r="A2123">
        <v>25.757411789296601</v>
      </c>
      <c r="B2123">
        <v>59.835236822447698</v>
      </c>
      <c r="C2123">
        <v>2001</v>
      </c>
    </row>
    <row r="2124" spans="1:11" x14ac:dyDescent="0.25">
      <c r="A2124">
        <v>31.5738435669636</v>
      </c>
      <c r="B2124">
        <v>65.651668600114704</v>
      </c>
      <c r="C2124">
        <v>2001</v>
      </c>
    </row>
    <row r="2125" spans="1:11" x14ac:dyDescent="0.25">
      <c r="A2125">
        <v>50.218508012224397</v>
      </c>
      <c r="B2125">
        <v>84.296333045375505</v>
      </c>
      <c r="C2125">
        <v>2001</v>
      </c>
    </row>
    <row r="2126" spans="1:11" x14ac:dyDescent="0.25">
      <c r="A2126">
        <v>55.060938467909601</v>
      </c>
      <c r="B2126">
        <v>89.138763501060694</v>
      </c>
      <c r="C2126">
        <v>2001</v>
      </c>
    </row>
    <row r="2127" spans="1:11" x14ac:dyDescent="0.25">
      <c r="A2127">
        <v>54.623922443460799</v>
      </c>
      <c r="B2127">
        <v>89.575779525509503</v>
      </c>
      <c r="C2127">
        <v>2000</v>
      </c>
    </row>
    <row r="2128" spans="1:11" x14ac:dyDescent="0.25">
      <c r="A2128">
        <v>49.781491987775603</v>
      </c>
      <c r="B2128">
        <v>84.7333490698243</v>
      </c>
      <c r="C2128">
        <v>2000</v>
      </c>
    </row>
    <row r="2129" spans="1:11" x14ac:dyDescent="0.25">
      <c r="A2129" t="s">
        <v>87</v>
      </c>
    </row>
    <row r="2130" spans="1:11" x14ac:dyDescent="0.25">
      <c r="A2130">
        <v>193</v>
      </c>
      <c r="B2130">
        <v>0</v>
      </c>
      <c r="C2130">
        <v>39.741929378004301</v>
      </c>
      <c r="D2130">
        <v>1.5431330361056199</v>
      </c>
      <c r="E2130">
        <v>6</v>
      </c>
      <c r="F2130">
        <v>1.01722196789785</v>
      </c>
      <c r="G2130" t="s">
        <v>88</v>
      </c>
      <c r="H2130" t="s">
        <v>85</v>
      </c>
      <c r="I2130">
        <v>186</v>
      </c>
      <c r="J2130">
        <v>0</v>
      </c>
      <c r="K2130">
        <v>0</v>
      </c>
    </row>
    <row r="2131" spans="1:11" x14ac:dyDescent="0.25">
      <c r="A2131" t="s">
        <v>86</v>
      </c>
    </row>
    <row r="2132" spans="1:11" x14ac:dyDescent="0.25">
      <c r="A2132">
        <v>148.90067287941099</v>
      </c>
      <c r="B2132">
        <v>88.166412683193897</v>
      </c>
      <c r="C2132">
        <v>2000</v>
      </c>
    </row>
    <row r="2133" spans="1:11" x14ac:dyDescent="0.25">
      <c r="A2133">
        <v>120.58854439304901</v>
      </c>
      <c r="B2133">
        <v>59.8542841968316</v>
      </c>
      <c r="C2133">
        <v>2000</v>
      </c>
    </row>
    <row r="2134" spans="1:11" x14ac:dyDescent="0.25">
      <c r="A2134">
        <v>121.025560417497</v>
      </c>
      <c r="B2134">
        <v>59.417268172382698</v>
      </c>
      <c r="C2134">
        <v>2001</v>
      </c>
    </row>
    <row r="2135" spans="1:11" x14ac:dyDescent="0.25">
      <c r="A2135">
        <v>148.91700745238199</v>
      </c>
      <c r="B2135">
        <v>87.308715207267696</v>
      </c>
      <c r="C2135">
        <v>2001</v>
      </c>
    </row>
    <row r="2136" spans="1:11" x14ac:dyDescent="0.25">
      <c r="A2136">
        <v>150</v>
      </c>
      <c r="B2136">
        <v>88.391707754885303</v>
      </c>
      <c r="C2136">
        <v>2001</v>
      </c>
    </row>
    <row r="2137" spans="1:11" x14ac:dyDescent="0.25">
      <c r="A2137">
        <v>150</v>
      </c>
      <c r="B2137">
        <v>89.265739803782907</v>
      </c>
      <c r="C2137">
        <v>2000</v>
      </c>
    </row>
    <row r="2138" spans="1:11" x14ac:dyDescent="0.25">
      <c r="A2138" t="s">
        <v>87</v>
      </c>
    </row>
    <row r="2139" spans="1:11" x14ac:dyDescent="0.25">
      <c r="A2139">
        <v>349</v>
      </c>
      <c r="B2139">
        <v>0</v>
      </c>
      <c r="C2139">
        <v>37.258512216755697</v>
      </c>
      <c r="D2139">
        <v>4.02505492040211</v>
      </c>
      <c r="E2139">
        <v>8</v>
      </c>
      <c r="F2139">
        <v>1.01722196789785</v>
      </c>
      <c r="G2139" t="s">
        <v>88</v>
      </c>
      <c r="H2139" t="s">
        <v>85</v>
      </c>
      <c r="I2139">
        <v>809</v>
      </c>
      <c r="J2139">
        <v>0</v>
      </c>
      <c r="K2139">
        <v>0</v>
      </c>
    </row>
    <row r="2140" spans="1:11" x14ac:dyDescent="0.25">
      <c r="A2140" t="s">
        <v>86</v>
      </c>
    </row>
    <row r="2141" spans="1:11" x14ac:dyDescent="0.25">
      <c r="A2141">
        <v>59.8030041118338</v>
      </c>
      <c r="B2141">
        <v>147.20155409761699</v>
      </c>
      <c r="C2141">
        <v>2000</v>
      </c>
    </row>
    <row r="2142" spans="1:11" x14ac:dyDescent="0.25">
      <c r="A2142">
        <v>49.781491987775603</v>
      </c>
      <c r="B2142">
        <v>137.18004197355799</v>
      </c>
      <c r="C2142">
        <v>2000</v>
      </c>
    </row>
    <row r="2143" spans="1:11" x14ac:dyDescent="0.25">
      <c r="A2143">
        <v>33.628067752187199</v>
      </c>
      <c r="B2143">
        <v>121.02661773797</v>
      </c>
      <c r="C2143">
        <v>2000</v>
      </c>
    </row>
    <row r="2144" spans="1:11" x14ac:dyDescent="0.25">
      <c r="A2144">
        <v>34.065083776636001</v>
      </c>
      <c r="B2144">
        <v>120.58960171352101</v>
      </c>
      <c r="C2144">
        <v>2001</v>
      </c>
    </row>
    <row r="2145" spans="1:11" x14ac:dyDescent="0.25">
      <c r="A2145">
        <v>50.218508012224397</v>
      </c>
      <c r="B2145">
        <v>136.74302594911001</v>
      </c>
      <c r="C2145">
        <v>2001</v>
      </c>
    </row>
    <row r="2146" spans="1:11" x14ac:dyDescent="0.25">
      <c r="A2146">
        <v>60.581640707768798</v>
      </c>
      <c r="B2146">
        <v>147.10615864465399</v>
      </c>
      <c r="C2146">
        <v>2001</v>
      </c>
    </row>
    <row r="2147" spans="1:11" x14ac:dyDescent="0.25">
      <c r="A2147">
        <v>63.475482063114796</v>
      </c>
      <c r="B2147">
        <v>150</v>
      </c>
      <c r="C2147">
        <v>2001</v>
      </c>
    </row>
    <row r="2148" spans="1:11" x14ac:dyDescent="0.25">
      <c r="A2148">
        <v>62.6014500142171</v>
      </c>
      <c r="B2148">
        <v>150</v>
      </c>
      <c r="C2148">
        <v>2000</v>
      </c>
    </row>
    <row r="2149" spans="1:11" x14ac:dyDescent="0.25">
      <c r="A2149" t="s">
        <v>87</v>
      </c>
    </row>
    <row r="2150" spans="1:11" x14ac:dyDescent="0.25">
      <c r="A2150">
        <v>779</v>
      </c>
      <c r="B2150">
        <v>0</v>
      </c>
      <c r="C2150">
        <v>10.557151378533799</v>
      </c>
      <c r="D2150">
        <v>30.6213950767021</v>
      </c>
      <c r="E2150">
        <v>8</v>
      </c>
      <c r="F2150">
        <v>1.01722196789785</v>
      </c>
      <c r="G2150" t="s">
        <v>88</v>
      </c>
      <c r="H2150" t="s">
        <v>88</v>
      </c>
      <c r="I2150">
        <v>577</v>
      </c>
      <c r="J2150">
        <v>921</v>
      </c>
      <c r="K2150">
        <v>0.101910405093446</v>
      </c>
    </row>
    <row r="2151" spans="1:11" x14ac:dyDescent="0.25">
      <c r="A2151" t="s">
        <v>86</v>
      </c>
    </row>
    <row r="2152" spans="1:11" x14ac:dyDescent="0.25">
      <c r="A2152">
        <v>53.429389125872</v>
      </c>
      <c r="B2152">
        <v>116.20167307518101</v>
      </c>
      <c r="C2152">
        <v>2000</v>
      </c>
    </row>
    <row r="2153" spans="1:11" x14ac:dyDescent="0.25">
      <c r="A2153">
        <v>49.781491987775603</v>
      </c>
      <c r="B2153">
        <v>112.553775937084</v>
      </c>
      <c r="C2153">
        <v>2000</v>
      </c>
    </row>
    <row r="2154" spans="1:11" x14ac:dyDescent="0.25">
      <c r="A2154">
        <v>45.964355796097799</v>
      </c>
      <c r="B2154">
        <v>108.73663974540599</v>
      </c>
      <c r="C2154">
        <v>2000</v>
      </c>
    </row>
    <row r="2155" spans="1:11" x14ac:dyDescent="0.25">
      <c r="A2155">
        <v>46.401371820546601</v>
      </c>
      <c r="B2155">
        <v>108.299623720958</v>
      </c>
      <c r="C2155">
        <v>2001</v>
      </c>
    </row>
    <row r="2156" spans="1:11" x14ac:dyDescent="0.25">
      <c r="A2156">
        <v>50.218508012224397</v>
      </c>
      <c r="B2156">
        <v>112.116759912635</v>
      </c>
      <c r="C2156">
        <v>2001</v>
      </c>
    </row>
    <row r="2157" spans="1:11" x14ac:dyDescent="0.25">
      <c r="A2157">
        <v>53.866405150320801</v>
      </c>
      <c r="B2157">
        <v>115.764657050732</v>
      </c>
      <c r="C2157">
        <v>2001</v>
      </c>
    </row>
    <row r="2158" spans="1:11" x14ac:dyDescent="0.25">
      <c r="A2158">
        <v>75.519001258449194</v>
      </c>
      <c r="B2158">
        <v>137.41725315886001</v>
      </c>
      <c r="C2158">
        <v>2001</v>
      </c>
    </row>
    <row r="2159" spans="1:11" x14ac:dyDescent="0.25">
      <c r="A2159">
        <v>75.081985234000399</v>
      </c>
      <c r="B2159">
        <v>137.85426918330899</v>
      </c>
      <c r="C2159">
        <v>2000</v>
      </c>
    </row>
    <row r="2160" spans="1:11" x14ac:dyDescent="0.25">
      <c r="A2160" t="s">
        <v>87</v>
      </c>
    </row>
    <row r="2161" spans="1:11" x14ac:dyDescent="0.25">
      <c r="A2161">
        <v>33</v>
      </c>
      <c r="B2161">
        <v>0</v>
      </c>
      <c r="C2161">
        <v>20.362915787891801</v>
      </c>
      <c r="D2161">
        <v>20.745790952091799</v>
      </c>
      <c r="E2161">
        <v>8</v>
      </c>
      <c r="F2161">
        <v>1.01722196789785</v>
      </c>
      <c r="G2161" t="s">
        <v>88</v>
      </c>
      <c r="H2161" t="s">
        <v>88</v>
      </c>
      <c r="I2161">
        <v>9</v>
      </c>
      <c r="J2161">
        <v>932</v>
      </c>
      <c r="K2161">
        <v>0</v>
      </c>
    </row>
    <row r="2162" spans="1:11" x14ac:dyDescent="0.25">
      <c r="A2162" t="s">
        <v>86</v>
      </c>
    </row>
    <row r="2163" spans="1:11" x14ac:dyDescent="0.25">
      <c r="A2163">
        <v>23.5448316394139</v>
      </c>
      <c r="B2163">
        <v>43.189588760109601</v>
      </c>
      <c r="C2163">
        <v>2000</v>
      </c>
    </row>
    <row r="2164" spans="1:11" x14ac:dyDescent="0.25">
      <c r="A2164">
        <v>9.1460758010650398</v>
      </c>
      <c r="B2164">
        <v>28.7908329217607</v>
      </c>
      <c r="C2164">
        <v>2000</v>
      </c>
    </row>
    <row r="2165" spans="1:11" x14ac:dyDescent="0.25">
      <c r="A2165">
        <v>9.5830918255138595</v>
      </c>
      <c r="B2165">
        <v>28.353816897311901</v>
      </c>
      <c r="C2165">
        <v>2001</v>
      </c>
    </row>
    <row r="2166" spans="1:11" x14ac:dyDescent="0.25">
      <c r="A2166">
        <v>23.981847663862801</v>
      </c>
      <c r="B2166">
        <v>42.752572735660799</v>
      </c>
      <c r="C2166">
        <v>2001</v>
      </c>
    </row>
    <row r="2167" spans="1:11" x14ac:dyDescent="0.25">
      <c r="A2167">
        <v>31.010766915977602</v>
      </c>
      <c r="B2167">
        <v>49.781491987775603</v>
      </c>
      <c r="C2167">
        <v>2001</v>
      </c>
    </row>
    <row r="2168" spans="1:11" x14ac:dyDescent="0.25">
      <c r="A2168">
        <v>38.651337127165398</v>
      </c>
      <c r="B2168">
        <v>57.422062198963403</v>
      </c>
      <c r="C2168">
        <v>2001</v>
      </c>
    </row>
    <row r="2169" spans="1:11" x14ac:dyDescent="0.25">
      <c r="A2169">
        <v>38.214321102716603</v>
      </c>
      <c r="B2169">
        <v>57.859078223412197</v>
      </c>
      <c r="C2169">
        <v>2000</v>
      </c>
    </row>
    <row r="2170" spans="1:11" x14ac:dyDescent="0.25">
      <c r="A2170">
        <v>30.5737508915287</v>
      </c>
      <c r="B2170">
        <v>50.218508012224397</v>
      </c>
      <c r="C2170">
        <v>2000</v>
      </c>
    </row>
    <row r="2171" spans="1:11" x14ac:dyDescent="0.25">
      <c r="A2171" t="s">
        <v>87</v>
      </c>
    </row>
    <row r="2172" spans="1:11" x14ac:dyDescent="0.25">
      <c r="A2172">
        <v>813</v>
      </c>
      <c r="B2172">
        <v>0</v>
      </c>
      <c r="C2172">
        <v>23.3470164083996</v>
      </c>
      <c r="D2172">
        <v>17.745376347857601</v>
      </c>
      <c r="E2172">
        <v>6</v>
      </c>
      <c r="F2172">
        <v>1.01722196789785</v>
      </c>
      <c r="G2172" t="s">
        <v>88</v>
      </c>
      <c r="H2172" t="s">
        <v>88</v>
      </c>
      <c r="I2172">
        <v>744</v>
      </c>
      <c r="J2172">
        <v>843</v>
      </c>
      <c r="K2172">
        <v>0.102861961526139</v>
      </c>
    </row>
    <row r="2173" spans="1:11" x14ac:dyDescent="0.25">
      <c r="A2173" t="s">
        <v>86</v>
      </c>
    </row>
    <row r="2174" spans="1:11" x14ac:dyDescent="0.25">
      <c r="A2174">
        <v>79.753233956528305</v>
      </c>
      <c r="B2174">
        <v>81.772713858989604</v>
      </c>
      <c r="C2174">
        <v>2000</v>
      </c>
    </row>
    <row r="2175" spans="1:11" x14ac:dyDescent="0.25">
      <c r="A2175">
        <v>63.244400333675301</v>
      </c>
      <c r="B2175">
        <v>65.2638802361366</v>
      </c>
      <c r="C2175">
        <v>2000</v>
      </c>
    </row>
    <row r="2176" spans="1:11" x14ac:dyDescent="0.25">
      <c r="A2176">
        <v>63.681416358124203</v>
      </c>
      <c r="B2176">
        <v>64.826864211687806</v>
      </c>
      <c r="C2176">
        <v>2001</v>
      </c>
    </row>
    <row r="2177" spans="1:11" x14ac:dyDescent="0.25">
      <c r="A2177">
        <v>80.1902499809771</v>
      </c>
      <c r="B2177">
        <v>81.335697834540795</v>
      </c>
      <c r="C2177">
        <v>2001</v>
      </c>
    </row>
    <row r="2178" spans="1:11" x14ac:dyDescent="0.25">
      <c r="A2178">
        <v>92.738125931254601</v>
      </c>
      <c r="B2178">
        <v>93.883573784818196</v>
      </c>
      <c r="C2178">
        <v>2001</v>
      </c>
    </row>
    <row r="2179" spans="1:11" x14ac:dyDescent="0.25">
      <c r="A2179">
        <v>92.301109906805706</v>
      </c>
      <c r="B2179">
        <v>94.320589809267005</v>
      </c>
      <c r="C2179">
        <v>2000</v>
      </c>
    </row>
    <row r="2180" spans="1:11" x14ac:dyDescent="0.25">
      <c r="A2180" t="s">
        <v>87</v>
      </c>
    </row>
    <row r="2181" spans="1:11" x14ac:dyDescent="0.25">
      <c r="A2181">
        <v>32</v>
      </c>
      <c r="B2181">
        <v>0</v>
      </c>
      <c r="C2181">
        <v>25.8275218713807</v>
      </c>
      <c r="D2181">
        <v>15.112740919929699</v>
      </c>
      <c r="E2181">
        <v>6</v>
      </c>
      <c r="F2181">
        <v>1.01722196789785</v>
      </c>
      <c r="G2181" t="s">
        <v>85</v>
      </c>
      <c r="H2181" t="s">
        <v>88</v>
      </c>
      <c r="I2181">
        <v>0</v>
      </c>
      <c r="J2181">
        <v>742</v>
      </c>
      <c r="K2181">
        <v>0</v>
      </c>
    </row>
    <row r="2182" spans="1:11" x14ac:dyDescent="0.25">
      <c r="A2182" t="s">
        <v>86</v>
      </c>
    </row>
    <row r="2183" spans="1:11" x14ac:dyDescent="0.25">
      <c r="A2183">
        <v>24.792723888826799</v>
      </c>
      <c r="B2183">
        <v>18.1249681711131</v>
      </c>
      <c r="C2183">
        <v>2000</v>
      </c>
    </row>
    <row r="2184" spans="1:11" x14ac:dyDescent="0.25">
      <c r="A2184">
        <v>6.6677557177136402</v>
      </c>
      <c r="B2184">
        <v>0</v>
      </c>
      <c r="C2184">
        <v>2000</v>
      </c>
    </row>
    <row r="2185" spans="1:11" x14ac:dyDescent="0.25">
      <c r="A2185">
        <v>5.7937236688159901</v>
      </c>
      <c r="B2185">
        <v>0</v>
      </c>
      <c r="C2185">
        <v>2001</v>
      </c>
    </row>
    <row r="2186" spans="1:11" x14ac:dyDescent="0.25">
      <c r="A2186">
        <v>24.1943872106973</v>
      </c>
      <c r="B2186">
        <v>18.4006635418813</v>
      </c>
      <c r="C2186">
        <v>2001</v>
      </c>
    </row>
    <row r="2187" spans="1:11" x14ac:dyDescent="0.25">
      <c r="A2187">
        <v>34.961369124335299</v>
      </c>
      <c r="B2187">
        <v>29.167645455519299</v>
      </c>
      <c r="C2187">
        <v>2001</v>
      </c>
    </row>
    <row r="2188" spans="1:11" x14ac:dyDescent="0.25">
      <c r="A2188">
        <v>35.398385148784101</v>
      </c>
      <c r="B2188">
        <v>28.730629431070501</v>
      </c>
      <c r="C2188">
        <v>2000</v>
      </c>
    </row>
    <row r="2189" spans="1:11" x14ac:dyDescent="0.25">
      <c r="A2189" t="s">
        <v>87</v>
      </c>
    </row>
    <row r="2190" spans="1:11" x14ac:dyDescent="0.25">
      <c r="A2190">
        <v>937</v>
      </c>
      <c r="B2190">
        <v>0</v>
      </c>
      <c r="C2190">
        <v>36.508347974425803</v>
      </c>
      <c r="D2190">
        <v>4.3181280237554196</v>
      </c>
      <c r="E2190">
        <v>8</v>
      </c>
      <c r="F2190">
        <v>1.01722196789785</v>
      </c>
      <c r="G2190" t="s">
        <v>85</v>
      </c>
      <c r="H2190" t="s">
        <v>88</v>
      </c>
      <c r="I2190">
        <v>0</v>
      </c>
      <c r="J2190">
        <v>981</v>
      </c>
      <c r="K2190">
        <v>0.10610230776941799</v>
      </c>
    </row>
    <row r="2191" spans="1:11" x14ac:dyDescent="0.25">
      <c r="A2191" t="s">
        <v>86</v>
      </c>
    </row>
    <row r="2192" spans="1:11" x14ac:dyDescent="0.25">
      <c r="A2192">
        <v>98.889517672845997</v>
      </c>
      <c r="B2192">
        <v>25.607573111439599</v>
      </c>
      <c r="C2192">
        <v>2000</v>
      </c>
    </row>
    <row r="2193" spans="1:11" x14ac:dyDescent="0.25">
      <c r="A2193">
        <v>73.281944561406405</v>
      </c>
      <c r="B2193">
        <v>0</v>
      </c>
      <c r="C2193">
        <v>2000</v>
      </c>
    </row>
    <row r="2194" spans="1:11" x14ac:dyDescent="0.25">
      <c r="A2194">
        <v>72.407912512508702</v>
      </c>
      <c r="B2194">
        <v>0</v>
      </c>
      <c r="C2194">
        <v>2001</v>
      </c>
    </row>
    <row r="2195" spans="1:11" x14ac:dyDescent="0.25">
      <c r="A2195">
        <v>98.430940246338295</v>
      </c>
      <c r="B2195">
        <v>26.023027733829601</v>
      </c>
      <c r="C2195">
        <v>2001</v>
      </c>
    </row>
    <row r="2196" spans="1:11" x14ac:dyDescent="0.25">
      <c r="A2196">
        <v>99.781491987775595</v>
      </c>
      <c r="B2196">
        <v>27.373579475266901</v>
      </c>
      <c r="C2196">
        <v>2001</v>
      </c>
    </row>
    <row r="2197" spans="1:11" x14ac:dyDescent="0.25">
      <c r="A2197">
        <v>101.495098554997</v>
      </c>
      <c r="B2197">
        <v>29.087186042488099</v>
      </c>
      <c r="C2197">
        <v>2001</v>
      </c>
    </row>
    <row r="2198" spans="1:11" x14ac:dyDescent="0.25">
      <c r="A2198">
        <v>101.93211457944599</v>
      </c>
      <c r="B2198">
        <v>28.650170018039301</v>
      </c>
      <c r="C2198">
        <v>2000</v>
      </c>
    </row>
    <row r="2199" spans="1:11" x14ac:dyDescent="0.25">
      <c r="A2199">
        <v>100.21850801222401</v>
      </c>
      <c r="B2199">
        <v>26.936563450817999</v>
      </c>
      <c r="C2199">
        <v>2000</v>
      </c>
    </row>
    <row r="2200" spans="1:11" x14ac:dyDescent="0.25">
      <c r="A2200" t="s">
        <v>87</v>
      </c>
    </row>
    <row r="2201" spans="1:11" x14ac:dyDescent="0.25">
      <c r="A2201">
        <v>1018</v>
      </c>
      <c r="B2201">
        <v>0</v>
      </c>
      <c r="C2201">
        <v>5.1445624415928801</v>
      </c>
      <c r="D2201">
        <v>35.641141300851899</v>
      </c>
      <c r="E2201">
        <v>8</v>
      </c>
      <c r="F2201">
        <v>1.01722196789785</v>
      </c>
      <c r="G2201" t="s">
        <v>88</v>
      </c>
      <c r="H2201" t="s">
        <v>85</v>
      </c>
      <c r="I2201">
        <v>883</v>
      </c>
      <c r="J2201">
        <v>0</v>
      </c>
      <c r="K2201">
        <v>0.112999713672855</v>
      </c>
    </row>
    <row r="2202" spans="1:11" x14ac:dyDescent="0.25">
      <c r="A2202" t="s">
        <v>86</v>
      </c>
    </row>
    <row r="2203" spans="1:11" x14ac:dyDescent="0.25">
      <c r="A2203">
        <v>124.99174796211</v>
      </c>
      <c r="B2203">
        <v>86.700530596681503</v>
      </c>
      <c r="C2203">
        <v>2000</v>
      </c>
    </row>
    <row r="2204" spans="1:11" x14ac:dyDescent="0.25">
      <c r="A2204">
        <v>121.378660320476</v>
      </c>
      <c r="B2204">
        <v>83.087442955047393</v>
      </c>
      <c r="C2204">
        <v>2000</v>
      </c>
    </row>
    <row r="2205" spans="1:11" x14ac:dyDescent="0.25">
      <c r="A2205">
        <v>120.94164429602699</v>
      </c>
      <c r="B2205">
        <v>83.524458979496202</v>
      </c>
      <c r="C2205">
        <v>2001</v>
      </c>
    </row>
    <row r="2206" spans="1:11" x14ac:dyDescent="0.25">
      <c r="A2206">
        <v>124.604066631769</v>
      </c>
      <c r="B2206">
        <v>87.186881315237898</v>
      </c>
      <c r="C2206">
        <v>2001</v>
      </c>
    </row>
    <row r="2207" spans="1:11" x14ac:dyDescent="0.25">
      <c r="A2207">
        <v>137.74889443837</v>
      </c>
      <c r="B2207">
        <v>100.331709121838</v>
      </c>
      <c r="C2207">
        <v>2001</v>
      </c>
    </row>
    <row r="2208" spans="1:11" x14ac:dyDescent="0.25">
      <c r="A2208">
        <v>150</v>
      </c>
      <c r="B2208">
        <v>112.582814683469</v>
      </c>
      <c r="C2208">
        <v>2001</v>
      </c>
    </row>
    <row r="2209" spans="1:11" x14ac:dyDescent="0.25">
      <c r="A2209">
        <v>150</v>
      </c>
      <c r="B2209">
        <v>111.70878263457099</v>
      </c>
      <c r="C2209">
        <v>2000</v>
      </c>
    </row>
    <row r="2210" spans="1:11" x14ac:dyDescent="0.25">
      <c r="A2210">
        <v>137.95950824358999</v>
      </c>
      <c r="B2210">
        <v>99.668290878161599</v>
      </c>
      <c r="C2210">
        <v>2000</v>
      </c>
    </row>
    <row r="2211" spans="1:11" x14ac:dyDescent="0.25">
      <c r="A2211" t="s">
        <v>87</v>
      </c>
    </row>
    <row r="2212" spans="1:11" x14ac:dyDescent="0.25">
      <c r="A2212">
        <v>905</v>
      </c>
      <c r="B2212">
        <v>0</v>
      </c>
      <c r="C2212">
        <v>3.3248807515118002</v>
      </c>
      <c r="D2212">
        <v>36.985231613623696</v>
      </c>
      <c r="E2212">
        <v>8</v>
      </c>
      <c r="F2212">
        <v>1.01722196789785</v>
      </c>
      <c r="G2212" t="s">
        <v>85</v>
      </c>
      <c r="H2212" t="s">
        <v>88</v>
      </c>
      <c r="I2212">
        <v>0</v>
      </c>
      <c r="J2212">
        <v>403</v>
      </c>
      <c r="K2212">
        <v>0.105080877406349</v>
      </c>
    </row>
    <row r="2213" spans="1:11" x14ac:dyDescent="0.25">
      <c r="A2213" t="s">
        <v>86</v>
      </c>
    </row>
    <row r="2214" spans="1:11" x14ac:dyDescent="0.25">
      <c r="A2214">
        <v>87.619147024780702</v>
      </c>
      <c r="B2214">
        <v>2.3171029920417401</v>
      </c>
      <c r="C2214">
        <v>2000</v>
      </c>
    </row>
    <row r="2215" spans="1:11" x14ac:dyDescent="0.25">
      <c r="A2215">
        <v>85.302044032738905</v>
      </c>
      <c r="B2215">
        <v>0</v>
      </c>
      <c r="C2215">
        <v>2000</v>
      </c>
    </row>
    <row r="2216" spans="1:11" x14ac:dyDescent="0.25">
      <c r="A2216">
        <v>84.428011983841301</v>
      </c>
      <c r="B2216">
        <v>0</v>
      </c>
      <c r="C2216">
        <v>2001</v>
      </c>
    </row>
    <row r="2217" spans="1:11" x14ac:dyDescent="0.25">
      <c r="A2217">
        <v>86.813000443860801</v>
      </c>
      <c r="B2217">
        <v>2.3849884600194899</v>
      </c>
      <c r="C2217">
        <v>2001</v>
      </c>
    </row>
    <row r="2218" spans="1:11" x14ac:dyDescent="0.25">
      <c r="A2218">
        <v>99.781491987775595</v>
      </c>
      <c r="B2218">
        <v>15.353480003934299</v>
      </c>
      <c r="C2218">
        <v>2001</v>
      </c>
    </row>
    <row r="2219" spans="1:11" x14ac:dyDescent="0.25">
      <c r="A2219">
        <v>113.150073799845</v>
      </c>
      <c r="B2219">
        <v>28.7220618160034</v>
      </c>
      <c r="C2219">
        <v>2001</v>
      </c>
    </row>
    <row r="2220" spans="1:11" x14ac:dyDescent="0.25">
      <c r="A2220">
        <v>113.587089824294</v>
      </c>
      <c r="B2220">
        <v>28.285045791554602</v>
      </c>
      <c r="C2220">
        <v>2000</v>
      </c>
    </row>
    <row r="2221" spans="1:11" x14ac:dyDescent="0.25">
      <c r="A2221">
        <v>100.21850801222401</v>
      </c>
      <c r="B2221">
        <v>14.916463979485499</v>
      </c>
      <c r="C2221">
        <v>2000</v>
      </c>
    </row>
    <row r="2222" spans="1:11" x14ac:dyDescent="0.25">
      <c r="A2222" t="s">
        <v>87</v>
      </c>
    </row>
    <row r="2223" spans="1:11" x14ac:dyDescent="0.25">
      <c r="A2223">
        <v>665</v>
      </c>
      <c r="B2223">
        <v>0</v>
      </c>
      <c r="C2223">
        <v>15.3415055785939</v>
      </c>
      <c r="D2223">
        <v>24.946912038992998</v>
      </c>
      <c r="E2223">
        <v>8</v>
      </c>
      <c r="F2223">
        <v>1.01722196789785</v>
      </c>
      <c r="G2223" t="s">
        <v>88</v>
      </c>
      <c r="H2223" t="s">
        <v>85</v>
      </c>
      <c r="I2223">
        <v>933</v>
      </c>
      <c r="J2223">
        <v>0</v>
      </c>
      <c r="K2223">
        <v>0</v>
      </c>
    </row>
    <row r="2224" spans="1:11" x14ac:dyDescent="0.25">
      <c r="A2224" t="s">
        <v>86</v>
      </c>
    </row>
    <row r="2225" spans="1:11" x14ac:dyDescent="0.25">
      <c r="A2225">
        <v>108.95280774302501</v>
      </c>
      <c r="B2225">
        <v>132.21332376781501</v>
      </c>
      <c r="C2225">
        <v>2000</v>
      </c>
    </row>
    <row r="2226" spans="1:11" x14ac:dyDescent="0.25">
      <c r="A2226">
        <v>100.21850801222401</v>
      </c>
      <c r="B2226">
        <v>123.47902403701499</v>
      </c>
      <c r="C2226">
        <v>2000</v>
      </c>
    </row>
    <row r="2227" spans="1:11" x14ac:dyDescent="0.25">
      <c r="A2227">
        <v>98.0327626623138</v>
      </c>
      <c r="B2227">
        <v>121.29327868710401</v>
      </c>
      <c r="C2227">
        <v>2000</v>
      </c>
    </row>
    <row r="2228" spans="1:11" x14ac:dyDescent="0.25">
      <c r="A2228">
        <v>97.595746637865005</v>
      </c>
      <c r="B2228">
        <v>121.730294711553</v>
      </c>
      <c r="C2228">
        <v>2001</v>
      </c>
    </row>
    <row r="2229" spans="1:11" x14ac:dyDescent="0.25">
      <c r="A2229">
        <v>99.781491987775595</v>
      </c>
      <c r="B2229">
        <v>123.916040061464</v>
      </c>
      <c r="C2229">
        <v>2001</v>
      </c>
    </row>
    <row r="2230" spans="1:11" x14ac:dyDescent="0.25">
      <c r="A2230">
        <v>108.371866813624</v>
      </c>
      <c r="B2230">
        <v>132.50641488731199</v>
      </c>
      <c r="C2230">
        <v>2001</v>
      </c>
    </row>
    <row r="2231" spans="1:11" x14ac:dyDescent="0.25">
      <c r="A2231">
        <v>125.86545192631201</v>
      </c>
      <c r="B2231">
        <v>150</v>
      </c>
      <c r="C2231">
        <v>2001</v>
      </c>
    </row>
    <row r="2232" spans="1:11" x14ac:dyDescent="0.25">
      <c r="A2232">
        <v>126.739483975209</v>
      </c>
      <c r="B2232">
        <v>150</v>
      </c>
      <c r="C2232">
        <v>2000</v>
      </c>
    </row>
    <row r="2233" spans="1:11" x14ac:dyDescent="0.25">
      <c r="A2233" t="s">
        <v>87</v>
      </c>
    </row>
    <row r="2234" spans="1:11" x14ac:dyDescent="0.25">
      <c r="A2234">
        <v>506</v>
      </c>
      <c r="B2234">
        <v>0</v>
      </c>
      <c r="C2234">
        <v>17.7930049435708</v>
      </c>
      <c r="D2234">
        <v>22.4829225492117</v>
      </c>
      <c r="E2234">
        <v>8</v>
      </c>
      <c r="F2234">
        <v>1.01722196789785</v>
      </c>
      <c r="G2234" t="s">
        <v>88</v>
      </c>
      <c r="H2234" t="s">
        <v>88</v>
      </c>
      <c r="I2234">
        <v>520</v>
      </c>
      <c r="J2234">
        <v>823</v>
      </c>
      <c r="K2234">
        <v>0</v>
      </c>
    </row>
    <row r="2235" spans="1:11" x14ac:dyDescent="0.25">
      <c r="A2235" t="s">
        <v>86</v>
      </c>
    </row>
    <row r="2236" spans="1:11" x14ac:dyDescent="0.25">
      <c r="A2236">
        <v>39.832375139381199</v>
      </c>
      <c r="B2236">
        <v>81.013429909023898</v>
      </c>
      <c r="C2236">
        <v>2000</v>
      </c>
    </row>
    <row r="2237" spans="1:11" x14ac:dyDescent="0.25">
      <c r="A2237">
        <v>27.2508206860965</v>
      </c>
      <c r="B2237">
        <v>68.431875455739203</v>
      </c>
      <c r="C2237">
        <v>2000</v>
      </c>
    </row>
    <row r="2238" spans="1:11" x14ac:dyDescent="0.25">
      <c r="A2238">
        <v>26.813804661647598</v>
      </c>
      <c r="B2238">
        <v>68.868891480188097</v>
      </c>
      <c r="C2238">
        <v>2001</v>
      </c>
    </row>
    <row r="2239" spans="1:11" x14ac:dyDescent="0.25">
      <c r="A2239">
        <v>39.395359114932297</v>
      </c>
      <c r="B2239">
        <v>81.450445933472807</v>
      </c>
      <c r="C2239">
        <v>2001</v>
      </c>
    </row>
    <row r="2240" spans="1:11" x14ac:dyDescent="0.25">
      <c r="A2240">
        <v>49.781491987775603</v>
      </c>
      <c r="B2240">
        <v>91.836578806315998</v>
      </c>
      <c r="C2240">
        <v>2001</v>
      </c>
    </row>
    <row r="2241" spans="1:11" x14ac:dyDescent="0.25">
      <c r="A2241">
        <v>55.293186110371899</v>
      </c>
      <c r="B2241">
        <v>97.348272928912294</v>
      </c>
      <c r="C2241">
        <v>2001</v>
      </c>
    </row>
    <row r="2242" spans="1:11" x14ac:dyDescent="0.25">
      <c r="A2242">
        <v>55.730202134820701</v>
      </c>
      <c r="B2242">
        <v>96.911256904463499</v>
      </c>
      <c r="C2242">
        <v>2000</v>
      </c>
    </row>
    <row r="2243" spans="1:11" x14ac:dyDescent="0.25">
      <c r="A2243">
        <v>50.218508012224397</v>
      </c>
      <c r="B2243">
        <v>91.399562781867203</v>
      </c>
      <c r="C2243">
        <v>2000</v>
      </c>
    </row>
    <row r="2244" spans="1:11" x14ac:dyDescent="0.25">
      <c r="A2244" t="s">
        <v>87</v>
      </c>
    </row>
    <row r="2245" spans="1:11" x14ac:dyDescent="0.25">
      <c r="A2245">
        <v>986</v>
      </c>
      <c r="B2245">
        <v>0</v>
      </c>
      <c r="C2245">
        <v>33.095360388513797</v>
      </c>
      <c r="D2245">
        <v>7.1735095401916</v>
      </c>
      <c r="E2245">
        <v>8</v>
      </c>
      <c r="F2245">
        <v>1.01722196789785</v>
      </c>
      <c r="G2245" t="s">
        <v>85</v>
      </c>
      <c r="H2245" t="s">
        <v>88</v>
      </c>
      <c r="I2245">
        <v>0</v>
      </c>
      <c r="J2245">
        <v>867</v>
      </c>
      <c r="K2245">
        <v>0.110686640133976</v>
      </c>
    </row>
    <row r="2246" spans="1:11" x14ac:dyDescent="0.25">
      <c r="A2246" t="s">
        <v>86</v>
      </c>
    </row>
    <row r="2247" spans="1:11" x14ac:dyDescent="0.25">
      <c r="A2247">
        <v>115.28395806057701</v>
      </c>
      <c r="B2247">
        <v>23.584755783010401</v>
      </c>
      <c r="C2247">
        <v>2000</v>
      </c>
    </row>
    <row r="2248" spans="1:11" x14ac:dyDescent="0.25">
      <c r="A2248">
        <v>99.636409439308196</v>
      </c>
      <c r="B2248">
        <v>7.9372071617416902</v>
      </c>
      <c r="C2248">
        <v>2000</v>
      </c>
    </row>
    <row r="2249" spans="1:11" x14ac:dyDescent="0.25">
      <c r="A2249">
        <v>91.699202277566499</v>
      </c>
      <c r="B2249">
        <v>0</v>
      </c>
      <c r="C2249">
        <v>2000</v>
      </c>
    </row>
    <row r="2250" spans="1:11" x14ac:dyDescent="0.25">
      <c r="A2250">
        <v>92.573234326464103</v>
      </c>
      <c r="B2250">
        <v>0</v>
      </c>
      <c r="C2250">
        <v>2001</v>
      </c>
    </row>
    <row r="2251" spans="1:11" x14ac:dyDescent="0.25">
      <c r="A2251">
        <v>100.363590560692</v>
      </c>
      <c r="B2251">
        <v>7.7903562342276702</v>
      </c>
      <c r="C2251">
        <v>2001</v>
      </c>
    </row>
    <row r="2252" spans="1:11" x14ac:dyDescent="0.25">
      <c r="A2252">
        <v>115.792386056515</v>
      </c>
      <c r="B2252">
        <v>23.219151730051099</v>
      </c>
      <c r="C2252">
        <v>2001</v>
      </c>
    </row>
    <row r="2253" spans="1:11" x14ac:dyDescent="0.25">
      <c r="A2253">
        <v>120.829117311546</v>
      </c>
      <c r="B2253">
        <v>28.255882985082199</v>
      </c>
      <c r="C2253">
        <v>2001</v>
      </c>
    </row>
    <row r="2254" spans="1:11" x14ac:dyDescent="0.25">
      <c r="A2254">
        <v>120.392101287098</v>
      </c>
      <c r="B2254">
        <v>28.692899009531001</v>
      </c>
      <c r="C2254">
        <v>2000</v>
      </c>
    </row>
    <row r="2255" spans="1:11" x14ac:dyDescent="0.25">
      <c r="A2255" t="s">
        <v>87</v>
      </c>
    </row>
    <row r="2256" spans="1:11" x14ac:dyDescent="0.25">
      <c r="A2256">
        <v>940</v>
      </c>
      <c r="B2256">
        <v>0</v>
      </c>
      <c r="C2256">
        <v>16.6845770766238</v>
      </c>
      <c r="D2256">
        <v>23.573787183103001</v>
      </c>
      <c r="E2256">
        <v>8</v>
      </c>
      <c r="F2256">
        <v>1.01722196789785</v>
      </c>
      <c r="G2256" t="s">
        <v>85</v>
      </c>
      <c r="H2256" t="s">
        <v>88</v>
      </c>
      <c r="I2256">
        <v>0</v>
      </c>
      <c r="J2256">
        <v>770</v>
      </c>
      <c r="K2256">
        <v>0.10626245288241699</v>
      </c>
    </row>
    <row r="2257" spans="1:11" x14ac:dyDescent="0.25">
      <c r="A2257" t="s">
        <v>86</v>
      </c>
    </row>
    <row r="2258" spans="1:11" x14ac:dyDescent="0.25">
      <c r="A2258">
        <v>11.6761848063224</v>
      </c>
      <c r="B2258">
        <v>40.912034054202998</v>
      </c>
      <c r="C2258">
        <v>2000</v>
      </c>
    </row>
    <row r="2259" spans="1:11" x14ac:dyDescent="0.25">
      <c r="A2259">
        <v>0</v>
      </c>
      <c r="B2259">
        <v>29.235849247880601</v>
      </c>
      <c r="C2259">
        <v>2000</v>
      </c>
    </row>
    <row r="2260" spans="1:11" x14ac:dyDescent="0.25">
      <c r="A2260">
        <v>0</v>
      </c>
      <c r="B2260">
        <v>28.361817198983001</v>
      </c>
      <c r="C2260">
        <v>2001</v>
      </c>
    </row>
    <row r="2261" spans="1:11" x14ac:dyDescent="0.25">
      <c r="A2261">
        <v>11.9193703778983</v>
      </c>
      <c r="B2261">
        <v>40.281187576881202</v>
      </c>
      <c r="C2261">
        <v>2001</v>
      </c>
    </row>
    <row r="2262" spans="1:11" x14ac:dyDescent="0.25">
      <c r="A2262">
        <v>21.419674788792701</v>
      </c>
      <c r="B2262">
        <v>49.781491987775603</v>
      </c>
      <c r="C2262">
        <v>2001</v>
      </c>
    </row>
    <row r="2263" spans="1:11" x14ac:dyDescent="0.25">
      <c r="A2263">
        <v>28.685470379755401</v>
      </c>
      <c r="B2263">
        <v>57.047287578738299</v>
      </c>
      <c r="C2263">
        <v>2001</v>
      </c>
    </row>
    <row r="2264" spans="1:11" x14ac:dyDescent="0.25">
      <c r="A2264">
        <v>28.248454355306599</v>
      </c>
      <c r="B2264">
        <v>57.4843036031872</v>
      </c>
      <c r="C2264">
        <v>2000</v>
      </c>
    </row>
    <row r="2265" spans="1:11" x14ac:dyDescent="0.25">
      <c r="A2265">
        <v>20.9826587643438</v>
      </c>
      <c r="B2265">
        <v>50.218508012224397</v>
      </c>
      <c r="C2265">
        <v>2000</v>
      </c>
    </row>
    <row r="2266" spans="1:11" x14ac:dyDescent="0.25">
      <c r="A2266" t="s">
        <v>87</v>
      </c>
    </row>
    <row r="2267" spans="1:11" x14ac:dyDescent="0.25">
      <c r="A2267">
        <v>185</v>
      </c>
      <c r="B2267">
        <v>0</v>
      </c>
      <c r="C2267">
        <v>26.4478463024466</v>
      </c>
      <c r="D2267">
        <v>13.8094084455862</v>
      </c>
      <c r="E2267">
        <v>8</v>
      </c>
      <c r="F2267">
        <v>1.01722196789785</v>
      </c>
      <c r="G2267" t="s">
        <v>88</v>
      </c>
      <c r="H2267" t="s">
        <v>88</v>
      </c>
      <c r="I2267">
        <v>1028</v>
      </c>
      <c r="J2267">
        <v>737</v>
      </c>
      <c r="K2267">
        <v>0</v>
      </c>
    </row>
    <row r="2268" spans="1:11" x14ac:dyDescent="0.25">
      <c r="A2268" t="s">
        <v>86</v>
      </c>
    </row>
    <row r="2269" spans="1:11" x14ac:dyDescent="0.25">
      <c r="A2269">
        <v>129.53136958952101</v>
      </c>
      <c r="B2269">
        <v>63.919009453109197</v>
      </c>
      <c r="C2269">
        <v>2000</v>
      </c>
    </row>
    <row r="2270" spans="1:11" x14ac:dyDescent="0.25">
      <c r="A2270">
        <v>115.830868148636</v>
      </c>
      <c r="B2270">
        <v>50.218508012224397</v>
      </c>
      <c r="C2270">
        <v>2000</v>
      </c>
    </row>
    <row r="2271" spans="1:11" x14ac:dyDescent="0.25">
      <c r="A2271">
        <v>110.82991812128201</v>
      </c>
      <c r="B2271">
        <v>45.2175579848697</v>
      </c>
      <c r="C2271">
        <v>2000</v>
      </c>
    </row>
    <row r="2272" spans="1:11" x14ac:dyDescent="0.25">
      <c r="A2272">
        <v>111.26693414573</v>
      </c>
      <c r="B2272">
        <v>44.780541960420798</v>
      </c>
      <c r="C2272">
        <v>2001</v>
      </c>
    </row>
    <row r="2273" spans="1:11" x14ac:dyDescent="0.25">
      <c r="A2273">
        <v>116.26788417308499</v>
      </c>
      <c r="B2273">
        <v>49.781491987775603</v>
      </c>
      <c r="C2273">
        <v>2001</v>
      </c>
    </row>
    <row r="2274" spans="1:11" x14ac:dyDescent="0.25">
      <c r="A2274">
        <v>129.96838561397001</v>
      </c>
      <c r="B2274">
        <v>63.481993428660402</v>
      </c>
      <c r="C2274">
        <v>2001</v>
      </c>
    </row>
    <row r="2275" spans="1:11" x14ac:dyDescent="0.25">
      <c r="A2275">
        <v>139.733111970019</v>
      </c>
      <c r="B2275">
        <v>73.2467197847092</v>
      </c>
      <c r="C2275">
        <v>2001</v>
      </c>
    </row>
    <row r="2276" spans="1:11" x14ac:dyDescent="0.25">
      <c r="A2276">
        <v>139.29609594556999</v>
      </c>
      <c r="B2276">
        <v>73.683735809157994</v>
      </c>
      <c r="C2276">
        <v>2000</v>
      </c>
    </row>
    <row r="2277" spans="1:11" x14ac:dyDescent="0.25">
      <c r="A2277" t="s">
        <v>87</v>
      </c>
    </row>
    <row r="2278" spans="1:11" x14ac:dyDescent="0.25">
      <c r="A2278">
        <v>864</v>
      </c>
      <c r="B2278">
        <v>0</v>
      </c>
      <c r="C2278">
        <v>17.869417481393</v>
      </c>
      <c r="D2278">
        <v>22.2609587756126</v>
      </c>
      <c r="E2278">
        <v>8</v>
      </c>
      <c r="F2278">
        <v>1.01722196789785</v>
      </c>
      <c r="G2278" t="s">
        <v>88</v>
      </c>
      <c r="H2278" t="s">
        <v>85</v>
      </c>
      <c r="I2278">
        <v>328</v>
      </c>
      <c r="J2278">
        <v>0</v>
      </c>
      <c r="K2278">
        <v>0.10413651460953199</v>
      </c>
    </row>
    <row r="2279" spans="1:11" x14ac:dyDescent="0.25">
      <c r="A2279" t="s">
        <v>86</v>
      </c>
    </row>
    <row r="2280" spans="1:11" x14ac:dyDescent="0.25">
      <c r="A2280">
        <v>111.89523625601799</v>
      </c>
      <c r="B2280">
        <v>134.13325094392201</v>
      </c>
      <c r="C2280">
        <v>2000</v>
      </c>
    </row>
    <row r="2281" spans="1:11" x14ac:dyDescent="0.25">
      <c r="A2281">
        <v>100.21850801222401</v>
      </c>
      <c r="B2281">
        <v>122.456522700128</v>
      </c>
      <c r="C2281">
        <v>2000</v>
      </c>
    </row>
    <row r="2282" spans="1:11" x14ac:dyDescent="0.25">
      <c r="A2282">
        <v>99.167016116975503</v>
      </c>
      <c r="B2282">
        <v>121.405030804879</v>
      </c>
      <c r="C2282">
        <v>2000</v>
      </c>
    </row>
    <row r="2283" spans="1:11" x14ac:dyDescent="0.25">
      <c r="A2283">
        <v>98.730000092526694</v>
      </c>
      <c r="B2283">
        <v>121.842046829328</v>
      </c>
      <c r="C2283">
        <v>2001</v>
      </c>
    </row>
    <row r="2284" spans="1:11" x14ac:dyDescent="0.25">
      <c r="A2284">
        <v>99.781491987775595</v>
      </c>
      <c r="B2284">
        <v>122.893538724577</v>
      </c>
      <c r="C2284">
        <v>2001</v>
      </c>
    </row>
    <row r="2285" spans="1:11" x14ac:dyDescent="0.25">
      <c r="A2285">
        <v>111.272952507377</v>
      </c>
      <c r="B2285">
        <v>134.384999244179</v>
      </c>
      <c r="C2285">
        <v>2001</v>
      </c>
    </row>
    <row r="2286" spans="1:11" x14ac:dyDescent="0.25">
      <c r="A2286">
        <v>126.88795326319899</v>
      </c>
      <c r="B2286">
        <v>150</v>
      </c>
      <c r="C2286">
        <v>2001</v>
      </c>
    </row>
    <row r="2287" spans="1:11" x14ac:dyDescent="0.25">
      <c r="A2287">
        <v>127.761985312096</v>
      </c>
      <c r="B2287">
        <v>150</v>
      </c>
      <c r="C2287">
        <v>2000</v>
      </c>
    </row>
    <row r="2288" spans="1:11" x14ac:dyDescent="0.25">
      <c r="A2288" t="s">
        <v>87</v>
      </c>
    </row>
    <row r="2289" spans="1:11" x14ac:dyDescent="0.25">
      <c r="A2289">
        <v>1002</v>
      </c>
      <c r="B2289">
        <v>0</v>
      </c>
      <c r="C2289">
        <v>12.4042227559402</v>
      </c>
      <c r="D2289">
        <v>27.590862115327401</v>
      </c>
      <c r="E2289">
        <v>8</v>
      </c>
      <c r="F2289">
        <v>1.01722196789785</v>
      </c>
      <c r="G2289" t="s">
        <v>88</v>
      </c>
      <c r="H2289" t="s">
        <v>85</v>
      </c>
      <c r="I2289">
        <v>195</v>
      </c>
      <c r="J2289">
        <v>0</v>
      </c>
      <c r="K2289">
        <v>0.111764262772312</v>
      </c>
    </row>
    <row r="2290" spans="1:11" x14ac:dyDescent="0.25">
      <c r="A2290" t="s">
        <v>86</v>
      </c>
    </row>
    <row r="2291" spans="1:11" x14ac:dyDescent="0.25">
      <c r="A2291">
        <v>130.29955212260401</v>
      </c>
      <c r="B2291">
        <v>103.083884117091</v>
      </c>
      <c r="C2291">
        <v>2000</v>
      </c>
    </row>
    <row r="2292" spans="1:11" x14ac:dyDescent="0.25">
      <c r="A2292">
        <v>127.434176017737</v>
      </c>
      <c r="B2292">
        <v>100.21850801222401</v>
      </c>
      <c r="C2292">
        <v>2000</v>
      </c>
    </row>
    <row r="2293" spans="1:11" x14ac:dyDescent="0.25">
      <c r="A2293">
        <v>121.500696261171</v>
      </c>
      <c r="B2293">
        <v>94.285028255658304</v>
      </c>
      <c r="C2293">
        <v>2000</v>
      </c>
    </row>
    <row r="2294" spans="1:11" x14ac:dyDescent="0.25">
      <c r="A2294">
        <v>121.93771228561999</v>
      </c>
      <c r="B2294">
        <v>93.848012231209495</v>
      </c>
      <c r="C2294">
        <v>2001</v>
      </c>
    </row>
    <row r="2295" spans="1:11" x14ac:dyDescent="0.25">
      <c r="A2295">
        <v>127.871192042186</v>
      </c>
      <c r="B2295">
        <v>99.781491987775595</v>
      </c>
      <c r="C2295">
        <v>2001</v>
      </c>
    </row>
    <row r="2296" spans="1:11" x14ac:dyDescent="0.25">
      <c r="A2296">
        <v>130.68107647633499</v>
      </c>
      <c r="B2296">
        <v>102.591376421924</v>
      </c>
      <c r="C2296">
        <v>2001</v>
      </c>
    </row>
    <row r="2297" spans="1:11" x14ac:dyDescent="0.25">
      <c r="A2297">
        <v>150</v>
      </c>
      <c r="B2297">
        <v>121.91029994559</v>
      </c>
      <c r="C2297">
        <v>2001</v>
      </c>
    </row>
    <row r="2298" spans="1:11" x14ac:dyDescent="0.25">
      <c r="A2298">
        <v>150</v>
      </c>
      <c r="B2298">
        <v>122.784331994487</v>
      </c>
      <c r="C2298">
        <v>2000</v>
      </c>
    </row>
    <row r="2299" spans="1:11" x14ac:dyDescent="0.25">
      <c r="A2299" t="s">
        <v>87</v>
      </c>
    </row>
    <row r="2300" spans="1:11" x14ac:dyDescent="0.25">
      <c r="A2300">
        <v>440</v>
      </c>
      <c r="B2300">
        <v>0</v>
      </c>
      <c r="C2300">
        <v>31.908439872133599</v>
      </c>
      <c r="D2300">
        <v>8.0623356208189403</v>
      </c>
      <c r="E2300">
        <v>6</v>
      </c>
      <c r="F2300">
        <v>1.01722196789785</v>
      </c>
      <c r="G2300" t="s">
        <v>85</v>
      </c>
      <c r="H2300" t="s">
        <v>88</v>
      </c>
      <c r="I2300">
        <v>0</v>
      </c>
      <c r="J2300">
        <v>405</v>
      </c>
      <c r="K2300">
        <v>0</v>
      </c>
    </row>
    <row r="2301" spans="1:11" x14ac:dyDescent="0.25">
      <c r="A2301" t="s">
        <v>86</v>
      </c>
    </row>
    <row r="2302" spans="1:11" x14ac:dyDescent="0.25">
      <c r="A2302">
        <v>134.035853416745</v>
      </c>
      <c r="B2302">
        <v>22.388240522964399</v>
      </c>
      <c r="C2302">
        <v>2000</v>
      </c>
    </row>
    <row r="2303" spans="1:11" x14ac:dyDescent="0.25">
      <c r="A2303">
        <v>111.647612893781</v>
      </c>
      <c r="B2303">
        <v>0</v>
      </c>
      <c r="C2303">
        <v>2000</v>
      </c>
    </row>
    <row r="2304" spans="1:11" x14ac:dyDescent="0.25">
      <c r="A2304">
        <v>110.773580844883</v>
      </c>
      <c r="B2304">
        <v>0</v>
      </c>
      <c r="C2304">
        <v>2001</v>
      </c>
    </row>
    <row r="2305" spans="1:11" x14ac:dyDescent="0.25">
      <c r="A2305">
        <v>133.51068874325699</v>
      </c>
      <c r="B2305">
        <v>22.737107898373299</v>
      </c>
      <c r="C2305">
        <v>2001</v>
      </c>
    </row>
    <row r="2306" spans="1:11" x14ac:dyDescent="0.25">
      <c r="A2306">
        <v>139.255695257459</v>
      </c>
      <c r="B2306">
        <v>28.482114412576198</v>
      </c>
      <c r="C2306">
        <v>2001</v>
      </c>
    </row>
    <row r="2307" spans="1:11" x14ac:dyDescent="0.25">
      <c r="A2307">
        <v>139.692711281908</v>
      </c>
      <c r="B2307">
        <v>28.0450983881274</v>
      </c>
      <c r="C2307">
        <v>2000</v>
      </c>
    </row>
    <row r="2308" spans="1:11" x14ac:dyDescent="0.25">
      <c r="A2308" t="s">
        <v>87</v>
      </c>
    </row>
    <row r="2309" spans="1:11" x14ac:dyDescent="0.25">
      <c r="A2309">
        <v>836</v>
      </c>
      <c r="B2309">
        <v>0</v>
      </c>
      <c r="C2309">
        <v>30.823906365616299</v>
      </c>
      <c r="D2309">
        <v>9.0505093096799101</v>
      </c>
      <c r="E2309">
        <v>10</v>
      </c>
      <c r="F2309">
        <v>1.01722196789785</v>
      </c>
      <c r="G2309" t="s">
        <v>88</v>
      </c>
      <c r="H2309" t="s">
        <v>88</v>
      </c>
      <c r="I2309">
        <v>97</v>
      </c>
      <c r="J2309">
        <v>760</v>
      </c>
      <c r="K2309">
        <v>0.103306082875794</v>
      </c>
    </row>
    <row r="2310" spans="1:11" x14ac:dyDescent="0.25">
      <c r="A2310" t="s">
        <v>86</v>
      </c>
    </row>
    <row r="2311" spans="1:11" x14ac:dyDescent="0.25">
      <c r="A2311">
        <v>106.197986436639</v>
      </c>
      <c r="B2311">
        <v>116.849694005139</v>
      </c>
      <c r="C2311">
        <v>2000</v>
      </c>
    </row>
    <row r="2312" spans="1:11" x14ac:dyDescent="0.25">
      <c r="A2312">
        <v>99.781491987775595</v>
      </c>
      <c r="B2312">
        <v>110.43319955627599</v>
      </c>
      <c r="C2312">
        <v>2000</v>
      </c>
    </row>
    <row r="2313" spans="1:11" x14ac:dyDescent="0.25">
      <c r="A2313">
        <v>89.566800443724006</v>
      </c>
      <c r="B2313">
        <v>100.21850801222401</v>
      </c>
      <c r="C2313">
        <v>2000</v>
      </c>
    </row>
    <row r="2314" spans="1:11" x14ac:dyDescent="0.25">
      <c r="A2314">
        <v>84.402193222852304</v>
      </c>
      <c r="B2314">
        <v>95.053900791352703</v>
      </c>
      <c r="C2314">
        <v>2000</v>
      </c>
    </row>
    <row r="2315" spans="1:11" x14ac:dyDescent="0.25">
      <c r="A2315">
        <v>84.839209247301099</v>
      </c>
      <c r="B2315">
        <v>94.616884766903894</v>
      </c>
      <c r="C2315">
        <v>2001</v>
      </c>
    </row>
    <row r="2316" spans="1:11" x14ac:dyDescent="0.25">
      <c r="A2316">
        <v>90.003816468172801</v>
      </c>
      <c r="B2316">
        <v>99.781491987775595</v>
      </c>
      <c r="C2316">
        <v>2001</v>
      </c>
    </row>
    <row r="2317" spans="1:11" x14ac:dyDescent="0.25">
      <c r="A2317">
        <v>100.21850801222401</v>
      </c>
      <c r="B2317">
        <v>109.996183531827</v>
      </c>
      <c r="C2317">
        <v>2001</v>
      </c>
    </row>
    <row r="2318" spans="1:11" x14ac:dyDescent="0.25">
      <c r="A2318">
        <v>106.63500246108801</v>
      </c>
      <c r="B2318">
        <v>116.41267798069001</v>
      </c>
      <c r="C2318">
        <v>2001</v>
      </c>
    </row>
    <row r="2319" spans="1:11" x14ac:dyDescent="0.25">
      <c r="A2319">
        <v>113.03467896715399</v>
      </c>
      <c r="B2319">
        <v>122.812354486757</v>
      </c>
      <c r="C2319">
        <v>2001</v>
      </c>
    </row>
    <row r="2320" spans="1:11" x14ac:dyDescent="0.25">
      <c r="A2320">
        <v>112.597662942705</v>
      </c>
      <c r="B2320">
        <v>123.249370511206</v>
      </c>
      <c r="C2320">
        <v>2000</v>
      </c>
    </row>
    <row r="2321" spans="1:11" x14ac:dyDescent="0.25">
      <c r="A2321" t="s">
        <v>87</v>
      </c>
    </row>
    <row r="2322" spans="1:11" x14ac:dyDescent="0.25">
      <c r="A2322">
        <v>34</v>
      </c>
      <c r="B2322">
        <v>0</v>
      </c>
      <c r="C2322">
        <v>37.000836994664098</v>
      </c>
      <c r="D2322">
        <v>2.6499703644302999</v>
      </c>
      <c r="E2322">
        <v>6</v>
      </c>
      <c r="F2322">
        <v>1.01722196789785</v>
      </c>
      <c r="G2322" t="s">
        <v>85</v>
      </c>
      <c r="H2322" t="s">
        <v>88</v>
      </c>
      <c r="I2322">
        <v>0</v>
      </c>
      <c r="J2322">
        <v>40</v>
      </c>
      <c r="K2322">
        <v>0</v>
      </c>
    </row>
    <row r="2323" spans="1:11" x14ac:dyDescent="0.25">
      <c r="A2323" t="s">
        <v>86</v>
      </c>
    </row>
    <row r="2324" spans="1:11" x14ac:dyDescent="0.25">
      <c r="A2324">
        <v>37.642114479560497</v>
      </c>
      <c r="B2324">
        <v>26.3674472811195</v>
      </c>
      <c r="C2324">
        <v>2000</v>
      </c>
    </row>
    <row r="2325" spans="1:11" x14ac:dyDescent="0.25">
      <c r="A2325">
        <v>11.2746671984409</v>
      </c>
      <c r="B2325">
        <v>0</v>
      </c>
      <c r="C2325">
        <v>2000</v>
      </c>
    </row>
    <row r="2326" spans="1:11" x14ac:dyDescent="0.25">
      <c r="A2326">
        <v>12.1486992473386</v>
      </c>
      <c r="B2326">
        <v>0</v>
      </c>
      <c r="C2326">
        <v>2001</v>
      </c>
    </row>
    <row r="2327" spans="1:11" x14ac:dyDescent="0.25">
      <c r="A2327">
        <v>38.108337463229098</v>
      </c>
      <c r="B2327">
        <v>25.9596382158905</v>
      </c>
      <c r="C2327">
        <v>2001</v>
      </c>
    </row>
    <row r="2328" spans="1:11" x14ac:dyDescent="0.25">
      <c r="A2328">
        <v>39.967545998251303</v>
      </c>
      <c r="B2328">
        <v>27.818846750912702</v>
      </c>
      <c r="C2328">
        <v>2001</v>
      </c>
    </row>
    <row r="2329" spans="1:11" x14ac:dyDescent="0.25">
      <c r="A2329">
        <v>39.530529973802402</v>
      </c>
      <c r="B2329">
        <v>28.2558627753615</v>
      </c>
      <c r="C2329">
        <v>2000</v>
      </c>
    </row>
    <row r="2330" spans="1:11" x14ac:dyDescent="0.25">
      <c r="A2330" t="s">
        <v>87</v>
      </c>
    </row>
    <row r="2331" spans="1:11" x14ac:dyDescent="0.25">
      <c r="A2331">
        <v>774</v>
      </c>
      <c r="B2331">
        <v>0</v>
      </c>
      <c r="C2331">
        <v>36.684388633969398</v>
      </c>
      <c r="D2331">
        <v>2.884011886053</v>
      </c>
      <c r="E2331">
        <v>8</v>
      </c>
      <c r="F2331">
        <v>1.01722196789785</v>
      </c>
      <c r="G2331" t="s">
        <v>88</v>
      </c>
      <c r="H2331" t="s">
        <v>88</v>
      </c>
      <c r="I2331">
        <v>783</v>
      </c>
      <c r="J2331">
        <v>279</v>
      </c>
      <c r="K2331">
        <v>0.101659477666818</v>
      </c>
    </row>
    <row r="2332" spans="1:11" x14ac:dyDescent="0.25">
      <c r="A2332" t="s">
        <v>86</v>
      </c>
    </row>
    <row r="2333" spans="1:11" x14ac:dyDescent="0.25">
      <c r="A2333">
        <v>66.499865893037196</v>
      </c>
      <c r="B2333">
        <v>36.996668788607401</v>
      </c>
      <c r="C2333">
        <v>2000</v>
      </c>
    </row>
    <row r="2334" spans="1:11" x14ac:dyDescent="0.25">
      <c r="A2334">
        <v>50.218508012224397</v>
      </c>
      <c r="B2334">
        <v>20.715310907794599</v>
      </c>
      <c r="C2334">
        <v>2000</v>
      </c>
    </row>
    <row r="2335" spans="1:11" x14ac:dyDescent="0.25">
      <c r="A2335">
        <v>40.560085926274702</v>
      </c>
      <c r="B2335">
        <v>11.0568888218449</v>
      </c>
      <c r="C2335">
        <v>2000</v>
      </c>
    </row>
    <row r="2336" spans="1:11" x14ac:dyDescent="0.25">
      <c r="A2336">
        <v>40.1230699018259</v>
      </c>
      <c r="B2336">
        <v>11.493904846293701</v>
      </c>
      <c r="C2336">
        <v>2001</v>
      </c>
    </row>
    <row r="2337" spans="1:11" x14ac:dyDescent="0.25">
      <c r="A2337">
        <v>49.781491987775603</v>
      </c>
      <c r="B2337">
        <v>21.152326932243401</v>
      </c>
      <c r="C2337">
        <v>2001</v>
      </c>
    </row>
    <row r="2338" spans="1:11" x14ac:dyDescent="0.25">
      <c r="A2338">
        <v>66.062849868588401</v>
      </c>
      <c r="B2338">
        <v>37.433684813056203</v>
      </c>
      <c r="C2338">
        <v>2001</v>
      </c>
    </row>
    <row r="2339" spans="1:11" x14ac:dyDescent="0.25">
      <c r="A2339">
        <v>68.102154230239094</v>
      </c>
      <c r="B2339">
        <v>39.472989174706903</v>
      </c>
      <c r="C2339">
        <v>2001</v>
      </c>
    </row>
    <row r="2340" spans="1:11" x14ac:dyDescent="0.25">
      <c r="A2340">
        <v>68.539170254687903</v>
      </c>
      <c r="B2340">
        <v>39.035973150258002</v>
      </c>
      <c r="C2340">
        <v>2000</v>
      </c>
    </row>
    <row r="2341" spans="1:11" x14ac:dyDescent="0.25">
      <c r="A2341" t="s">
        <v>87</v>
      </c>
    </row>
    <row r="2342" spans="1:11" x14ac:dyDescent="0.25">
      <c r="A2342">
        <v>113</v>
      </c>
      <c r="B2342">
        <v>0</v>
      </c>
      <c r="C2342">
        <v>0.25369247488420399</v>
      </c>
      <c r="D2342">
        <v>39.230220016872302</v>
      </c>
      <c r="E2342">
        <v>6</v>
      </c>
      <c r="F2342">
        <v>1.01722196789785</v>
      </c>
      <c r="G2342" t="s">
        <v>88</v>
      </c>
      <c r="H2342" t="s">
        <v>88</v>
      </c>
      <c r="I2342">
        <v>103</v>
      </c>
      <c r="J2342">
        <v>664</v>
      </c>
      <c r="K2342">
        <v>0</v>
      </c>
    </row>
    <row r="2343" spans="1:11" x14ac:dyDescent="0.25">
      <c r="A2343" t="s">
        <v>86</v>
      </c>
    </row>
    <row r="2344" spans="1:11" x14ac:dyDescent="0.25">
      <c r="A2344">
        <v>67.140284895035407</v>
      </c>
      <c r="B2344">
        <v>57.221484412537798</v>
      </c>
      <c r="C2344">
        <v>2000</v>
      </c>
    </row>
    <row r="2345" spans="1:11" x14ac:dyDescent="0.25">
      <c r="A2345">
        <v>66.960897225708806</v>
      </c>
      <c r="B2345">
        <v>57.042096743211196</v>
      </c>
      <c r="C2345">
        <v>2000</v>
      </c>
    </row>
    <row r="2346" spans="1:11" x14ac:dyDescent="0.25">
      <c r="A2346">
        <v>67.3979132501576</v>
      </c>
      <c r="B2346">
        <v>56.605080718762402</v>
      </c>
      <c r="C2346">
        <v>2001</v>
      </c>
    </row>
    <row r="2347" spans="1:11" x14ac:dyDescent="0.25">
      <c r="A2347">
        <v>67.577300919484202</v>
      </c>
      <c r="B2347">
        <v>56.784468388089003</v>
      </c>
      <c r="C2347">
        <v>2001</v>
      </c>
    </row>
    <row r="2348" spans="1:11" x14ac:dyDescent="0.25">
      <c r="A2348">
        <v>95.3172555208548</v>
      </c>
      <c r="B2348">
        <v>84.524422989459595</v>
      </c>
      <c r="C2348">
        <v>2001</v>
      </c>
    </row>
    <row r="2349" spans="1:11" x14ac:dyDescent="0.25">
      <c r="A2349">
        <v>94.880239496406006</v>
      </c>
      <c r="B2349">
        <v>84.961439013908404</v>
      </c>
      <c r="C2349">
        <v>2000</v>
      </c>
    </row>
    <row r="2350" spans="1:11" x14ac:dyDescent="0.25">
      <c r="A2350" t="s">
        <v>87</v>
      </c>
    </row>
    <row r="2351" spans="1:11" x14ac:dyDescent="0.25">
      <c r="A2351">
        <v>663</v>
      </c>
      <c r="B2351">
        <v>0</v>
      </c>
      <c r="C2351">
        <v>22.682333777521499</v>
      </c>
      <c r="D2351">
        <v>16.774289047408502</v>
      </c>
      <c r="E2351">
        <v>8</v>
      </c>
      <c r="F2351">
        <v>1.01722196789785</v>
      </c>
      <c r="G2351" t="s">
        <v>88</v>
      </c>
      <c r="H2351" t="s">
        <v>85</v>
      </c>
      <c r="I2351">
        <v>355</v>
      </c>
      <c r="J2351">
        <v>0</v>
      </c>
      <c r="K2351">
        <v>0</v>
      </c>
    </row>
    <row r="2352" spans="1:11" x14ac:dyDescent="0.25">
      <c r="A2352" t="s">
        <v>86</v>
      </c>
    </row>
    <row r="2353" spans="1:11" x14ac:dyDescent="0.25">
      <c r="A2353">
        <v>112.93105329758301</v>
      </c>
      <c r="B2353">
        <v>138.24193684815799</v>
      </c>
      <c r="C2353">
        <v>2000</v>
      </c>
    </row>
    <row r="2354" spans="1:11" x14ac:dyDescent="0.25">
      <c r="A2354">
        <v>99.781491987775595</v>
      </c>
      <c r="B2354">
        <v>125.09237553835</v>
      </c>
      <c r="C2354">
        <v>2000</v>
      </c>
    </row>
    <row r="2355" spans="1:11" x14ac:dyDescent="0.25">
      <c r="A2355">
        <v>97.007578899421603</v>
      </c>
      <c r="B2355">
        <v>122.318462449997</v>
      </c>
      <c r="C2355">
        <v>2000</v>
      </c>
    </row>
    <row r="2356" spans="1:11" x14ac:dyDescent="0.25">
      <c r="A2356">
        <v>97.444594923870397</v>
      </c>
      <c r="B2356">
        <v>121.88144642554801</v>
      </c>
      <c r="C2356">
        <v>2001</v>
      </c>
    </row>
    <row r="2357" spans="1:11" x14ac:dyDescent="0.25">
      <c r="A2357">
        <v>100.21850801222401</v>
      </c>
      <c r="B2357">
        <v>124.655359513902</v>
      </c>
      <c r="C2357">
        <v>2001</v>
      </c>
    </row>
    <row r="2358" spans="1:11" x14ac:dyDescent="0.25">
      <c r="A2358">
        <v>113.59878458015299</v>
      </c>
      <c r="B2358">
        <v>138.03563608183001</v>
      </c>
      <c r="C2358">
        <v>2001</v>
      </c>
    </row>
    <row r="2359" spans="1:11" x14ac:dyDescent="0.25">
      <c r="A2359">
        <v>125.563148498323</v>
      </c>
      <c r="B2359">
        <v>150</v>
      </c>
      <c r="C2359">
        <v>2001</v>
      </c>
    </row>
    <row r="2360" spans="1:11" x14ac:dyDescent="0.25">
      <c r="A2360">
        <v>124.689116449425</v>
      </c>
      <c r="B2360">
        <v>150</v>
      </c>
      <c r="C2360">
        <v>2000</v>
      </c>
    </row>
    <row r="2361" spans="1:11" x14ac:dyDescent="0.25">
      <c r="A2361" t="s">
        <v>87</v>
      </c>
    </row>
    <row r="2362" spans="1:11" x14ac:dyDescent="0.25">
      <c r="A2362">
        <v>853</v>
      </c>
      <c r="B2362">
        <v>0</v>
      </c>
      <c r="C2362">
        <v>25.9677624147069</v>
      </c>
      <c r="D2362">
        <v>13.487571711277701</v>
      </c>
      <c r="E2362">
        <v>8</v>
      </c>
      <c r="F2362">
        <v>1.01722196789785</v>
      </c>
      <c r="G2362" t="s">
        <v>85</v>
      </c>
      <c r="H2362" t="s">
        <v>88</v>
      </c>
      <c r="I2362">
        <v>0</v>
      </c>
      <c r="J2362">
        <v>880</v>
      </c>
      <c r="K2362">
        <v>0.103730452296059</v>
      </c>
    </row>
    <row r="2363" spans="1:11" x14ac:dyDescent="0.25">
      <c r="A2363" t="s">
        <v>86</v>
      </c>
    </row>
    <row r="2364" spans="1:11" x14ac:dyDescent="0.25">
      <c r="A2364">
        <v>104.792466453397</v>
      </c>
      <c r="B2364">
        <v>18.1800607543748</v>
      </c>
      <c r="C2364">
        <v>2000</v>
      </c>
    </row>
    <row r="2365" spans="1:11" x14ac:dyDescent="0.25">
      <c r="A2365">
        <v>100.27250283063</v>
      </c>
      <c r="B2365">
        <v>13.6600971316075</v>
      </c>
      <c r="C2365">
        <v>2000</v>
      </c>
    </row>
    <row r="2366" spans="1:11" x14ac:dyDescent="0.25">
      <c r="A2366">
        <v>86.612405699022602</v>
      </c>
      <c r="B2366">
        <v>0</v>
      </c>
      <c r="C2366">
        <v>2000</v>
      </c>
    </row>
    <row r="2367" spans="1:11" x14ac:dyDescent="0.25">
      <c r="A2367">
        <v>85.738373650124998</v>
      </c>
      <c r="B2367">
        <v>0</v>
      </c>
      <c r="C2367">
        <v>2001</v>
      </c>
    </row>
    <row r="2368" spans="1:11" x14ac:dyDescent="0.25">
      <c r="A2368">
        <v>99.727497169369897</v>
      </c>
      <c r="B2368">
        <v>13.989123519244799</v>
      </c>
      <c r="C2368">
        <v>2001</v>
      </c>
    </row>
    <row r="2369" spans="1:11" x14ac:dyDescent="0.25">
      <c r="A2369">
        <v>104.282274687111</v>
      </c>
      <c r="B2369">
        <v>18.543901036986</v>
      </c>
      <c r="C2369">
        <v>2001</v>
      </c>
    </row>
    <row r="2370" spans="1:11" x14ac:dyDescent="0.25">
      <c r="A2370">
        <v>113.85601597681401</v>
      </c>
      <c r="B2370">
        <v>28.117642326689101</v>
      </c>
      <c r="C2370">
        <v>2001</v>
      </c>
    </row>
    <row r="2371" spans="1:11" x14ac:dyDescent="0.25">
      <c r="A2371">
        <v>114.293032001263</v>
      </c>
      <c r="B2371">
        <v>27.680626302240199</v>
      </c>
      <c r="C2371">
        <v>2000</v>
      </c>
    </row>
    <row r="2372" spans="1:11" x14ac:dyDescent="0.25">
      <c r="A2372" t="s">
        <v>87</v>
      </c>
    </row>
    <row r="2373" spans="1:11" x14ac:dyDescent="0.25">
      <c r="A2373">
        <v>756</v>
      </c>
      <c r="B2373">
        <v>0</v>
      </c>
      <c r="C2373">
        <v>15.5047173572611</v>
      </c>
      <c r="D2373">
        <v>23.742602621944201</v>
      </c>
      <c r="E2373">
        <v>8</v>
      </c>
      <c r="F2373">
        <v>1.01722196789785</v>
      </c>
      <c r="G2373" t="s">
        <v>88</v>
      </c>
      <c r="H2373" t="s">
        <v>85</v>
      </c>
      <c r="I2373">
        <v>195</v>
      </c>
      <c r="J2373">
        <v>0</v>
      </c>
      <c r="K2373">
        <v>9.9787223602304201E-2</v>
      </c>
    </row>
    <row r="2374" spans="1:11" x14ac:dyDescent="0.25">
      <c r="A2374" t="s">
        <v>86</v>
      </c>
    </row>
    <row r="2375" spans="1:11" x14ac:dyDescent="0.25">
      <c r="A2375">
        <v>133.03913536259299</v>
      </c>
      <c r="B2375">
        <v>104.76596810525901</v>
      </c>
      <c r="C2375">
        <v>2000</v>
      </c>
    </row>
    <row r="2376" spans="1:11" x14ac:dyDescent="0.25">
      <c r="A2376">
        <v>128.49167526955799</v>
      </c>
      <c r="B2376">
        <v>100.21850801222401</v>
      </c>
      <c r="C2376">
        <v>2000</v>
      </c>
    </row>
    <row r="2377" spans="1:11" x14ac:dyDescent="0.25">
      <c r="A2377">
        <v>122.029445887081</v>
      </c>
      <c r="B2377">
        <v>93.756278629747897</v>
      </c>
      <c r="C2377">
        <v>2000</v>
      </c>
    </row>
    <row r="2378" spans="1:11" x14ac:dyDescent="0.25">
      <c r="A2378">
        <v>122.46646191153</v>
      </c>
      <c r="B2378">
        <v>93.319262605299102</v>
      </c>
      <c r="C2378">
        <v>2001</v>
      </c>
    </row>
    <row r="2379" spans="1:11" x14ac:dyDescent="0.25">
      <c r="A2379">
        <v>128.928691294007</v>
      </c>
      <c r="B2379">
        <v>99.781491987775595</v>
      </c>
      <c r="C2379">
        <v>2001</v>
      </c>
    </row>
    <row r="2380" spans="1:11" x14ac:dyDescent="0.25">
      <c r="A2380">
        <v>133.383754003419</v>
      </c>
      <c r="B2380">
        <v>104.236554697188</v>
      </c>
      <c r="C2380">
        <v>2001</v>
      </c>
    </row>
    <row r="2381" spans="1:11" x14ac:dyDescent="0.25">
      <c r="A2381">
        <v>150</v>
      </c>
      <c r="B2381">
        <v>120.852800693769</v>
      </c>
      <c r="C2381">
        <v>2001</v>
      </c>
    </row>
    <row r="2382" spans="1:11" x14ac:dyDescent="0.25">
      <c r="A2382">
        <v>150</v>
      </c>
      <c r="B2382">
        <v>121.726832742667</v>
      </c>
      <c r="C2382">
        <v>2000</v>
      </c>
    </row>
    <row r="2383" spans="1:11" x14ac:dyDescent="0.25">
      <c r="A2383" t="s">
        <v>87</v>
      </c>
    </row>
    <row r="2384" spans="1:11" x14ac:dyDescent="0.25">
      <c r="A2384">
        <v>594</v>
      </c>
      <c r="B2384">
        <v>0</v>
      </c>
      <c r="C2384">
        <v>20.057528571498199</v>
      </c>
      <c r="D2384">
        <v>18.9323575769013</v>
      </c>
      <c r="E2384">
        <v>8</v>
      </c>
      <c r="F2384">
        <v>1.01722196789785</v>
      </c>
      <c r="G2384" t="s">
        <v>88</v>
      </c>
      <c r="H2384" t="s">
        <v>85</v>
      </c>
      <c r="I2384">
        <v>1032</v>
      </c>
      <c r="J2384">
        <v>0</v>
      </c>
      <c r="K2384">
        <v>0</v>
      </c>
    </row>
    <row r="2385" spans="1:11" x14ac:dyDescent="0.25">
      <c r="A2385" t="s">
        <v>86</v>
      </c>
    </row>
    <row r="2386" spans="1:11" x14ac:dyDescent="0.25">
      <c r="A2386">
        <v>39.557610104155998</v>
      </c>
      <c r="B2386">
        <v>136.734871107988</v>
      </c>
      <c r="C2386">
        <v>2000</v>
      </c>
    </row>
    <row r="2387" spans="1:11" x14ac:dyDescent="0.25">
      <c r="A2387">
        <v>25.471234115167402</v>
      </c>
      <c r="B2387">
        <v>122.648495119</v>
      </c>
      <c r="C2387">
        <v>2000</v>
      </c>
    </row>
    <row r="2388" spans="1:11" x14ac:dyDescent="0.25">
      <c r="A2388">
        <v>25.9082501396162</v>
      </c>
      <c r="B2388">
        <v>122.211479094551</v>
      </c>
      <c r="C2388">
        <v>2001</v>
      </c>
    </row>
    <row r="2389" spans="1:11" x14ac:dyDescent="0.25">
      <c r="A2389">
        <v>40.187503084126099</v>
      </c>
      <c r="B2389">
        <v>136.49073203906099</v>
      </c>
      <c r="C2389">
        <v>2001</v>
      </c>
    </row>
    <row r="2390" spans="1:11" x14ac:dyDescent="0.25">
      <c r="A2390">
        <v>50.383809777166697</v>
      </c>
      <c r="B2390">
        <v>146.687038732101</v>
      </c>
      <c r="C2390">
        <v>2001</v>
      </c>
    </row>
    <row r="2391" spans="1:11" x14ac:dyDescent="0.25">
      <c r="A2391">
        <v>53.696771045065297</v>
      </c>
      <c r="B2391">
        <v>150</v>
      </c>
      <c r="C2391">
        <v>2001</v>
      </c>
    </row>
    <row r="2392" spans="1:11" x14ac:dyDescent="0.25">
      <c r="A2392">
        <v>52.822738996167701</v>
      </c>
      <c r="B2392">
        <v>150</v>
      </c>
      <c r="C2392">
        <v>2000</v>
      </c>
    </row>
    <row r="2393" spans="1:11" x14ac:dyDescent="0.25">
      <c r="A2393">
        <v>49.616190222833197</v>
      </c>
      <c r="B2393">
        <v>146.79345122666601</v>
      </c>
      <c r="C2393">
        <v>2000</v>
      </c>
    </row>
    <row r="2394" spans="1:11" x14ac:dyDescent="0.25">
      <c r="A2394" t="s">
        <v>87</v>
      </c>
    </row>
    <row r="2395" spans="1:11" x14ac:dyDescent="0.25">
      <c r="A2395">
        <v>120</v>
      </c>
      <c r="B2395">
        <v>0</v>
      </c>
      <c r="C2395">
        <v>34.025510321488802</v>
      </c>
      <c r="D2395">
        <v>4.7787029128808696</v>
      </c>
      <c r="E2395">
        <v>10</v>
      </c>
      <c r="F2395">
        <v>1.01722196789785</v>
      </c>
      <c r="G2395" t="s">
        <v>88</v>
      </c>
      <c r="H2395" t="s">
        <v>88</v>
      </c>
      <c r="I2395">
        <v>25</v>
      </c>
      <c r="J2395">
        <v>110</v>
      </c>
      <c r="K2395">
        <v>0</v>
      </c>
    </row>
    <row r="2396" spans="1:11" x14ac:dyDescent="0.25">
      <c r="A2396" t="s">
        <v>86</v>
      </c>
    </row>
    <row r="2397" spans="1:11" x14ac:dyDescent="0.25">
      <c r="A2397">
        <v>67.436522571568801</v>
      </c>
      <c r="B2397">
        <v>54.375945251148899</v>
      </c>
      <c r="C2397">
        <v>2000</v>
      </c>
    </row>
    <row r="2398" spans="1:11" x14ac:dyDescent="0.25">
      <c r="A2398">
        <v>62.842069308195498</v>
      </c>
      <c r="B2398">
        <v>49.781491987775603</v>
      </c>
      <c r="C2398">
        <v>2000</v>
      </c>
    </row>
    <row r="2399" spans="1:11" x14ac:dyDescent="0.25">
      <c r="A2399">
        <v>50.218508012224397</v>
      </c>
      <c r="B2399">
        <v>37.157930691804502</v>
      </c>
      <c r="C2399">
        <v>2000</v>
      </c>
    </row>
    <row r="2400" spans="1:11" x14ac:dyDescent="0.25">
      <c r="A2400">
        <v>43.376853489911198</v>
      </c>
      <c r="B2400">
        <v>30.316276169491299</v>
      </c>
      <c r="C2400">
        <v>2000</v>
      </c>
    </row>
    <row r="2401" spans="1:11" x14ac:dyDescent="0.25">
      <c r="A2401">
        <v>42.939837465462297</v>
      </c>
      <c r="B2401">
        <v>30.753292193940101</v>
      </c>
      <c r="C2401">
        <v>2001</v>
      </c>
    </row>
    <row r="2402" spans="1:11" x14ac:dyDescent="0.25">
      <c r="A2402">
        <v>49.781491987775603</v>
      </c>
      <c r="B2402">
        <v>37.594946716253403</v>
      </c>
      <c r="C2402">
        <v>2001</v>
      </c>
    </row>
    <row r="2403" spans="1:11" x14ac:dyDescent="0.25">
      <c r="A2403">
        <v>62.405053283746703</v>
      </c>
      <c r="B2403">
        <v>50.218508012224397</v>
      </c>
      <c r="C2403">
        <v>2001</v>
      </c>
    </row>
    <row r="2404" spans="1:11" x14ac:dyDescent="0.25">
      <c r="A2404">
        <v>66.999506547120006</v>
      </c>
      <c r="B2404">
        <v>54.812961275597701</v>
      </c>
      <c r="C2404">
        <v>2001</v>
      </c>
    </row>
    <row r="2405" spans="1:11" x14ac:dyDescent="0.25">
      <c r="A2405">
        <v>70.378559782094001</v>
      </c>
      <c r="B2405">
        <v>58.192014510571703</v>
      </c>
      <c r="C2405">
        <v>2001</v>
      </c>
    </row>
    <row r="2406" spans="1:11" x14ac:dyDescent="0.25">
      <c r="A2406">
        <v>70.815575806542796</v>
      </c>
      <c r="B2406">
        <v>57.754998486122901</v>
      </c>
      <c r="C2406">
        <v>2000</v>
      </c>
    </row>
    <row r="2407" spans="1:11" x14ac:dyDescent="0.25">
      <c r="A2407" t="s">
        <v>87</v>
      </c>
    </row>
    <row r="2408" spans="1:11" x14ac:dyDescent="0.25">
      <c r="A2408">
        <v>520</v>
      </c>
      <c r="B2408">
        <v>0</v>
      </c>
      <c r="C2408">
        <v>20.758680260294401</v>
      </c>
      <c r="D2408">
        <v>17.939175937330798</v>
      </c>
      <c r="E2408">
        <v>8</v>
      </c>
      <c r="F2408">
        <v>1.01722196789785</v>
      </c>
      <c r="G2408" t="s">
        <v>85</v>
      </c>
      <c r="H2408" t="s">
        <v>88</v>
      </c>
      <c r="I2408">
        <v>0</v>
      </c>
      <c r="J2408">
        <v>676</v>
      </c>
      <c r="K2408">
        <v>0</v>
      </c>
    </row>
    <row r="2409" spans="1:11" x14ac:dyDescent="0.25">
      <c r="A2409" t="s">
        <v>86</v>
      </c>
    </row>
    <row r="2410" spans="1:11" x14ac:dyDescent="0.25">
      <c r="A2410">
        <v>14.8390349514679</v>
      </c>
      <c r="B2410">
        <v>55.357681999409401</v>
      </c>
      <c r="C2410">
        <v>2000</v>
      </c>
    </row>
    <row r="2411" spans="1:11" x14ac:dyDescent="0.25">
      <c r="A2411">
        <v>9.1789723561841008</v>
      </c>
      <c r="B2411">
        <v>49.697619404125597</v>
      </c>
      <c r="C2411">
        <v>2000</v>
      </c>
    </row>
    <row r="2412" spans="1:11" x14ac:dyDescent="0.25">
      <c r="A2412">
        <v>0</v>
      </c>
      <c r="B2412">
        <v>40.518647047941499</v>
      </c>
      <c r="C2412">
        <v>2000</v>
      </c>
    </row>
    <row r="2413" spans="1:11" x14ac:dyDescent="0.25">
      <c r="A2413">
        <v>0</v>
      </c>
      <c r="B2413">
        <v>41.392679096839203</v>
      </c>
      <c r="C2413">
        <v>2001</v>
      </c>
    </row>
    <row r="2414" spans="1:11" x14ac:dyDescent="0.25">
      <c r="A2414">
        <v>8.9097014990352399</v>
      </c>
      <c r="B2414">
        <v>50.302380595874403</v>
      </c>
      <c r="C2414">
        <v>2001</v>
      </c>
    </row>
    <row r="2415" spans="1:11" x14ac:dyDescent="0.25">
      <c r="A2415">
        <v>14.5181722096071</v>
      </c>
      <c r="B2415">
        <v>55.910851306446297</v>
      </c>
      <c r="C2415">
        <v>2001</v>
      </c>
    </row>
    <row r="2416" spans="1:11" x14ac:dyDescent="0.25">
      <c r="A2416">
        <v>27.145008522498301</v>
      </c>
      <c r="B2416">
        <v>68.537687619337404</v>
      </c>
      <c r="C2416">
        <v>2001</v>
      </c>
    </row>
    <row r="2417" spans="1:11" x14ac:dyDescent="0.25">
      <c r="A2417">
        <v>27.5820245469471</v>
      </c>
      <c r="B2417">
        <v>68.100671594888595</v>
      </c>
      <c r="C2417">
        <v>2000</v>
      </c>
    </row>
    <row r="2418" spans="1:11" x14ac:dyDescent="0.25">
      <c r="A2418" t="s">
        <v>87</v>
      </c>
    </row>
    <row r="2419" spans="1:11" x14ac:dyDescent="0.25">
      <c r="A2419">
        <v>994</v>
      </c>
      <c r="B2419">
        <v>0</v>
      </c>
      <c r="C2419">
        <v>23.334523038908099</v>
      </c>
      <c r="D2419">
        <v>15.0107749156123</v>
      </c>
      <c r="E2419">
        <v>8</v>
      </c>
      <c r="F2419">
        <v>1.01722196789785</v>
      </c>
      <c r="G2419" t="s">
        <v>88</v>
      </c>
      <c r="H2419" t="s">
        <v>88</v>
      </c>
      <c r="I2419">
        <v>112</v>
      </c>
      <c r="J2419">
        <v>827</v>
      </c>
      <c r="K2419">
        <v>0.111576050877273</v>
      </c>
    </row>
    <row r="2420" spans="1:11" x14ac:dyDescent="0.25">
      <c r="A2420" t="s">
        <v>86</v>
      </c>
    </row>
    <row r="2421" spans="1:11" x14ac:dyDescent="0.25">
      <c r="A2421">
        <v>117.018548578037</v>
      </c>
      <c r="B2421">
        <v>112.046440106368</v>
      </c>
      <c r="C2421">
        <v>2000</v>
      </c>
    </row>
    <row r="2422" spans="1:11" x14ac:dyDescent="0.25">
      <c r="A2422">
        <v>105.190616483893</v>
      </c>
      <c r="B2422">
        <v>100.21850801222401</v>
      </c>
      <c r="C2422">
        <v>2000</v>
      </c>
    </row>
    <row r="2423" spans="1:11" x14ac:dyDescent="0.25">
      <c r="A2423">
        <v>100.518549101471</v>
      </c>
      <c r="B2423">
        <v>95.546440629802404</v>
      </c>
      <c r="C2423">
        <v>2000</v>
      </c>
    </row>
    <row r="2424" spans="1:11" x14ac:dyDescent="0.25">
      <c r="A2424">
        <v>100.95556512592</v>
      </c>
      <c r="B2424">
        <v>95.109424605353595</v>
      </c>
      <c r="C2424">
        <v>2001</v>
      </c>
    </row>
    <row r="2425" spans="1:11" x14ac:dyDescent="0.25">
      <c r="A2425">
        <v>105.627632508342</v>
      </c>
      <c r="B2425">
        <v>99.781491987775595</v>
      </c>
      <c r="C2425">
        <v>2001</v>
      </c>
    </row>
    <row r="2426" spans="1:11" x14ac:dyDescent="0.25">
      <c r="A2426">
        <v>117.45556460248601</v>
      </c>
      <c r="B2426">
        <v>111.609424081919</v>
      </c>
      <c r="C2426">
        <v>2001</v>
      </c>
    </row>
    <row r="2427" spans="1:11" x14ac:dyDescent="0.25">
      <c r="A2427">
        <v>128.06978533617999</v>
      </c>
      <c r="B2427">
        <v>122.22364481561399</v>
      </c>
      <c r="C2427">
        <v>2001</v>
      </c>
    </row>
    <row r="2428" spans="1:11" x14ac:dyDescent="0.25">
      <c r="A2428">
        <v>127.632769311731</v>
      </c>
      <c r="B2428">
        <v>122.66066084006199</v>
      </c>
      <c r="C2428">
        <v>2000</v>
      </c>
    </row>
    <row r="2429" spans="1:11" x14ac:dyDescent="0.25">
      <c r="A2429" t="s">
        <v>87</v>
      </c>
    </row>
    <row r="2430" spans="1:11" x14ac:dyDescent="0.25">
      <c r="A2430">
        <v>882</v>
      </c>
      <c r="B2430">
        <v>0</v>
      </c>
      <c r="C2430">
        <v>31.691209912031201</v>
      </c>
      <c r="D2430">
        <v>6.6540880424892102</v>
      </c>
      <c r="E2430">
        <v>8</v>
      </c>
      <c r="F2430">
        <v>1.01722196789785</v>
      </c>
      <c r="G2430" t="s">
        <v>88</v>
      </c>
      <c r="H2430" t="s">
        <v>88</v>
      </c>
      <c r="I2430">
        <v>112</v>
      </c>
      <c r="J2430">
        <v>674</v>
      </c>
      <c r="K2430">
        <v>0.104525721151597</v>
      </c>
    </row>
    <row r="2431" spans="1:11" x14ac:dyDescent="0.25">
      <c r="A2431" t="s">
        <v>86</v>
      </c>
    </row>
    <row r="2432" spans="1:11" x14ac:dyDescent="0.25">
      <c r="A2432">
        <v>122.83586445535801</v>
      </c>
      <c r="B2432">
        <v>118.047264141523</v>
      </c>
      <c r="C2432">
        <v>2000</v>
      </c>
    </row>
    <row r="2433" spans="1:11" x14ac:dyDescent="0.25">
      <c r="A2433">
        <v>104.570092301611</v>
      </c>
      <c r="B2433">
        <v>99.781491987775595</v>
      </c>
      <c r="C2433">
        <v>2000</v>
      </c>
    </row>
    <row r="2434" spans="1:11" x14ac:dyDescent="0.25">
      <c r="A2434">
        <v>100.426795022555</v>
      </c>
      <c r="B2434">
        <v>95.638194708719197</v>
      </c>
      <c r="C2434">
        <v>2000</v>
      </c>
    </row>
    <row r="2435" spans="1:11" x14ac:dyDescent="0.25">
      <c r="A2435">
        <v>99.989778998105805</v>
      </c>
      <c r="B2435">
        <v>96.075210733168007</v>
      </c>
      <c r="C2435">
        <v>2001</v>
      </c>
    </row>
    <row r="2436" spans="1:11" x14ac:dyDescent="0.25">
      <c r="A2436">
        <v>104.133076277162</v>
      </c>
      <c r="B2436">
        <v>100.21850801222401</v>
      </c>
      <c r="C2436">
        <v>2001</v>
      </c>
    </row>
    <row r="2437" spans="1:11" x14ac:dyDescent="0.25">
      <c r="A2437">
        <v>122.398848430909</v>
      </c>
      <c r="B2437">
        <v>118.484280165972</v>
      </c>
      <c r="C2437">
        <v>2001</v>
      </c>
    </row>
    <row r="2438" spans="1:11" x14ac:dyDescent="0.25">
      <c r="A2438">
        <v>127.10399920836601</v>
      </c>
      <c r="B2438">
        <v>123.18943094342799</v>
      </c>
      <c r="C2438">
        <v>2001</v>
      </c>
    </row>
    <row r="2439" spans="1:11" x14ac:dyDescent="0.25">
      <c r="A2439">
        <v>127.541015232815</v>
      </c>
      <c r="B2439">
        <v>122.752414918979</v>
      </c>
      <c r="C2439">
        <v>2000</v>
      </c>
    </row>
    <row r="2440" spans="1:11" x14ac:dyDescent="0.25">
      <c r="A2440" t="s">
        <v>87</v>
      </c>
    </row>
    <row r="2441" spans="1:11" x14ac:dyDescent="0.25">
      <c r="A2441">
        <v>356</v>
      </c>
      <c r="B2441">
        <v>0</v>
      </c>
      <c r="C2441">
        <v>24.9311701181553</v>
      </c>
      <c r="D2441">
        <v>13.1599675618862</v>
      </c>
      <c r="E2441">
        <v>6</v>
      </c>
      <c r="F2441">
        <v>1.01722196789785</v>
      </c>
      <c r="G2441" t="s">
        <v>88</v>
      </c>
      <c r="H2441" t="s">
        <v>88</v>
      </c>
      <c r="I2441">
        <v>856</v>
      </c>
      <c r="J2441">
        <v>724</v>
      </c>
      <c r="K2441">
        <v>0</v>
      </c>
    </row>
    <row r="2442" spans="1:11" x14ac:dyDescent="0.25">
      <c r="A2442" t="s">
        <v>86</v>
      </c>
    </row>
    <row r="2443" spans="1:11" x14ac:dyDescent="0.25">
      <c r="A2443">
        <v>75.670486009996395</v>
      </c>
      <c r="B2443">
        <v>128.25768250564499</v>
      </c>
      <c r="C2443">
        <v>2000</v>
      </c>
    </row>
    <row r="2444" spans="1:11" x14ac:dyDescent="0.25">
      <c r="A2444">
        <v>58.0414865565334</v>
      </c>
      <c r="B2444">
        <v>110.628683052182</v>
      </c>
      <c r="C2444">
        <v>2000</v>
      </c>
    </row>
    <row r="2445" spans="1:11" x14ac:dyDescent="0.25">
      <c r="A2445">
        <v>58.478502580982202</v>
      </c>
      <c r="B2445">
        <v>110.191667027733</v>
      </c>
      <c r="C2445">
        <v>2001</v>
      </c>
    </row>
    <row r="2446" spans="1:11" x14ac:dyDescent="0.25">
      <c r="A2446">
        <v>76.107502034445204</v>
      </c>
      <c r="B2446">
        <v>127.820666481196</v>
      </c>
      <c r="C2446">
        <v>2001</v>
      </c>
    </row>
    <row r="2447" spans="1:11" x14ac:dyDescent="0.25">
      <c r="A2447">
        <v>85.413004337649895</v>
      </c>
      <c r="B2447">
        <v>137.12616878440099</v>
      </c>
      <c r="C2447">
        <v>2001</v>
      </c>
    </row>
    <row r="2448" spans="1:11" x14ac:dyDescent="0.25">
      <c r="A2448">
        <v>84.9759883132011</v>
      </c>
      <c r="B2448">
        <v>137.56318480885</v>
      </c>
      <c r="C2448">
        <v>2000</v>
      </c>
    </row>
    <row r="2449" spans="1:11" x14ac:dyDescent="0.25">
      <c r="A2449" t="s">
        <v>87</v>
      </c>
    </row>
    <row r="2450" spans="1:11" x14ac:dyDescent="0.25">
      <c r="A2450">
        <v>991</v>
      </c>
      <c r="B2450">
        <v>0</v>
      </c>
      <c r="C2450">
        <v>29.062455090737199</v>
      </c>
      <c r="D2450">
        <v>8.8991953616071306</v>
      </c>
      <c r="E2450">
        <v>6</v>
      </c>
      <c r="F2450">
        <v>1.01722196789785</v>
      </c>
      <c r="G2450" t="s">
        <v>85</v>
      </c>
      <c r="H2450" t="s">
        <v>88</v>
      </c>
      <c r="I2450">
        <v>0</v>
      </c>
      <c r="J2450">
        <v>922</v>
      </c>
      <c r="K2450">
        <v>0.111189681856075</v>
      </c>
    </row>
    <row r="2451" spans="1:11" x14ac:dyDescent="0.25">
      <c r="A2451" t="s">
        <v>86</v>
      </c>
    </row>
    <row r="2452" spans="1:11" x14ac:dyDescent="0.25">
      <c r="A2452">
        <v>80.762791702353894</v>
      </c>
      <c r="B2452">
        <v>20.382975005206799</v>
      </c>
      <c r="C2452">
        <v>2000</v>
      </c>
    </row>
    <row r="2453" spans="1:11" x14ac:dyDescent="0.25">
      <c r="A2453">
        <v>60.379816697147</v>
      </c>
      <c r="B2453">
        <v>0</v>
      </c>
      <c r="C2453">
        <v>2000</v>
      </c>
    </row>
    <row r="2454" spans="1:11" x14ac:dyDescent="0.25">
      <c r="A2454">
        <v>59.505784648249403</v>
      </c>
      <c r="B2454">
        <v>0</v>
      </c>
      <c r="C2454">
        <v>2001</v>
      </c>
    </row>
    <row r="2455" spans="1:11" x14ac:dyDescent="0.25">
      <c r="A2455">
        <v>80.223327788222093</v>
      </c>
      <c r="B2455">
        <v>20.717543139972801</v>
      </c>
      <c r="C2455">
        <v>2001</v>
      </c>
    </row>
    <row r="2456" spans="1:11" x14ac:dyDescent="0.25">
      <c r="A2456">
        <v>86.567233120359901</v>
      </c>
      <c r="B2456">
        <v>27.061448472110499</v>
      </c>
      <c r="C2456">
        <v>2001</v>
      </c>
    </row>
    <row r="2457" spans="1:11" x14ac:dyDescent="0.25">
      <c r="A2457">
        <v>87.004249144808696</v>
      </c>
      <c r="B2457">
        <v>26.6244324476617</v>
      </c>
      <c r="C2457">
        <v>2000</v>
      </c>
    </row>
    <row r="2458" spans="1:11" x14ac:dyDescent="0.25">
      <c r="A2458" t="s">
        <v>87</v>
      </c>
    </row>
    <row r="2459" spans="1:11" x14ac:dyDescent="0.25">
      <c r="A2459">
        <v>118</v>
      </c>
      <c r="B2459">
        <v>0</v>
      </c>
      <c r="C2459">
        <v>1.4812922494186</v>
      </c>
      <c r="D2459">
        <v>36.450056993502898</v>
      </c>
      <c r="E2459">
        <v>8</v>
      </c>
      <c r="F2459">
        <v>1.01722196789785</v>
      </c>
      <c r="G2459" t="s">
        <v>88</v>
      </c>
      <c r="H2459" t="s">
        <v>88</v>
      </c>
      <c r="I2459">
        <v>110</v>
      </c>
      <c r="J2459">
        <v>818</v>
      </c>
      <c r="K2459">
        <v>0</v>
      </c>
    </row>
    <row r="2460" spans="1:11" x14ac:dyDescent="0.25">
      <c r="A2460" t="s">
        <v>86</v>
      </c>
    </row>
    <row r="2461" spans="1:11" x14ac:dyDescent="0.25">
      <c r="A2461">
        <v>84.407155914891902</v>
      </c>
      <c r="B2461">
        <v>70.796388715406295</v>
      </c>
      <c r="C2461">
        <v>2000</v>
      </c>
    </row>
    <row r="2462" spans="1:11" x14ac:dyDescent="0.25">
      <c r="A2462">
        <v>83.359724120408899</v>
      </c>
      <c r="B2462">
        <v>69.748956920923305</v>
      </c>
      <c r="C2462">
        <v>2000</v>
      </c>
    </row>
    <row r="2463" spans="1:11" x14ac:dyDescent="0.25">
      <c r="A2463">
        <v>83.796740144857694</v>
      </c>
      <c r="B2463">
        <v>69.311940896474496</v>
      </c>
      <c r="C2463">
        <v>2001</v>
      </c>
    </row>
    <row r="2464" spans="1:11" x14ac:dyDescent="0.25">
      <c r="A2464">
        <v>84.844171939340697</v>
      </c>
      <c r="B2464">
        <v>70.3593726909575</v>
      </c>
      <c r="C2464">
        <v>2001</v>
      </c>
    </row>
    <row r="2465" spans="1:11" x14ac:dyDescent="0.25">
      <c r="A2465">
        <v>100.21850801222401</v>
      </c>
      <c r="B2465">
        <v>85.733708763841193</v>
      </c>
      <c r="C2465">
        <v>2001</v>
      </c>
    </row>
    <row r="2466" spans="1:11" x14ac:dyDescent="0.25">
      <c r="A2466">
        <v>110.618254414083</v>
      </c>
      <c r="B2466">
        <v>96.133455165699502</v>
      </c>
      <c r="C2466">
        <v>2001</v>
      </c>
    </row>
    <row r="2467" spans="1:11" x14ac:dyDescent="0.25">
      <c r="A2467">
        <v>110.181238389634</v>
      </c>
      <c r="B2467">
        <v>96.570471190148396</v>
      </c>
      <c r="C2467">
        <v>2000</v>
      </c>
    </row>
    <row r="2468" spans="1:11" x14ac:dyDescent="0.25">
      <c r="A2468">
        <v>99.781491987775595</v>
      </c>
      <c r="B2468">
        <v>86.170724788290002</v>
      </c>
      <c r="C2468">
        <v>2000</v>
      </c>
    </row>
    <row r="2469" spans="1:11" x14ac:dyDescent="0.25">
      <c r="A2469" t="s">
        <v>87</v>
      </c>
    </row>
    <row r="2470" spans="1:11" x14ac:dyDescent="0.25">
      <c r="A2470">
        <v>746</v>
      </c>
      <c r="B2470">
        <v>0</v>
      </c>
      <c r="C2470">
        <v>24.202801393943702</v>
      </c>
      <c r="D2470">
        <v>13.668253553090601</v>
      </c>
      <c r="E2470">
        <v>10</v>
      </c>
      <c r="F2470">
        <v>1.01722196789785</v>
      </c>
      <c r="G2470" t="s">
        <v>88</v>
      </c>
      <c r="H2470" t="s">
        <v>88</v>
      </c>
      <c r="I2470">
        <v>515</v>
      </c>
      <c r="J2470">
        <v>355</v>
      </c>
      <c r="K2470">
        <v>9.9787223602304201E-2</v>
      </c>
    </row>
    <row r="2471" spans="1:11" x14ac:dyDescent="0.25">
      <c r="A2471" t="s">
        <v>86</v>
      </c>
    </row>
    <row r="2472" spans="1:11" x14ac:dyDescent="0.25">
      <c r="A2472">
        <v>67.056760634317598</v>
      </c>
      <c r="B2472">
        <v>91.590073825139399</v>
      </c>
      <c r="C2472">
        <v>2000</v>
      </c>
    </row>
    <row r="2473" spans="1:11" x14ac:dyDescent="0.25">
      <c r="A2473">
        <v>50.218508012224397</v>
      </c>
      <c r="B2473">
        <v>74.751821203046205</v>
      </c>
      <c r="C2473">
        <v>2000</v>
      </c>
    </row>
    <row r="2474" spans="1:11" x14ac:dyDescent="0.25">
      <c r="A2474">
        <v>49.942795644948802</v>
      </c>
      <c r="B2474">
        <v>74.476108835770603</v>
      </c>
      <c r="C2474">
        <v>2000</v>
      </c>
    </row>
    <row r="2475" spans="1:11" x14ac:dyDescent="0.25">
      <c r="A2475">
        <v>49.5057796205</v>
      </c>
      <c r="B2475">
        <v>74.913124860219398</v>
      </c>
      <c r="C2475">
        <v>2001</v>
      </c>
    </row>
    <row r="2476" spans="1:11" x14ac:dyDescent="0.25">
      <c r="A2476">
        <v>49.781491987775603</v>
      </c>
      <c r="B2476">
        <v>75.188837227495</v>
      </c>
      <c r="C2476">
        <v>2001</v>
      </c>
    </row>
    <row r="2477" spans="1:11" x14ac:dyDescent="0.25">
      <c r="A2477">
        <v>66.619744609868803</v>
      </c>
      <c r="B2477">
        <v>92.027089849588194</v>
      </c>
      <c r="C2477">
        <v>2001</v>
      </c>
    </row>
    <row r="2478" spans="1:11" x14ac:dyDescent="0.25">
      <c r="A2478">
        <v>74.811162772505</v>
      </c>
      <c r="B2478">
        <v>100.21850801222401</v>
      </c>
      <c r="C2478">
        <v>2001</v>
      </c>
    </row>
    <row r="2479" spans="1:11" x14ac:dyDescent="0.25">
      <c r="A2479">
        <v>76.284659384236306</v>
      </c>
      <c r="B2479">
        <v>101.692004623956</v>
      </c>
      <c r="C2479">
        <v>2001</v>
      </c>
    </row>
    <row r="2480" spans="1:11" x14ac:dyDescent="0.25">
      <c r="A2480">
        <v>76.721675408685101</v>
      </c>
      <c r="B2480">
        <v>101.254988599507</v>
      </c>
      <c r="C2480">
        <v>2000</v>
      </c>
    </row>
    <row r="2481" spans="1:11" x14ac:dyDescent="0.25">
      <c r="A2481">
        <v>75.248178796953795</v>
      </c>
      <c r="B2481">
        <v>99.781491987775595</v>
      </c>
      <c r="C2481">
        <v>2000</v>
      </c>
    </row>
    <row r="2482" spans="1:11" x14ac:dyDescent="0.25">
      <c r="A2482" t="s">
        <v>87</v>
      </c>
    </row>
    <row r="2483" spans="1:11" x14ac:dyDescent="0.25">
      <c r="A2483">
        <v>760</v>
      </c>
      <c r="B2483">
        <v>0</v>
      </c>
      <c r="C2483">
        <v>10.1443042992099</v>
      </c>
      <c r="D2483">
        <v>27.694056204412401</v>
      </c>
      <c r="E2483">
        <v>6</v>
      </c>
      <c r="F2483">
        <v>1.01722196789785</v>
      </c>
      <c r="G2483" t="s">
        <v>88</v>
      </c>
      <c r="H2483" t="s">
        <v>85</v>
      </c>
      <c r="I2483">
        <v>1043</v>
      </c>
      <c r="J2483">
        <v>0</v>
      </c>
      <c r="K2483">
        <v>0.101399532687084</v>
      </c>
    </row>
    <row r="2484" spans="1:11" x14ac:dyDescent="0.25">
      <c r="A2484" t="s">
        <v>86</v>
      </c>
    </row>
    <row r="2485" spans="1:11" x14ac:dyDescent="0.25">
      <c r="A2485">
        <v>119.498812029934</v>
      </c>
      <c r="B2485">
        <v>130.57727199828599</v>
      </c>
      <c r="C2485">
        <v>2000</v>
      </c>
    </row>
    <row r="2486" spans="1:11" x14ac:dyDescent="0.25">
      <c r="A2486">
        <v>112.384286742779</v>
      </c>
      <c r="B2486">
        <v>123.462746711132</v>
      </c>
      <c r="C2486">
        <v>2000</v>
      </c>
    </row>
    <row r="2487" spans="1:11" x14ac:dyDescent="0.25">
      <c r="A2487">
        <v>112.821302767228</v>
      </c>
      <c r="B2487">
        <v>123.025730686683</v>
      </c>
      <c r="C2487">
        <v>2001</v>
      </c>
    </row>
    <row r="2488" spans="1:11" x14ac:dyDescent="0.25">
      <c r="A2488">
        <v>120.052990200856</v>
      </c>
      <c r="B2488">
        <v>130.257418120311</v>
      </c>
      <c r="C2488">
        <v>2001</v>
      </c>
    </row>
    <row r="2489" spans="1:11" x14ac:dyDescent="0.25">
      <c r="A2489">
        <v>139.79557208054501</v>
      </c>
      <c r="B2489">
        <v>150</v>
      </c>
      <c r="C2489">
        <v>2001</v>
      </c>
    </row>
    <row r="2490" spans="1:11" x14ac:dyDescent="0.25">
      <c r="A2490">
        <v>138.92154003164799</v>
      </c>
      <c r="B2490">
        <v>150</v>
      </c>
      <c r="C2490">
        <v>2000</v>
      </c>
    </row>
    <row r="2491" spans="1:11" x14ac:dyDescent="0.25">
      <c r="A2491" t="s">
        <v>87</v>
      </c>
    </row>
    <row r="2492" spans="1:11" x14ac:dyDescent="0.25">
      <c r="A2492">
        <v>678</v>
      </c>
      <c r="B2492">
        <v>0</v>
      </c>
      <c r="C2492">
        <v>7.6877516977066298</v>
      </c>
      <c r="D2492">
        <v>29.974598503723801</v>
      </c>
      <c r="E2492">
        <v>6</v>
      </c>
      <c r="F2492">
        <v>1.01722196789785</v>
      </c>
      <c r="G2492" t="s">
        <v>88</v>
      </c>
      <c r="H2492" t="s">
        <v>88</v>
      </c>
      <c r="I2492">
        <v>503</v>
      </c>
      <c r="J2492">
        <v>651</v>
      </c>
      <c r="K2492">
        <v>0</v>
      </c>
    </row>
    <row r="2493" spans="1:11" x14ac:dyDescent="0.25">
      <c r="A2493" t="s">
        <v>86</v>
      </c>
    </row>
    <row r="2494" spans="1:11" x14ac:dyDescent="0.25">
      <c r="A2494">
        <v>109.56770816936999</v>
      </c>
      <c r="B2494">
        <v>124.533592137295</v>
      </c>
      <c r="C2494">
        <v>2000</v>
      </c>
    </row>
    <row r="2495" spans="1:11" x14ac:dyDescent="0.25">
      <c r="A2495">
        <v>104.131646811843</v>
      </c>
      <c r="B2495">
        <v>119.097530779769</v>
      </c>
      <c r="C2495">
        <v>2000</v>
      </c>
    </row>
    <row r="2496" spans="1:11" x14ac:dyDescent="0.25">
      <c r="A2496">
        <v>103.694630787394</v>
      </c>
      <c r="B2496">
        <v>119.534546804217</v>
      </c>
      <c r="C2496">
        <v>2001</v>
      </c>
    </row>
    <row r="2497" spans="1:11" x14ac:dyDescent="0.25">
      <c r="A2497">
        <v>109.130692144921</v>
      </c>
      <c r="B2497">
        <v>124.970608161744</v>
      </c>
      <c r="C2497">
        <v>2001</v>
      </c>
    </row>
    <row r="2498" spans="1:11" x14ac:dyDescent="0.25">
      <c r="A2498">
        <v>130.32593401024801</v>
      </c>
      <c r="B2498">
        <v>146.165850027071</v>
      </c>
      <c r="C2498">
        <v>2001</v>
      </c>
    </row>
    <row r="2499" spans="1:11" x14ac:dyDescent="0.25">
      <c r="A2499">
        <v>130.76295003469701</v>
      </c>
      <c r="B2499">
        <v>145.72883400262299</v>
      </c>
      <c r="C2499">
        <v>2000</v>
      </c>
    </row>
    <row r="2500" spans="1:11" x14ac:dyDescent="0.25">
      <c r="A2500" t="s">
        <v>87</v>
      </c>
    </row>
    <row r="2501" spans="1:11" x14ac:dyDescent="0.25">
      <c r="A2501">
        <v>837</v>
      </c>
      <c r="B2501">
        <v>0</v>
      </c>
      <c r="C2501">
        <v>36.454877869063701</v>
      </c>
      <c r="D2501">
        <v>1.1216946483183099</v>
      </c>
      <c r="E2501">
        <v>6</v>
      </c>
      <c r="F2501">
        <v>1.01722196789785</v>
      </c>
      <c r="G2501" t="s">
        <v>88</v>
      </c>
      <c r="H2501" t="s">
        <v>88</v>
      </c>
      <c r="I2501">
        <v>904</v>
      </c>
      <c r="J2501">
        <v>264</v>
      </c>
      <c r="K2501">
        <v>0.103520648210845</v>
      </c>
    </row>
    <row r="2502" spans="1:11" x14ac:dyDescent="0.25">
      <c r="A2502" t="s">
        <v>86</v>
      </c>
    </row>
    <row r="2503" spans="1:11" x14ac:dyDescent="0.25">
      <c r="A2503">
        <v>78.477255004210207</v>
      </c>
      <c r="B2503">
        <v>45.3794436121308</v>
      </c>
      <c r="C2503">
        <v>2000</v>
      </c>
    </row>
    <row r="2504" spans="1:11" x14ac:dyDescent="0.25">
      <c r="A2504">
        <v>52.699763655667901</v>
      </c>
      <c r="B2504">
        <v>19.601952263588501</v>
      </c>
      <c r="C2504">
        <v>2000</v>
      </c>
    </row>
    <row r="2505" spans="1:11" x14ac:dyDescent="0.25">
      <c r="A2505">
        <v>52.262747631219099</v>
      </c>
      <c r="B2505">
        <v>20.038968288037299</v>
      </c>
      <c r="C2505">
        <v>2001</v>
      </c>
    </row>
    <row r="2506" spans="1:11" x14ac:dyDescent="0.25">
      <c r="A2506">
        <v>78.040238979761398</v>
      </c>
      <c r="B2506">
        <v>45.816459636579701</v>
      </c>
      <c r="C2506">
        <v>2001</v>
      </c>
    </row>
    <row r="2507" spans="1:11" x14ac:dyDescent="0.25">
      <c r="A2507">
        <v>78.833396872007995</v>
      </c>
      <c r="B2507">
        <v>46.609617528826199</v>
      </c>
      <c r="C2507">
        <v>2001</v>
      </c>
    </row>
    <row r="2508" spans="1:11" x14ac:dyDescent="0.25">
      <c r="A2508">
        <v>79.270412896456804</v>
      </c>
      <c r="B2508">
        <v>46.172601504377397</v>
      </c>
      <c r="C2508">
        <v>2000</v>
      </c>
    </row>
    <row r="2509" spans="1:11" x14ac:dyDescent="0.25">
      <c r="A2509" t="s">
        <v>87</v>
      </c>
    </row>
    <row r="2510" spans="1:11" x14ac:dyDescent="0.25">
      <c r="A2510">
        <v>348</v>
      </c>
      <c r="B2510">
        <v>0</v>
      </c>
      <c r="C2510">
        <v>23.5202517292431</v>
      </c>
      <c r="D2510">
        <v>13.844521665344001</v>
      </c>
      <c r="E2510">
        <v>8</v>
      </c>
      <c r="F2510">
        <v>1.01722196789785</v>
      </c>
      <c r="G2510" t="s">
        <v>88</v>
      </c>
      <c r="H2510" t="s">
        <v>85</v>
      </c>
      <c r="I2510">
        <v>766</v>
      </c>
      <c r="J2510">
        <v>0</v>
      </c>
      <c r="K2510">
        <v>0</v>
      </c>
    </row>
    <row r="2511" spans="1:11" x14ac:dyDescent="0.25">
      <c r="A2511" t="s">
        <v>86</v>
      </c>
    </row>
    <row r="2512" spans="1:11" x14ac:dyDescent="0.25">
      <c r="A2512">
        <v>57.409690594930602</v>
      </c>
      <c r="B2512">
        <v>140.332580329038</v>
      </c>
      <c r="C2512">
        <v>2000</v>
      </c>
    </row>
    <row r="2513" spans="1:11" x14ac:dyDescent="0.25">
      <c r="A2513">
        <v>49.781491987775603</v>
      </c>
      <c r="B2513">
        <v>132.70438172188301</v>
      </c>
      <c r="C2513">
        <v>2000</v>
      </c>
    </row>
    <row r="2514" spans="1:11" x14ac:dyDescent="0.25">
      <c r="A2514">
        <v>40.874733633305297</v>
      </c>
      <c r="B2514">
        <v>123.797623367413</v>
      </c>
      <c r="C2514">
        <v>2000</v>
      </c>
    </row>
    <row r="2515" spans="1:11" x14ac:dyDescent="0.25">
      <c r="A2515">
        <v>41.311749657754099</v>
      </c>
      <c r="B2515">
        <v>123.360607342964</v>
      </c>
      <c r="C2515">
        <v>2001</v>
      </c>
    </row>
    <row r="2516" spans="1:11" x14ac:dyDescent="0.25">
      <c r="A2516">
        <v>50.218508012224397</v>
      </c>
      <c r="B2516">
        <v>132.267365697435</v>
      </c>
      <c r="C2516">
        <v>2001</v>
      </c>
    </row>
    <row r="2517" spans="1:11" x14ac:dyDescent="0.25">
      <c r="A2517">
        <v>58.039451682053603</v>
      </c>
      <c r="B2517">
        <v>140.088309367264</v>
      </c>
      <c r="C2517">
        <v>2001</v>
      </c>
    </row>
    <row r="2518" spans="1:11" x14ac:dyDescent="0.25">
      <c r="A2518">
        <v>67.951142314789806</v>
      </c>
      <c r="B2518">
        <v>150</v>
      </c>
      <c r="C2518">
        <v>2001</v>
      </c>
    </row>
    <row r="2519" spans="1:11" x14ac:dyDescent="0.25">
      <c r="A2519">
        <v>67.077110265892202</v>
      </c>
      <c r="B2519">
        <v>150</v>
      </c>
      <c r="C2519">
        <v>2000</v>
      </c>
    </row>
    <row r="2520" spans="1:11" x14ac:dyDescent="0.25">
      <c r="A2520" t="s">
        <v>87</v>
      </c>
    </row>
    <row r="2521" spans="1:11" x14ac:dyDescent="0.25">
      <c r="A2521">
        <v>1008</v>
      </c>
      <c r="B2521">
        <v>0</v>
      </c>
      <c r="C2521">
        <v>28.796953751378901</v>
      </c>
      <c r="D2521">
        <v>8.4679868877790305</v>
      </c>
      <c r="E2521">
        <v>6</v>
      </c>
      <c r="F2521">
        <v>1.01722196789785</v>
      </c>
      <c r="G2521" t="s">
        <v>85</v>
      </c>
      <c r="H2521" t="s">
        <v>88</v>
      </c>
      <c r="I2521">
        <v>0</v>
      </c>
      <c r="J2521">
        <v>874</v>
      </c>
      <c r="K2521">
        <v>0.112398968056819</v>
      </c>
    </row>
    <row r="2522" spans="1:11" x14ac:dyDescent="0.25">
      <c r="A2522" t="s">
        <v>86</v>
      </c>
    </row>
    <row r="2523" spans="1:11" x14ac:dyDescent="0.25">
      <c r="A2523">
        <v>20.193666447644699</v>
      </c>
      <c r="B2523">
        <v>84.048288417662803</v>
      </c>
      <c r="C2523">
        <v>2000</v>
      </c>
    </row>
    <row r="2524" spans="1:11" x14ac:dyDescent="0.25">
      <c r="A2524">
        <v>0</v>
      </c>
      <c r="B2524">
        <v>63.854621970018101</v>
      </c>
      <c r="C2524">
        <v>2000</v>
      </c>
    </row>
    <row r="2525" spans="1:11" x14ac:dyDescent="0.25">
      <c r="A2525">
        <v>0</v>
      </c>
      <c r="B2525">
        <v>62.980589921120497</v>
      </c>
      <c r="C2525">
        <v>2001</v>
      </c>
    </row>
    <row r="2526" spans="1:11" x14ac:dyDescent="0.25">
      <c r="A2526">
        <v>20.531376102586201</v>
      </c>
      <c r="B2526">
        <v>83.511966023706606</v>
      </c>
      <c r="C2526">
        <v>2001</v>
      </c>
    </row>
    <row r="2527" spans="1:11" x14ac:dyDescent="0.25">
      <c r="A2527">
        <v>26.568800238687199</v>
      </c>
      <c r="B2527">
        <v>89.549390159807601</v>
      </c>
      <c r="C2527">
        <v>2001</v>
      </c>
    </row>
    <row r="2528" spans="1:11" x14ac:dyDescent="0.25">
      <c r="A2528">
        <v>26.131784214238401</v>
      </c>
      <c r="B2528">
        <v>89.986406184256396</v>
      </c>
      <c r="C2528">
        <v>2000</v>
      </c>
    </row>
    <row r="2529" spans="1:11" x14ac:dyDescent="0.25">
      <c r="A2529" t="s">
        <v>87</v>
      </c>
    </row>
    <row r="2530" spans="1:11" x14ac:dyDescent="0.25">
      <c r="A2530">
        <v>269</v>
      </c>
      <c r="B2530">
        <v>0</v>
      </c>
      <c r="C2530">
        <v>12.185797159242799</v>
      </c>
      <c r="D2530">
        <v>24.8770738713337</v>
      </c>
      <c r="E2530">
        <v>10</v>
      </c>
      <c r="F2530">
        <v>1.01722196789785</v>
      </c>
      <c r="G2530" t="s">
        <v>88</v>
      </c>
      <c r="H2530" t="s">
        <v>88</v>
      </c>
      <c r="I2530">
        <v>865</v>
      </c>
      <c r="J2530">
        <v>98</v>
      </c>
      <c r="K2530">
        <v>0</v>
      </c>
    </row>
    <row r="2531" spans="1:11" x14ac:dyDescent="0.25">
      <c r="A2531" t="s">
        <v>86</v>
      </c>
    </row>
    <row r="2532" spans="1:11" x14ac:dyDescent="0.25">
      <c r="A2532">
        <v>50.652503393433101</v>
      </c>
      <c r="B2532">
        <v>42.323169496522098</v>
      </c>
      <c r="C2532">
        <v>2000</v>
      </c>
    </row>
    <row r="2533" spans="1:11" x14ac:dyDescent="0.25">
      <c r="A2533">
        <v>49.781491987775603</v>
      </c>
      <c r="B2533">
        <v>41.4521580908646</v>
      </c>
      <c r="C2533">
        <v>2000</v>
      </c>
    </row>
    <row r="2534" spans="1:11" x14ac:dyDescent="0.25">
      <c r="A2534">
        <v>42.035843587968799</v>
      </c>
      <c r="B2534">
        <v>33.706509691057803</v>
      </c>
      <c r="C2534">
        <v>2000</v>
      </c>
    </row>
    <row r="2535" spans="1:11" x14ac:dyDescent="0.25">
      <c r="A2535">
        <v>42.472859612417601</v>
      </c>
      <c r="B2535">
        <v>33.269493666608902</v>
      </c>
      <c r="C2535">
        <v>2001</v>
      </c>
    </row>
    <row r="2536" spans="1:11" x14ac:dyDescent="0.25">
      <c r="A2536">
        <v>50.218508012224397</v>
      </c>
      <c r="B2536">
        <v>41.015142066415699</v>
      </c>
      <c r="C2536">
        <v>2001</v>
      </c>
    </row>
    <row r="2537" spans="1:11" x14ac:dyDescent="0.25">
      <c r="A2537">
        <v>51.089519417881903</v>
      </c>
      <c r="B2537">
        <v>41.886153472073303</v>
      </c>
      <c r="C2537">
        <v>2001</v>
      </c>
    </row>
    <row r="2538" spans="1:11" x14ac:dyDescent="0.25">
      <c r="A2538">
        <v>58.984857933584301</v>
      </c>
      <c r="B2538">
        <v>49.781491987775603</v>
      </c>
      <c r="C2538">
        <v>2001</v>
      </c>
    </row>
    <row r="2539" spans="1:11" x14ac:dyDescent="0.25">
      <c r="A2539">
        <v>68.680267048380699</v>
      </c>
      <c r="B2539">
        <v>59.476901102572</v>
      </c>
      <c r="C2539">
        <v>2001</v>
      </c>
    </row>
    <row r="2540" spans="1:11" x14ac:dyDescent="0.25">
      <c r="A2540">
        <v>68.243251023931805</v>
      </c>
      <c r="B2540">
        <v>59.913917127020802</v>
      </c>
      <c r="C2540">
        <v>2000</v>
      </c>
    </row>
    <row r="2541" spans="1:11" x14ac:dyDescent="0.25">
      <c r="A2541">
        <v>58.547841909135499</v>
      </c>
      <c r="B2541">
        <v>50.218508012224397</v>
      </c>
      <c r="C2541">
        <v>2000</v>
      </c>
    </row>
    <row r="2542" spans="1:11" x14ac:dyDescent="0.25">
      <c r="A2542" t="s">
        <v>87</v>
      </c>
    </row>
    <row r="2543" spans="1:11" x14ac:dyDescent="0.25">
      <c r="A2543">
        <v>273</v>
      </c>
      <c r="B2543">
        <v>0</v>
      </c>
      <c r="C2543">
        <v>8.9190234946708191</v>
      </c>
      <c r="D2543">
        <v>27.814110001600401</v>
      </c>
      <c r="E2543">
        <v>10</v>
      </c>
      <c r="F2543">
        <v>1.01722196789785</v>
      </c>
      <c r="G2543" t="s">
        <v>88</v>
      </c>
      <c r="H2543" t="s">
        <v>88</v>
      </c>
      <c r="I2543">
        <v>4</v>
      </c>
      <c r="J2543">
        <v>105</v>
      </c>
      <c r="K2543">
        <v>0</v>
      </c>
    </row>
    <row r="2544" spans="1:11" x14ac:dyDescent="0.25">
      <c r="A2544" t="s">
        <v>86</v>
      </c>
    </row>
    <row r="2545" spans="1:11" x14ac:dyDescent="0.25">
      <c r="A2545">
        <v>55.238814017842202</v>
      </c>
      <c r="B2545">
        <v>36.6159067040428</v>
      </c>
      <c r="C2545">
        <v>2000</v>
      </c>
    </row>
    <row r="2546" spans="1:11" x14ac:dyDescent="0.25">
      <c r="A2546">
        <v>50.218508012224397</v>
      </c>
      <c r="B2546">
        <v>31.595600698425098</v>
      </c>
      <c r="C2546">
        <v>2000</v>
      </c>
    </row>
    <row r="2547" spans="1:11" x14ac:dyDescent="0.25">
      <c r="A2547">
        <v>48.9321120231983</v>
      </c>
      <c r="B2547">
        <v>30.309204709398902</v>
      </c>
      <c r="C2547">
        <v>2000</v>
      </c>
    </row>
    <row r="2548" spans="1:11" x14ac:dyDescent="0.25">
      <c r="A2548">
        <v>48.495095998749498</v>
      </c>
      <c r="B2548">
        <v>30.7462207338478</v>
      </c>
      <c r="C2548">
        <v>2001</v>
      </c>
    </row>
    <row r="2549" spans="1:11" x14ac:dyDescent="0.25">
      <c r="A2549">
        <v>49.781491987775603</v>
      </c>
      <c r="B2549">
        <v>32.032616722873897</v>
      </c>
      <c r="C2549">
        <v>2001</v>
      </c>
    </row>
    <row r="2550" spans="1:11" x14ac:dyDescent="0.25">
      <c r="A2550">
        <v>54.801797993393301</v>
      </c>
      <c r="B2550">
        <v>37.052922728491602</v>
      </c>
      <c r="C2550">
        <v>2001</v>
      </c>
    </row>
    <row r="2551" spans="1:11" x14ac:dyDescent="0.25">
      <c r="A2551">
        <v>67.967383277126103</v>
      </c>
      <c r="B2551">
        <v>50.218508012224397</v>
      </c>
      <c r="C2551">
        <v>2001</v>
      </c>
    </row>
    <row r="2552" spans="1:11" x14ac:dyDescent="0.25">
      <c r="A2552">
        <v>74.469343788193598</v>
      </c>
      <c r="B2552">
        <v>56.7204685232918</v>
      </c>
      <c r="C2552">
        <v>2001</v>
      </c>
    </row>
    <row r="2553" spans="1:11" x14ac:dyDescent="0.25">
      <c r="A2553">
        <v>74.906359812642407</v>
      </c>
      <c r="B2553">
        <v>56.283452498842998</v>
      </c>
      <c r="C2553">
        <v>2000</v>
      </c>
    </row>
    <row r="2554" spans="1:11" x14ac:dyDescent="0.25">
      <c r="A2554">
        <v>68.404399301574898</v>
      </c>
      <c r="B2554">
        <v>49.781491987775603</v>
      </c>
      <c r="C2554">
        <v>2000</v>
      </c>
    </row>
    <row r="2555" spans="1:11" x14ac:dyDescent="0.25">
      <c r="A2555" t="s">
        <v>87</v>
      </c>
    </row>
    <row r="2556" spans="1:11" x14ac:dyDescent="0.25">
      <c r="A2556">
        <v>275</v>
      </c>
      <c r="B2556">
        <v>0</v>
      </c>
      <c r="C2556">
        <v>7.4242222254086796</v>
      </c>
      <c r="D2556">
        <v>29.272024074421399</v>
      </c>
      <c r="E2556">
        <v>8</v>
      </c>
      <c r="F2556">
        <v>1.01722196789785</v>
      </c>
      <c r="G2556" t="s">
        <v>85</v>
      </c>
      <c r="H2556" t="s">
        <v>88</v>
      </c>
      <c r="I2556">
        <v>0</v>
      </c>
      <c r="J2556">
        <v>824</v>
      </c>
      <c r="K2556">
        <v>0</v>
      </c>
    </row>
    <row r="2557" spans="1:11" x14ac:dyDescent="0.25">
      <c r="A2557" t="s">
        <v>86</v>
      </c>
    </row>
    <row r="2558" spans="1:11" x14ac:dyDescent="0.25">
      <c r="A2558">
        <v>81.860673775104502</v>
      </c>
      <c r="B2558">
        <v>5.2995879136580299</v>
      </c>
      <c r="C2558">
        <v>2000</v>
      </c>
    </row>
    <row r="2559" spans="1:11" x14ac:dyDescent="0.25">
      <c r="A2559">
        <v>76.5610858614465</v>
      </c>
      <c r="B2559">
        <v>0</v>
      </c>
      <c r="C2559">
        <v>2000</v>
      </c>
    </row>
    <row r="2560" spans="1:11" x14ac:dyDescent="0.25">
      <c r="A2560">
        <v>77.435117910344104</v>
      </c>
      <c r="B2560">
        <v>0</v>
      </c>
      <c r="C2560">
        <v>2001</v>
      </c>
    </row>
    <row r="2561" spans="1:11" x14ac:dyDescent="0.25">
      <c r="A2561">
        <v>82.6349657579308</v>
      </c>
      <c r="B2561">
        <v>5.1998478475866801</v>
      </c>
      <c r="C2561">
        <v>2001</v>
      </c>
    </row>
    <row r="2562" spans="1:11" x14ac:dyDescent="0.25">
      <c r="A2562">
        <v>100.21850801222401</v>
      </c>
      <c r="B2562">
        <v>22.7833901018803</v>
      </c>
      <c r="C2562">
        <v>2001</v>
      </c>
    </row>
    <row r="2563" spans="1:11" x14ac:dyDescent="0.25">
      <c r="A2563">
        <v>103.164774500821</v>
      </c>
      <c r="B2563">
        <v>25.729656590477202</v>
      </c>
      <c r="C2563">
        <v>2001</v>
      </c>
    </row>
    <row r="2564" spans="1:11" x14ac:dyDescent="0.25">
      <c r="A2564">
        <v>102.727758476373</v>
      </c>
      <c r="B2564">
        <v>26.166672614926</v>
      </c>
      <c r="C2564">
        <v>2000</v>
      </c>
    </row>
    <row r="2565" spans="1:11" x14ac:dyDescent="0.25">
      <c r="A2565">
        <v>99.781491987775595</v>
      </c>
      <c r="B2565">
        <v>23.220406126329099</v>
      </c>
      <c r="C2565">
        <v>2000</v>
      </c>
    </row>
    <row r="2566" spans="1:11" x14ac:dyDescent="0.25">
      <c r="A2566" t="s">
        <v>87</v>
      </c>
    </row>
    <row r="2567" spans="1:11" x14ac:dyDescent="0.25">
      <c r="A2567">
        <v>1032</v>
      </c>
      <c r="B2567">
        <v>0</v>
      </c>
      <c r="C2567">
        <v>0.58254244635054397</v>
      </c>
      <c r="D2567">
        <v>35.943536947107702</v>
      </c>
      <c r="E2567">
        <v>8</v>
      </c>
      <c r="F2567">
        <v>1.01722196789785</v>
      </c>
      <c r="G2567" t="s">
        <v>85</v>
      </c>
      <c r="H2567" t="s">
        <v>88</v>
      </c>
      <c r="I2567">
        <v>0</v>
      </c>
      <c r="J2567">
        <v>594</v>
      </c>
      <c r="K2567">
        <v>0.114487545660881</v>
      </c>
    </row>
    <row r="2568" spans="1:11" x14ac:dyDescent="0.25">
      <c r="A2568" t="s">
        <v>86</v>
      </c>
    </row>
    <row r="2569" spans="1:11" x14ac:dyDescent="0.25">
      <c r="A2569">
        <v>0.386464654426805</v>
      </c>
      <c r="B2569">
        <v>97.2875330544977</v>
      </c>
      <c r="C2569">
        <v>2000</v>
      </c>
    </row>
    <row r="2570" spans="1:11" x14ac:dyDescent="0.25">
      <c r="A2570">
        <v>0</v>
      </c>
      <c r="B2570">
        <v>96.901068400070898</v>
      </c>
      <c r="C2570">
        <v>2000</v>
      </c>
    </row>
    <row r="2571" spans="1:11" x14ac:dyDescent="0.25">
      <c r="A2571">
        <v>0</v>
      </c>
      <c r="B2571">
        <v>96.027036351173294</v>
      </c>
      <c r="C2571">
        <v>2001</v>
      </c>
    </row>
    <row r="2572" spans="1:11" x14ac:dyDescent="0.25">
      <c r="A2572">
        <v>0.43737477386013401</v>
      </c>
      <c r="B2572">
        <v>96.464411125033394</v>
      </c>
      <c r="C2572">
        <v>2001</v>
      </c>
    </row>
    <row r="2573" spans="1:11" x14ac:dyDescent="0.25">
      <c r="A2573">
        <v>3.7544556366022901</v>
      </c>
      <c r="B2573">
        <v>99.781491987775595</v>
      </c>
      <c r="C2573">
        <v>2001</v>
      </c>
    </row>
    <row r="2574" spans="1:11" x14ac:dyDescent="0.25">
      <c r="A2574">
        <v>26.046346441496901</v>
      </c>
      <c r="B2574">
        <v>122.07338279267</v>
      </c>
      <c r="C2574">
        <v>2001</v>
      </c>
    </row>
    <row r="2575" spans="1:11" x14ac:dyDescent="0.25">
      <c r="A2575">
        <v>25.609330417048099</v>
      </c>
      <c r="B2575">
        <v>122.510398817119</v>
      </c>
      <c r="C2575">
        <v>2000</v>
      </c>
    </row>
    <row r="2576" spans="1:11" x14ac:dyDescent="0.25">
      <c r="A2576">
        <v>3.3174396121534699</v>
      </c>
      <c r="B2576">
        <v>100.21850801222401</v>
      </c>
      <c r="C2576">
        <v>2000</v>
      </c>
    </row>
    <row r="2577" spans="1:11" x14ac:dyDescent="0.25">
      <c r="A2577" t="s">
        <v>87</v>
      </c>
    </row>
    <row r="2578" spans="1:11" x14ac:dyDescent="0.25">
      <c r="A2578">
        <v>898</v>
      </c>
      <c r="B2578">
        <v>0</v>
      </c>
      <c r="C2578">
        <v>17.3738271281109</v>
      </c>
      <c r="D2578">
        <v>19.0035568408139</v>
      </c>
      <c r="E2578">
        <v>6</v>
      </c>
      <c r="F2578">
        <v>1.01722196789785</v>
      </c>
      <c r="G2578" t="s">
        <v>88</v>
      </c>
      <c r="H2578" t="s">
        <v>88</v>
      </c>
      <c r="I2578">
        <v>174</v>
      </c>
      <c r="J2578">
        <v>927</v>
      </c>
      <c r="K2578">
        <v>0.10489943576939401</v>
      </c>
    </row>
    <row r="2579" spans="1:11" x14ac:dyDescent="0.25">
      <c r="A2579" t="s">
        <v>86</v>
      </c>
    </row>
    <row r="2580" spans="1:11" x14ac:dyDescent="0.25">
      <c r="A2580">
        <v>120.416813787728</v>
      </c>
      <c r="B2580">
        <v>85.564589804305797</v>
      </c>
      <c r="C2580">
        <v>2000</v>
      </c>
    </row>
    <row r="2581" spans="1:11" x14ac:dyDescent="0.25">
      <c r="A2581">
        <v>108.131662810278</v>
      </c>
      <c r="B2581">
        <v>73.279438826855795</v>
      </c>
      <c r="C2581">
        <v>2000</v>
      </c>
    </row>
    <row r="2582" spans="1:11" x14ac:dyDescent="0.25">
      <c r="A2582">
        <v>107.69464678582899</v>
      </c>
      <c r="B2582">
        <v>73.716454851304604</v>
      </c>
      <c r="C2582">
        <v>2001</v>
      </c>
    </row>
    <row r="2583" spans="1:11" x14ac:dyDescent="0.25">
      <c r="A2583">
        <v>119.979797763279</v>
      </c>
      <c r="B2583">
        <v>86.001605828754606</v>
      </c>
      <c r="C2583">
        <v>2001</v>
      </c>
    </row>
    <row r="2584" spans="1:11" x14ac:dyDescent="0.25">
      <c r="A2584">
        <v>133.41734167208301</v>
      </c>
      <c r="B2584">
        <v>99.439149737558097</v>
      </c>
      <c r="C2584">
        <v>2001</v>
      </c>
    </row>
    <row r="2585" spans="1:11" x14ac:dyDescent="0.25">
      <c r="A2585">
        <v>133.85435769653199</v>
      </c>
      <c r="B2585">
        <v>99.002133713109302</v>
      </c>
      <c r="C2585">
        <v>2000</v>
      </c>
    </row>
    <row r="2586" spans="1:11" x14ac:dyDescent="0.25">
      <c r="A2586" t="s">
        <v>87</v>
      </c>
    </row>
    <row r="2587" spans="1:11" x14ac:dyDescent="0.25">
      <c r="A2587">
        <v>780</v>
      </c>
      <c r="B2587">
        <v>0</v>
      </c>
      <c r="C2587">
        <v>21.657569671176599</v>
      </c>
      <c r="D2587">
        <v>14.434357807186201</v>
      </c>
      <c r="E2587">
        <v>8</v>
      </c>
      <c r="F2587">
        <v>1.01722196789785</v>
      </c>
      <c r="G2587" t="s">
        <v>88</v>
      </c>
      <c r="H2587" t="s">
        <v>88</v>
      </c>
      <c r="I2587">
        <v>937</v>
      </c>
      <c r="J2587">
        <v>847</v>
      </c>
      <c r="K2587">
        <v>0.101659477666818</v>
      </c>
    </row>
    <row r="2588" spans="1:11" x14ac:dyDescent="0.25">
      <c r="A2588" t="s">
        <v>86</v>
      </c>
    </row>
    <row r="2589" spans="1:11" x14ac:dyDescent="0.25">
      <c r="A2589">
        <v>116.582840720002</v>
      </c>
      <c r="B2589">
        <v>44.627872634501301</v>
      </c>
      <c r="C2589">
        <v>2000</v>
      </c>
    </row>
    <row r="2590" spans="1:11" x14ac:dyDescent="0.25">
      <c r="A2590">
        <v>101.268626341493</v>
      </c>
      <c r="B2590">
        <v>29.313658255992301</v>
      </c>
      <c r="C2590">
        <v>2000</v>
      </c>
    </row>
    <row r="2591" spans="1:11" x14ac:dyDescent="0.25">
      <c r="A2591">
        <v>101.705642365942</v>
      </c>
      <c r="B2591">
        <v>28.8766422315434</v>
      </c>
      <c r="C2591">
        <v>2001</v>
      </c>
    </row>
    <row r="2592" spans="1:11" x14ac:dyDescent="0.25">
      <c r="A2592">
        <v>117.019856744451</v>
      </c>
      <c r="B2592">
        <v>44.190856610052499</v>
      </c>
      <c r="C2592">
        <v>2001</v>
      </c>
    </row>
    <row r="2593" spans="1:11" x14ac:dyDescent="0.25">
      <c r="A2593">
        <v>122.61049212217399</v>
      </c>
      <c r="B2593">
        <v>49.781491987775603</v>
      </c>
      <c r="C2593">
        <v>2001</v>
      </c>
    </row>
    <row r="2594" spans="1:11" x14ac:dyDescent="0.25">
      <c r="A2594">
        <v>127.226489031985</v>
      </c>
      <c r="B2594">
        <v>54.397488897586797</v>
      </c>
      <c r="C2594">
        <v>2001</v>
      </c>
    </row>
    <row r="2595" spans="1:11" x14ac:dyDescent="0.25">
      <c r="A2595">
        <v>126.789473007536</v>
      </c>
      <c r="B2595">
        <v>54.834504922035599</v>
      </c>
      <c r="C2595">
        <v>2000</v>
      </c>
    </row>
    <row r="2596" spans="1:11" x14ac:dyDescent="0.25">
      <c r="A2596">
        <v>122.173476097725</v>
      </c>
      <c r="B2596">
        <v>50.218508012224397</v>
      </c>
      <c r="C2596">
        <v>2000</v>
      </c>
    </row>
    <row r="2597" spans="1:11" x14ac:dyDescent="0.25">
      <c r="A2597" t="s">
        <v>87</v>
      </c>
    </row>
    <row r="2598" spans="1:11" x14ac:dyDescent="0.25">
      <c r="A2598">
        <v>588</v>
      </c>
      <c r="B2598">
        <v>0</v>
      </c>
      <c r="C2598">
        <v>15.5582317890218</v>
      </c>
      <c r="D2598">
        <v>20.2137633686634</v>
      </c>
      <c r="E2598">
        <v>8</v>
      </c>
      <c r="F2598">
        <v>1.01722196789785</v>
      </c>
      <c r="G2598" t="s">
        <v>85</v>
      </c>
      <c r="H2598" t="s">
        <v>88</v>
      </c>
      <c r="I2598">
        <v>0</v>
      </c>
      <c r="J2598">
        <v>594</v>
      </c>
      <c r="K2598">
        <v>0</v>
      </c>
    </row>
    <row r="2599" spans="1:11" x14ac:dyDescent="0.25">
      <c r="A2599" t="s">
        <v>86</v>
      </c>
    </row>
    <row r="2600" spans="1:11" x14ac:dyDescent="0.25">
      <c r="A2600">
        <v>10.888939738312599</v>
      </c>
      <c r="B2600">
        <v>108.856444291785</v>
      </c>
      <c r="C2600">
        <v>2000</v>
      </c>
    </row>
    <row r="2601" spans="1:11" x14ac:dyDescent="0.25">
      <c r="A2601">
        <v>2.4204621302357801</v>
      </c>
      <c r="B2601">
        <v>100.387966683709</v>
      </c>
      <c r="C2601">
        <v>2000</v>
      </c>
    </row>
    <row r="2602" spans="1:11" x14ac:dyDescent="0.25">
      <c r="A2602">
        <v>0</v>
      </c>
      <c r="B2602">
        <v>97.967504553472807</v>
      </c>
      <c r="C2602">
        <v>2000</v>
      </c>
    </row>
    <row r="2603" spans="1:11" x14ac:dyDescent="0.25">
      <c r="A2603">
        <v>0</v>
      </c>
      <c r="B2603">
        <v>97.093472504575104</v>
      </c>
      <c r="C2603">
        <v>2001</v>
      </c>
    </row>
    <row r="2604" spans="1:11" x14ac:dyDescent="0.25">
      <c r="A2604">
        <v>2.5185608117162701</v>
      </c>
      <c r="B2604">
        <v>99.612033316291402</v>
      </c>
      <c r="C2604">
        <v>2001</v>
      </c>
    </row>
    <row r="2605" spans="1:11" x14ac:dyDescent="0.25">
      <c r="A2605">
        <v>11.1137226642663</v>
      </c>
      <c r="B2605">
        <v>108.207195168841</v>
      </c>
      <c r="C2605">
        <v>2001</v>
      </c>
    </row>
    <row r="2606" spans="1:11" x14ac:dyDescent="0.25">
      <c r="A2606">
        <v>25.513128364796</v>
      </c>
      <c r="B2606">
        <v>122.60660086937099</v>
      </c>
      <c r="C2606">
        <v>2001</v>
      </c>
    </row>
    <row r="2607" spans="1:11" x14ac:dyDescent="0.25">
      <c r="A2607">
        <v>25.076112340347201</v>
      </c>
      <c r="B2607">
        <v>123.04361689382</v>
      </c>
      <c r="C2607">
        <v>2000</v>
      </c>
    </row>
    <row r="2608" spans="1:11" x14ac:dyDescent="0.25">
      <c r="A2608" t="s">
        <v>87</v>
      </c>
    </row>
    <row r="2609" spans="1:11" x14ac:dyDescent="0.25">
      <c r="A2609">
        <v>941</v>
      </c>
      <c r="B2609">
        <v>0</v>
      </c>
      <c r="C2609">
        <v>20.353101005176399</v>
      </c>
      <c r="D2609">
        <v>15.396761132925</v>
      </c>
      <c r="E2609">
        <v>6</v>
      </c>
      <c r="F2609">
        <v>1.01722196789785</v>
      </c>
      <c r="G2609" t="s">
        <v>85</v>
      </c>
      <c r="H2609" t="s">
        <v>88</v>
      </c>
      <c r="I2609">
        <v>0</v>
      </c>
      <c r="J2609">
        <v>200</v>
      </c>
      <c r="K2609">
        <v>0.10641999380403</v>
      </c>
    </row>
    <row r="2610" spans="1:11" x14ac:dyDescent="0.25">
      <c r="A2610" t="s">
        <v>86</v>
      </c>
    </row>
    <row r="2611" spans="1:11" x14ac:dyDescent="0.25">
      <c r="A2611">
        <v>70.485800086007501</v>
      </c>
      <c r="B2611">
        <v>14.267414821637299</v>
      </c>
      <c r="C2611">
        <v>2000</v>
      </c>
    </row>
    <row r="2612" spans="1:11" x14ac:dyDescent="0.25">
      <c r="A2612">
        <v>56.218385264370198</v>
      </c>
      <c r="B2612">
        <v>0</v>
      </c>
      <c r="C2612">
        <v>2000</v>
      </c>
    </row>
    <row r="2613" spans="1:11" x14ac:dyDescent="0.25">
      <c r="A2613">
        <v>55.344353215472601</v>
      </c>
      <c r="B2613">
        <v>0</v>
      </c>
      <c r="C2613">
        <v>2001</v>
      </c>
    </row>
    <row r="2614" spans="1:11" x14ac:dyDescent="0.25">
      <c r="A2614">
        <v>69.860569871705096</v>
      </c>
      <c r="B2614">
        <v>14.516216656232601</v>
      </c>
      <c r="C2614">
        <v>2001</v>
      </c>
    </row>
    <row r="2615" spans="1:11" x14ac:dyDescent="0.25">
      <c r="A2615">
        <v>80.841831172032698</v>
      </c>
      <c r="B2615">
        <v>25.4974779565601</v>
      </c>
      <c r="C2615">
        <v>2001</v>
      </c>
    </row>
    <row r="2616" spans="1:11" x14ac:dyDescent="0.25">
      <c r="A2616">
        <v>81.278847196481493</v>
      </c>
      <c r="B2616">
        <v>25.060461932111298</v>
      </c>
      <c r="C2616">
        <v>2000</v>
      </c>
    </row>
    <row r="2617" spans="1:11" x14ac:dyDescent="0.25">
      <c r="A2617" t="s">
        <v>87</v>
      </c>
    </row>
    <row r="2618" spans="1:11" x14ac:dyDescent="0.25">
      <c r="A2618">
        <v>874</v>
      </c>
      <c r="B2618">
        <v>0</v>
      </c>
      <c r="C2618">
        <v>11.3203025868058</v>
      </c>
      <c r="D2618">
        <v>24.3290287337521</v>
      </c>
      <c r="E2618">
        <v>10</v>
      </c>
      <c r="F2618">
        <v>1.01722196789785</v>
      </c>
      <c r="G2618" t="s">
        <v>88</v>
      </c>
      <c r="H2618" t="s">
        <v>88</v>
      </c>
      <c r="I2618">
        <v>1008</v>
      </c>
      <c r="J2618">
        <v>351</v>
      </c>
      <c r="K2618">
        <v>0.104333136997122</v>
      </c>
    </row>
    <row r="2619" spans="1:11" x14ac:dyDescent="0.25">
      <c r="A2619" t="s">
        <v>86</v>
      </c>
    </row>
    <row r="2620" spans="1:11" x14ac:dyDescent="0.25">
      <c r="A2620">
        <v>34.398009240342503</v>
      </c>
      <c r="B2620">
        <v>97.729506606580301</v>
      </c>
      <c r="C2620">
        <v>2000</v>
      </c>
    </row>
    <row r="2621" spans="1:11" x14ac:dyDescent="0.25">
      <c r="A2621">
        <v>26.393346516128499</v>
      </c>
      <c r="B2621">
        <v>89.724843882366301</v>
      </c>
      <c r="C2621">
        <v>2000</v>
      </c>
    </row>
    <row r="2622" spans="1:11" x14ac:dyDescent="0.25">
      <c r="A2622">
        <v>25.956330491679701</v>
      </c>
      <c r="B2622">
        <v>90.161859906815096</v>
      </c>
      <c r="C2622">
        <v>2001</v>
      </c>
    </row>
    <row r="2623" spans="1:11" x14ac:dyDescent="0.25">
      <c r="A2623">
        <v>33.960993215893701</v>
      </c>
      <c r="B2623">
        <v>98.166522631029096</v>
      </c>
      <c r="C2623">
        <v>2001</v>
      </c>
    </row>
    <row r="2624" spans="1:11" x14ac:dyDescent="0.25">
      <c r="A2624">
        <v>36.012978597089003</v>
      </c>
      <c r="B2624">
        <v>100.21850801222401</v>
      </c>
      <c r="C2624">
        <v>2001</v>
      </c>
    </row>
    <row r="2625" spans="1:11" x14ac:dyDescent="0.25">
      <c r="A2625">
        <v>49.781491987775603</v>
      </c>
      <c r="B2625">
        <v>113.987021402911</v>
      </c>
      <c r="C2625">
        <v>2001</v>
      </c>
    </row>
    <row r="2626" spans="1:11" x14ac:dyDescent="0.25">
      <c r="A2626">
        <v>51.1642144132122</v>
      </c>
      <c r="B2626">
        <v>115.36974382834801</v>
      </c>
      <c r="C2626">
        <v>2001</v>
      </c>
    </row>
    <row r="2627" spans="1:11" x14ac:dyDescent="0.25">
      <c r="A2627">
        <v>51.601230437661002</v>
      </c>
      <c r="B2627">
        <v>114.932727803899</v>
      </c>
      <c r="C2627">
        <v>2000</v>
      </c>
    </row>
    <row r="2628" spans="1:11" x14ac:dyDescent="0.25">
      <c r="A2628">
        <v>50.218508012224397</v>
      </c>
      <c r="B2628">
        <v>113.550005378462</v>
      </c>
      <c r="C2628">
        <v>2000</v>
      </c>
    </row>
    <row r="2629" spans="1:11" x14ac:dyDescent="0.25">
      <c r="A2629">
        <v>36.449994621537797</v>
      </c>
      <c r="B2629">
        <v>99.781491987775595</v>
      </c>
      <c r="C2629">
        <v>2000</v>
      </c>
    </row>
    <row r="2630" spans="1:11" x14ac:dyDescent="0.25">
      <c r="A2630" t="s">
        <v>87</v>
      </c>
    </row>
    <row r="2631" spans="1:11" x14ac:dyDescent="0.25">
      <c r="A2631">
        <v>748</v>
      </c>
      <c r="B2631">
        <v>0</v>
      </c>
      <c r="C2631">
        <v>28.127339082538398</v>
      </c>
      <c r="D2631">
        <v>7.4997698675126401</v>
      </c>
      <c r="E2631">
        <v>8</v>
      </c>
      <c r="F2631">
        <v>1.01722196789785</v>
      </c>
      <c r="G2631" t="s">
        <v>88</v>
      </c>
      <c r="H2631" t="s">
        <v>88</v>
      </c>
      <c r="I2631">
        <v>750</v>
      </c>
      <c r="J2631">
        <v>797</v>
      </c>
      <c r="K2631">
        <v>0.100785207567138</v>
      </c>
    </row>
    <row r="2632" spans="1:11" x14ac:dyDescent="0.25">
      <c r="A2632" t="s">
        <v>86</v>
      </c>
    </row>
    <row r="2633" spans="1:11" x14ac:dyDescent="0.25">
      <c r="A2633">
        <v>94.657425331728106</v>
      </c>
      <c r="B2633">
        <v>93.394003215424902</v>
      </c>
      <c r="C2633">
        <v>2000</v>
      </c>
    </row>
    <row r="2634" spans="1:11" x14ac:dyDescent="0.25">
      <c r="A2634">
        <v>74.768393129731805</v>
      </c>
      <c r="B2634">
        <v>73.504971013428602</v>
      </c>
      <c r="C2634">
        <v>2000</v>
      </c>
    </row>
    <row r="2635" spans="1:11" x14ac:dyDescent="0.25">
      <c r="A2635">
        <v>75.2054091541806</v>
      </c>
      <c r="B2635">
        <v>73.067954988979807</v>
      </c>
      <c r="C2635">
        <v>2001</v>
      </c>
    </row>
    <row r="2636" spans="1:11" x14ac:dyDescent="0.25">
      <c r="A2636">
        <v>95.094441356176901</v>
      </c>
      <c r="B2636">
        <v>92.956987190976093</v>
      </c>
      <c r="C2636">
        <v>2001</v>
      </c>
    </row>
    <row r="2637" spans="1:11" x14ac:dyDescent="0.25">
      <c r="A2637">
        <v>100.21850801222401</v>
      </c>
      <c r="B2637">
        <v>98.081053847023597</v>
      </c>
      <c r="C2637">
        <v>2001</v>
      </c>
    </row>
    <row r="2638" spans="1:11" x14ac:dyDescent="0.25">
      <c r="A2638">
        <v>100.397579486834</v>
      </c>
      <c r="B2638">
        <v>98.260125321632799</v>
      </c>
      <c r="C2638">
        <v>2001</v>
      </c>
    </row>
    <row r="2639" spans="1:11" x14ac:dyDescent="0.25">
      <c r="A2639">
        <v>99.960563462384798</v>
      </c>
      <c r="B2639">
        <v>98.697141346081594</v>
      </c>
      <c r="C2639">
        <v>2000</v>
      </c>
    </row>
    <row r="2640" spans="1:11" x14ac:dyDescent="0.25">
      <c r="A2640">
        <v>99.781491987775595</v>
      </c>
      <c r="B2640">
        <v>98.518069871472406</v>
      </c>
      <c r="C2640">
        <v>2000</v>
      </c>
    </row>
    <row r="2641" spans="1:11" x14ac:dyDescent="0.25">
      <c r="A2641" t="s">
        <v>87</v>
      </c>
    </row>
    <row r="2642" spans="1:11" x14ac:dyDescent="0.25">
      <c r="A2642">
        <v>792</v>
      </c>
      <c r="B2642">
        <v>0</v>
      </c>
      <c r="C2642">
        <v>24.862114226110901</v>
      </c>
      <c r="D2642">
        <v>10.6602162782054</v>
      </c>
      <c r="E2642">
        <v>6</v>
      </c>
      <c r="F2642">
        <v>1.01722196789785</v>
      </c>
      <c r="G2642" t="s">
        <v>85</v>
      </c>
      <c r="H2642" t="s">
        <v>88</v>
      </c>
      <c r="I2642">
        <v>0</v>
      </c>
      <c r="J2642">
        <v>808</v>
      </c>
      <c r="K2642">
        <v>0.102156287543144</v>
      </c>
    </row>
    <row r="2643" spans="1:11" x14ac:dyDescent="0.25">
      <c r="A2643" t="s">
        <v>86</v>
      </c>
    </row>
    <row r="2644" spans="1:11" x14ac:dyDescent="0.25">
      <c r="A2644">
        <v>38.728001099241297</v>
      </c>
      <c r="B2644">
        <v>17.7331035376213</v>
      </c>
      <c r="C2644">
        <v>2000</v>
      </c>
    </row>
    <row r="2645" spans="1:11" x14ac:dyDescent="0.25">
      <c r="A2645">
        <v>20.99489756162</v>
      </c>
      <c r="B2645">
        <v>0</v>
      </c>
      <c r="C2645">
        <v>2000</v>
      </c>
    </row>
    <row r="2646" spans="1:11" x14ac:dyDescent="0.25">
      <c r="A2646">
        <v>21.8689296105177</v>
      </c>
      <c r="B2646">
        <v>0</v>
      </c>
      <c r="C2646">
        <v>2001</v>
      </c>
    </row>
    <row r="2647" spans="1:11" x14ac:dyDescent="0.25">
      <c r="A2647">
        <v>39.296165200731402</v>
      </c>
      <c r="B2647">
        <v>17.427235590213801</v>
      </c>
      <c r="C2647">
        <v>2001</v>
      </c>
    </row>
    <row r="2648" spans="1:11" x14ac:dyDescent="0.25">
      <c r="A2648">
        <v>46.768502381445103</v>
      </c>
      <c r="B2648">
        <v>24.899572770927399</v>
      </c>
      <c r="C2648">
        <v>2001</v>
      </c>
    </row>
    <row r="2649" spans="1:11" x14ac:dyDescent="0.25">
      <c r="A2649">
        <v>46.331486356996201</v>
      </c>
      <c r="B2649">
        <v>25.336588795376201</v>
      </c>
      <c r="C2649">
        <v>2000</v>
      </c>
    </row>
    <row r="2650" spans="1:11" x14ac:dyDescent="0.25">
      <c r="A2650" t="s">
        <v>87</v>
      </c>
    </row>
    <row r="2651" spans="1:11" x14ac:dyDescent="0.25">
      <c r="A2651">
        <v>267</v>
      </c>
      <c r="B2651">
        <v>0</v>
      </c>
      <c r="C2651">
        <v>18.663439675706702</v>
      </c>
      <c r="D2651">
        <v>16.7354120336859</v>
      </c>
      <c r="E2651">
        <v>8</v>
      </c>
      <c r="F2651">
        <v>1.01722196789785</v>
      </c>
      <c r="G2651" t="s">
        <v>88</v>
      </c>
      <c r="H2651" t="s">
        <v>88</v>
      </c>
      <c r="I2651">
        <v>251</v>
      </c>
      <c r="J2651">
        <v>114</v>
      </c>
      <c r="K2651">
        <v>0</v>
      </c>
    </row>
    <row r="2652" spans="1:11" x14ac:dyDescent="0.25">
      <c r="A2652" t="s">
        <v>86</v>
      </c>
    </row>
    <row r="2653" spans="1:11" x14ac:dyDescent="0.25">
      <c r="A2653">
        <v>64.288423271522902</v>
      </c>
      <c r="B2653">
        <v>48.759665448102197</v>
      </c>
      <c r="C2653">
        <v>2000</v>
      </c>
    </row>
    <row r="2654" spans="1:11" x14ac:dyDescent="0.25">
      <c r="A2654">
        <v>51.091378516564603</v>
      </c>
      <c r="B2654">
        <v>35.562620693143899</v>
      </c>
      <c r="C2654">
        <v>2000</v>
      </c>
    </row>
    <row r="2655" spans="1:11" x14ac:dyDescent="0.25">
      <c r="A2655">
        <v>51.528394541013398</v>
      </c>
      <c r="B2655">
        <v>35.125604668695097</v>
      </c>
      <c r="C2655">
        <v>2001</v>
      </c>
    </row>
    <row r="2656" spans="1:11" x14ac:dyDescent="0.25">
      <c r="A2656">
        <v>64.725439295971697</v>
      </c>
      <c r="B2656">
        <v>48.322649423653402</v>
      </c>
      <c r="C2656">
        <v>2001</v>
      </c>
    </row>
    <row r="2657" spans="1:11" x14ac:dyDescent="0.25">
      <c r="A2657">
        <v>66.184281860093904</v>
      </c>
      <c r="B2657">
        <v>49.781491987775603</v>
      </c>
      <c r="C2657">
        <v>2001</v>
      </c>
    </row>
    <row r="2658" spans="1:11" x14ac:dyDescent="0.25">
      <c r="A2658">
        <v>76.559162630941998</v>
      </c>
      <c r="B2658">
        <v>60.156372758623696</v>
      </c>
      <c r="C2658">
        <v>2001</v>
      </c>
    </row>
    <row r="2659" spans="1:11" x14ac:dyDescent="0.25">
      <c r="A2659">
        <v>76.122146606493203</v>
      </c>
      <c r="B2659">
        <v>60.593388783072498</v>
      </c>
      <c r="C2659">
        <v>2000</v>
      </c>
    </row>
    <row r="2660" spans="1:11" x14ac:dyDescent="0.25">
      <c r="A2660">
        <v>65.747265835645095</v>
      </c>
      <c r="B2660">
        <v>50.218508012224397</v>
      </c>
      <c r="C2660">
        <v>2000</v>
      </c>
    </row>
    <row r="2661" spans="1:11" x14ac:dyDescent="0.25">
      <c r="A2661" t="s">
        <v>87</v>
      </c>
    </row>
    <row r="2662" spans="1:11" x14ac:dyDescent="0.25">
      <c r="A2662">
        <v>597</v>
      </c>
      <c r="B2662">
        <v>0</v>
      </c>
      <c r="C2662">
        <v>31.489496246473099</v>
      </c>
      <c r="D2662">
        <v>3.8814732185859802</v>
      </c>
      <c r="E2662">
        <v>6</v>
      </c>
      <c r="F2662">
        <v>1.01722196789785</v>
      </c>
      <c r="G2662" t="s">
        <v>85</v>
      </c>
      <c r="H2662" t="s">
        <v>88</v>
      </c>
      <c r="I2662">
        <v>0</v>
      </c>
      <c r="J2662">
        <v>563</v>
      </c>
      <c r="K2662">
        <v>0</v>
      </c>
    </row>
    <row r="2663" spans="1:11" x14ac:dyDescent="0.25">
      <c r="A2663" t="s">
        <v>86</v>
      </c>
    </row>
    <row r="2664" spans="1:11" x14ac:dyDescent="0.25">
      <c r="A2664">
        <v>22.460966121142601</v>
      </c>
      <c r="B2664">
        <v>143.33877070729301</v>
      </c>
      <c r="C2664">
        <v>2000</v>
      </c>
    </row>
    <row r="2665" spans="1:11" x14ac:dyDescent="0.25">
      <c r="A2665">
        <v>0</v>
      </c>
      <c r="B2665">
        <v>120.87780458615001</v>
      </c>
      <c r="C2665">
        <v>2000</v>
      </c>
    </row>
    <row r="2666" spans="1:11" x14ac:dyDescent="0.25">
      <c r="A2666">
        <v>0</v>
      </c>
      <c r="B2666">
        <v>121.75183663504799</v>
      </c>
      <c r="C2666">
        <v>2001</v>
      </c>
    </row>
    <row r="2667" spans="1:11" x14ac:dyDescent="0.25">
      <c r="A2667">
        <v>22.071906542916398</v>
      </c>
      <c r="B2667">
        <v>143.82374317796399</v>
      </c>
      <c r="C2667">
        <v>2001</v>
      </c>
    </row>
    <row r="2668" spans="1:11" x14ac:dyDescent="0.25">
      <c r="A2668">
        <v>24.792544353661199</v>
      </c>
      <c r="B2668">
        <v>146.54438098870901</v>
      </c>
      <c r="C2668">
        <v>2001</v>
      </c>
    </row>
    <row r="2669" spans="1:11" x14ac:dyDescent="0.25">
      <c r="A2669">
        <v>25.229560378110001</v>
      </c>
      <c r="B2669">
        <v>146.10736496426</v>
      </c>
      <c r="C2669">
        <v>2000</v>
      </c>
    </row>
    <row r="2670" spans="1:11" x14ac:dyDescent="0.25">
      <c r="A2670" t="s">
        <v>87</v>
      </c>
    </row>
    <row r="2671" spans="1:11" x14ac:dyDescent="0.25">
      <c r="A2671">
        <v>754</v>
      </c>
      <c r="B2671">
        <v>0</v>
      </c>
      <c r="C2671">
        <v>14.2723473681936</v>
      </c>
      <c r="D2671">
        <v>21.066799782838501</v>
      </c>
      <c r="E2671">
        <v>8</v>
      </c>
      <c r="F2671">
        <v>1.01722196789785</v>
      </c>
      <c r="G2671" t="s">
        <v>88</v>
      </c>
      <c r="H2671" t="s">
        <v>88</v>
      </c>
      <c r="I2671">
        <v>834</v>
      </c>
      <c r="J2671">
        <v>185</v>
      </c>
      <c r="K2671">
        <v>0.101113411737407</v>
      </c>
    </row>
    <row r="2672" spans="1:11" x14ac:dyDescent="0.25">
      <c r="A2672" t="s">
        <v>86</v>
      </c>
    </row>
    <row r="2673" spans="1:11" x14ac:dyDescent="0.25">
      <c r="A2673">
        <v>96.781754135048104</v>
      </c>
      <c r="B2673">
        <v>29.472768002414298</v>
      </c>
      <c r="C2673">
        <v>2000</v>
      </c>
    </row>
    <row r="2674" spans="1:11" x14ac:dyDescent="0.25">
      <c r="A2674">
        <v>86.689680527548404</v>
      </c>
      <c r="B2674">
        <v>19.380694394914698</v>
      </c>
      <c r="C2674">
        <v>2000</v>
      </c>
    </row>
    <row r="2675" spans="1:11" x14ac:dyDescent="0.25">
      <c r="A2675">
        <v>86.252664503099595</v>
      </c>
      <c r="B2675">
        <v>19.8177104193635</v>
      </c>
      <c r="C2675">
        <v>2001</v>
      </c>
    </row>
    <row r="2676" spans="1:11" x14ac:dyDescent="0.25">
      <c r="A2676">
        <v>96.344738110599295</v>
      </c>
      <c r="B2676">
        <v>29.9097840268631</v>
      </c>
      <c r="C2676">
        <v>2001</v>
      </c>
    </row>
    <row r="2677" spans="1:11" x14ac:dyDescent="0.25">
      <c r="A2677">
        <v>99.781491987775595</v>
      </c>
      <c r="B2677">
        <v>33.346537904039501</v>
      </c>
      <c r="C2677">
        <v>2001</v>
      </c>
    </row>
    <row r="2678" spans="1:11" x14ac:dyDescent="0.25">
      <c r="A2678">
        <v>111.241215094944</v>
      </c>
      <c r="B2678">
        <v>44.806261011207503</v>
      </c>
      <c r="C2678">
        <v>2001</v>
      </c>
    </row>
    <row r="2679" spans="1:11" x14ac:dyDescent="0.25">
      <c r="A2679">
        <v>111.678231119392</v>
      </c>
      <c r="B2679">
        <v>44.369244986758702</v>
      </c>
      <c r="C2679">
        <v>2000</v>
      </c>
    </row>
    <row r="2680" spans="1:11" x14ac:dyDescent="0.25">
      <c r="A2680">
        <v>100.21850801222401</v>
      </c>
      <c r="B2680">
        <v>32.909521879590599</v>
      </c>
      <c r="C2680">
        <v>2000</v>
      </c>
    </row>
    <row r="2681" spans="1:11" x14ac:dyDescent="0.25">
      <c r="A2681" t="s">
        <v>87</v>
      </c>
    </row>
    <row r="2682" spans="1:11" x14ac:dyDescent="0.25">
      <c r="A2682">
        <v>918</v>
      </c>
      <c r="B2682">
        <v>0</v>
      </c>
      <c r="C2682">
        <v>22.872700624008399</v>
      </c>
      <c r="D2682">
        <v>12.1933480147719</v>
      </c>
      <c r="E2682">
        <v>6</v>
      </c>
      <c r="F2682">
        <v>1.01722196789785</v>
      </c>
      <c r="G2682" t="s">
        <v>88</v>
      </c>
      <c r="H2682" t="s">
        <v>85</v>
      </c>
      <c r="I2682">
        <v>432</v>
      </c>
      <c r="J2682">
        <v>0</v>
      </c>
      <c r="K2682">
        <v>0.105433648714889</v>
      </c>
    </row>
    <row r="2683" spans="1:11" x14ac:dyDescent="0.25">
      <c r="A2683" t="s">
        <v>86</v>
      </c>
    </row>
    <row r="2684" spans="1:11" x14ac:dyDescent="0.25">
      <c r="A2684">
        <v>141.30202019587901</v>
      </c>
      <c r="B2684">
        <v>84.108494459094302</v>
      </c>
      <c r="C2684">
        <v>2000</v>
      </c>
    </row>
    <row r="2685" spans="1:11" x14ac:dyDescent="0.25">
      <c r="A2685">
        <v>124.986051205877</v>
      </c>
      <c r="B2685">
        <v>67.792525469091899</v>
      </c>
      <c r="C2685">
        <v>2000</v>
      </c>
    </row>
    <row r="2686" spans="1:11" x14ac:dyDescent="0.25">
      <c r="A2686">
        <v>125.423067230326</v>
      </c>
      <c r="B2686">
        <v>67.355509444643104</v>
      </c>
      <c r="C2686">
        <v>2001</v>
      </c>
    </row>
    <row r="2687" spans="1:11" x14ac:dyDescent="0.25">
      <c r="A2687">
        <v>141.45398167089499</v>
      </c>
      <c r="B2687">
        <v>83.386423885212807</v>
      </c>
      <c r="C2687">
        <v>2001</v>
      </c>
    </row>
    <row r="2688" spans="1:11" x14ac:dyDescent="0.25">
      <c r="A2688">
        <v>150</v>
      </c>
      <c r="B2688">
        <v>91.932442214317405</v>
      </c>
      <c r="C2688">
        <v>2001</v>
      </c>
    </row>
    <row r="2689" spans="1:11" x14ac:dyDescent="0.25">
      <c r="A2689">
        <v>150</v>
      </c>
      <c r="B2689">
        <v>92.806474263215094</v>
      </c>
      <c r="C2689">
        <v>2000</v>
      </c>
    </row>
    <row r="2690" spans="1:11" x14ac:dyDescent="0.25">
      <c r="A2690" t="s">
        <v>87</v>
      </c>
    </row>
    <row r="2691" spans="1:11" x14ac:dyDescent="0.25">
      <c r="A2691">
        <v>954</v>
      </c>
      <c r="B2691">
        <v>0</v>
      </c>
      <c r="C2691">
        <v>6.4380600889788999</v>
      </c>
      <c r="D2691">
        <v>28.5885334694924</v>
      </c>
      <c r="E2691">
        <v>6</v>
      </c>
      <c r="F2691">
        <v>1.01722196789785</v>
      </c>
      <c r="G2691" t="s">
        <v>85</v>
      </c>
      <c r="H2691" t="s">
        <v>88</v>
      </c>
      <c r="I2691">
        <v>0</v>
      </c>
      <c r="J2691">
        <v>486</v>
      </c>
      <c r="K2691">
        <v>0.10702589295230699</v>
      </c>
    </row>
    <row r="2692" spans="1:11" x14ac:dyDescent="0.25">
      <c r="A2692" t="s">
        <v>86</v>
      </c>
    </row>
    <row r="2693" spans="1:11" x14ac:dyDescent="0.25">
      <c r="A2693">
        <v>4.5925587934493999</v>
      </c>
      <c r="B2693">
        <v>70.587516022578498</v>
      </c>
      <c r="C2693">
        <v>2000</v>
      </c>
    </row>
    <row r="2694" spans="1:11" x14ac:dyDescent="0.25">
      <c r="A2694">
        <v>0</v>
      </c>
      <c r="B2694">
        <v>65.994957229129099</v>
      </c>
      <c r="C2694">
        <v>2000</v>
      </c>
    </row>
    <row r="2695" spans="1:11" x14ac:dyDescent="0.25">
      <c r="A2695">
        <v>0</v>
      </c>
      <c r="B2695">
        <v>66.868989278026802</v>
      </c>
      <c r="C2695">
        <v>2001</v>
      </c>
    </row>
    <row r="2696" spans="1:11" x14ac:dyDescent="0.25">
      <c r="A2696">
        <v>4.5122330997575002</v>
      </c>
      <c r="B2696">
        <v>71.381222377784297</v>
      </c>
      <c r="C2696">
        <v>2001</v>
      </c>
    </row>
    <row r="2697" spans="1:11" x14ac:dyDescent="0.25">
      <c r="A2697">
        <v>24.549033814835699</v>
      </c>
      <c r="B2697">
        <v>91.418023092862398</v>
      </c>
      <c r="C2697">
        <v>2001</v>
      </c>
    </row>
    <row r="2698" spans="1:11" x14ac:dyDescent="0.25">
      <c r="A2698">
        <v>24.986049839284501</v>
      </c>
      <c r="B2698">
        <v>90.981007068413604</v>
      </c>
      <c r="C2698">
        <v>2000</v>
      </c>
    </row>
    <row r="2699" spans="1:11" x14ac:dyDescent="0.25">
      <c r="A2699" t="s">
        <v>87</v>
      </c>
    </row>
    <row r="2700" spans="1:11" x14ac:dyDescent="0.25">
      <c r="A2700">
        <v>519</v>
      </c>
      <c r="B2700">
        <v>0</v>
      </c>
      <c r="C2700">
        <v>31.9076115713146</v>
      </c>
      <c r="D2700">
        <v>3.1061931159592899</v>
      </c>
      <c r="E2700">
        <v>6</v>
      </c>
      <c r="F2700">
        <v>1.01722196789785</v>
      </c>
      <c r="G2700" t="s">
        <v>88</v>
      </c>
      <c r="H2700" t="s">
        <v>88</v>
      </c>
      <c r="I2700">
        <v>491</v>
      </c>
      <c r="J2700">
        <v>791</v>
      </c>
      <c r="K2700">
        <v>0</v>
      </c>
    </row>
    <row r="2701" spans="1:11" x14ac:dyDescent="0.25">
      <c r="A2701" t="s">
        <v>86</v>
      </c>
    </row>
    <row r="2702" spans="1:11" x14ac:dyDescent="0.25">
      <c r="A2702">
        <v>44.602833716949696</v>
      </c>
      <c r="B2702">
        <v>91.984114062494797</v>
      </c>
      <c r="C2702">
        <v>2000</v>
      </c>
    </row>
    <row r="2703" spans="1:11" x14ac:dyDescent="0.25">
      <c r="A2703">
        <v>22.040745203406701</v>
      </c>
      <c r="B2703">
        <v>69.422025548951893</v>
      </c>
      <c r="C2703">
        <v>2000</v>
      </c>
    </row>
    <row r="2704" spans="1:11" x14ac:dyDescent="0.25">
      <c r="A2704">
        <v>22.477761227855499</v>
      </c>
      <c r="B2704">
        <v>68.985009524503099</v>
      </c>
      <c r="C2704">
        <v>2001</v>
      </c>
    </row>
    <row r="2705" spans="1:11" x14ac:dyDescent="0.25">
      <c r="A2705">
        <v>45.039849741398498</v>
      </c>
      <c r="B2705">
        <v>91.547098038046002</v>
      </c>
      <c r="C2705">
        <v>2001</v>
      </c>
    </row>
    <row r="2706" spans="1:11" x14ac:dyDescent="0.25">
      <c r="A2706">
        <v>47.236259957368297</v>
      </c>
      <c r="B2706">
        <v>93.743508254015794</v>
      </c>
      <c r="C2706">
        <v>2001</v>
      </c>
    </row>
    <row r="2707" spans="1:11" x14ac:dyDescent="0.25">
      <c r="A2707">
        <v>46.799243932919403</v>
      </c>
      <c r="B2707">
        <v>94.180524278464603</v>
      </c>
      <c r="C2707">
        <v>2000</v>
      </c>
    </row>
    <row r="2708" spans="1:11" x14ac:dyDescent="0.25">
      <c r="A2708" t="s">
        <v>87</v>
      </c>
    </row>
    <row r="2709" spans="1:11" x14ac:dyDescent="0.25">
      <c r="A2709">
        <v>437</v>
      </c>
      <c r="B2709">
        <v>0</v>
      </c>
      <c r="C2709">
        <v>18.418627517650101</v>
      </c>
      <c r="D2709">
        <v>16.295762428334601</v>
      </c>
      <c r="E2709">
        <v>6</v>
      </c>
      <c r="F2709">
        <v>1.01722196789785</v>
      </c>
      <c r="G2709" t="s">
        <v>88</v>
      </c>
      <c r="H2709" t="s">
        <v>88</v>
      </c>
      <c r="I2709">
        <v>876</v>
      </c>
      <c r="J2709">
        <v>183</v>
      </c>
      <c r="K2709">
        <v>0</v>
      </c>
    </row>
    <row r="2710" spans="1:11" x14ac:dyDescent="0.25">
      <c r="A2710" t="s">
        <v>86</v>
      </c>
    </row>
    <row r="2711" spans="1:11" x14ac:dyDescent="0.25">
      <c r="A2711">
        <v>119.915234741245</v>
      </c>
      <c r="B2711">
        <v>29.440766524733199</v>
      </c>
      <c r="C2711">
        <v>2000</v>
      </c>
    </row>
    <row r="2712" spans="1:11" x14ac:dyDescent="0.25">
      <c r="A2712">
        <v>106.891298323366</v>
      </c>
      <c r="B2712">
        <v>16.416830106853698</v>
      </c>
      <c r="C2712">
        <v>2000</v>
      </c>
    </row>
    <row r="2713" spans="1:11" x14ac:dyDescent="0.25">
      <c r="A2713">
        <v>106.45428229891699</v>
      </c>
      <c r="B2713">
        <v>16.8538461313025</v>
      </c>
      <c r="C2713">
        <v>2001</v>
      </c>
    </row>
    <row r="2714" spans="1:11" x14ac:dyDescent="0.25">
      <c r="A2714">
        <v>119.47821871679599</v>
      </c>
      <c r="B2714">
        <v>29.877782549182001</v>
      </c>
      <c r="C2714">
        <v>2001</v>
      </c>
    </row>
    <row r="2715" spans="1:11" x14ac:dyDescent="0.25">
      <c r="A2715">
        <v>131.00106283447701</v>
      </c>
      <c r="B2715">
        <v>41.400626666862401</v>
      </c>
      <c r="C2715">
        <v>2001</v>
      </c>
    </row>
    <row r="2716" spans="1:11" x14ac:dyDescent="0.25">
      <c r="A2716">
        <v>131.43807885892599</v>
      </c>
      <c r="B2716">
        <v>40.963610642413499</v>
      </c>
      <c r="C2716">
        <v>2000</v>
      </c>
    </row>
    <row r="2717" spans="1:11" x14ac:dyDescent="0.25">
      <c r="A2717" t="s">
        <v>87</v>
      </c>
    </row>
    <row r="2718" spans="1:11" x14ac:dyDescent="0.25">
      <c r="A2718">
        <v>824</v>
      </c>
      <c r="B2718">
        <v>0</v>
      </c>
      <c r="C2718">
        <v>28.576460880782101</v>
      </c>
      <c r="D2718">
        <v>5.6887843046143702</v>
      </c>
      <c r="E2718">
        <v>6</v>
      </c>
      <c r="F2718">
        <v>1.01722196789785</v>
      </c>
      <c r="G2718" t="s">
        <v>88</v>
      </c>
      <c r="H2718" t="s">
        <v>88</v>
      </c>
      <c r="I2718">
        <v>275</v>
      </c>
      <c r="J2718">
        <v>886</v>
      </c>
      <c r="K2718">
        <v>0.103086576425267</v>
      </c>
    </row>
    <row r="2719" spans="1:11" x14ac:dyDescent="0.25">
      <c r="A2719" t="s">
        <v>86</v>
      </c>
    </row>
    <row r="2720" spans="1:11" x14ac:dyDescent="0.25">
      <c r="A2720">
        <v>123.37077320105401</v>
      </c>
      <c r="B2720">
        <v>45.936876432470598</v>
      </c>
      <c r="C2720">
        <v>2000</v>
      </c>
    </row>
    <row r="2721" spans="1:11" x14ac:dyDescent="0.25">
      <c r="A2721">
        <v>103.164163929941</v>
      </c>
      <c r="B2721">
        <v>25.730267161357499</v>
      </c>
      <c r="C2721">
        <v>2000</v>
      </c>
    </row>
    <row r="2722" spans="1:11" x14ac:dyDescent="0.25">
      <c r="A2722">
        <v>103.60117995439001</v>
      </c>
      <c r="B2722">
        <v>25.293251136908701</v>
      </c>
      <c r="C2722">
        <v>2001</v>
      </c>
    </row>
    <row r="2723" spans="1:11" x14ac:dyDescent="0.25">
      <c r="A2723">
        <v>123.807789225503</v>
      </c>
      <c r="B2723">
        <v>45.499860408021803</v>
      </c>
      <c r="C2723">
        <v>2001</v>
      </c>
    </row>
    <row r="2724" spans="1:11" x14ac:dyDescent="0.25">
      <c r="A2724">
        <v>127.83036718400299</v>
      </c>
      <c r="B2724">
        <v>49.522438366522202</v>
      </c>
      <c r="C2724">
        <v>2001</v>
      </c>
    </row>
    <row r="2725" spans="1:11" x14ac:dyDescent="0.25">
      <c r="A2725">
        <v>127.393351159555</v>
      </c>
      <c r="B2725">
        <v>49.959454390971104</v>
      </c>
      <c r="C2725">
        <v>2000</v>
      </c>
    </row>
    <row r="2726" spans="1:11" x14ac:dyDescent="0.25">
      <c r="A2726" t="s">
        <v>87</v>
      </c>
    </row>
    <row r="2727" spans="1:11" x14ac:dyDescent="0.25">
      <c r="A2727">
        <v>825</v>
      </c>
      <c r="B2727">
        <v>0</v>
      </c>
      <c r="C2727">
        <v>23.242495435838698</v>
      </c>
      <c r="D2727">
        <v>10.9378933970312</v>
      </c>
      <c r="E2727">
        <v>8</v>
      </c>
      <c r="F2727">
        <v>1.01722196789785</v>
      </c>
      <c r="G2727" t="s">
        <v>88</v>
      </c>
      <c r="H2727" t="s">
        <v>88</v>
      </c>
      <c r="I2727">
        <v>936</v>
      </c>
      <c r="J2727">
        <v>899</v>
      </c>
      <c r="K2727">
        <v>0.103086576425267</v>
      </c>
    </row>
    <row r="2728" spans="1:11" x14ac:dyDescent="0.25">
      <c r="A2728" t="s">
        <v>86</v>
      </c>
    </row>
    <row r="2729" spans="1:11" x14ac:dyDescent="0.25">
      <c r="A2729">
        <v>54.499696096168002</v>
      </c>
      <c r="B2729">
        <v>28.266394531948499</v>
      </c>
      <c r="C2729">
        <v>2000</v>
      </c>
    </row>
    <row r="2730" spans="1:11" x14ac:dyDescent="0.25">
      <c r="A2730">
        <v>50.218508012224397</v>
      </c>
      <c r="B2730">
        <v>23.985206448004998</v>
      </c>
      <c r="C2730">
        <v>2000</v>
      </c>
    </row>
    <row r="2731" spans="1:11" x14ac:dyDescent="0.25">
      <c r="A2731">
        <v>38.064769961788997</v>
      </c>
      <c r="B2731">
        <v>11.8314683975696</v>
      </c>
      <c r="C2731">
        <v>2000</v>
      </c>
    </row>
    <row r="2732" spans="1:11" x14ac:dyDescent="0.25">
      <c r="A2732">
        <v>37.627753937340202</v>
      </c>
      <c r="B2732">
        <v>12.2684844220184</v>
      </c>
      <c r="C2732">
        <v>2001</v>
      </c>
    </row>
    <row r="2733" spans="1:11" x14ac:dyDescent="0.25">
      <c r="A2733">
        <v>49.781491987775603</v>
      </c>
      <c r="B2733">
        <v>24.4222224724538</v>
      </c>
      <c r="C2733">
        <v>2001</v>
      </c>
    </row>
    <row r="2734" spans="1:11" x14ac:dyDescent="0.25">
      <c r="A2734">
        <v>54.0626800717191</v>
      </c>
      <c r="B2734">
        <v>28.703410556397301</v>
      </c>
      <c r="C2734">
        <v>2001</v>
      </c>
    </row>
    <row r="2735" spans="1:11" x14ac:dyDescent="0.25">
      <c r="A2735">
        <v>61.796938664655499</v>
      </c>
      <c r="B2735">
        <v>36.437669149333601</v>
      </c>
      <c r="C2735">
        <v>2001</v>
      </c>
    </row>
    <row r="2736" spans="1:11" x14ac:dyDescent="0.25">
      <c r="A2736">
        <v>62.233954689104301</v>
      </c>
      <c r="B2736">
        <v>36.000653124884799</v>
      </c>
      <c r="C2736">
        <v>2000</v>
      </c>
    </row>
    <row r="2737" spans="1:11" x14ac:dyDescent="0.25">
      <c r="A2737" t="s">
        <v>87</v>
      </c>
    </row>
    <row r="2738" spans="1:11" x14ac:dyDescent="0.25">
      <c r="A2738">
        <v>979</v>
      </c>
      <c r="B2738">
        <v>0</v>
      </c>
      <c r="C2738">
        <v>22.594164870554799</v>
      </c>
      <c r="D2738">
        <v>11.586223962315101</v>
      </c>
      <c r="E2738">
        <v>8</v>
      </c>
      <c r="F2738">
        <v>1.01722196789785</v>
      </c>
      <c r="G2738" t="s">
        <v>88</v>
      </c>
      <c r="H2738" t="s">
        <v>88</v>
      </c>
      <c r="I2738">
        <v>936</v>
      </c>
      <c r="J2738">
        <v>899</v>
      </c>
      <c r="K2738">
        <v>0.110158980229261</v>
      </c>
    </row>
    <row r="2739" spans="1:11" x14ac:dyDescent="0.25">
      <c r="A2739" t="s">
        <v>86</v>
      </c>
    </row>
    <row r="2740" spans="1:11" x14ac:dyDescent="0.25">
      <c r="A2740">
        <v>54.344646223520002</v>
      </c>
      <c r="B2740">
        <v>27.504566526270899</v>
      </c>
      <c r="C2740">
        <v>2000</v>
      </c>
    </row>
    <row r="2741" spans="1:11" x14ac:dyDescent="0.25">
      <c r="A2741">
        <v>49.781491987775603</v>
      </c>
      <c r="B2741">
        <v>22.9414122905265</v>
      </c>
      <c r="C2741">
        <v>2000</v>
      </c>
    </row>
    <row r="2742" spans="1:11" x14ac:dyDescent="0.25">
      <c r="A2742">
        <v>38.3681590283039</v>
      </c>
      <c r="B2742">
        <v>11.5280793310548</v>
      </c>
      <c r="C2742">
        <v>2000</v>
      </c>
    </row>
    <row r="2743" spans="1:11" x14ac:dyDescent="0.25">
      <c r="A2743">
        <v>38.805175052752702</v>
      </c>
      <c r="B2743">
        <v>11.0910633066059</v>
      </c>
      <c r="C2743">
        <v>2001</v>
      </c>
    </row>
    <row r="2744" spans="1:11" x14ac:dyDescent="0.25">
      <c r="A2744">
        <v>50.218508012224397</v>
      </c>
      <c r="B2744">
        <v>22.504396266077599</v>
      </c>
      <c r="C2744">
        <v>2001</v>
      </c>
    </row>
    <row r="2745" spans="1:11" x14ac:dyDescent="0.25">
      <c r="A2745">
        <v>54.781662247968903</v>
      </c>
      <c r="B2745">
        <v>27.067550501822101</v>
      </c>
      <c r="C2745">
        <v>2001</v>
      </c>
    </row>
    <row r="2746" spans="1:11" x14ac:dyDescent="0.25">
      <c r="A2746">
        <v>62.9743597800679</v>
      </c>
      <c r="B2746">
        <v>35.260248033921201</v>
      </c>
      <c r="C2746">
        <v>2001</v>
      </c>
    </row>
    <row r="2747" spans="1:11" x14ac:dyDescent="0.25">
      <c r="A2747">
        <v>62.537343755619098</v>
      </c>
      <c r="B2747">
        <v>35.697264058370003</v>
      </c>
      <c r="C2747">
        <v>2000</v>
      </c>
    </row>
    <row r="2748" spans="1:11" x14ac:dyDescent="0.25">
      <c r="A2748" t="s">
        <v>87</v>
      </c>
    </row>
    <row r="2749" spans="1:11" x14ac:dyDescent="0.25">
      <c r="A2749">
        <v>725</v>
      </c>
      <c r="B2749">
        <v>0</v>
      </c>
      <c r="C2749">
        <v>23.9176072194909</v>
      </c>
      <c r="D2749">
        <v>10.259622892785</v>
      </c>
      <c r="E2749">
        <v>10</v>
      </c>
      <c r="F2749">
        <v>1.01722196789785</v>
      </c>
      <c r="G2749" t="s">
        <v>88</v>
      </c>
      <c r="H2749" t="s">
        <v>88</v>
      </c>
      <c r="I2749">
        <v>1017</v>
      </c>
      <c r="J2749">
        <v>896</v>
      </c>
      <c r="K2749">
        <v>0.101399532687084</v>
      </c>
    </row>
    <row r="2750" spans="1:11" x14ac:dyDescent="0.25">
      <c r="A2750" t="s">
        <v>86</v>
      </c>
    </row>
    <row r="2751" spans="1:11" x14ac:dyDescent="0.25">
      <c r="A2751">
        <v>52.644484413617697</v>
      </c>
      <c r="B2751">
        <v>108.151078375597</v>
      </c>
      <c r="C2751">
        <v>2000</v>
      </c>
    </row>
    <row r="2752" spans="1:11" x14ac:dyDescent="0.25">
      <c r="A2752">
        <v>50.218508012224397</v>
      </c>
      <c r="B2752">
        <v>105.72510197420399</v>
      </c>
      <c r="C2752">
        <v>2000</v>
      </c>
    </row>
    <row r="2753" spans="1:11" x14ac:dyDescent="0.25">
      <c r="A2753">
        <v>44.274898025796404</v>
      </c>
      <c r="B2753">
        <v>99.781491987775595</v>
      </c>
      <c r="C2753">
        <v>2000</v>
      </c>
    </row>
    <row r="2754" spans="1:11" x14ac:dyDescent="0.25">
      <c r="A2754">
        <v>35.732182158959397</v>
      </c>
      <c r="B2754">
        <v>91.238776120938496</v>
      </c>
      <c r="C2754">
        <v>2000</v>
      </c>
    </row>
    <row r="2755" spans="1:11" x14ac:dyDescent="0.25">
      <c r="A2755">
        <v>35.295166134510602</v>
      </c>
      <c r="B2755">
        <v>91.675792145387305</v>
      </c>
      <c r="C2755">
        <v>2001</v>
      </c>
    </row>
    <row r="2756" spans="1:11" x14ac:dyDescent="0.25">
      <c r="A2756">
        <v>43.837882001347602</v>
      </c>
      <c r="B2756">
        <v>100.21850801222401</v>
      </c>
      <c r="C2756">
        <v>2001</v>
      </c>
    </row>
    <row r="2757" spans="1:11" x14ac:dyDescent="0.25">
      <c r="A2757">
        <v>49.781491987775603</v>
      </c>
      <c r="B2757">
        <v>106.16211799865199</v>
      </c>
      <c r="C2757">
        <v>2001</v>
      </c>
    </row>
    <row r="2758" spans="1:11" x14ac:dyDescent="0.25">
      <c r="A2758">
        <v>52.207468389168902</v>
      </c>
      <c r="B2758">
        <v>108.588094400046</v>
      </c>
      <c r="C2758">
        <v>2001</v>
      </c>
    </row>
    <row r="2759" spans="1:11" x14ac:dyDescent="0.25">
      <c r="A2759">
        <v>59.462117309073903</v>
      </c>
      <c r="B2759">
        <v>115.842743319951</v>
      </c>
      <c r="C2759">
        <v>2001</v>
      </c>
    </row>
    <row r="2760" spans="1:11" x14ac:dyDescent="0.25">
      <c r="A2760">
        <v>59.899133333522698</v>
      </c>
      <c r="B2760">
        <v>115.405727295502</v>
      </c>
      <c r="C2760">
        <v>2000</v>
      </c>
    </row>
    <row r="2761" spans="1:11" x14ac:dyDescent="0.25">
      <c r="A2761" t="s">
        <v>87</v>
      </c>
    </row>
    <row r="2762" spans="1:11" x14ac:dyDescent="0.25">
      <c r="A2762">
        <v>908</v>
      </c>
      <c r="B2762">
        <v>0</v>
      </c>
      <c r="C2762">
        <v>12.291457810980599</v>
      </c>
      <c r="D2762">
        <v>21.6051050380444</v>
      </c>
      <c r="E2762">
        <v>6</v>
      </c>
      <c r="F2762">
        <v>1.01722196789785</v>
      </c>
      <c r="G2762" t="s">
        <v>85</v>
      </c>
      <c r="H2762" t="s">
        <v>88</v>
      </c>
      <c r="I2762">
        <v>0</v>
      </c>
      <c r="J2762">
        <v>916</v>
      </c>
      <c r="K2762">
        <v>0.10525890298501001</v>
      </c>
    </row>
    <row r="2763" spans="1:11" x14ac:dyDescent="0.25">
      <c r="A2763" t="s">
        <v>86</v>
      </c>
    </row>
    <row r="2764" spans="1:11" x14ac:dyDescent="0.25">
      <c r="A2764">
        <v>8.7706078105544805</v>
      </c>
      <c r="B2764">
        <v>11.135095261303</v>
      </c>
      <c r="C2764">
        <v>2000</v>
      </c>
    </row>
    <row r="2765" spans="1:11" x14ac:dyDescent="0.25">
      <c r="A2765">
        <v>0</v>
      </c>
      <c r="B2765">
        <v>2.3644874507485398</v>
      </c>
      <c r="C2765">
        <v>2000</v>
      </c>
    </row>
    <row r="2766" spans="1:11" x14ac:dyDescent="0.25">
      <c r="A2766">
        <v>0</v>
      </c>
      <c r="B2766">
        <v>3.2385194996461801</v>
      </c>
      <c r="C2766">
        <v>2001</v>
      </c>
    </row>
    <row r="2767" spans="1:11" x14ac:dyDescent="0.25">
      <c r="A2767">
        <v>8.6121385270710693</v>
      </c>
      <c r="B2767">
        <v>11.8506580267173</v>
      </c>
      <c r="C2767">
        <v>2001</v>
      </c>
    </row>
    <row r="2768" spans="1:11" x14ac:dyDescent="0.25">
      <c r="A2768">
        <v>23.749981437237199</v>
      </c>
      <c r="B2768">
        <v>26.988500936883401</v>
      </c>
      <c r="C2768">
        <v>2001</v>
      </c>
    </row>
    <row r="2769" spans="1:11" x14ac:dyDescent="0.25">
      <c r="A2769">
        <v>24.186997461686101</v>
      </c>
      <c r="B2769">
        <v>26.551484912434599</v>
      </c>
      <c r="C2769">
        <v>2000</v>
      </c>
    </row>
    <row r="2770" spans="1:11" x14ac:dyDescent="0.25">
      <c r="A2770" t="s">
        <v>87</v>
      </c>
    </row>
    <row r="2771" spans="1:11" x14ac:dyDescent="0.25">
      <c r="A2771">
        <v>863</v>
      </c>
      <c r="B2771">
        <v>0</v>
      </c>
      <c r="C2771">
        <v>12.8838506312134</v>
      </c>
      <c r="D2771">
        <v>20.940874757164401</v>
      </c>
      <c r="E2771">
        <v>10</v>
      </c>
      <c r="F2771">
        <v>1.01722196789785</v>
      </c>
      <c r="G2771" t="s">
        <v>88</v>
      </c>
      <c r="H2771" t="s">
        <v>88</v>
      </c>
      <c r="I2771">
        <v>851</v>
      </c>
      <c r="J2771">
        <v>721</v>
      </c>
      <c r="K2771">
        <v>0.10413651460953199</v>
      </c>
    </row>
    <row r="2772" spans="1:11" x14ac:dyDescent="0.25">
      <c r="A2772" t="s">
        <v>86</v>
      </c>
    </row>
    <row r="2773" spans="1:11" x14ac:dyDescent="0.25">
      <c r="A2773">
        <v>57.966552895948404</v>
      </c>
      <c r="B2773">
        <v>102.597347011598</v>
      </c>
      <c r="C2773">
        <v>2000</v>
      </c>
    </row>
    <row r="2774" spans="1:11" x14ac:dyDescent="0.25">
      <c r="A2774">
        <v>55.587713896575103</v>
      </c>
      <c r="B2774">
        <v>100.21850801222401</v>
      </c>
      <c r="C2774">
        <v>2000</v>
      </c>
    </row>
    <row r="2775" spans="1:11" x14ac:dyDescent="0.25">
      <c r="A2775">
        <v>49.781491987775603</v>
      </c>
      <c r="B2775">
        <v>94.412286103424904</v>
      </c>
      <c r="C2775">
        <v>2000</v>
      </c>
    </row>
    <row r="2776" spans="1:11" x14ac:dyDescent="0.25">
      <c r="A2776">
        <v>48.856294746822797</v>
      </c>
      <c r="B2776">
        <v>93.487088862472106</v>
      </c>
      <c r="C2776">
        <v>2000</v>
      </c>
    </row>
    <row r="2777" spans="1:11" x14ac:dyDescent="0.25">
      <c r="A2777">
        <v>49.293310771271599</v>
      </c>
      <c r="B2777">
        <v>93.050072838023297</v>
      </c>
      <c r="C2777">
        <v>2001</v>
      </c>
    </row>
    <row r="2778" spans="1:11" x14ac:dyDescent="0.25">
      <c r="A2778">
        <v>50.218508012224397</v>
      </c>
      <c r="B2778">
        <v>93.975270078976095</v>
      </c>
      <c r="C2778">
        <v>2001</v>
      </c>
    </row>
    <row r="2779" spans="1:11" x14ac:dyDescent="0.25">
      <c r="A2779">
        <v>56.024729921023898</v>
      </c>
      <c r="B2779">
        <v>99.781491987775595</v>
      </c>
      <c r="C2779">
        <v>2001</v>
      </c>
    </row>
    <row r="2780" spans="1:11" x14ac:dyDescent="0.25">
      <c r="A2780">
        <v>58.403568920397198</v>
      </c>
      <c r="B2780">
        <v>102.160330987149</v>
      </c>
      <c r="C2780">
        <v>2001</v>
      </c>
    </row>
    <row r="2781" spans="1:11" x14ac:dyDescent="0.25">
      <c r="A2781">
        <v>73.2110034651663</v>
      </c>
      <c r="B2781">
        <v>116.967765531918</v>
      </c>
      <c r="C2781">
        <v>2001</v>
      </c>
    </row>
    <row r="2782" spans="1:11" x14ac:dyDescent="0.25">
      <c r="A2782">
        <v>72.773987440717505</v>
      </c>
      <c r="B2782">
        <v>117.404781556367</v>
      </c>
      <c r="C2782">
        <v>2000</v>
      </c>
    </row>
    <row r="2783" spans="1:11" x14ac:dyDescent="0.25">
      <c r="A2783" t="s">
        <v>87</v>
      </c>
    </row>
    <row r="2784" spans="1:11" x14ac:dyDescent="0.25">
      <c r="A2784">
        <v>933</v>
      </c>
      <c r="B2784">
        <v>0</v>
      </c>
      <c r="C2784">
        <v>20.4763913024739</v>
      </c>
      <c r="D2784">
        <v>12.624294176862</v>
      </c>
      <c r="E2784">
        <v>8</v>
      </c>
      <c r="F2784">
        <v>1.01722196789785</v>
      </c>
      <c r="G2784" t="s">
        <v>88</v>
      </c>
      <c r="H2784" t="s">
        <v>88</v>
      </c>
      <c r="I2784">
        <v>939</v>
      </c>
      <c r="J2784">
        <v>665</v>
      </c>
      <c r="K2784">
        <v>0.105939460879158</v>
      </c>
    </row>
    <row r="2785" spans="1:11" x14ac:dyDescent="0.25">
      <c r="A2785" t="s">
        <v>86</v>
      </c>
    </row>
    <row r="2786" spans="1:11" x14ac:dyDescent="0.25">
      <c r="A2786">
        <v>88.884064418214194</v>
      </c>
      <c r="B2786">
        <v>112.588528890898</v>
      </c>
      <c r="C2786">
        <v>2000</v>
      </c>
    </row>
    <row r="2787" spans="1:11" x14ac:dyDescent="0.25">
      <c r="A2787">
        <v>76.514043539540694</v>
      </c>
      <c r="B2787">
        <v>100.21850801222401</v>
      </c>
      <c r="C2787">
        <v>2000</v>
      </c>
    </row>
    <row r="2788" spans="1:11" x14ac:dyDescent="0.25">
      <c r="A2788">
        <v>74.405069274005697</v>
      </c>
      <c r="B2788">
        <v>98.109533746689493</v>
      </c>
      <c r="C2788">
        <v>2000</v>
      </c>
    </row>
    <row r="2789" spans="1:11" x14ac:dyDescent="0.25">
      <c r="A2789">
        <v>74.842085298454506</v>
      </c>
      <c r="B2789">
        <v>97.672517722240599</v>
      </c>
      <c r="C2789">
        <v>2001</v>
      </c>
    </row>
    <row r="2790" spans="1:11" x14ac:dyDescent="0.25">
      <c r="A2790">
        <v>76.951059563989503</v>
      </c>
      <c r="B2790">
        <v>99.781491987775595</v>
      </c>
      <c r="C2790">
        <v>2001</v>
      </c>
    </row>
    <row r="2791" spans="1:11" x14ac:dyDescent="0.25">
      <c r="A2791">
        <v>89.321080442663103</v>
      </c>
      <c r="B2791">
        <v>112.151512866449</v>
      </c>
      <c r="C2791">
        <v>2001</v>
      </c>
    </row>
    <row r="2792" spans="1:11" x14ac:dyDescent="0.25">
      <c r="A2792">
        <v>98.247804462816006</v>
      </c>
      <c r="B2792">
        <v>121.078236886602</v>
      </c>
      <c r="C2792">
        <v>2001</v>
      </c>
    </row>
    <row r="2793" spans="1:11" x14ac:dyDescent="0.25">
      <c r="A2793">
        <v>97.810788438367197</v>
      </c>
      <c r="B2793">
        <v>121.51525291105099</v>
      </c>
      <c r="C2793">
        <v>2000</v>
      </c>
    </row>
    <row r="2794" spans="1:11" x14ac:dyDescent="0.25">
      <c r="A2794" t="s">
        <v>87</v>
      </c>
    </row>
    <row r="2795" spans="1:11" x14ac:dyDescent="0.25">
      <c r="A2795">
        <v>279</v>
      </c>
      <c r="B2795">
        <v>0</v>
      </c>
      <c r="C2795">
        <v>14.1213663397512</v>
      </c>
      <c r="D2795">
        <v>18.882877459183099</v>
      </c>
      <c r="E2795">
        <v>8</v>
      </c>
      <c r="F2795">
        <v>1.01722196789785</v>
      </c>
      <c r="G2795" t="s">
        <v>88</v>
      </c>
      <c r="H2795" t="s">
        <v>88</v>
      </c>
      <c r="I2795">
        <v>774</v>
      </c>
      <c r="J2795">
        <v>195</v>
      </c>
      <c r="K2795">
        <v>0</v>
      </c>
    </row>
    <row r="2796" spans="1:11" x14ac:dyDescent="0.25">
      <c r="A2796" t="s">
        <v>86</v>
      </c>
    </row>
    <row r="2797" spans="1:11" x14ac:dyDescent="0.25">
      <c r="A2797">
        <v>77.744273280144597</v>
      </c>
      <c r="B2797">
        <v>49.801497921716397</v>
      </c>
      <c r="C2797">
        <v>2000</v>
      </c>
    </row>
    <row r="2798" spans="1:11" x14ac:dyDescent="0.25">
      <c r="A2798">
        <v>67.758959381687106</v>
      </c>
      <c r="B2798">
        <v>39.816184023258799</v>
      </c>
      <c r="C2798">
        <v>2000</v>
      </c>
    </row>
    <row r="2799" spans="1:11" x14ac:dyDescent="0.25">
      <c r="A2799">
        <v>68.195975406135901</v>
      </c>
      <c r="B2799">
        <v>39.379167998809997</v>
      </c>
      <c r="C2799">
        <v>2001</v>
      </c>
    </row>
    <row r="2800" spans="1:11" x14ac:dyDescent="0.25">
      <c r="A2800">
        <v>78.181289304593406</v>
      </c>
      <c r="B2800">
        <v>49.364481897267602</v>
      </c>
      <c r="C2800">
        <v>2001</v>
      </c>
    </row>
    <row r="2801" spans="1:11" x14ac:dyDescent="0.25">
      <c r="A2801">
        <v>78.598299395101407</v>
      </c>
      <c r="B2801">
        <v>49.781491987775603</v>
      </c>
      <c r="C2801">
        <v>2001</v>
      </c>
    </row>
    <row r="2802" spans="1:11" x14ac:dyDescent="0.25">
      <c r="A2802">
        <v>91.5335000042964</v>
      </c>
      <c r="B2802">
        <v>62.716692596970503</v>
      </c>
      <c r="C2802">
        <v>2001</v>
      </c>
    </row>
    <row r="2803" spans="1:11" x14ac:dyDescent="0.25">
      <c r="A2803">
        <v>91.096483979847605</v>
      </c>
      <c r="B2803">
        <v>63.153708621419398</v>
      </c>
      <c r="C2803">
        <v>2000</v>
      </c>
    </row>
    <row r="2804" spans="1:11" x14ac:dyDescent="0.25">
      <c r="A2804">
        <v>78.161283370652697</v>
      </c>
      <c r="B2804">
        <v>50.218508012224397</v>
      </c>
      <c r="C2804">
        <v>2000</v>
      </c>
    </row>
    <row r="2805" spans="1:11" x14ac:dyDescent="0.25">
      <c r="A2805" t="s">
        <v>87</v>
      </c>
    </row>
    <row r="2806" spans="1:11" x14ac:dyDescent="0.25">
      <c r="A2806">
        <v>848</v>
      </c>
      <c r="B2806">
        <v>0</v>
      </c>
      <c r="C2806">
        <v>26.0023624506358</v>
      </c>
      <c r="D2806">
        <v>6.8898507622598704</v>
      </c>
      <c r="E2806">
        <v>8</v>
      </c>
      <c r="F2806">
        <v>1.01722196789785</v>
      </c>
      <c r="G2806" t="s">
        <v>88</v>
      </c>
      <c r="H2806" t="s">
        <v>85</v>
      </c>
      <c r="I2806">
        <v>190</v>
      </c>
      <c r="J2806">
        <v>0</v>
      </c>
      <c r="K2806">
        <v>0.103730452296059</v>
      </c>
    </row>
    <row r="2807" spans="1:11" x14ac:dyDescent="0.25">
      <c r="A2807" t="s">
        <v>86</v>
      </c>
    </row>
    <row r="2808" spans="1:11" x14ac:dyDescent="0.25">
      <c r="A2808">
        <v>145.22433199713399</v>
      </c>
      <c r="B2808">
        <v>105.854123574783</v>
      </c>
      <c r="C2808">
        <v>2000</v>
      </c>
    </row>
    <row r="2809" spans="1:11" x14ac:dyDescent="0.25">
      <c r="A2809">
        <v>139.15170041012701</v>
      </c>
      <c r="B2809">
        <v>99.781491987775595</v>
      </c>
      <c r="C2809">
        <v>2000</v>
      </c>
    </row>
    <row r="2810" spans="1:11" x14ac:dyDescent="0.25">
      <c r="A2810">
        <v>126.960201001152</v>
      </c>
      <c r="B2810">
        <v>87.589992578801002</v>
      </c>
      <c r="C2810">
        <v>2000</v>
      </c>
    </row>
    <row r="2811" spans="1:11" x14ac:dyDescent="0.25">
      <c r="A2811">
        <v>126.52318497670301</v>
      </c>
      <c r="B2811">
        <v>88.027008603249797</v>
      </c>
      <c r="C2811">
        <v>2001</v>
      </c>
    </row>
    <row r="2812" spans="1:11" x14ac:dyDescent="0.25">
      <c r="A2812">
        <v>138.714684385678</v>
      </c>
      <c r="B2812">
        <v>100.21850801222401</v>
      </c>
      <c r="C2812">
        <v>2001</v>
      </c>
    </row>
    <row r="2813" spans="1:11" x14ac:dyDescent="0.25">
      <c r="A2813">
        <v>145.03194761215201</v>
      </c>
      <c r="B2813">
        <v>106.535771238698</v>
      </c>
      <c r="C2813">
        <v>2001</v>
      </c>
    </row>
    <row r="2814" spans="1:11" x14ac:dyDescent="0.25">
      <c r="A2814">
        <v>150</v>
      </c>
      <c r="B2814">
        <v>111.50382362654599</v>
      </c>
      <c r="C2814">
        <v>2001</v>
      </c>
    </row>
    <row r="2815" spans="1:11" x14ac:dyDescent="0.25">
      <c r="A2815">
        <v>150</v>
      </c>
      <c r="B2815">
        <v>110.629791577649</v>
      </c>
      <c r="C2815">
        <v>2000</v>
      </c>
    </row>
    <row r="2816" spans="1:11" x14ac:dyDescent="0.25">
      <c r="A2816" t="s">
        <v>87</v>
      </c>
    </row>
    <row r="2817" spans="1:11" x14ac:dyDescent="0.25">
      <c r="A2817">
        <v>181</v>
      </c>
      <c r="B2817">
        <v>0</v>
      </c>
      <c r="C2817">
        <v>24.520034013713602</v>
      </c>
      <c r="D2817">
        <v>8.24766637735536</v>
      </c>
      <c r="E2817">
        <v>8</v>
      </c>
      <c r="F2817">
        <v>1.01722196789785</v>
      </c>
      <c r="G2817" t="s">
        <v>88</v>
      </c>
      <c r="H2817" t="s">
        <v>85</v>
      </c>
      <c r="I2817">
        <v>184</v>
      </c>
      <c r="J2817">
        <v>0</v>
      </c>
      <c r="K2817">
        <v>0</v>
      </c>
    </row>
    <row r="2818" spans="1:11" x14ac:dyDescent="0.25">
      <c r="A2818" t="s">
        <v>86</v>
      </c>
    </row>
    <row r="2819" spans="1:11" x14ac:dyDescent="0.25">
      <c r="A2819">
        <v>144.09742901592901</v>
      </c>
      <c r="B2819">
        <v>95.254514179046495</v>
      </c>
      <c r="C2819">
        <v>2000</v>
      </c>
    </row>
    <row r="2820" spans="1:11" x14ac:dyDescent="0.25">
      <c r="A2820">
        <v>126.61122883736201</v>
      </c>
      <c r="B2820">
        <v>77.768314000478995</v>
      </c>
      <c r="C2820">
        <v>2000</v>
      </c>
    </row>
    <row r="2821" spans="1:11" x14ac:dyDescent="0.25">
      <c r="A2821">
        <v>127.04824486181001</v>
      </c>
      <c r="B2821">
        <v>77.3312979760302</v>
      </c>
      <c r="C2821">
        <v>2001</v>
      </c>
    </row>
    <row r="2822" spans="1:11" x14ac:dyDescent="0.25">
      <c r="A2822">
        <v>144.23860933528599</v>
      </c>
      <c r="B2822">
        <v>94.521662449505996</v>
      </c>
      <c r="C2822">
        <v>2001</v>
      </c>
    </row>
    <row r="2823" spans="1:11" x14ac:dyDescent="0.25">
      <c r="A2823">
        <v>149.30690983826801</v>
      </c>
      <c r="B2823">
        <v>99.589962952487497</v>
      </c>
      <c r="C2823">
        <v>2001</v>
      </c>
    </row>
    <row r="2824" spans="1:11" x14ac:dyDescent="0.25">
      <c r="A2824">
        <v>150</v>
      </c>
      <c r="B2824">
        <v>100.28305311422</v>
      </c>
      <c r="C2824">
        <v>2001</v>
      </c>
    </row>
    <row r="2825" spans="1:11" x14ac:dyDescent="0.25">
      <c r="A2825">
        <v>150</v>
      </c>
      <c r="B2825">
        <v>101.157085163117</v>
      </c>
      <c r="C2825">
        <v>2000</v>
      </c>
    </row>
    <row r="2826" spans="1:11" x14ac:dyDescent="0.25">
      <c r="A2826">
        <v>149.252951884395</v>
      </c>
      <c r="B2826">
        <v>100.41003704751201</v>
      </c>
      <c r="C2826">
        <v>2000</v>
      </c>
    </row>
    <row r="2827" spans="1:11" x14ac:dyDescent="0.25">
      <c r="A2827" t="s">
        <v>87</v>
      </c>
    </row>
    <row r="2828" spans="1:11" x14ac:dyDescent="0.25">
      <c r="A2828">
        <v>424</v>
      </c>
      <c r="B2828">
        <v>0</v>
      </c>
      <c r="C2828">
        <v>3.45912090069619</v>
      </c>
      <c r="D2828">
        <v>28.982448485498001</v>
      </c>
      <c r="E2828">
        <v>6</v>
      </c>
      <c r="F2828">
        <v>1.01722196789785</v>
      </c>
      <c r="G2828" t="s">
        <v>85</v>
      </c>
      <c r="H2828" t="s">
        <v>85</v>
      </c>
      <c r="I2828">
        <v>0</v>
      </c>
      <c r="J2828">
        <v>0</v>
      </c>
      <c r="K2828">
        <v>0</v>
      </c>
    </row>
    <row r="2829" spans="1:11" x14ac:dyDescent="0.25">
      <c r="A2829" t="s">
        <v>86</v>
      </c>
    </row>
    <row r="2830" spans="1:11" x14ac:dyDescent="0.25">
      <c r="A2830">
        <v>129.89673281185401</v>
      </c>
      <c r="B2830">
        <v>2.3993704927170398</v>
      </c>
      <c r="C2830">
        <v>2000</v>
      </c>
    </row>
    <row r="2831" spans="1:11" x14ac:dyDescent="0.25">
      <c r="A2831">
        <v>127.497362319137</v>
      </c>
      <c r="B2831">
        <v>0</v>
      </c>
      <c r="C2831">
        <v>2000</v>
      </c>
    </row>
    <row r="2832" spans="1:11" x14ac:dyDescent="0.25">
      <c r="A2832">
        <v>126.62333027023899</v>
      </c>
      <c r="B2832">
        <v>0</v>
      </c>
      <c r="C2832">
        <v>2001</v>
      </c>
    </row>
    <row r="2833" spans="1:11" x14ac:dyDescent="0.25">
      <c r="A2833">
        <v>129.115895469175</v>
      </c>
      <c r="B2833">
        <v>2.49256519893575</v>
      </c>
      <c r="C2833">
        <v>2001</v>
      </c>
    </row>
    <row r="2834" spans="1:11" x14ac:dyDescent="0.25">
      <c r="A2834">
        <v>150</v>
      </c>
      <c r="B2834">
        <v>23.3766697297606</v>
      </c>
      <c r="C2834">
        <v>2001</v>
      </c>
    </row>
    <row r="2835" spans="1:11" x14ac:dyDescent="0.25">
      <c r="A2835">
        <v>150</v>
      </c>
      <c r="B2835">
        <v>22.5026376808629</v>
      </c>
      <c r="C2835">
        <v>2000</v>
      </c>
    </row>
    <row r="2836" spans="1:11" x14ac:dyDescent="0.25">
      <c r="A2836" t="s">
        <v>87</v>
      </c>
    </row>
    <row r="2837" spans="1:11" x14ac:dyDescent="0.25">
      <c r="A2837">
        <v>841</v>
      </c>
      <c r="B2837">
        <v>0</v>
      </c>
      <c r="C2837">
        <v>10.6008430078447</v>
      </c>
      <c r="D2837">
        <v>21.8033563318007</v>
      </c>
      <c r="E2837">
        <v>6</v>
      </c>
      <c r="F2837">
        <v>1.01722196789785</v>
      </c>
      <c r="G2837" t="s">
        <v>85</v>
      </c>
      <c r="H2837" t="s">
        <v>88</v>
      </c>
      <c r="I2837">
        <v>0</v>
      </c>
      <c r="J2837">
        <v>3</v>
      </c>
      <c r="K2837">
        <v>0.103520648210845</v>
      </c>
    </row>
    <row r="2838" spans="1:11" x14ac:dyDescent="0.25">
      <c r="A2838" t="s">
        <v>86</v>
      </c>
    </row>
    <row r="2839" spans="1:11" x14ac:dyDescent="0.25">
      <c r="A2839">
        <v>7.42444436758566</v>
      </c>
      <c r="B2839">
        <v>9.2876024510338304</v>
      </c>
      <c r="C2839">
        <v>2000</v>
      </c>
    </row>
    <row r="2840" spans="1:11" x14ac:dyDescent="0.25">
      <c r="A2840">
        <v>0</v>
      </c>
      <c r="B2840">
        <v>1.86315808344817</v>
      </c>
      <c r="C2840">
        <v>2000</v>
      </c>
    </row>
    <row r="2841" spans="1:11" x14ac:dyDescent="0.25">
      <c r="A2841">
        <v>0</v>
      </c>
      <c r="B2841">
        <v>0.98912603455052694</v>
      </c>
      <c r="C2841">
        <v>2001</v>
      </c>
    </row>
    <row r="2842" spans="1:11" x14ac:dyDescent="0.25">
      <c r="A2842">
        <v>7.5674115866962497</v>
      </c>
      <c r="B2842">
        <v>8.5565376212467807</v>
      </c>
      <c r="C2842">
        <v>2001</v>
      </c>
    </row>
    <row r="2843" spans="1:11" x14ac:dyDescent="0.25">
      <c r="A2843">
        <v>23.131737104208302</v>
      </c>
      <c r="B2843">
        <v>24.1208631387588</v>
      </c>
      <c r="C2843">
        <v>2001</v>
      </c>
    </row>
    <row r="2844" spans="1:11" x14ac:dyDescent="0.25">
      <c r="A2844">
        <v>22.6947210797595</v>
      </c>
      <c r="B2844">
        <v>24.557879163207598</v>
      </c>
      <c r="C2844">
        <v>2000</v>
      </c>
    </row>
    <row r="2845" spans="1:11" x14ac:dyDescent="0.25">
      <c r="A2845" t="s">
        <v>87</v>
      </c>
    </row>
    <row r="2846" spans="1:11" x14ac:dyDescent="0.25">
      <c r="A2846">
        <v>188</v>
      </c>
      <c r="B2846">
        <v>0</v>
      </c>
      <c r="C2846">
        <v>3.8604068202975799</v>
      </c>
      <c r="D2846">
        <v>28.496207505063701</v>
      </c>
      <c r="E2846">
        <v>6</v>
      </c>
      <c r="F2846">
        <v>1.01722196789785</v>
      </c>
      <c r="G2846" t="s">
        <v>88</v>
      </c>
      <c r="H2846" t="s">
        <v>85</v>
      </c>
      <c r="I2846">
        <v>839</v>
      </c>
      <c r="J2846">
        <v>0</v>
      </c>
      <c r="K2846">
        <v>0</v>
      </c>
    </row>
    <row r="2847" spans="1:11" x14ac:dyDescent="0.25">
      <c r="A2847" t="s">
        <v>86</v>
      </c>
    </row>
    <row r="2848" spans="1:11" x14ac:dyDescent="0.25">
      <c r="A2848">
        <v>129.65770020296</v>
      </c>
      <c r="B2848">
        <v>70.353670362298701</v>
      </c>
      <c r="C2848">
        <v>2000</v>
      </c>
    </row>
    <row r="2849" spans="1:11" x14ac:dyDescent="0.25">
      <c r="A2849">
        <v>126.901910582075</v>
      </c>
      <c r="B2849">
        <v>67.597880741414002</v>
      </c>
      <c r="C2849">
        <v>2000</v>
      </c>
    </row>
    <row r="2850" spans="1:11" x14ac:dyDescent="0.25">
      <c r="A2850">
        <v>127.338926606524</v>
      </c>
      <c r="B2850">
        <v>67.160864716965193</v>
      </c>
      <c r="C2850">
        <v>2001</v>
      </c>
    </row>
    <row r="2851" spans="1:11" x14ac:dyDescent="0.25">
      <c r="A2851">
        <v>130.04257666718101</v>
      </c>
      <c r="B2851">
        <v>69.864514777622901</v>
      </c>
      <c r="C2851">
        <v>2001</v>
      </c>
    </row>
    <row r="2852" spans="1:11" x14ac:dyDescent="0.25">
      <c r="A2852">
        <v>150</v>
      </c>
      <c r="B2852">
        <v>89.821938110441494</v>
      </c>
      <c r="C2852">
        <v>2001</v>
      </c>
    </row>
    <row r="2853" spans="1:11" x14ac:dyDescent="0.25">
      <c r="A2853">
        <v>150</v>
      </c>
      <c r="B2853">
        <v>90.695970159339097</v>
      </c>
      <c r="C2853">
        <v>2000</v>
      </c>
    </row>
    <row r="2854" spans="1:11" x14ac:dyDescent="0.25">
      <c r="A2854" t="s">
        <v>87</v>
      </c>
    </row>
    <row r="2855" spans="1:11" x14ac:dyDescent="0.25">
      <c r="A2855">
        <v>182</v>
      </c>
      <c r="B2855">
        <v>0</v>
      </c>
      <c r="C2855">
        <v>23.309437914540901</v>
      </c>
      <c r="D2855">
        <v>9.0089704915093005</v>
      </c>
      <c r="E2855">
        <v>8</v>
      </c>
      <c r="F2855">
        <v>1.01722196789785</v>
      </c>
      <c r="G2855" t="s">
        <v>88</v>
      </c>
      <c r="H2855" t="s">
        <v>88</v>
      </c>
      <c r="I2855">
        <v>264</v>
      </c>
      <c r="J2855">
        <v>192</v>
      </c>
      <c r="K2855">
        <v>0</v>
      </c>
    </row>
    <row r="2856" spans="1:11" x14ac:dyDescent="0.25">
      <c r="A2856" t="s">
        <v>86</v>
      </c>
    </row>
    <row r="2857" spans="1:11" x14ac:dyDescent="0.25">
      <c r="A2857">
        <v>113.58796848477699</v>
      </c>
      <c r="B2857">
        <v>81.506159791954104</v>
      </c>
      <c r="C2857">
        <v>2000</v>
      </c>
    </row>
    <row r="2858" spans="1:11" x14ac:dyDescent="0.25">
      <c r="A2858">
        <v>99.781491987775595</v>
      </c>
      <c r="B2858">
        <v>67.699683294952905</v>
      </c>
      <c r="C2858">
        <v>2000</v>
      </c>
    </row>
    <row r="2859" spans="1:11" x14ac:dyDescent="0.25">
      <c r="A2859">
        <v>97.105706869758095</v>
      </c>
      <c r="B2859">
        <v>65.023898176935504</v>
      </c>
      <c r="C2859">
        <v>2000</v>
      </c>
    </row>
    <row r="2860" spans="1:11" x14ac:dyDescent="0.25">
      <c r="A2860">
        <v>97.542722894206904</v>
      </c>
      <c r="B2860">
        <v>64.586882152486695</v>
      </c>
      <c r="C2860">
        <v>2001</v>
      </c>
    </row>
    <row r="2861" spans="1:11" x14ac:dyDescent="0.25">
      <c r="A2861">
        <v>100.21850801222401</v>
      </c>
      <c r="B2861">
        <v>67.262667270504096</v>
      </c>
      <c r="C2861">
        <v>2001</v>
      </c>
    </row>
    <row r="2862" spans="1:11" x14ac:dyDescent="0.25">
      <c r="A2862">
        <v>114.024984509226</v>
      </c>
      <c r="B2862">
        <v>81.069143767505295</v>
      </c>
      <c r="C2862">
        <v>2001</v>
      </c>
    </row>
    <row r="2863" spans="1:11" x14ac:dyDescent="0.25">
      <c r="A2863">
        <v>120.39528863528101</v>
      </c>
      <c r="B2863">
        <v>87.439447893561095</v>
      </c>
      <c r="C2863">
        <v>2001</v>
      </c>
    </row>
    <row r="2864" spans="1:11" x14ac:dyDescent="0.25">
      <c r="A2864">
        <v>119.95827261083301</v>
      </c>
      <c r="B2864">
        <v>87.876463918009904</v>
      </c>
      <c r="C2864">
        <v>2000</v>
      </c>
    </row>
    <row r="2865" spans="1:11" x14ac:dyDescent="0.25">
      <c r="A2865" t="s">
        <v>87</v>
      </c>
    </row>
    <row r="2866" spans="1:11" x14ac:dyDescent="0.25">
      <c r="A2866">
        <v>1020</v>
      </c>
      <c r="B2866">
        <v>0</v>
      </c>
      <c r="C2866">
        <v>24.758609649753801</v>
      </c>
      <c r="D2866">
        <v>7.5465224522857604</v>
      </c>
      <c r="E2866">
        <v>8</v>
      </c>
      <c r="F2866">
        <v>1.01722196789785</v>
      </c>
      <c r="G2866" t="s">
        <v>88</v>
      </c>
      <c r="H2866" t="s">
        <v>88</v>
      </c>
      <c r="I2866">
        <v>91</v>
      </c>
      <c r="J2866">
        <v>174</v>
      </c>
      <c r="K2866">
        <v>0.113247760014482</v>
      </c>
    </row>
    <row r="2867" spans="1:11" x14ac:dyDescent="0.25">
      <c r="A2867" t="s">
        <v>86</v>
      </c>
    </row>
    <row r="2868" spans="1:11" x14ac:dyDescent="0.25">
      <c r="A2868">
        <v>102.69335780091799</v>
      </c>
      <c r="B2868">
        <v>68.045349435440698</v>
      </c>
      <c r="C2868">
        <v>2000</v>
      </c>
    </row>
    <row r="2869" spans="1:11" x14ac:dyDescent="0.25">
      <c r="A2869">
        <v>100.21850801222401</v>
      </c>
      <c r="B2869">
        <v>65.570499646747507</v>
      </c>
      <c r="C2869">
        <v>2000</v>
      </c>
    </row>
    <row r="2870" spans="1:11" x14ac:dyDescent="0.25">
      <c r="A2870">
        <v>85.186377024826001</v>
      </c>
      <c r="B2870">
        <v>50.538368659349203</v>
      </c>
      <c r="C2870">
        <v>2000</v>
      </c>
    </row>
    <row r="2871" spans="1:11" x14ac:dyDescent="0.25">
      <c r="A2871">
        <v>84.749361000377206</v>
      </c>
      <c r="B2871">
        <v>50.975384683797998</v>
      </c>
      <c r="C2871">
        <v>2001</v>
      </c>
    </row>
    <row r="2872" spans="1:11" x14ac:dyDescent="0.25">
      <c r="A2872">
        <v>99.781491987775595</v>
      </c>
      <c r="B2872">
        <v>66.007515671196302</v>
      </c>
      <c r="C2872">
        <v>2001</v>
      </c>
    </row>
    <row r="2873" spans="1:11" x14ac:dyDescent="0.25">
      <c r="A2873">
        <v>102.256341776469</v>
      </c>
      <c r="B2873">
        <v>68.482365459889493</v>
      </c>
      <c r="C2873">
        <v>2001</v>
      </c>
    </row>
    <row r="2874" spans="1:11" x14ac:dyDescent="0.25">
      <c r="A2874">
        <v>107.592538976857</v>
      </c>
      <c r="B2874">
        <v>73.818562660277294</v>
      </c>
      <c r="C2874">
        <v>2001</v>
      </c>
    </row>
    <row r="2875" spans="1:11" x14ac:dyDescent="0.25">
      <c r="A2875">
        <v>108.029555001305</v>
      </c>
      <c r="B2875">
        <v>73.381546635828499</v>
      </c>
      <c r="C2875">
        <v>2000</v>
      </c>
    </row>
    <row r="2876" spans="1:11" x14ac:dyDescent="0.25">
      <c r="A2876" t="s">
        <v>87</v>
      </c>
    </row>
    <row r="2877" spans="1:11" x14ac:dyDescent="0.25">
      <c r="A2877">
        <v>943</v>
      </c>
      <c r="B2877">
        <v>0</v>
      </c>
      <c r="C2877">
        <v>8.8137518622982007</v>
      </c>
      <c r="D2877">
        <v>23.0876843889897</v>
      </c>
      <c r="E2877">
        <v>6</v>
      </c>
      <c r="F2877">
        <v>1.01722196789785</v>
      </c>
      <c r="G2877" t="s">
        <v>85</v>
      </c>
      <c r="H2877" t="s">
        <v>85</v>
      </c>
      <c r="I2877">
        <v>0</v>
      </c>
      <c r="J2877">
        <v>0</v>
      </c>
      <c r="K2877">
        <v>0.10641999380403</v>
      </c>
    </row>
    <row r="2878" spans="1:11" x14ac:dyDescent="0.25">
      <c r="A2878" t="s">
        <v>86</v>
      </c>
    </row>
    <row r="2879" spans="1:11" x14ac:dyDescent="0.25">
      <c r="A2879">
        <v>6.3530028125876798</v>
      </c>
      <c r="B2879">
        <v>133.358264885263</v>
      </c>
      <c r="C2879">
        <v>2000</v>
      </c>
    </row>
    <row r="2880" spans="1:11" x14ac:dyDescent="0.25">
      <c r="A2880">
        <v>0</v>
      </c>
      <c r="B2880">
        <v>127.005262072675</v>
      </c>
      <c r="C2880">
        <v>2000</v>
      </c>
    </row>
    <row r="2881" spans="1:11" x14ac:dyDescent="0.25">
      <c r="A2881">
        <v>0</v>
      </c>
      <c r="B2881">
        <v>127.879294121573</v>
      </c>
      <c r="C2881">
        <v>2001</v>
      </c>
    </row>
    <row r="2882" spans="1:11" x14ac:dyDescent="0.25">
      <c r="A2882">
        <v>6.1115246064655704</v>
      </c>
      <c r="B2882">
        <v>133.99081872803799</v>
      </c>
      <c r="C2882">
        <v>2001</v>
      </c>
    </row>
    <row r="2883" spans="1:11" x14ac:dyDescent="0.25">
      <c r="A2883">
        <v>22.120705878427199</v>
      </c>
      <c r="B2883">
        <v>150</v>
      </c>
      <c r="C2883">
        <v>2001</v>
      </c>
    </row>
    <row r="2884" spans="1:11" x14ac:dyDescent="0.25">
      <c r="A2884">
        <v>22.994737927324898</v>
      </c>
      <c r="B2884">
        <v>150</v>
      </c>
      <c r="C2884">
        <v>2000</v>
      </c>
    </row>
    <row r="2885" spans="1:11" x14ac:dyDescent="0.25">
      <c r="A2885" t="s">
        <v>87</v>
      </c>
    </row>
    <row r="2886" spans="1:11" x14ac:dyDescent="0.25">
      <c r="A2886">
        <v>116</v>
      </c>
      <c r="B2886">
        <v>0</v>
      </c>
      <c r="C2886">
        <v>19.8170819425718</v>
      </c>
      <c r="D2886">
        <v>11.936274036558901</v>
      </c>
      <c r="E2886">
        <v>8</v>
      </c>
      <c r="F2886">
        <v>1.01722196789785</v>
      </c>
      <c r="G2886" t="s">
        <v>88</v>
      </c>
      <c r="H2886" t="s">
        <v>88</v>
      </c>
      <c r="I2886">
        <v>926</v>
      </c>
      <c r="J2886">
        <v>325</v>
      </c>
      <c r="K2886">
        <v>0</v>
      </c>
    </row>
    <row r="2887" spans="1:11" x14ac:dyDescent="0.25">
      <c r="A2887" t="s">
        <v>86</v>
      </c>
    </row>
    <row r="2888" spans="1:11" x14ac:dyDescent="0.25">
      <c r="A2888">
        <v>88.881244823276802</v>
      </c>
      <c r="B2888">
        <v>96.543665446133005</v>
      </c>
      <c r="C2888">
        <v>2000</v>
      </c>
    </row>
    <row r="2889" spans="1:11" x14ac:dyDescent="0.25">
      <c r="A2889">
        <v>74.868451798354798</v>
      </c>
      <c r="B2889">
        <v>82.530872421211001</v>
      </c>
      <c r="C2889">
        <v>2000</v>
      </c>
    </row>
    <row r="2890" spans="1:11" x14ac:dyDescent="0.25">
      <c r="A2890">
        <v>74.431435773906003</v>
      </c>
      <c r="B2890">
        <v>82.967888445659796</v>
      </c>
      <c r="C2890">
        <v>2001</v>
      </c>
    </row>
    <row r="2891" spans="1:11" x14ac:dyDescent="0.25">
      <c r="A2891">
        <v>88.444228798827993</v>
      </c>
      <c r="B2891">
        <v>96.9806814705818</v>
      </c>
      <c r="C2891">
        <v>2001</v>
      </c>
    </row>
    <row r="2892" spans="1:11" x14ac:dyDescent="0.25">
      <c r="A2892">
        <v>91.682055340470598</v>
      </c>
      <c r="B2892">
        <v>100.21850801222401</v>
      </c>
      <c r="C2892">
        <v>2001</v>
      </c>
    </row>
    <row r="2893" spans="1:11" x14ac:dyDescent="0.25">
      <c r="A2893">
        <v>96.884449112179695</v>
      </c>
      <c r="B2893">
        <v>105.420901783934</v>
      </c>
      <c r="C2893">
        <v>2001</v>
      </c>
    </row>
    <row r="2894" spans="1:11" x14ac:dyDescent="0.25">
      <c r="A2894">
        <v>97.321465136628504</v>
      </c>
      <c r="B2894">
        <v>104.98388575948501</v>
      </c>
      <c r="C2894">
        <v>2000</v>
      </c>
    </row>
    <row r="2895" spans="1:11" x14ac:dyDescent="0.25">
      <c r="A2895">
        <v>92.119071364919407</v>
      </c>
      <c r="B2895">
        <v>99.781491987775595</v>
      </c>
      <c r="C2895">
        <v>2000</v>
      </c>
    </row>
    <row r="2896" spans="1:11" x14ac:dyDescent="0.25">
      <c r="A2896" t="s">
        <v>87</v>
      </c>
    </row>
    <row r="2897" spans="1:11" x14ac:dyDescent="0.25">
      <c r="A2897">
        <v>789</v>
      </c>
      <c r="B2897">
        <v>0</v>
      </c>
      <c r="C2897">
        <v>2.6919651326601302</v>
      </c>
      <c r="D2897">
        <v>29.040717820680499</v>
      </c>
      <c r="E2897">
        <v>8</v>
      </c>
      <c r="F2897">
        <v>1.01722196789785</v>
      </c>
      <c r="G2897" t="s">
        <v>88</v>
      </c>
      <c r="H2897" t="s">
        <v>85</v>
      </c>
      <c r="I2897">
        <v>274</v>
      </c>
      <c r="J2897">
        <v>0</v>
      </c>
      <c r="K2897">
        <v>0.102156287543144</v>
      </c>
    </row>
    <row r="2898" spans="1:11" x14ac:dyDescent="0.25">
      <c r="A2898" t="s">
        <v>86</v>
      </c>
    </row>
    <row r="2899" spans="1:11" x14ac:dyDescent="0.25">
      <c r="A2899">
        <v>129.66547030317801</v>
      </c>
      <c r="B2899">
        <v>83.356559567160602</v>
      </c>
      <c r="C2899">
        <v>2000</v>
      </c>
    </row>
    <row r="2900" spans="1:11" x14ac:dyDescent="0.25">
      <c r="A2900">
        <v>127.780112710675</v>
      </c>
      <c r="B2900">
        <v>81.471201974656793</v>
      </c>
      <c r="C2900">
        <v>2000</v>
      </c>
    </row>
    <row r="2901" spans="1:11" x14ac:dyDescent="0.25">
      <c r="A2901">
        <v>127.343096686226</v>
      </c>
      <c r="B2901">
        <v>81.908217999105602</v>
      </c>
      <c r="C2901">
        <v>2001</v>
      </c>
    </row>
    <row r="2902" spans="1:11" x14ac:dyDescent="0.25">
      <c r="A2902">
        <v>129.26475269376499</v>
      </c>
      <c r="B2902">
        <v>83.829874006645298</v>
      </c>
      <c r="C2902">
        <v>2001</v>
      </c>
    </row>
    <row r="2903" spans="1:11" x14ac:dyDescent="0.25">
      <c r="A2903">
        <v>145.82796829430299</v>
      </c>
      <c r="B2903">
        <v>100.393089607183</v>
      </c>
      <c r="C2903">
        <v>2001</v>
      </c>
    </row>
    <row r="2904" spans="1:11" x14ac:dyDescent="0.25">
      <c r="A2904">
        <v>150</v>
      </c>
      <c r="B2904">
        <v>104.56512131288</v>
      </c>
      <c r="C2904">
        <v>2001</v>
      </c>
    </row>
    <row r="2905" spans="1:11" x14ac:dyDescent="0.25">
      <c r="A2905">
        <v>150</v>
      </c>
      <c r="B2905">
        <v>103.69108926398199</v>
      </c>
      <c r="C2905">
        <v>2000</v>
      </c>
    </row>
    <row r="2906" spans="1:11" x14ac:dyDescent="0.25">
      <c r="A2906">
        <v>145.91582112883501</v>
      </c>
      <c r="B2906">
        <v>99.606910392817099</v>
      </c>
      <c r="C2906">
        <v>2000</v>
      </c>
    </row>
    <row r="2907" spans="1:11" x14ac:dyDescent="0.25">
      <c r="A2907" t="s">
        <v>87</v>
      </c>
    </row>
    <row r="2908" spans="1:11" x14ac:dyDescent="0.25">
      <c r="A2908">
        <v>184</v>
      </c>
      <c r="B2908">
        <v>0</v>
      </c>
      <c r="C2908">
        <v>7.1668202273789303</v>
      </c>
      <c r="D2908">
        <v>24.522458462178701</v>
      </c>
      <c r="E2908">
        <v>6</v>
      </c>
      <c r="F2908">
        <v>1.01722196789785</v>
      </c>
      <c r="G2908" t="s">
        <v>88</v>
      </c>
      <c r="H2908" t="s">
        <v>88</v>
      </c>
      <c r="I2908">
        <v>272</v>
      </c>
      <c r="J2908">
        <v>181</v>
      </c>
      <c r="K2908">
        <v>0</v>
      </c>
    </row>
    <row r="2909" spans="1:11" x14ac:dyDescent="0.25">
      <c r="A2909" t="s">
        <v>86</v>
      </c>
    </row>
    <row r="2910" spans="1:11" x14ac:dyDescent="0.25">
      <c r="A2910">
        <v>109.811157450453</v>
      </c>
      <c r="B2910">
        <v>59.888392047443403</v>
      </c>
      <c r="C2910">
        <v>2000</v>
      </c>
    </row>
    <row r="2911" spans="1:11" x14ac:dyDescent="0.25">
      <c r="A2911">
        <v>104.743450268129</v>
      </c>
      <c r="B2911">
        <v>54.820684865118899</v>
      </c>
      <c r="C2911">
        <v>2000</v>
      </c>
    </row>
    <row r="2912" spans="1:11" x14ac:dyDescent="0.25">
      <c r="A2912">
        <v>104.30643424368</v>
      </c>
      <c r="B2912">
        <v>55.257700889567701</v>
      </c>
      <c r="C2912">
        <v>2001</v>
      </c>
    </row>
    <row r="2913" spans="1:11" x14ac:dyDescent="0.25">
      <c r="A2913">
        <v>109.374141426004</v>
      </c>
      <c r="B2913">
        <v>60.325408071892198</v>
      </c>
      <c r="C2913">
        <v>2001</v>
      </c>
    </row>
    <row r="2914" spans="1:11" x14ac:dyDescent="0.25">
      <c r="A2914">
        <v>126.714138095976</v>
      </c>
      <c r="B2914">
        <v>77.665404741864293</v>
      </c>
      <c r="C2914">
        <v>2001</v>
      </c>
    </row>
    <row r="2915" spans="1:11" x14ac:dyDescent="0.25">
      <c r="A2915">
        <v>127.15115412042501</v>
      </c>
      <c r="B2915">
        <v>77.228388717415498</v>
      </c>
      <c r="C2915">
        <v>2000</v>
      </c>
    </row>
    <row r="2916" spans="1:11" x14ac:dyDescent="0.25">
      <c r="A2916" t="s">
        <v>87</v>
      </c>
    </row>
    <row r="2917" spans="1:11" x14ac:dyDescent="0.25">
      <c r="A2917">
        <v>502</v>
      </c>
      <c r="B2917">
        <v>0</v>
      </c>
      <c r="C2917">
        <v>17.735070878488798</v>
      </c>
      <c r="D2917">
        <v>13.941293012647099</v>
      </c>
      <c r="E2917">
        <v>8</v>
      </c>
      <c r="F2917">
        <v>1.01722196789785</v>
      </c>
      <c r="G2917" t="s">
        <v>85</v>
      </c>
      <c r="H2917" t="s">
        <v>88</v>
      </c>
      <c r="I2917">
        <v>0</v>
      </c>
      <c r="J2917">
        <v>734</v>
      </c>
      <c r="K2917">
        <v>0</v>
      </c>
    </row>
    <row r="2918" spans="1:11" x14ac:dyDescent="0.25">
      <c r="A2918" t="s">
        <v>86</v>
      </c>
    </row>
    <row r="2919" spans="1:11" x14ac:dyDescent="0.25">
      <c r="A2919">
        <v>12.6997821446821</v>
      </c>
      <c r="B2919">
        <v>54.921970011251297</v>
      </c>
      <c r="C2919">
        <v>2000</v>
      </c>
    </row>
    <row r="2920" spans="1:11" x14ac:dyDescent="0.25">
      <c r="A2920">
        <v>7.4687026037154096</v>
      </c>
      <c r="B2920">
        <v>49.6908904702846</v>
      </c>
      <c r="C2920">
        <v>2000</v>
      </c>
    </row>
    <row r="2921" spans="1:11" x14ac:dyDescent="0.25">
      <c r="A2921">
        <v>0</v>
      </c>
      <c r="B2921">
        <v>42.2221878665692</v>
      </c>
      <c r="C2921">
        <v>2000</v>
      </c>
    </row>
    <row r="2922" spans="1:11" x14ac:dyDescent="0.25">
      <c r="A2922">
        <v>0</v>
      </c>
      <c r="B2922">
        <v>43.096219915466897</v>
      </c>
      <c r="C2922">
        <v>2001</v>
      </c>
    </row>
    <row r="2923" spans="1:11" x14ac:dyDescent="0.25">
      <c r="A2923">
        <v>7.2128896142484997</v>
      </c>
      <c r="B2923">
        <v>50.3091095297154</v>
      </c>
      <c r="C2923">
        <v>2001</v>
      </c>
    </row>
    <row r="2924" spans="1:11" x14ac:dyDescent="0.25">
      <c r="A2924">
        <v>12.3813956213249</v>
      </c>
      <c r="B2924">
        <v>55.477615536791802</v>
      </c>
      <c r="C2924">
        <v>2001</v>
      </c>
    </row>
    <row r="2925" spans="1:11" x14ac:dyDescent="0.25">
      <c r="A2925">
        <v>22.1800636985305</v>
      </c>
      <c r="B2925">
        <v>65.276283613997293</v>
      </c>
      <c r="C2925">
        <v>2001</v>
      </c>
    </row>
    <row r="2926" spans="1:11" x14ac:dyDescent="0.25">
      <c r="A2926">
        <v>22.617079722979302</v>
      </c>
      <c r="B2926">
        <v>64.839267589548498</v>
      </c>
      <c r="C2926">
        <v>2000</v>
      </c>
    </row>
    <row r="2927" spans="1:11" x14ac:dyDescent="0.25">
      <c r="A2927" t="s">
        <v>87</v>
      </c>
    </row>
    <row r="2928" spans="1:11" x14ac:dyDescent="0.25">
      <c r="A2928">
        <v>735</v>
      </c>
      <c r="B2928">
        <v>0</v>
      </c>
      <c r="C2928">
        <v>29.0505613817908</v>
      </c>
      <c r="D2928">
        <v>2.6050860550525701</v>
      </c>
      <c r="E2928">
        <v>6</v>
      </c>
      <c r="F2928">
        <v>1.01722196789785</v>
      </c>
      <c r="G2928" t="s">
        <v>85</v>
      </c>
      <c r="H2928" t="s">
        <v>88</v>
      </c>
      <c r="I2928">
        <v>0</v>
      </c>
      <c r="J2928">
        <v>909</v>
      </c>
      <c r="K2928">
        <v>0.101399532687084</v>
      </c>
    </row>
    <row r="2929" spans="1:11" x14ac:dyDescent="0.25">
      <c r="A2929" t="s">
        <v>86</v>
      </c>
    </row>
    <row r="2930" spans="1:11" x14ac:dyDescent="0.25">
      <c r="A2930">
        <v>20.742374952350001</v>
      </c>
      <c r="B2930">
        <v>91.421718586029002</v>
      </c>
      <c r="C2930">
        <v>2000</v>
      </c>
    </row>
    <row r="2931" spans="1:11" x14ac:dyDescent="0.25">
      <c r="A2931">
        <v>0</v>
      </c>
      <c r="B2931">
        <v>70.679343633678997</v>
      </c>
      <c r="C2931">
        <v>2000</v>
      </c>
    </row>
    <row r="2932" spans="1:11" x14ac:dyDescent="0.25">
      <c r="A2932">
        <v>0</v>
      </c>
      <c r="B2932">
        <v>71.553375682576601</v>
      </c>
      <c r="C2932">
        <v>2001</v>
      </c>
    </row>
    <row r="2933" spans="1:11" x14ac:dyDescent="0.25">
      <c r="A2933">
        <v>20.341322948330699</v>
      </c>
      <c r="B2933">
        <v>91.8946986309073</v>
      </c>
      <c r="C2933">
        <v>2001</v>
      </c>
    </row>
    <row r="2934" spans="1:11" x14ac:dyDescent="0.25">
      <c r="A2934">
        <v>22.1654149532181</v>
      </c>
      <c r="B2934">
        <v>93.718790635794704</v>
      </c>
      <c r="C2934">
        <v>2001</v>
      </c>
    </row>
    <row r="2935" spans="1:11" x14ac:dyDescent="0.25">
      <c r="A2935">
        <v>22.602430977666899</v>
      </c>
      <c r="B2935">
        <v>93.281774611345895</v>
      </c>
      <c r="C2935">
        <v>2000</v>
      </c>
    </row>
    <row r="2936" spans="1:11" x14ac:dyDescent="0.25">
      <c r="A2936" t="s">
        <v>87</v>
      </c>
    </row>
    <row r="2937" spans="1:11" x14ac:dyDescent="0.25">
      <c r="A2937">
        <v>767</v>
      </c>
      <c r="B2937">
        <v>0</v>
      </c>
      <c r="C2937">
        <v>22.061828844522299</v>
      </c>
      <c r="D2937">
        <v>9.0059358132664293</v>
      </c>
      <c r="E2937">
        <v>6</v>
      </c>
      <c r="F2937">
        <v>1.01722196789785</v>
      </c>
      <c r="G2937" t="s">
        <v>85</v>
      </c>
      <c r="H2937" t="s">
        <v>88</v>
      </c>
      <c r="I2937">
        <v>0</v>
      </c>
      <c r="J2937">
        <v>861</v>
      </c>
      <c r="K2937">
        <v>0.101910405093446</v>
      </c>
    </row>
    <row r="2938" spans="1:11" x14ac:dyDescent="0.25">
      <c r="A2938" t="s">
        <v>86</v>
      </c>
    </row>
    <row r="2939" spans="1:11" x14ac:dyDescent="0.25">
      <c r="A2939">
        <v>15.4449019574635</v>
      </c>
      <c r="B2939">
        <v>128.258170759031</v>
      </c>
      <c r="C2939">
        <v>2000</v>
      </c>
    </row>
    <row r="2940" spans="1:11" x14ac:dyDescent="0.25">
      <c r="A2940">
        <v>0</v>
      </c>
      <c r="B2940">
        <v>112.81326880156701</v>
      </c>
      <c r="C2940">
        <v>2000</v>
      </c>
    </row>
    <row r="2941" spans="1:11" x14ac:dyDescent="0.25">
      <c r="A2941">
        <v>0</v>
      </c>
      <c r="B2941">
        <v>111.93923675267</v>
      </c>
      <c r="C2941">
        <v>2001</v>
      </c>
    </row>
    <row r="2942" spans="1:11" x14ac:dyDescent="0.25">
      <c r="A2942">
        <v>15.755235605213899</v>
      </c>
      <c r="B2942">
        <v>127.694472357883</v>
      </c>
      <c r="C2942">
        <v>2001</v>
      </c>
    </row>
    <row r="2943" spans="1:11" x14ac:dyDescent="0.25">
      <c r="A2943">
        <v>22.1867350780546</v>
      </c>
      <c r="B2943">
        <v>134.12597183072401</v>
      </c>
      <c r="C2943">
        <v>2001</v>
      </c>
    </row>
    <row r="2944" spans="1:11" x14ac:dyDescent="0.25">
      <c r="A2944">
        <v>21.749719053605801</v>
      </c>
      <c r="B2944">
        <v>134.56298785517299</v>
      </c>
      <c r="C2944">
        <v>2000</v>
      </c>
    </row>
    <row r="2945" spans="1:11" x14ac:dyDescent="0.25">
      <c r="A2945" t="s">
        <v>87</v>
      </c>
    </row>
    <row r="2946" spans="1:11" x14ac:dyDescent="0.25">
      <c r="A2946">
        <v>759</v>
      </c>
      <c r="B2946">
        <v>0</v>
      </c>
      <c r="C2946">
        <v>17.0127201409638</v>
      </c>
      <c r="D2946">
        <v>13.9052059984837</v>
      </c>
      <c r="E2946">
        <v>6</v>
      </c>
      <c r="F2946">
        <v>1.01722196789785</v>
      </c>
      <c r="G2946" t="s">
        <v>88</v>
      </c>
      <c r="H2946" t="s">
        <v>88</v>
      </c>
      <c r="I2946">
        <v>653</v>
      </c>
      <c r="J2946">
        <v>641</v>
      </c>
      <c r="K2946">
        <v>0.101113411737407</v>
      </c>
    </row>
    <row r="2947" spans="1:11" x14ac:dyDescent="0.25">
      <c r="A2947" t="s">
        <v>86</v>
      </c>
    </row>
    <row r="2948" spans="1:11" x14ac:dyDescent="0.25">
      <c r="A2948">
        <v>139.69020343232</v>
      </c>
      <c r="B2948">
        <v>120.55632018183699</v>
      </c>
      <c r="C2948">
        <v>2000</v>
      </c>
    </row>
    <row r="2949" spans="1:11" x14ac:dyDescent="0.25">
      <c r="A2949">
        <v>127.660393654215</v>
      </c>
      <c r="B2949">
        <v>108.526510403732</v>
      </c>
      <c r="C2949">
        <v>2000</v>
      </c>
    </row>
    <row r="2950" spans="1:11" x14ac:dyDescent="0.25">
      <c r="A2950">
        <v>128.09740967866401</v>
      </c>
      <c r="B2950">
        <v>108.089494379283</v>
      </c>
      <c r="C2950">
        <v>2001</v>
      </c>
    </row>
    <row r="2951" spans="1:11" x14ac:dyDescent="0.25">
      <c r="A2951">
        <v>140.12721945676799</v>
      </c>
      <c r="B2951">
        <v>120.119304157388</v>
      </c>
      <c r="C2951">
        <v>2001</v>
      </c>
    </row>
    <row r="2952" spans="1:11" x14ac:dyDescent="0.25">
      <c r="A2952">
        <v>149.959684912092</v>
      </c>
      <c r="B2952">
        <v>129.95176961271201</v>
      </c>
      <c r="C2952">
        <v>2001</v>
      </c>
    </row>
    <row r="2953" spans="1:11" x14ac:dyDescent="0.25">
      <c r="A2953">
        <v>149.52266888764299</v>
      </c>
      <c r="B2953">
        <v>130.38878563716</v>
      </c>
      <c r="C2953">
        <v>2000</v>
      </c>
    </row>
    <row r="2954" spans="1:11" x14ac:dyDescent="0.25">
      <c r="A2954" t="s">
        <v>87</v>
      </c>
    </row>
    <row r="2955" spans="1:11" x14ac:dyDescent="0.25">
      <c r="A2955">
        <v>1005</v>
      </c>
      <c r="B2955">
        <v>0</v>
      </c>
      <c r="C2955">
        <v>18.759804975686801</v>
      </c>
      <c r="D2955">
        <v>12.1419218460656</v>
      </c>
      <c r="E2955">
        <v>6</v>
      </c>
      <c r="F2955">
        <v>1.01722196789785</v>
      </c>
      <c r="G2955" t="s">
        <v>88</v>
      </c>
      <c r="H2955" t="s">
        <v>85</v>
      </c>
      <c r="I2955">
        <v>728</v>
      </c>
      <c r="J2955">
        <v>0</v>
      </c>
      <c r="K2955">
        <v>0.11231047408881099</v>
      </c>
    </row>
    <row r="2956" spans="1:11" x14ac:dyDescent="0.25">
      <c r="A2956" t="s">
        <v>86</v>
      </c>
    </row>
    <row r="2957" spans="1:11" x14ac:dyDescent="0.25">
      <c r="A2957">
        <v>68.694582294935103</v>
      </c>
      <c r="B2957">
        <v>141.32850844935399</v>
      </c>
      <c r="C2957">
        <v>2000</v>
      </c>
    </row>
    <row r="2958" spans="1:11" x14ac:dyDescent="0.25">
      <c r="A2958">
        <v>55.296745247321802</v>
      </c>
      <c r="B2958">
        <v>127.93067140174</v>
      </c>
      <c r="C2958">
        <v>2000</v>
      </c>
    </row>
    <row r="2959" spans="1:11" x14ac:dyDescent="0.25">
      <c r="A2959">
        <v>54.859729222873</v>
      </c>
      <c r="B2959">
        <v>128.36768742618901</v>
      </c>
      <c r="C2959">
        <v>2001</v>
      </c>
    </row>
    <row r="2960" spans="1:11" x14ac:dyDescent="0.25">
      <c r="A2960">
        <v>67.9922627993502</v>
      </c>
      <c r="B2960">
        <v>141.500221002666</v>
      </c>
      <c r="C2960">
        <v>2001</v>
      </c>
    </row>
    <row r="2961" spans="1:11" x14ac:dyDescent="0.25">
      <c r="A2961">
        <v>76.492041796683907</v>
      </c>
      <c r="B2961">
        <v>150</v>
      </c>
      <c r="C2961">
        <v>2001</v>
      </c>
    </row>
    <row r="2962" spans="1:11" x14ac:dyDescent="0.25">
      <c r="A2962">
        <v>77.366073845581496</v>
      </c>
      <c r="B2962">
        <v>150</v>
      </c>
      <c r="C2962">
        <v>2000</v>
      </c>
    </row>
    <row r="2963" spans="1:11" x14ac:dyDescent="0.25">
      <c r="A2963" t="s">
        <v>87</v>
      </c>
    </row>
    <row r="2964" spans="1:11" x14ac:dyDescent="0.25">
      <c r="A2964">
        <v>926</v>
      </c>
      <c r="B2964">
        <v>0</v>
      </c>
      <c r="C2964">
        <v>27.3994681968653</v>
      </c>
      <c r="D2964">
        <v>3.4267292235536102</v>
      </c>
      <c r="E2964">
        <v>6</v>
      </c>
      <c r="F2964">
        <v>1.01722196789785</v>
      </c>
      <c r="G2964" t="s">
        <v>88</v>
      </c>
      <c r="H2964" t="s">
        <v>88</v>
      </c>
      <c r="I2964">
        <v>944</v>
      </c>
      <c r="J2964">
        <v>116</v>
      </c>
      <c r="K2964">
        <v>0.105773809106449</v>
      </c>
    </row>
    <row r="2965" spans="1:11" x14ac:dyDescent="0.25">
      <c r="A2965" t="s">
        <v>86</v>
      </c>
    </row>
    <row r="2966" spans="1:11" x14ac:dyDescent="0.25">
      <c r="A2966">
        <v>72.813675648441603</v>
      </c>
      <c r="B2966">
        <v>79.739521628594602</v>
      </c>
      <c r="C2966">
        <v>2000</v>
      </c>
    </row>
    <row r="2967" spans="1:11" x14ac:dyDescent="0.25">
      <c r="A2967">
        <v>53.439325885533002</v>
      </c>
      <c r="B2967">
        <v>60.365171865686001</v>
      </c>
      <c r="C2967">
        <v>2000</v>
      </c>
    </row>
    <row r="2968" spans="1:11" x14ac:dyDescent="0.25">
      <c r="A2968">
        <v>53.0023098610842</v>
      </c>
      <c r="B2968">
        <v>60.802187890134803</v>
      </c>
      <c r="C2968">
        <v>2001</v>
      </c>
    </row>
    <row r="2969" spans="1:11" x14ac:dyDescent="0.25">
      <c r="A2969">
        <v>72.376659623992794</v>
      </c>
      <c r="B2969">
        <v>80.176537653043397</v>
      </c>
      <c r="C2969">
        <v>2001</v>
      </c>
    </row>
    <row r="2970" spans="1:11" x14ac:dyDescent="0.25">
      <c r="A2970">
        <v>74.799723095257605</v>
      </c>
      <c r="B2970">
        <v>82.599601124308194</v>
      </c>
      <c r="C2970">
        <v>2001</v>
      </c>
    </row>
    <row r="2971" spans="1:11" x14ac:dyDescent="0.25">
      <c r="A2971">
        <v>75.236739119706399</v>
      </c>
      <c r="B2971">
        <v>82.162585099859399</v>
      </c>
      <c r="C2971">
        <v>2000</v>
      </c>
    </row>
    <row r="2972" spans="1:11" x14ac:dyDescent="0.25">
      <c r="A2972" t="s">
        <v>87</v>
      </c>
    </row>
    <row r="2973" spans="1:11" x14ac:dyDescent="0.25">
      <c r="A2973">
        <v>917</v>
      </c>
      <c r="B2973">
        <v>0</v>
      </c>
      <c r="C2973">
        <v>5.0836526551361496</v>
      </c>
      <c r="D2973">
        <v>25.678322883690601</v>
      </c>
      <c r="E2973">
        <v>8</v>
      </c>
      <c r="F2973">
        <v>1.01722196789785</v>
      </c>
      <c r="G2973" t="s">
        <v>88</v>
      </c>
      <c r="H2973" t="s">
        <v>85</v>
      </c>
      <c r="I2973">
        <v>815</v>
      </c>
      <c r="J2973">
        <v>0</v>
      </c>
      <c r="K2973">
        <v>0.105433648714889</v>
      </c>
    </row>
    <row r="2974" spans="1:11" x14ac:dyDescent="0.25">
      <c r="A2974" t="s">
        <v>86</v>
      </c>
    </row>
    <row r="2975" spans="1:11" x14ac:dyDescent="0.25">
      <c r="A2975">
        <v>132.04305361102601</v>
      </c>
      <c r="B2975">
        <v>101.40701586615801</v>
      </c>
      <c r="C2975">
        <v>2000</v>
      </c>
    </row>
    <row r="2976" spans="1:11" x14ac:dyDescent="0.25">
      <c r="A2976">
        <v>130.41752973264499</v>
      </c>
      <c r="B2976">
        <v>99.781491987775595</v>
      </c>
      <c r="C2976">
        <v>2000</v>
      </c>
    </row>
    <row r="2977" spans="1:11" x14ac:dyDescent="0.25">
      <c r="A2977">
        <v>128.46650650602501</v>
      </c>
      <c r="B2977">
        <v>97.830468761156396</v>
      </c>
      <c r="C2977">
        <v>2000</v>
      </c>
    </row>
    <row r="2978" spans="1:11" x14ac:dyDescent="0.25">
      <c r="A2978">
        <v>128.029490481577</v>
      </c>
      <c r="B2978">
        <v>98.267484785605205</v>
      </c>
      <c r="C2978">
        <v>2001</v>
      </c>
    </row>
    <row r="2979" spans="1:11" x14ac:dyDescent="0.25">
      <c r="A2979">
        <v>129.98051370819601</v>
      </c>
      <c r="B2979">
        <v>100.21850801222401</v>
      </c>
      <c r="C2979">
        <v>2001</v>
      </c>
    </row>
    <row r="2980" spans="1:11" x14ac:dyDescent="0.25">
      <c r="A2980">
        <v>131.64231390786301</v>
      </c>
      <c r="B2980">
        <v>101.880308211892</v>
      </c>
      <c r="C2980">
        <v>2001</v>
      </c>
    </row>
    <row r="2981" spans="1:11" x14ac:dyDescent="0.25">
      <c r="A2981">
        <v>150</v>
      </c>
      <c r="B2981">
        <v>120.237994304029</v>
      </c>
      <c r="C2981">
        <v>2001</v>
      </c>
    </row>
    <row r="2982" spans="1:11" x14ac:dyDescent="0.25">
      <c r="A2982">
        <v>150</v>
      </c>
      <c r="B2982">
        <v>119.363962255131</v>
      </c>
      <c r="C2982">
        <v>2000</v>
      </c>
    </row>
    <row r="2983" spans="1:11" x14ac:dyDescent="0.25">
      <c r="A2983" t="s">
        <v>87</v>
      </c>
    </row>
    <row r="2984" spans="1:11" x14ac:dyDescent="0.25">
      <c r="A2984">
        <v>997</v>
      </c>
      <c r="B2984">
        <v>0</v>
      </c>
      <c r="C2984">
        <v>1.3458649749763201</v>
      </c>
      <c r="D2984">
        <v>29.363958218057999</v>
      </c>
      <c r="E2984">
        <v>6</v>
      </c>
      <c r="F2984">
        <v>1.01722196789785</v>
      </c>
      <c r="G2984" t="s">
        <v>85</v>
      </c>
      <c r="H2984" t="s">
        <v>88</v>
      </c>
      <c r="I2984">
        <v>0</v>
      </c>
      <c r="J2984">
        <v>909</v>
      </c>
      <c r="K2984">
        <v>0.11167055794483299</v>
      </c>
    </row>
    <row r="2985" spans="1:11" x14ac:dyDescent="0.25">
      <c r="A2985" t="s">
        <v>86</v>
      </c>
    </row>
    <row r="2986" spans="1:11" x14ac:dyDescent="0.25">
      <c r="A2986">
        <v>0.94209408711300202</v>
      </c>
      <c r="B2986">
        <v>73.833067242905699</v>
      </c>
      <c r="C2986">
        <v>2000</v>
      </c>
    </row>
    <row r="2987" spans="1:11" x14ac:dyDescent="0.25">
      <c r="A2987">
        <v>0</v>
      </c>
      <c r="B2987">
        <v>72.890973155792693</v>
      </c>
      <c r="C2987">
        <v>2000</v>
      </c>
    </row>
    <row r="2988" spans="1:11" x14ac:dyDescent="0.25">
      <c r="A2988">
        <v>0</v>
      </c>
      <c r="B2988">
        <v>72.016941106895104</v>
      </c>
      <c r="C2988">
        <v>2001</v>
      </c>
    </row>
    <row r="2989" spans="1:11" x14ac:dyDescent="0.25">
      <c r="A2989">
        <v>0.96124641362142904</v>
      </c>
      <c r="B2989">
        <v>72.978187520516499</v>
      </c>
      <c r="C2989">
        <v>2001</v>
      </c>
    </row>
    <row r="2990" spans="1:11" x14ac:dyDescent="0.25">
      <c r="A2990">
        <v>21.933632241058898</v>
      </c>
      <c r="B2990">
        <v>93.950573347954005</v>
      </c>
      <c r="C2990">
        <v>2001</v>
      </c>
    </row>
    <row r="2991" spans="1:11" x14ac:dyDescent="0.25">
      <c r="A2991">
        <v>21.4966162166101</v>
      </c>
      <c r="B2991">
        <v>94.3875893724028</v>
      </c>
      <c r="C2991">
        <v>2000</v>
      </c>
    </row>
    <row r="2992" spans="1:11" x14ac:dyDescent="0.25">
      <c r="A2992" t="s">
        <v>87</v>
      </c>
    </row>
    <row r="2993" spans="1:11" x14ac:dyDescent="0.25">
      <c r="A2993">
        <v>928</v>
      </c>
      <c r="B2993">
        <v>0</v>
      </c>
      <c r="C2993">
        <v>11.655955050637401</v>
      </c>
      <c r="D2993">
        <v>18.900484888687998</v>
      </c>
      <c r="E2993">
        <v>8</v>
      </c>
      <c r="F2993">
        <v>1.01722196789785</v>
      </c>
      <c r="G2993" t="s">
        <v>85</v>
      </c>
      <c r="H2993" t="s">
        <v>88</v>
      </c>
      <c r="I2993">
        <v>0</v>
      </c>
      <c r="J2993">
        <v>734</v>
      </c>
      <c r="K2993">
        <v>0.105773809106449</v>
      </c>
    </row>
    <row r="2994" spans="1:11" x14ac:dyDescent="0.25">
      <c r="A2994" t="s">
        <v>86</v>
      </c>
    </row>
    <row r="2995" spans="1:11" x14ac:dyDescent="0.25">
      <c r="A2995">
        <v>8.4049605923714097</v>
      </c>
      <c r="B2995">
        <v>52.210960100417601</v>
      </c>
      <c r="C2995">
        <v>2000</v>
      </c>
    </row>
    <row r="2996" spans="1:11" x14ac:dyDescent="0.25">
      <c r="A2996">
        <v>5.9096108313750602</v>
      </c>
      <c r="B2996">
        <v>49.715610339421197</v>
      </c>
      <c r="C2996">
        <v>2000</v>
      </c>
    </row>
    <row r="2997" spans="1:11" x14ac:dyDescent="0.25">
      <c r="A2997">
        <v>0</v>
      </c>
      <c r="B2997">
        <v>43.805999508046199</v>
      </c>
      <c r="C2997">
        <v>2000</v>
      </c>
    </row>
    <row r="2998" spans="1:11" x14ac:dyDescent="0.25">
      <c r="A2998">
        <v>0</v>
      </c>
      <c r="B2998">
        <v>44.680031556943803</v>
      </c>
      <c r="C2998">
        <v>2001</v>
      </c>
    </row>
    <row r="2999" spans="1:11" x14ac:dyDescent="0.25">
      <c r="A2999">
        <v>5.6043581036349401</v>
      </c>
      <c r="B2999">
        <v>50.284389660578803</v>
      </c>
      <c r="C2999">
        <v>2001</v>
      </c>
    </row>
    <row r="3000" spans="1:11" x14ac:dyDescent="0.25">
      <c r="A3000">
        <v>8.0790491226511207</v>
      </c>
      <c r="B3000">
        <v>52.759080679594902</v>
      </c>
      <c r="C3000">
        <v>2001</v>
      </c>
    </row>
    <row r="3001" spans="1:11" x14ac:dyDescent="0.25">
      <c r="A3001">
        <v>21.388157877792001</v>
      </c>
      <c r="B3001">
        <v>66.0681894347358</v>
      </c>
      <c r="C3001">
        <v>2001</v>
      </c>
    </row>
    <row r="3002" spans="1:11" x14ac:dyDescent="0.25">
      <c r="A3002">
        <v>21.825173902240799</v>
      </c>
      <c r="B3002">
        <v>65.631173410287005</v>
      </c>
      <c r="C3002">
        <v>2000</v>
      </c>
    </row>
    <row r="3003" spans="1:11" x14ac:dyDescent="0.25">
      <c r="A3003" t="s">
        <v>87</v>
      </c>
    </row>
    <row r="3004" spans="1:11" x14ac:dyDescent="0.25">
      <c r="A3004">
        <v>839</v>
      </c>
      <c r="B3004">
        <v>0</v>
      </c>
      <c r="C3004">
        <v>28.187108457264099</v>
      </c>
      <c r="D3004">
        <v>2.3690109914409998</v>
      </c>
      <c r="E3004">
        <v>8</v>
      </c>
      <c r="F3004">
        <v>1.01722196789785</v>
      </c>
      <c r="G3004" t="s">
        <v>88</v>
      </c>
      <c r="H3004" t="s">
        <v>88</v>
      </c>
      <c r="I3004">
        <v>1015</v>
      </c>
      <c r="J3004">
        <v>188</v>
      </c>
      <c r="K3004">
        <v>0.103520648210845</v>
      </c>
    </row>
    <row r="3005" spans="1:11" x14ac:dyDescent="0.25">
      <c r="A3005" t="s">
        <v>86</v>
      </c>
    </row>
    <row r="3006" spans="1:11" x14ac:dyDescent="0.25">
      <c r="A3006">
        <v>125.51976337959501</v>
      </c>
      <c r="B3006">
        <v>65.629740470386693</v>
      </c>
      <c r="C3006">
        <v>2000</v>
      </c>
    </row>
    <row r="3007" spans="1:11" x14ac:dyDescent="0.25">
      <c r="A3007">
        <v>109.67151489698399</v>
      </c>
      <c r="B3007">
        <v>49.781491987775603</v>
      </c>
      <c r="C3007">
        <v>2000</v>
      </c>
    </row>
    <row r="3008" spans="1:11" x14ac:dyDescent="0.25">
      <c r="A3008">
        <v>105.588467847423</v>
      </c>
      <c r="B3008">
        <v>45.6984449382146</v>
      </c>
      <c r="C3008">
        <v>2000</v>
      </c>
    </row>
    <row r="3009" spans="1:11" x14ac:dyDescent="0.25">
      <c r="A3009">
        <v>105.151451822974</v>
      </c>
      <c r="B3009">
        <v>46.135460962663402</v>
      </c>
      <c r="C3009">
        <v>2001</v>
      </c>
    </row>
    <row r="3010" spans="1:11" x14ac:dyDescent="0.25">
      <c r="A3010">
        <v>109.234498872535</v>
      </c>
      <c r="B3010">
        <v>50.218508012224397</v>
      </c>
      <c r="C3010">
        <v>2001</v>
      </c>
    </row>
    <row r="3011" spans="1:11" x14ac:dyDescent="0.25">
      <c r="A3011">
        <v>125.08274735514701</v>
      </c>
      <c r="B3011">
        <v>66.066756494835502</v>
      </c>
      <c r="C3011">
        <v>2001</v>
      </c>
    </row>
    <row r="3012" spans="1:11" x14ac:dyDescent="0.25">
      <c r="A3012">
        <v>126.75789109190001</v>
      </c>
      <c r="B3012">
        <v>67.7419002315889</v>
      </c>
      <c r="C3012">
        <v>2001</v>
      </c>
    </row>
    <row r="3013" spans="1:11" x14ac:dyDescent="0.25">
      <c r="A3013">
        <v>127.194907116349</v>
      </c>
      <c r="B3013">
        <v>67.304884207140105</v>
      </c>
      <c r="C3013">
        <v>2000</v>
      </c>
    </row>
    <row r="3014" spans="1:11" x14ac:dyDescent="0.25">
      <c r="A3014" t="s">
        <v>87</v>
      </c>
    </row>
    <row r="3015" spans="1:11" x14ac:dyDescent="0.25">
      <c r="A3015">
        <v>747</v>
      </c>
      <c r="B3015">
        <v>0</v>
      </c>
      <c r="C3015">
        <v>22.189616633499298</v>
      </c>
      <c r="D3015">
        <v>7.9939015997043299</v>
      </c>
      <c r="E3015">
        <v>8</v>
      </c>
      <c r="F3015">
        <v>1.01722196789785</v>
      </c>
      <c r="G3015" t="s">
        <v>88</v>
      </c>
      <c r="H3015" t="s">
        <v>88</v>
      </c>
      <c r="I3015">
        <v>846</v>
      </c>
      <c r="J3015">
        <v>111</v>
      </c>
      <c r="K3015">
        <v>0.10038021386068</v>
      </c>
    </row>
    <row r="3016" spans="1:11" x14ac:dyDescent="0.25">
      <c r="A3016" t="s">
        <v>86</v>
      </c>
    </row>
    <row r="3017" spans="1:11" x14ac:dyDescent="0.25">
      <c r="A3017">
        <v>77.184691929348901</v>
      </c>
      <c r="B3017">
        <v>52.601723412793199</v>
      </c>
      <c r="C3017">
        <v>2000</v>
      </c>
    </row>
    <row r="3018" spans="1:11" x14ac:dyDescent="0.25">
      <c r="A3018">
        <v>74.8014765287801</v>
      </c>
      <c r="B3018">
        <v>50.218508012224397</v>
      </c>
      <c r="C3018">
        <v>2000</v>
      </c>
    </row>
    <row r="3019" spans="1:11" x14ac:dyDescent="0.25">
      <c r="A3019">
        <v>61.494263535871703</v>
      </c>
      <c r="B3019">
        <v>36.911295019316</v>
      </c>
      <c r="C3019">
        <v>2000</v>
      </c>
    </row>
    <row r="3020" spans="1:11" x14ac:dyDescent="0.25">
      <c r="A3020">
        <v>61.931279560320498</v>
      </c>
      <c r="B3020">
        <v>36.474278994867198</v>
      </c>
      <c r="C3020">
        <v>2001</v>
      </c>
    </row>
    <row r="3021" spans="1:11" x14ac:dyDescent="0.25">
      <c r="A3021">
        <v>75.238492553228895</v>
      </c>
      <c r="B3021">
        <v>49.781491987775603</v>
      </c>
      <c r="C3021">
        <v>2001</v>
      </c>
    </row>
    <row r="3022" spans="1:11" x14ac:dyDescent="0.25">
      <c r="A3022">
        <v>77.621707953797696</v>
      </c>
      <c r="B3022">
        <v>52.164707388344397</v>
      </c>
      <c r="C3022">
        <v>2001</v>
      </c>
    </row>
    <row r="3023" spans="1:11" x14ac:dyDescent="0.25">
      <c r="A3023">
        <v>83.274249983086605</v>
      </c>
      <c r="B3023">
        <v>57.817249417633299</v>
      </c>
      <c r="C3023">
        <v>2001</v>
      </c>
    </row>
    <row r="3024" spans="1:11" x14ac:dyDescent="0.25">
      <c r="A3024">
        <v>82.837233958637796</v>
      </c>
      <c r="B3024">
        <v>58.254265442082101</v>
      </c>
      <c r="C3024">
        <v>2000</v>
      </c>
    </row>
    <row r="3025" spans="1:11" x14ac:dyDescent="0.25">
      <c r="A3025" t="s">
        <v>87</v>
      </c>
    </row>
    <row r="3026" spans="1:11" x14ac:dyDescent="0.25">
      <c r="A3026">
        <v>801</v>
      </c>
      <c r="B3026">
        <v>0</v>
      </c>
      <c r="C3026">
        <v>2.6979855630185798</v>
      </c>
      <c r="D3026">
        <v>27.427841761886299</v>
      </c>
      <c r="E3026">
        <v>8</v>
      </c>
      <c r="F3026">
        <v>1.01722196789785</v>
      </c>
      <c r="G3026" t="s">
        <v>88</v>
      </c>
      <c r="H3026" t="s">
        <v>88</v>
      </c>
      <c r="I3026">
        <v>410</v>
      </c>
      <c r="J3026">
        <v>929</v>
      </c>
      <c r="K3026">
        <v>0.102396880332516</v>
      </c>
    </row>
    <row r="3027" spans="1:11" x14ac:dyDescent="0.25">
      <c r="A3027" t="s">
        <v>86</v>
      </c>
    </row>
    <row r="3028" spans="1:11" x14ac:dyDescent="0.25">
      <c r="A3028">
        <v>114.290434539915</v>
      </c>
      <c r="B3028">
        <v>37.436594140923702</v>
      </c>
      <c r="C3028">
        <v>2000</v>
      </c>
    </row>
    <row r="3029" spans="1:11" x14ac:dyDescent="0.25">
      <c r="A3029">
        <v>112.38267065276101</v>
      </c>
      <c r="B3029">
        <v>35.528830253769797</v>
      </c>
      <c r="C3029">
        <v>2000</v>
      </c>
    </row>
    <row r="3030" spans="1:11" x14ac:dyDescent="0.25">
      <c r="A3030">
        <v>111.945654628312</v>
      </c>
      <c r="B3030">
        <v>35.965846278218699</v>
      </c>
      <c r="C3030">
        <v>2001</v>
      </c>
    </row>
    <row r="3031" spans="1:11" x14ac:dyDescent="0.25">
      <c r="A3031">
        <v>113.853418515466</v>
      </c>
      <c r="B3031">
        <v>37.873610165372497</v>
      </c>
      <c r="C3031">
        <v>2001</v>
      </c>
    </row>
    <row r="3032" spans="1:11" x14ac:dyDescent="0.25">
      <c r="A3032">
        <v>126.198316362318</v>
      </c>
      <c r="B3032">
        <v>50.218508012224397</v>
      </c>
      <c r="C3032">
        <v>2001</v>
      </c>
    </row>
    <row r="3033" spans="1:11" x14ac:dyDescent="0.25">
      <c r="A3033">
        <v>133.24783141860701</v>
      </c>
      <c r="B3033">
        <v>57.268023068513898</v>
      </c>
      <c r="C3033">
        <v>2001</v>
      </c>
    </row>
    <row r="3034" spans="1:11" x14ac:dyDescent="0.25">
      <c r="A3034">
        <v>133.68484744305599</v>
      </c>
      <c r="B3034">
        <v>56.831007044065103</v>
      </c>
      <c r="C3034">
        <v>2000</v>
      </c>
    </row>
    <row r="3035" spans="1:11" x14ac:dyDescent="0.25">
      <c r="A3035">
        <v>126.635332386766</v>
      </c>
      <c r="B3035">
        <v>49.781491987775603</v>
      </c>
      <c r="C3035">
        <v>2000</v>
      </c>
    </row>
    <row r="3036" spans="1:11" x14ac:dyDescent="0.25">
      <c r="A3036" t="s">
        <v>87</v>
      </c>
    </row>
    <row r="3037" spans="1:11" x14ac:dyDescent="0.25">
      <c r="A3037">
        <v>892</v>
      </c>
      <c r="B3037">
        <v>0</v>
      </c>
      <c r="C3037">
        <v>6.3103885637026202</v>
      </c>
      <c r="D3037">
        <v>23.730315893635201</v>
      </c>
      <c r="E3037">
        <v>6</v>
      </c>
      <c r="F3037">
        <v>1.01722196789785</v>
      </c>
      <c r="G3037" t="s">
        <v>88</v>
      </c>
      <c r="H3037" t="s">
        <v>85</v>
      </c>
      <c r="I3037">
        <v>885</v>
      </c>
      <c r="J3037">
        <v>0</v>
      </c>
      <c r="K3037">
        <v>0.104714434237089</v>
      </c>
    </row>
    <row r="3038" spans="1:11" x14ac:dyDescent="0.25">
      <c r="A3038" t="s">
        <v>86</v>
      </c>
    </row>
    <row r="3039" spans="1:11" x14ac:dyDescent="0.25">
      <c r="A3039">
        <v>58.667112944760198</v>
      </c>
      <c r="B3039">
        <v>133.392740653338</v>
      </c>
      <c r="C3039">
        <v>2000</v>
      </c>
    </row>
    <row r="3040" spans="1:11" x14ac:dyDescent="0.25">
      <c r="A3040">
        <v>54.250894470242201</v>
      </c>
      <c r="B3040">
        <v>128.97652217882001</v>
      </c>
      <c r="C3040">
        <v>2000</v>
      </c>
    </row>
    <row r="3041" spans="1:11" x14ac:dyDescent="0.25">
      <c r="A3041">
        <v>54.687910494691003</v>
      </c>
      <c r="B3041">
        <v>128.539506154371</v>
      </c>
      <c r="C3041">
        <v>2001</v>
      </c>
    </row>
    <row r="3042" spans="1:11" x14ac:dyDescent="0.25">
      <c r="A3042">
        <v>59.195929110805302</v>
      </c>
      <c r="B3042">
        <v>133.04752477048501</v>
      </c>
      <c r="C3042">
        <v>2001</v>
      </c>
    </row>
    <row r="3043" spans="1:11" x14ac:dyDescent="0.25">
      <c r="A3043">
        <v>76.1484043403199</v>
      </c>
      <c r="B3043">
        <v>150</v>
      </c>
      <c r="C3043">
        <v>2001</v>
      </c>
    </row>
    <row r="3044" spans="1:11" x14ac:dyDescent="0.25">
      <c r="A3044">
        <v>75.274372291422196</v>
      </c>
      <c r="B3044">
        <v>150</v>
      </c>
      <c r="C3044">
        <v>2000</v>
      </c>
    </row>
    <row r="3045" spans="1:11" x14ac:dyDescent="0.25">
      <c r="A3045" t="s">
        <v>87</v>
      </c>
    </row>
    <row r="3046" spans="1:11" x14ac:dyDescent="0.25">
      <c r="A3046">
        <v>501</v>
      </c>
      <c r="B3046">
        <v>0</v>
      </c>
      <c r="C3046">
        <v>24.500809082921201</v>
      </c>
      <c r="D3046">
        <v>5.1655052714955501</v>
      </c>
      <c r="E3046">
        <v>8</v>
      </c>
      <c r="F3046">
        <v>1.01722196789785</v>
      </c>
      <c r="G3046" t="s">
        <v>85</v>
      </c>
      <c r="H3046" t="s">
        <v>88</v>
      </c>
      <c r="I3046">
        <v>0</v>
      </c>
      <c r="J3046">
        <v>766</v>
      </c>
      <c r="K3046">
        <v>0</v>
      </c>
    </row>
    <row r="3047" spans="1:11" x14ac:dyDescent="0.25">
      <c r="A3047" t="s">
        <v>86</v>
      </c>
    </row>
    <row r="3048" spans="1:11" x14ac:dyDescent="0.25">
      <c r="A3048">
        <v>17.110891284157201</v>
      </c>
      <c r="B3048">
        <v>99.841466864638406</v>
      </c>
      <c r="C3048">
        <v>2000</v>
      </c>
    </row>
    <row r="3049" spans="1:11" x14ac:dyDescent="0.25">
      <c r="A3049">
        <v>0</v>
      </c>
      <c r="B3049">
        <v>82.730575580481101</v>
      </c>
      <c r="C3049">
        <v>2000</v>
      </c>
    </row>
    <row r="3050" spans="1:11" x14ac:dyDescent="0.25">
      <c r="A3050">
        <v>0</v>
      </c>
      <c r="B3050">
        <v>81.856543531583497</v>
      </c>
      <c r="C3050">
        <v>2001</v>
      </c>
    </row>
    <row r="3051" spans="1:11" x14ac:dyDescent="0.25">
      <c r="A3051">
        <v>17.538485210023801</v>
      </c>
      <c r="B3051">
        <v>99.395028741607305</v>
      </c>
      <c r="C3051">
        <v>2001</v>
      </c>
    </row>
    <row r="3052" spans="1:11" x14ac:dyDescent="0.25">
      <c r="A3052">
        <v>17.924948456192102</v>
      </c>
      <c r="B3052">
        <v>99.781491987775595</v>
      </c>
      <c r="C3052">
        <v>2001</v>
      </c>
    </row>
    <row r="3053" spans="1:11" x14ac:dyDescent="0.25">
      <c r="A3053">
        <v>21.195760065044301</v>
      </c>
      <c r="B3053">
        <v>103.05230359662799</v>
      </c>
      <c r="C3053">
        <v>2001</v>
      </c>
    </row>
    <row r="3054" spans="1:11" x14ac:dyDescent="0.25">
      <c r="A3054">
        <v>20.758744040595499</v>
      </c>
      <c r="B3054">
        <v>103.489319621077</v>
      </c>
      <c r="C3054">
        <v>2000</v>
      </c>
    </row>
    <row r="3055" spans="1:11" x14ac:dyDescent="0.25">
      <c r="A3055">
        <v>17.4879324317433</v>
      </c>
      <c r="B3055">
        <v>100.21850801222401</v>
      </c>
      <c r="C3055">
        <v>2000</v>
      </c>
    </row>
    <row r="3056" spans="1:11" x14ac:dyDescent="0.25">
      <c r="A3056" t="s">
        <v>87</v>
      </c>
    </row>
    <row r="3057" spans="1:11" x14ac:dyDescent="0.25">
      <c r="A3057">
        <v>431</v>
      </c>
      <c r="B3057">
        <v>0</v>
      </c>
      <c r="C3057">
        <v>20.2277446596507</v>
      </c>
      <c r="D3057">
        <v>9.3415737575021804</v>
      </c>
      <c r="E3057">
        <v>8</v>
      </c>
      <c r="F3057">
        <v>1.01722196789785</v>
      </c>
      <c r="G3057" t="s">
        <v>88</v>
      </c>
      <c r="H3057" t="s">
        <v>88</v>
      </c>
      <c r="I3057">
        <v>895</v>
      </c>
      <c r="J3057">
        <v>427</v>
      </c>
      <c r="K3057">
        <v>0</v>
      </c>
    </row>
    <row r="3058" spans="1:11" x14ac:dyDescent="0.25">
      <c r="A3058" t="s">
        <v>86</v>
      </c>
    </row>
    <row r="3059" spans="1:11" x14ac:dyDescent="0.25">
      <c r="A3059">
        <v>105.19697278375099</v>
      </c>
      <c r="B3059">
        <v>25.014220554383801</v>
      </c>
      <c r="C3059">
        <v>2000</v>
      </c>
    </row>
    <row r="3060" spans="1:11" x14ac:dyDescent="0.25">
      <c r="A3060">
        <v>99.781491987775595</v>
      </c>
      <c r="B3060">
        <v>19.5987397584082</v>
      </c>
      <c r="C3060">
        <v>2000</v>
      </c>
    </row>
    <row r="3061" spans="1:11" x14ac:dyDescent="0.25">
      <c r="A3061">
        <v>90.893797366802104</v>
      </c>
      <c r="B3061">
        <v>10.7110451374348</v>
      </c>
      <c r="C3061">
        <v>2000</v>
      </c>
    </row>
    <row r="3062" spans="1:11" x14ac:dyDescent="0.25">
      <c r="A3062">
        <v>91.330813391250899</v>
      </c>
      <c r="B3062">
        <v>10.2740291129859</v>
      </c>
      <c r="C3062">
        <v>2001</v>
      </c>
    </row>
    <row r="3063" spans="1:11" x14ac:dyDescent="0.25">
      <c r="A3063">
        <v>100.21850801222401</v>
      </c>
      <c r="B3063">
        <v>19.161723733959398</v>
      </c>
      <c r="C3063">
        <v>2001</v>
      </c>
    </row>
    <row r="3064" spans="1:11" x14ac:dyDescent="0.25">
      <c r="A3064">
        <v>105.6339888082</v>
      </c>
      <c r="B3064">
        <v>24.5772045299349</v>
      </c>
      <c r="C3064">
        <v>2001</v>
      </c>
    </row>
    <row r="3065" spans="1:11" x14ac:dyDescent="0.25">
      <c r="A3065">
        <v>112.239478959084</v>
      </c>
      <c r="B3065">
        <v>31.182694680819001</v>
      </c>
      <c r="C3065">
        <v>2001</v>
      </c>
    </row>
    <row r="3066" spans="1:11" x14ac:dyDescent="0.25">
      <c r="A3066">
        <v>111.802462934635</v>
      </c>
      <c r="B3066">
        <v>31.619710705267799</v>
      </c>
      <c r="C3066">
        <v>2000</v>
      </c>
    </row>
    <row r="3067" spans="1:11" x14ac:dyDescent="0.25">
      <c r="A3067" t="s">
        <v>87</v>
      </c>
    </row>
    <row r="3068" spans="1:11" x14ac:dyDescent="0.25">
      <c r="A3068">
        <v>999</v>
      </c>
      <c r="B3068">
        <v>0</v>
      </c>
      <c r="C3068">
        <v>19.6745188367391</v>
      </c>
      <c r="D3068">
        <v>9.8947995804138298</v>
      </c>
      <c r="E3068">
        <v>8</v>
      </c>
      <c r="F3068">
        <v>1.01722196789785</v>
      </c>
      <c r="G3068" t="s">
        <v>88</v>
      </c>
      <c r="H3068" t="s">
        <v>88</v>
      </c>
      <c r="I3068">
        <v>895</v>
      </c>
      <c r="J3068">
        <v>427</v>
      </c>
      <c r="K3068">
        <v>0.111764262772312</v>
      </c>
    </row>
    <row r="3069" spans="1:11" x14ac:dyDescent="0.25">
      <c r="A3069" t="s">
        <v>86</v>
      </c>
    </row>
    <row r="3070" spans="1:11" x14ac:dyDescent="0.25">
      <c r="A3070">
        <v>104.497949354112</v>
      </c>
      <c r="B3070">
        <v>24.930864522205901</v>
      </c>
      <c r="C3070">
        <v>2000</v>
      </c>
    </row>
    <row r="3071" spans="1:11" x14ac:dyDescent="0.25">
      <c r="A3071">
        <v>100.21850801222401</v>
      </c>
      <c r="B3071">
        <v>20.651423180318002</v>
      </c>
      <c r="C3071">
        <v>2000</v>
      </c>
    </row>
    <row r="3072" spans="1:11" x14ac:dyDescent="0.25">
      <c r="A3072">
        <v>90.585963668071699</v>
      </c>
      <c r="B3072">
        <v>11.0188788361652</v>
      </c>
      <c r="C3072">
        <v>2000</v>
      </c>
    </row>
    <row r="3073" spans="1:11" x14ac:dyDescent="0.25">
      <c r="A3073">
        <v>90.148947643622805</v>
      </c>
      <c r="B3073">
        <v>11.4558948606141</v>
      </c>
      <c r="C3073">
        <v>2001</v>
      </c>
    </row>
    <row r="3074" spans="1:11" x14ac:dyDescent="0.25">
      <c r="A3074">
        <v>99.781491987775595</v>
      </c>
      <c r="B3074">
        <v>21.0884392047668</v>
      </c>
      <c r="C3074">
        <v>2001</v>
      </c>
    </row>
    <row r="3075" spans="1:11" x14ac:dyDescent="0.25">
      <c r="A3075">
        <v>104.060933329664</v>
      </c>
      <c r="B3075">
        <v>25.3678805466547</v>
      </c>
      <c r="C3075">
        <v>2001</v>
      </c>
    </row>
    <row r="3076" spans="1:11" x14ac:dyDescent="0.25">
      <c r="A3076">
        <v>111.057613211456</v>
      </c>
      <c r="B3076">
        <v>32.364560428447099</v>
      </c>
      <c r="C3076">
        <v>2001</v>
      </c>
    </row>
    <row r="3077" spans="1:11" x14ac:dyDescent="0.25">
      <c r="A3077">
        <v>111.49462923590499</v>
      </c>
      <c r="B3077">
        <v>31.927544403998301</v>
      </c>
      <c r="C3077">
        <v>2000</v>
      </c>
    </row>
    <row r="3078" spans="1:11" x14ac:dyDescent="0.25">
      <c r="A3078" t="s">
        <v>87</v>
      </c>
    </row>
    <row r="3079" spans="1:11" x14ac:dyDescent="0.25">
      <c r="A3079">
        <v>435</v>
      </c>
      <c r="B3079">
        <v>0</v>
      </c>
      <c r="C3079">
        <v>5.7168228152235203</v>
      </c>
      <c r="D3079">
        <v>23.631614000058999</v>
      </c>
      <c r="E3079">
        <v>6</v>
      </c>
      <c r="F3079">
        <v>1.01722196789785</v>
      </c>
      <c r="G3079" t="s">
        <v>88</v>
      </c>
      <c r="H3079" t="s">
        <v>85</v>
      </c>
      <c r="I3079">
        <v>429</v>
      </c>
      <c r="J3079">
        <v>0</v>
      </c>
      <c r="K3079">
        <v>0</v>
      </c>
    </row>
    <row r="3080" spans="1:11" x14ac:dyDescent="0.25">
      <c r="A3080" t="s">
        <v>86</v>
      </c>
    </row>
    <row r="3081" spans="1:11" x14ac:dyDescent="0.25">
      <c r="A3081">
        <v>133.465870022871</v>
      </c>
      <c r="B3081">
        <v>18.671280289736099</v>
      </c>
      <c r="C3081">
        <v>2000</v>
      </c>
    </row>
    <row r="3082" spans="1:11" x14ac:dyDescent="0.25">
      <c r="A3082">
        <v>129.46602932291299</v>
      </c>
      <c r="B3082">
        <v>14.671439589778601</v>
      </c>
      <c r="C3082">
        <v>2000</v>
      </c>
    </row>
    <row r="3083" spans="1:11" x14ac:dyDescent="0.25">
      <c r="A3083">
        <v>129.02901329846401</v>
      </c>
      <c r="B3083">
        <v>15.108455614227401</v>
      </c>
      <c r="C3083">
        <v>2001</v>
      </c>
    </row>
    <row r="3084" spans="1:11" x14ac:dyDescent="0.25">
      <c r="A3084">
        <v>133.11398095748001</v>
      </c>
      <c r="B3084">
        <v>19.1934232732429</v>
      </c>
      <c r="C3084">
        <v>2001</v>
      </c>
    </row>
    <row r="3085" spans="1:11" x14ac:dyDescent="0.25">
      <c r="A3085">
        <v>150</v>
      </c>
      <c r="B3085">
        <v>36.079442315763004</v>
      </c>
      <c r="C3085">
        <v>2001</v>
      </c>
    </row>
    <row r="3086" spans="1:11" x14ac:dyDescent="0.25">
      <c r="A3086">
        <v>150</v>
      </c>
      <c r="B3086">
        <v>35.2054102668653</v>
      </c>
      <c r="C3086">
        <v>2000</v>
      </c>
    </row>
    <row r="3087" spans="1:11" x14ac:dyDescent="0.25">
      <c r="A3087" t="s">
        <v>87</v>
      </c>
    </row>
    <row r="3088" spans="1:11" x14ac:dyDescent="0.25">
      <c r="A3088">
        <v>359</v>
      </c>
      <c r="B3088">
        <v>0</v>
      </c>
      <c r="C3088">
        <v>26.828262855694899</v>
      </c>
      <c r="D3088">
        <v>2.5032114259971401</v>
      </c>
      <c r="E3088">
        <v>6</v>
      </c>
      <c r="F3088">
        <v>1.01722196789785</v>
      </c>
      <c r="G3088" t="s">
        <v>88</v>
      </c>
      <c r="H3088" t="s">
        <v>88</v>
      </c>
      <c r="I3088">
        <v>583</v>
      </c>
      <c r="J3088">
        <v>342</v>
      </c>
      <c r="K3088">
        <v>0</v>
      </c>
    </row>
    <row r="3089" spans="1:11" x14ac:dyDescent="0.25">
      <c r="A3089" t="s">
        <v>86</v>
      </c>
    </row>
    <row r="3090" spans="1:11" x14ac:dyDescent="0.25">
      <c r="A3090">
        <v>71.246918851620194</v>
      </c>
      <c r="B3090">
        <v>137.035382005407</v>
      </c>
      <c r="C3090">
        <v>2000</v>
      </c>
    </row>
    <row r="3091" spans="1:11" x14ac:dyDescent="0.25">
      <c r="A3091">
        <v>52.276472258903098</v>
      </c>
      <c r="B3091">
        <v>118.06493541269001</v>
      </c>
      <c r="C3091">
        <v>2000</v>
      </c>
    </row>
    <row r="3092" spans="1:11" x14ac:dyDescent="0.25">
      <c r="A3092">
        <v>51.839456234454303</v>
      </c>
      <c r="B3092">
        <v>118.501951437139</v>
      </c>
      <c r="C3092">
        <v>2001</v>
      </c>
    </row>
    <row r="3093" spans="1:11" x14ac:dyDescent="0.25">
      <c r="A3093">
        <v>70.809902827171399</v>
      </c>
      <c r="B3093">
        <v>137.47239802985601</v>
      </c>
      <c r="C3093">
        <v>2001</v>
      </c>
    </row>
    <row r="3094" spans="1:11" x14ac:dyDescent="0.25">
      <c r="A3094">
        <v>72.579940601237595</v>
      </c>
      <c r="B3094">
        <v>139.24243580392201</v>
      </c>
      <c r="C3094">
        <v>2001</v>
      </c>
    </row>
    <row r="3095" spans="1:11" x14ac:dyDescent="0.25">
      <c r="A3095">
        <v>73.016956625686404</v>
      </c>
      <c r="B3095">
        <v>138.805419779473</v>
      </c>
      <c r="C3095">
        <v>2000</v>
      </c>
    </row>
    <row r="3096" spans="1:11" x14ac:dyDescent="0.25">
      <c r="A3096" t="s">
        <v>87</v>
      </c>
    </row>
    <row r="3097" spans="1:11" x14ac:dyDescent="0.25">
      <c r="A3097">
        <v>788</v>
      </c>
      <c r="B3097">
        <v>0</v>
      </c>
      <c r="C3097">
        <v>18.290968024837799</v>
      </c>
      <c r="D3097">
        <v>10.9542294661308</v>
      </c>
      <c r="E3097">
        <v>8</v>
      </c>
      <c r="F3097">
        <v>1.01722196789785</v>
      </c>
      <c r="G3097" t="s">
        <v>88</v>
      </c>
      <c r="H3097" t="s">
        <v>88</v>
      </c>
      <c r="I3097">
        <v>593</v>
      </c>
      <c r="J3097">
        <v>331</v>
      </c>
      <c r="K3097">
        <v>0.102156287543144</v>
      </c>
    </row>
    <row r="3098" spans="1:11" x14ac:dyDescent="0.25">
      <c r="A3098" t="s">
        <v>86</v>
      </c>
    </row>
    <row r="3099" spans="1:11" x14ac:dyDescent="0.25">
      <c r="A3099">
        <v>42.607175617291396</v>
      </c>
      <c r="B3099">
        <v>131.56372674208799</v>
      </c>
      <c r="C3099">
        <v>2000</v>
      </c>
    </row>
    <row r="3100" spans="1:11" x14ac:dyDescent="0.25">
      <c r="A3100">
        <v>29.673508092462299</v>
      </c>
      <c r="B3100">
        <v>118.63005921725799</v>
      </c>
      <c r="C3100">
        <v>2000</v>
      </c>
    </row>
    <row r="3101" spans="1:11" x14ac:dyDescent="0.25">
      <c r="A3101">
        <v>29.236492068013401</v>
      </c>
      <c r="B3101">
        <v>119.067075241707</v>
      </c>
      <c r="C3101">
        <v>2001</v>
      </c>
    </row>
    <row r="3102" spans="1:11" x14ac:dyDescent="0.25">
      <c r="A3102">
        <v>42.170159592842602</v>
      </c>
      <c r="B3102">
        <v>132.00074276653601</v>
      </c>
      <c r="C3102">
        <v>2001</v>
      </c>
    </row>
    <row r="3103" spans="1:11" x14ac:dyDescent="0.25">
      <c r="A3103">
        <v>49.781491987775603</v>
      </c>
      <c r="B3103">
        <v>139.61207516146899</v>
      </c>
      <c r="C3103">
        <v>2001</v>
      </c>
    </row>
    <row r="3104" spans="1:11" x14ac:dyDescent="0.25">
      <c r="A3104">
        <v>49.915969531017097</v>
      </c>
      <c r="B3104">
        <v>139.74655270471101</v>
      </c>
      <c r="C3104">
        <v>2001</v>
      </c>
    </row>
    <row r="3105" spans="1:11" x14ac:dyDescent="0.25">
      <c r="A3105">
        <v>50.352985555465999</v>
      </c>
      <c r="B3105">
        <v>139.309536680262</v>
      </c>
      <c r="C3105">
        <v>2000</v>
      </c>
    </row>
    <row r="3106" spans="1:11" x14ac:dyDescent="0.25">
      <c r="A3106">
        <v>50.218508012224397</v>
      </c>
      <c r="B3106">
        <v>139.17505913702101</v>
      </c>
      <c r="C3106">
        <v>2000</v>
      </c>
    </row>
    <row r="3107" spans="1:11" x14ac:dyDescent="0.25">
      <c r="A3107" t="s">
        <v>87</v>
      </c>
    </row>
    <row r="3108" spans="1:11" x14ac:dyDescent="0.25">
      <c r="A3108">
        <v>355</v>
      </c>
      <c r="B3108">
        <v>0</v>
      </c>
      <c r="C3108">
        <v>13.7991784870103</v>
      </c>
      <c r="D3108">
        <v>15.439246628812</v>
      </c>
      <c r="E3108">
        <v>6</v>
      </c>
      <c r="F3108">
        <v>1.01722196789785</v>
      </c>
      <c r="G3108" t="s">
        <v>88</v>
      </c>
      <c r="H3108" t="s">
        <v>88</v>
      </c>
      <c r="I3108">
        <v>746</v>
      </c>
      <c r="J3108">
        <v>663</v>
      </c>
      <c r="K3108">
        <v>0</v>
      </c>
    </row>
    <row r="3109" spans="1:11" x14ac:dyDescent="0.25">
      <c r="A3109" t="s">
        <v>86</v>
      </c>
    </row>
    <row r="3110" spans="1:11" x14ac:dyDescent="0.25">
      <c r="A3110">
        <v>86.281556917024403</v>
      </c>
      <c r="B3110">
        <v>111.21009245710501</v>
      </c>
      <c r="C3110">
        <v>2000</v>
      </c>
    </row>
    <row r="3111" spans="1:11" x14ac:dyDescent="0.25">
      <c r="A3111">
        <v>76.524064234055899</v>
      </c>
      <c r="B3111">
        <v>101.452599774136</v>
      </c>
      <c r="C3111">
        <v>2000</v>
      </c>
    </row>
    <row r="3112" spans="1:11" x14ac:dyDescent="0.25">
      <c r="A3112">
        <v>76.961080258504694</v>
      </c>
      <c r="B3112">
        <v>101.015583749687</v>
      </c>
      <c r="C3112">
        <v>2001</v>
      </c>
    </row>
    <row r="3113" spans="1:11" x14ac:dyDescent="0.25">
      <c r="A3113">
        <v>86.718572941473198</v>
      </c>
      <c r="B3113">
        <v>110.773076432656</v>
      </c>
      <c r="C3113">
        <v>2001</v>
      </c>
    </row>
    <row r="3114" spans="1:11" x14ac:dyDescent="0.25">
      <c r="A3114">
        <v>97.635768929117702</v>
      </c>
      <c r="B3114">
        <v>121.6902724203</v>
      </c>
      <c r="C3114">
        <v>2001</v>
      </c>
    </row>
    <row r="3115" spans="1:11" x14ac:dyDescent="0.25">
      <c r="A3115">
        <v>97.198752904668893</v>
      </c>
      <c r="B3115">
        <v>122.127288444749</v>
      </c>
      <c r="C3115">
        <v>2000</v>
      </c>
    </row>
    <row r="3116" spans="1:11" x14ac:dyDescent="0.25">
      <c r="A3116" t="s">
        <v>87</v>
      </c>
    </row>
    <row r="3117" spans="1:11" x14ac:dyDescent="0.25">
      <c r="A3117">
        <v>582</v>
      </c>
      <c r="B3117">
        <v>0</v>
      </c>
      <c r="C3117">
        <v>14.682433868789101</v>
      </c>
      <c r="D3117">
        <v>14.380195038058501</v>
      </c>
      <c r="E3117">
        <v>6</v>
      </c>
      <c r="F3117">
        <v>1.01722196789785</v>
      </c>
      <c r="G3117" t="s">
        <v>88</v>
      </c>
      <c r="H3117" t="s">
        <v>85</v>
      </c>
      <c r="I3117">
        <v>811</v>
      </c>
      <c r="J3117">
        <v>0</v>
      </c>
      <c r="K3117">
        <v>0</v>
      </c>
    </row>
    <row r="3118" spans="1:11" x14ac:dyDescent="0.25">
      <c r="A3118" t="s">
        <v>86</v>
      </c>
    </row>
    <row r="3119" spans="1:11" x14ac:dyDescent="0.25">
      <c r="A3119">
        <v>33.460051542881303</v>
      </c>
      <c r="B3119">
        <v>139.93978438528001</v>
      </c>
      <c r="C3119">
        <v>2000</v>
      </c>
    </row>
    <row r="3120" spans="1:11" x14ac:dyDescent="0.25">
      <c r="A3120">
        <v>23.188393190685201</v>
      </c>
      <c r="B3120">
        <v>129.66812603308401</v>
      </c>
      <c r="C3120">
        <v>2000</v>
      </c>
    </row>
    <row r="3121" spans="1:11" x14ac:dyDescent="0.25">
      <c r="A3121">
        <v>23.625409215134098</v>
      </c>
      <c r="B3121">
        <v>129.231110008635</v>
      </c>
      <c r="C3121">
        <v>2001</v>
      </c>
    </row>
    <row r="3122" spans="1:11" x14ac:dyDescent="0.25">
      <c r="A3122">
        <v>34.1178479688257</v>
      </c>
      <c r="B3122">
        <v>139.723548762327</v>
      </c>
      <c r="C3122">
        <v>2001</v>
      </c>
    </row>
    <row r="3123" spans="1:11" x14ac:dyDescent="0.25">
      <c r="A3123">
        <v>44.394299206498602</v>
      </c>
      <c r="B3123">
        <v>150</v>
      </c>
      <c r="C3123">
        <v>2001</v>
      </c>
    </row>
    <row r="3124" spans="1:11" x14ac:dyDescent="0.25">
      <c r="A3124">
        <v>43.520267157600998</v>
      </c>
      <c r="B3124">
        <v>150</v>
      </c>
      <c r="C3124">
        <v>2000</v>
      </c>
    </row>
    <row r="3125" spans="1:11" x14ac:dyDescent="0.25">
      <c r="A3125" t="s">
        <v>87</v>
      </c>
    </row>
    <row r="3126" spans="1:11" x14ac:dyDescent="0.25">
      <c r="A3126">
        <v>913</v>
      </c>
      <c r="B3126">
        <v>0</v>
      </c>
      <c r="C3126">
        <v>12.777831455206099</v>
      </c>
      <c r="D3126">
        <v>16.168063863162502</v>
      </c>
      <c r="E3126">
        <v>8</v>
      </c>
      <c r="F3126">
        <v>1.01722196789785</v>
      </c>
      <c r="G3126" t="s">
        <v>85</v>
      </c>
      <c r="H3126" t="s">
        <v>88</v>
      </c>
      <c r="I3126">
        <v>0</v>
      </c>
      <c r="J3126">
        <v>415</v>
      </c>
      <c r="K3126">
        <v>0.105433648714889</v>
      </c>
    </row>
    <row r="3127" spans="1:11" x14ac:dyDescent="0.25">
      <c r="A3127" t="s">
        <v>86</v>
      </c>
    </row>
    <row r="3128" spans="1:11" x14ac:dyDescent="0.25">
      <c r="A3128">
        <v>106.964910827662</v>
      </c>
      <c r="B3128">
        <v>9.1461353610941298</v>
      </c>
      <c r="C3128">
        <v>2000</v>
      </c>
    </row>
    <row r="3129" spans="1:11" x14ac:dyDescent="0.25">
      <c r="A3129">
        <v>99.605165629996904</v>
      </c>
      <c r="B3129">
        <v>1.78639016342908</v>
      </c>
      <c r="C3129">
        <v>2000</v>
      </c>
    </row>
    <row r="3130" spans="1:11" x14ac:dyDescent="0.25">
      <c r="A3130">
        <v>97.8187754665678</v>
      </c>
      <c r="B3130">
        <v>0</v>
      </c>
      <c r="C3130">
        <v>2000</v>
      </c>
    </row>
    <row r="3131" spans="1:11" x14ac:dyDescent="0.25">
      <c r="A3131">
        <v>98.692807515465503</v>
      </c>
      <c r="B3131">
        <v>0</v>
      </c>
      <c r="C3131">
        <v>2001</v>
      </c>
    </row>
    <row r="3132" spans="1:11" x14ac:dyDescent="0.25">
      <c r="A3132">
        <v>100.394834370003</v>
      </c>
      <c r="B3132">
        <v>1.70202685453762</v>
      </c>
      <c r="C3132">
        <v>2001</v>
      </c>
    </row>
    <row r="3133" spans="1:11" x14ac:dyDescent="0.25">
      <c r="A3133">
        <v>107.617254696041</v>
      </c>
      <c r="B3133">
        <v>8.9244471805758803</v>
      </c>
      <c r="C3133">
        <v>2001</v>
      </c>
    </row>
    <row r="3134" spans="1:11" x14ac:dyDescent="0.25">
      <c r="A3134">
        <v>118.94213837037501</v>
      </c>
      <c r="B3134">
        <v>20.249330854909999</v>
      </c>
      <c r="C3134">
        <v>2001</v>
      </c>
    </row>
    <row r="3135" spans="1:11" x14ac:dyDescent="0.25">
      <c r="A3135">
        <v>118.50512234592701</v>
      </c>
      <c r="B3135">
        <v>20.686346879358801</v>
      </c>
      <c r="C3135">
        <v>2000</v>
      </c>
    </row>
    <row r="3136" spans="1:11" x14ac:dyDescent="0.25">
      <c r="A3136" t="s">
        <v>87</v>
      </c>
    </row>
    <row r="3137" spans="1:11" x14ac:dyDescent="0.25">
      <c r="A3137">
        <v>586</v>
      </c>
      <c r="B3137">
        <v>0</v>
      </c>
      <c r="C3137">
        <v>12.002725886038499</v>
      </c>
      <c r="D3137">
        <v>16.7354120336859</v>
      </c>
      <c r="E3137">
        <v>6</v>
      </c>
      <c r="F3137">
        <v>1.01722196789785</v>
      </c>
      <c r="G3137" t="s">
        <v>85</v>
      </c>
      <c r="H3137" t="s">
        <v>88</v>
      </c>
      <c r="I3137">
        <v>0</v>
      </c>
      <c r="J3137">
        <v>969</v>
      </c>
      <c r="K3137">
        <v>0</v>
      </c>
    </row>
    <row r="3138" spans="1:11" x14ac:dyDescent="0.25">
      <c r="A3138" t="s">
        <v>86</v>
      </c>
    </row>
    <row r="3139" spans="1:11" x14ac:dyDescent="0.25">
      <c r="A3139">
        <v>8.3959471509696204</v>
      </c>
      <c r="B3139">
        <v>109.99682419177201</v>
      </c>
      <c r="C3139">
        <v>2000</v>
      </c>
    </row>
    <row r="3140" spans="1:11" x14ac:dyDescent="0.25">
      <c r="A3140">
        <v>0</v>
      </c>
      <c r="B3140">
        <v>101.600877040802</v>
      </c>
      <c r="C3140">
        <v>2000</v>
      </c>
    </row>
    <row r="3141" spans="1:11" x14ac:dyDescent="0.25">
      <c r="A3141">
        <v>0</v>
      </c>
      <c r="B3141">
        <v>100.726844991905</v>
      </c>
      <c r="C3141">
        <v>2001</v>
      </c>
    </row>
    <row r="3142" spans="1:11" x14ac:dyDescent="0.25">
      <c r="A3142">
        <v>8.5784705825126704</v>
      </c>
      <c r="B3142">
        <v>109.30531557441699</v>
      </c>
      <c r="C3142">
        <v>2001</v>
      </c>
    </row>
    <row r="3143" spans="1:11" x14ac:dyDescent="0.25">
      <c r="A3143">
        <v>20.539440213935801</v>
      </c>
      <c r="B3143">
        <v>121.266285205841</v>
      </c>
      <c r="C3143">
        <v>2001</v>
      </c>
    </row>
    <row r="3144" spans="1:11" x14ac:dyDescent="0.25">
      <c r="A3144">
        <v>20.102424189486999</v>
      </c>
      <c r="B3144">
        <v>121.703301230289</v>
      </c>
      <c r="C3144">
        <v>2000</v>
      </c>
    </row>
    <row r="3145" spans="1:11" x14ac:dyDescent="0.25">
      <c r="A3145" t="s">
        <v>87</v>
      </c>
    </row>
    <row r="3146" spans="1:11" x14ac:dyDescent="0.25">
      <c r="A3146">
        <v>729</v>
      </c>
      <c r="B3146">
        <v>0</v>
      </c>
      <c r="C3146">
        <v>22.3024619652737</v>
      </c>
      <c r="D3146">
        <v>6.3904493295903499</v>
      </c>
      <c r="E3146">
        <v>6</v>
      </c>
      <c r="F3146">
        <v>1.01722196789785</v>
      </c>
      <c r="G3146" t="s">
        <v>88</v>
      </c>
      <c r="H3146" t="s">
        <v>85</v>
      </c>
      <c r="I3146">
        <v>969</v>
      </c>
      <c r="J3146">
        <v>0</v>
      </c>
      <c r="K3146">
        <v>0.101113411737407</v>
      </c>
    </row>
    <row r="3147" spans="1:11" x14ac:dyDescent="0.25">
      <c r="A3147" t="s">
        <v>86</v>
      </c>
    </row>
    <row r="3148" spans="1:11" x14ac:dyDescent="0.25">
      <c r="A3148">
        <v>43.955573069319499</v>
      </c>
      <c r="B3148">
        <v>145.52993577550501</v>
      </c>
      <c r="C3148">
        <v>2000</v>
      </c>
    </row>
    <row r="3149" spans="1:11" x14ac:dyDescent="0.25">
      <c r="A3149">
        <v>28.3551931574561</v>
      </c>
      <c r="B3149">
        <v>129.92955586364201</v>
      </c>
      <c r="C3149">
        <v>2000</v>
      </c>
    </row>
    <row r="3150" spans="1:11" x14ac:dyDescent="0.25">
      <c r="A3150">
        <v>28.792209181904902</v>
      </c>
      <c r="B3150">
        <v>129.492539839193</v>
      </c>
      <c r="C3150">
        <v>2001</v>
      </c>
    </row>
    <row r="3151" spans="1:11" x14ac:dyDescent="0.25">
      <c r="A3151">
        <v>44.732273455641703</v>
      </c>
      <c r="B3151">
        <v>145.43260411292999</v>
      </c>
      <c r="C3151">
        <v>2001</v>
      </c>
    </row>
    <row r="3152" spans="1:11" x14ac:dyDescent="0.25">
      <c r="A3152">
        <v>49.299669342711802</v>
      </c>
      <c r="B3152">
        <v>150</v>
      </c>
      <c r="C3152">
        <v>2001</v>
      </c>
    </row>
    <row r="3153" spans="1:11" x14ac:dyDescent="0.25">
      <c r="A3153">
        <v>48.425637293814098</v>
      </c>
      <c r="B3153">
        <v>150</v>
      </c>
      <c r="C3153">
        <v>2000</v>
      </c>
    </row>
    <row r="3154" spans="1:11" x14ac:dyDescent="0.25">
      <c r="A3154" t="s">
        <v>87</v>
      </c>
    </row>
    <row r="3155" spans="1:11" x14ac:dyDescent="0.25">
      <c r="A3155">
        <v>766</v>
      </c>
      <c r="B3155">
        <v>0</v>
      </c>
      <c r="C3155">
        <v>5.0634285613144403</v>
      </c>
      <c r="D3155">
        <v>23.520863383399401</v>
      </c>
      <c r="E3155">
        <v>6</v>
      </c>
      <c r="F3155">
        <v>1.01722196789785</v>
      </c>
      <c r="G3155" t="s">
        <v>88</v>
      </c>
      <c r="H3155" t="s">
        <v>88</v>
      </c>
      <c r="I3155">
        <v>501</v>
      </c>
      <c r="J3155">
        <v>348</v>
      </c>
      <c r="K3155">
        <v>0.101659477666818</v>
      </c>
    </row>
    <row r="3156" spans="1:11" x14ac:dyDescent="0.25">
      <c r="A3156" t="s">
        <v>86</v>
      </c>
    </row>
    <row r="3157" spans="1:11" x14ac:dyDescent="0.25">
      <c r="A3157">
        <v>23.954302627110799</v>
      </c>
      <c r="B3157">
        <v>107.454530378079</v>
      </c>
      <c r="C3157">
        <v>2000</v>
      </c>
    </row>
    <row r="3158" spans="1:11" x14ac:dyDescent="0.25">
      <c r="A3158">
        <v>20.3739179553517</v>
      </c>
      <c r="B3158">
        <v>103.87414570631999</v>
      </c>
      <c r="C3158">
        <v>2000</v>
      </c>
    </row>
    <row r="3159" spans="1:11" x14ac:dyDescent="0.25">
      <c r="A3159">
        <v>20.810933979800499</v>
      </c>
      <c r="B3159">
        <v>103.43712968187199</v>
      </c>
      <c r="C3159">
        <v>2001</v>
      </c>
    </row>
    <row r="3160" spans="1:11" x14ac:dyDescent="0.25">
      <c r="A3160">
        <v>24.391318651559601</v>
      </c>
      <c r="B3160">
        <v>107.017514353631</v>
      </c>
      <c r="C3160">
        <v>2001</v>
      </c>
    </row>
    <row r="3161" spans="1:11" x14ac:dyDescent="0.25">
      <c r="A3161">
        <v>41.023080649323703</v>
      </c>
      <c r="B3161">
        <v>123.649276351395</v>
      </c>
      <c r="C3161">
        <v>2001</v>
      </c>
    </row>
    <row r="3162" spans="1:11" x14ac:dyDescent="0.25">
      <c r="A3162">
        <v>40.586064624874901</v>
      </c>
      <c r="B3162">
        <v>124.086292375844</v>
      </c>
      <c r="C3162">
        <v>2000</v>
      </c>
    </row>
    <row r="3163" spans="1:11" x14ac:dyDescent="0.25">
      <c r="A3163" t="s">
        <v>87</v>
      </c>
    </row>
    <row r="3164" spans="1:11" x14ac:dyDescent="0.25">
      <c r="A3164">
        <v>745</v>
      </c>
      <c r="B3164">
        <v>0</v>
      </c>
      <c r="C3164">
        <v>16.066228248268601</v>
      </c>
      <c r="D3164">
        <v>12.502220550155</v>
      </c>
      <c r="E3164">
        <v>6</v>
      </c>
      <c r="F3164">
        <v>1.01722196789785</v>
      </c>
      <c r="G3164" t="s">
        <v>88</v>
      </c>
      <c r="H3164" t="s">
        <v>88</v>
      </c>
      <c r="I3164">
        <v>17</v>
      </c>
      <c r="J3164">
        <v>944</v>
      </c>
      <c r="K3164">
        <v>0.101399532687084</v>
      </c>
    </row>
    <row r="3165" spans="1:11" x14ac:dyDescent="0.25">
      <c r="A3165" t="s">
        <v>86</v>
      </c>
    </row>
    <row r="3166" spans="1:11" x14ac:dyDescent="0.25">
      <c r="A3166">
        <v>31.5576151081119</v>
      </c>
      <c r="B3166">
        <v>39.158401385027901</v>
      </c>
      <c r="C3166">
        <v>2000</v>
      </c>
    </row>
    <row r="3167" spans="1:11" x14ac:dyDescent="0.25">
      <c r="A3167">
        <v>20.1970761656703</v>
      </c>
      <c r="B3167">
        <v>27.7978624425863</v>
      </c>
      <c r="C3167">
        <v>2000</v>
      </c>
    </row>
    <row r="3168" spans="1:11" x14ac:dyDescent="0.25">
      <c r="A3168">
        <v>19.760060141221501</v>
      </c>
      <c r="B3168">
        <v>28.234878467035099</v>
      </c>
      <c r="C3168">
        <v>2001</v>
      </c>
    </row>
    <row r="3169" spans="1:11" x14ac:dyDescent="0.25">
      <c r="A3169">
        <v>31.120599083663102</v>
      </c>
      <c r="B3169">
        <v>39.595417409476703</v>
      </c>
      <c r="C3169">
        <v>2001</v>
      </c>
    </row>
    <row r="3170" spans="1:11" x14ac:dyDescent="0.25">
      <c r="A3170">
        <v>39.9610040145675</v>
      </c>
      <c r="B3170">
        <v>48.4358223403812</v>
      </c>
      <c r="C3170">
        <v>2001</v>
      </c>
    </row>
    <row r="3171" spans="1:11" x14ac:dyDescent="0.25">
      <c r="A3171">
        <v>40.398020039016302</v>
      </c>
      <c r="B3171">
        <v>47.998806315932299</v>
      </c>
      <c r="C3171">
        <v>2000</v>
      </c>
    </row>
    <row r="3172" spans="1:11" x14ac:dyDescent="0.25">
      <c r="A3172" t="s">
        <v>87</v>
      </c>
    </row>
    <row r="3173" spans="1:11" x14ac:dyDescent="0.25">
      <c r="A3173">
        <v>930</v>
      </c>
      <c r="B3173">
        <v>0</v>
      </c>
      <c r="C3173">
        <v>26.887191717178901</v>
      </c>
      <c r="D3173">
        <v>1.4783288154934799</v>
      </c>
      <c r="E3173">
        <v>8</v>
      </c>
      <c r="F3173">
        <v>1.01722196789785</v>
      </c>
      <c r="G3173" t="s">
        <v>88</v>
      </c>
      <c r="H3173" t="s">
        <v>88</v>
      </c>
      <c r="I3173">
        <v>857</v>
      </c>
      <c r="J3173">
        <v>829</v>
      </c>
      <c r="K3173">
        <v>0.105939460879158</v>
      </c>
    </row>
    <row r="3174" spans="1:11" x14ac:dyDescent="0.25">
      <c r="A3174" t="s">
        <v>86</v>
      </c>
    </row>
    <row r="3175" spans="1:11" x14ac:dyDescent="0.25">
      <c r="A3175">
        <v>102.96410183421</v>
      </c>
      <c r="B3175">
        <v>88.168810387681802</v>
      </c>
      <c r="C3175">
        <v>2000</v>
      </c>
    </row>
    <row r="3176" spans="1:11" x14ac:dyDescent="0.25">
      <c r="A3176">
        <v>99.781491987775595</v>
      </c>
      <c r="B3176">
        <v>84.986200541247001</v>
      </c>
      <c r="C3176">
        <v>2000</v>
      </c>
    </row>
    <row r="3177" spans="1:11" x14ac:dyDescent="0.25">
      <c r="A3177">
        <v>83.951986243930406</v>
      </c>
      <c r="B3177">
        <v>69.156694797401798</v>
      </c>
      <c r="C3177">
        <v>2000</v>
      </c>
    </row>
    <row r="3178" spans="1:11" x14ac:dyDescent="0.25">
      <c r="A3178">
        <v>84.389002268379201</v>
      </c>
      <c r="B3178">
        <v>68.719678772953003</v>
      </c>
      <c r="C3178">
        <v>2001</v>
      </c>
    </row>
    <row r="3179" spans="1:11" x14ac:dyDescent="0.25">
      <c r="A3179">
        <v>100.21850801222401</v>
      </c>
      <c r="B3179">
        <v>84.549184516798107</v>
      </c>
      <c r="C3179">
        <v>2001</v>
      </c>
    </row>
    <row r="3180" spans="1:11" x14ac:dyDescent="0.25">
      <c r="A3180">
        <v>103.40111785865901</v>
      </c>
      <c r="B3180">
        <v>87.731794363233007</v>
      </c>
      <c r="C3180">
        <v>2001</v>
      </c>
    </row>
    <row r="3181" spans="1:11" x14ac:dyDescent="0.25">
      <c r="A3181">
        <v>104.446454188918</v>
      </c>
      <c r="B3181">
        <v>88.777130693491898</v>
      </c>
      <c r="C3181">
        <v>2001</v>
      </c>
    </row>
    <row r="3182" spans="1:11" x14ac:dyDescent="0.25">
      <c r="A3182">
        <v>104.009438164469</v>
      </c>
      <c r="B3182">
        <v>89.214146717940693</v>
      </c>
      <c r="C3182">
        <v>2000</v>
      </c>
    </row>
    <row r="3183" spans="1:11" x14ac:dyDescent="0.25">
      <c r="A3183" t="s">
        <v>87</v>
      </c>
    </row>
    <row r="3184" spans="1:11" x14ac:dyDescent="0.25">
      <c r="A3184">
        <v>877</v>
      </c>
      <c r="B3184">
        <v>0</v>
      </c>
      <c r="C3184">
        <v>10.3268601749824</v>
      </c>
      <c r="D3184">
        <v>17.954201415449599</v>
      </c>
      <c r="E3184">
        <v>6</v>
      </c>
      <c r="F3184">
        <v>1.01722196789785</v>
      </c>
      <c r="G3184" t="s">
        <v>85</v>
      </c>
      <c r="H3184" t="s">
        <v>88</v>
      </c>
      <c r="I3184">
        <v>0</v>
      </c>
      <c r="J3184">
        <v>17</v>
      </c>
      <c r="K3184">
        <v>0.104333136997122</v>
      </c>
    </row>
    <row r="3185" spans="1:11" x14ac:dyDescent="0.25">
      <c r="A3185" t="s">
        <v>86</v>
      </c>
    </row>
    <row r="3186" spans="1:11" x14ac:dyDescent="0.25">
      <c r="A3186">
        <v>7.3819812946835599</v>
      </c>
      <c r="B3186">
        <v>14.944443018993599</v>
      </c>
      <c r="C3186">
        <v>2000</v>
      </c>
    </row>
    <row r="3187" spans="1:11" x14ac:dyDescent="0.25">
      <c r="A3187">
        <v>0</v>
      </c>
      <c r="B3187">
        <v>7.5624617243100296</v>
      </c>
      <c r="C3187">
        <v>2000</v>
      </c>
    </row>
    <row r="3188" spans="1:11" x14ac:dyDescent="0.25">
      <c r="A3188">
        <v>0</v>
      </c>
      <c r="B3188">
        <v>8.4364937732076708</v>
      </c>
      <c r="C3188">
        <v>2001</v>
      </c>
    </row>
    <row r="3189" spans="1:11" x14ac:dyDescent="0.25">
      <c r="A3189">
        <v>7.2224044215071803</v>
      </c>
      <c r="B3189">
        <v>15.658898194714901</v>
      </c>
      <c r="C3189">
        <v>2001</v>
      </c>
    </row>
    <row r="3190" spans="1:11" x14ac:dyDescent="0.25">
      <c r="A3190">
        <v>19.779222417524501</v>
      </c>
      <c r="B3190">
        <v>28.215716190732099</v>
      </c>
      <c r="C3190">
        <v>2001</v>
      </c>
    </row>
    <row r="3191" spans="1:11" x14ac:dyDescent="0.25">
      <c r="A3191">
        <v>20.216238441973299</v>
      </c>
      <c r="B3191">
        <v>27.778700166283301</v>
      </c>
      <c r="C3191">
        <v>2000</v>
      </c>
    </row>
    <row r="3192" spans="1:11" x14ac:dyDescent="0.25">
      <c r="A3192" t="s">
        <v>87</v>
      </c>
    </row>
    <row r="3193" spans="1:11" x14ac:dyDescent="0.25">
      <c r="A3193">
        <v>739</v>
      </c>
      <c r="B3193">
        <v>0</v>
      </c>
      <c r="C3193">
        <v>16.5192417027035</v>
      </c>
      <c r="D3193">
        <v>11.7047239263982</v>
      </c>
      <c r="E3193">
        <v>8</v>
      </c>
      <c r="F3193">
        <v>1.01722196789785</v>
      </c>
      <c r="G3193" t="s">
        <v>88</v>
      </c>
      <c r="H3193" t="s">
        <v>85</v>
      </c>
      <c r="I3193">
        <v>880</v>
      </c>
      <c r="J3193">
        <v>0</v>
      </c>
      <c r="K3193">
        <v>0.101113411737407</v>
      </c>
    </row>
    <row r="3194" spans="1:11" x14ac:dyDescent="0.25">
      <c r="A3194" t="s">
        <v>86</v>
      </c>
    </row>
    <row r="3195" spans="1:11" x14ac:dyDescent="0.25">
      <c r="A3195">
        <v>141.601488684977</v>
      </c>
      <c r="B3195">
        <v>56.859474868831803</v>
      </c>
      <c r="C3195">
        <v>2000</v>
      </c>
    </row>
    <row r="3196" spans="1:11" x14ac:dyDescent="0.25">
      <c r="A3196">
        <v>134.960521828369</v>
      </c>
      <c r="B3196">
        <v>50.218508012224397</v>
      </c>
      <c r="C3196">
        <v>2000</v>
      </c>
    </row>
    <row r="3197" spans="1:11" x14ac:dyDescent="0.25">
      <c r="A3197">
        <v>129.82413449946199</v>
      </c>
      <c r="B3197">
        <v>45.082120683316901</v>
      </c>
      <c r="C3197">
        <v>2000</v>
      </c>
    </row>
    <row r="3198" spans="1:11" x14ac:dyDescent="0.25">
      <c r="A3198">
        <v>130.261150523911</v>
      </c>
      <c r="B3198">
        <v>44.6451046588681</v>
      </c>
      <c r="C3198">
        <v>2001</v>
      </c>
    </row>
    <row r="3199" spans="1:11" x14ac:dyDescent="0.25">
      <c r="A3199">
        <v>135.397537852818</v>
      </c>
      <c r="B3199">
        <v>49.781491987775603</v>
      </c>
      <c r="C3199">
        <v>2001</v>
      </c>
    </row>
    <row r="3200" spans="1:11" x14ac:dyDescent="0.25">
      <c r="A3200">
        <v>141.84553199447799</v>
      </c>
      <c r="B3200">
        <v>56.2294861294356</v>
      </c>
      <c r="C3200">
        <v>2001</v>
      </c>
    </row>
    <row r="3201" spans="1:11" x14ac:dyDescent="0.25">
      <c r="A3201">
        <v>150</v>
      </c>
      <c r="B3201">
        <v>64.383954134957406</v>
      </c>
      <c r="C3201">
        <v>2001</v>
      </c>
    </row>
    <row r="3202" spans="1:11" x14ac:dyDescent="0.25">
      <c r="A3202">
        <v>150</v>
      </c>
      <c r="B3202">
        <v>65.257986183855095</v>
      </c>
      <c r="C3202">
        <v>2000</v>
      </c>
    </row>
    <row r="3203" spans="1:11" x14ac:dyDescent="0.25">
      <c r="A3203" t="s">
        <v>87</v>
      </c>
    </row>
    <row r="3204" spans="1:11" x14ac:dyDescent="0.25">
      <c r="A3204">
        <v>24</v>
      </c>
      <c r="B3204">
        <v>0</v>
      </c>
      <c r="C3204">
        <v>14.423982880722001</v>
      </c>
      <c r="D3204">
        <v>13.6854963025225</v>
      </c>
      <c r="E3204">
        <v>6</v>
      </c>
      <c r="F3204">
        <v>1.01722196789785</v>
      </c>
      <c r="G3204" t="s">
        <v>85</v>
      </c>
      <c r="H3204" t="s">
        <v>88</v>
      </c>
      <c r="I3204">
        <v>0</v>
      </c>
      <c r="J3204">
        <v>865</v>
      </c>
      <c r="K3204">
        <v>0</v>
      </c>
    </row>
    <row r="3205" spans="1:11" x14ac:dyDescent="0.25">
      <c r="A3205" t="s">
        <v>86</v>
      </c>
    </row>
    <row r="3206" spans="1:11" x14ac:dyDescent="0.25">
      <c r="A3206">
        <v>17.358420003942499</v>
      </c>
      <c r="B3206">
        <v>10.311420412043301</v>
      </c>
      <c r="C3206">
        <v>2000</v>
      </c>
    </row>
    <row r="3207" spans="1:11" x14ac:dyDescent="0.25">
      <c r="A3207">
        <v>7.0469995918991897</v>
      </c>
      <c r="B3207">
        <v>0</v>
      </c>
      <c r="C3207">
        <v>2000</v>
      </c>
    </row>
    <row r="3208" spans="1:11" x14ac:dyDescent="0.25">
      <c r="A3208">
        <v>7.9210316407968397</v>
      </c>
      <c r="B3208">
        <v>0</v>
      </c>
      <c r="C3208">
        <v>2001</v>
      </c>
    </row>
    <row r="3209" spans="1:11" x14ac:dyDescent="0.25">
      <c r="A3209">
        <v>18.008203442107899</v>
      </c>
      <c r="B3209">
        <v>10.087171801310999</v>
      </c>
      <c r="C3209">
        <v>2001</v>
      </c>
    </row>
    <row r="3210" spans="1:11" x14ac:dyDescent="0.25">
      <c r="A3210">
        <v>27.5789269746667</v>
      </c>
      <c r="B3210">
        <v>19.657895333869899</v>
      </c>
      <c r="C3210">
        <v>2001</v>
      </c>
    </row>
    <row r="3211" spans="1:11" x14ac:dyDescent="0.25">
      <c r="A3211">
        <v>27.141910950217898</v>
      </c>
      <c r="B3211">
        <v>20.094911358318701</v>
      </c>
      <c r="C3211">
        <v>2000</v>
      </c>
    </row>
    <row r="3212" spans="1:11" x14ac:dyDescent="0.25">
      <c r="A3212" t="s">
        <v>87</v>
      </c>
    </row>
    <row r="3213" spans="1:11" x14ac:dyDescent="0.25">
      <c r="A3213">
        <v>805</v>
      </c>
      <c r="B3213">
        <v>0</v>
      </c>
      <c r="C3213">
        <v>9.9237686541640198</v>
      </c>
      <c r="D3213">
        <v>18.1800647138998</v>
      </c>
      <c r="E3213">
        <v>8</v>
      </c>
      <c r="F3213">
        <v>1.01722196789785</v>
      </c>
      <c r="G3213" t="s">
        <v>88</v>
      </c>
      <c r="H3213" t="s">
        <v>88</v>
      </c>
      <c r="I3213">
        <v>598</v>
      </c>
      <c r="J3213">
        <v>322</v>
      </c>
      <c r="K3213">
        <v>0.10263209558717</v>
      </c>
    </row>
    <row r="3214" spans="1:11" x14ac:dyDescent="0.25">
      <c r="A3214" t="s">
        <v>86</v>
      </c>
    </row>
    <row r="3215" spans="1:11" x14ac:dyDescent="0.25">
      <c r="A3215">
        <v>47.726447374902698</v>
      </c>
      <c r="B3215">
        <v>127.89171403780701</v>
      </c>
      <c r="C3215">
        <v>2000</v>
      </c>
    </row>
    <row r="3216" spans="1:11" x14ac:dyDescent="0.25">
      <c r="A3216">
        <v>40.709283264616801</v>
      </c>
      <c r="B3216">
        <v>120.874549927521</v>
      </c>
      <c r="C3216">
        <v>2000</v>
      </c>
    </row>
    <row r="3217" spans="1:11" x14ac:dyDescent="0.25">
      <c r="A3217">
        <v>41.146299289065603</v>
      </c>
      <c r="B3217">
        <v>120.43753390307199</v>
      </c>
      <c r="C3217">
        <v>2001</v>
      </c>
    </row>
    <row r="3218" spans="1:11" x14ac:dyDescent="0.25">
      <c r="A3218">
        <v>48.1634633993515</v>
      </c>
      <c r="B3218">
        <v>127.454698013358</v>
      </c>
      <c r="C3218">
        <v>2001</v>
      </c>
    </row>
    <row r="3219" spans="1:11" x14ac:dyDescent="0.25">
      <c r="A3219">
        <v>50.218508012224397</v>
      </c>
      <c r="B3219">
        <v>129.509742626231</v>
      </c>
      <c r="C3219">
        <v>2001</v>
      </c>
    </row>
    <row r="3220" spans="1:11" x14ac:dyDescent="0.25">
      <c r="A3220">
        <v>61.018710440960298</v>
      </c>
      <c r="B3220">
        <v>140.30994505496699</v>
      </c>
      <c r="C3220">
        <v>2001</v>
      </c>
    </row>
    <row r="3221" spans="1:11" x14ac:dyDescent="0.25">
      <c r="A3221">
        <v>60.581694416511503</v>
      </c>
      <c r="B3221">
        <v>140.746961079416</v>
      </c>
      <c r="C3221">
        <v>2000</v>
      </c>
    </row>
    <row r="3222" spans="1:11" x14ac:dyDescent="0.25">
      <c r="A3222">
        <v>49.781491987775603</v>
      </c>
      <c r="B3222">
        <v>129.94675865068001</v>
      </c>
      <c r="C3222">
        <v>2000</v>
      </c>
    </row>
    <row r="3223" spans="1:11" x14ac:dyDescent="0.25">
      <c r="A3223" t="s">
        <v>87</v>
      </c>
    </row>
    <row r="3224" spans="1:11" x14ac:dyDescent="0.25">
      <c r="A3224">
        <v>838</v>
      </c>
      <c r="B3224">
        <v>0</v>
      </c>
      <c r="C3224">
        <v>15.4614418477165</v>
      </c>
      <c r="D3224">
        <v>12.5878266131676</v>
      </c>
      <c r="E3224">
        <v>6</v>
      </c>
      <c r="F3224">
        <v>1.01722196789785</v>
      </c>
      <c r="G3224" t="s">
        <v>85</v>
      </c>
      <c r="H3224" t="s">
        <v>85</v>
      </c>
      <c r="I3224">
        <v>0</v>
      </c>
      <c r="J3224">
        <v>0</v>
      </c>
      <c r="K3224">
        <v>0.103520648210845</v>
      </c>
    </row>
    <row r="3225" spans="1:11" x14ac:dyDescent="0.25">
      <c r="A3225" t="s">
        <v>86</v>
      </c>
    </row>
    <row r="3226" spans="1:11" x14ac:dyDescent="0.25">
      <c r="A3226">
        <v>10.691996471136999</v>
      </c>
      <c r="B3226">
        <v>141.29518455957299</v>
      </c>
      <c r="C3226">
        <v>2000</v>
      </c>
    </row>
    <row r="3227" spans="1:11" x14ac:dyDescent="0.25">
      <c r="A3227">
        <v>0</v>
      </c>
      <c r="B3227">
        <v>130.60318808843601</v>
      </c>
      <c r="C3227">
        <v>2000</v>
      </c>
    </row>
    <row r="3228" spans="1:11" x14ac:dyDescent="0.25">
      <c r="A3228">
        <v>0</v>
      </c>
      <c r="B3228">
        <v>129.729156039538</v>
      </c>
      <c r="C3228">
        <v>2001</v>
      </c>
    </row>
    <row r="3229" spans="1:11" x14ac:dyDescent="0.25">
      <c r="A3229">
        <v>11.1737842837467</v>
      </c>
      <c r="B3229">
        <v>140.90294032328501</v>
      </c>
      <c r="C3229">
        <v>2001</v>
      </c>
    </row>
    <row r="3230" spans="1:11" x14ac:dyDescent="0.25">
      <c r="A3230">
        <v>20.270843960461999</v>
      </c>
      <c r="B3230">
        <v>150</v>
      </c>
      <c r="C3230">
        <v>2001</v>
      </c>
    </row>
    <row r="3231" spans="1:11" x14ac:dyDescent="0.25">
      <c r="A3231">
        <v>19.396811911564299</v>
      </c>
      <c r="B3231">
        <v>150</v>
      </c>
      <c r="C3231">
        <v>2000</v>
      </c>
    </row>
    <row r="3232" spans="1:11" x14ac:dyDescent="0.25">
      <c r="A3232" t="s">
        <v>87</v>
      </c>
    </row>
    <row r="3233" spans="1:11" x14ac:dyDescent="0.25">
      <c r="A3233">
        <v>721</v>
      </c>
      <c r="B3233">
        <v>0</v>
      </c>
      <c r="C3233">
        <v>23.906088443696898</v>
      </c>
      <c r="D3233">
        <v>4.0718799159992596</v>
      </c>
      <c r="E3233">
        <v>6</v>
      </c>
      <c r="F3233">
        <v>1.01722196789785</v>
      </c>
      <c r="G3233" t="s">
        <v>88</v>
      </c>
      <c r="H3233" t="s">
        <v>88</v>
      </c>
      <c r="I3233">
        <v>863</v>
      </c>
      <c r="J3233">
        <v>668</v>
      </c>
      <c r="K3233">
        <v>9.9787223602304201E-2</v>
      </c>
    </row>
    <row r="3234" spans="1:11" x14ac:dyDescent="0.25">
      <c r="A3234" t="s">
        <v>86</v>
      </c>
    </row>
    <row r="3235" spans="1:11" x14ac:dyDescent="0.25">
      <c r="A3235">
        <v>89.583791329801798</v>
      </c>
      <c r="B3235">
        <v>134.403292167649</v>
      </c>
      <c r="C3235">
        <v>2000</v>
      </c>
    </row>
    <row r="3236" spans="1:11" x14ac:dyDescent="0.25">
      <c r="A3236">
        <v>72.679634079618296</v>
      </c>
      <c r="B3236">
        <v>117.49913491746599</v>
      </c>
      <c r="C3236">
        <v>2000</v>
      </c>
    </row>
    <row r="3237" spans="1:11" x14ac:dyDescent="0.25">
      <c r="A3237">
        <v>73.116650104067105</v>
      </c>
      <c r="B3237">
        <v>117.062118893017</v>
      </c>
      <c r="C3237">
        <v>2001</v>
      </c>
    </row>
    <row r="3238" spans="1:11" x14ac:dyDescent="0.25">
      <c r="A3238">
        <v>90.020807354250607</v>
      </c>
      <c r="B3238">
        <v>133.96627614320099</v>
      </c>
      <c r="C3238">
        <v>2001</v>
      </c>
    </row>
    <row r="3239" spans="1:11" x14ac:dyDescent="0.25">
      <c r="A3239">
        <v>92.900061255030906</v>
      </c>
      <c r="B3239">
        <v>136.845530043981</v>
      </c>
      <c r="C3239">
        <v>2001</v>
      </c>
    </row>
    <row r="3240" spans="1:11" x14ac:dyDescent="0.25">
      <c r="A3240">
        <v>92.463045230582097</v>
      </c>
      <c r="B3240">
        <v>137.28254606843001</v>
      </c>
      <c r="C3240">
        <v>2000</v>
      </c>
    </row>
    <row r="3241" spans="1:11" x14ac:dyDescent="0.25">
      <c r="A3241" t="s">
        <v>87</v>
      </c>
    </row>
    <row r="3242" spans="1:11" x14ac:dyDescent="0.25">
      <c r="A3242">
        <v>262</v>
      </c>
      <c r="B3242">
        <v>0</v>
      </c>
      <c r="C3242">
        <v>14.8881934070843</v>
      </c>
      <c r="D3242">
        <v>12.7946738474434</v>
      </c>
      <c r="E3242">
        <v>6</v>
      </c>
      <c r="F3242">
        <v>1.01722196789785</v>
      </c>
      <c r="G3242" t="s">
        <v>85</v>
      </c>
      <c r="H3242" t="s">
        <v>88</v>
      </c>
      <c r="I3242">
        <v>0</v>
      </c>
      <c r="J3242">
        <v>422</v>
      </c>
      <c r="K3242">
        <v>0</v>
      </c>
    </row>
    <row r="3243" spans="1:11" x14ac:dyDescent="0.25">
      <c r="A3243" t="s">
        <v>86</v>
      </c>
    </row>
    <row r="3244" spans="1:11" x14ac:dyDescent="0.25">
      <c r="A3244">
        <v>86.389055736449194</v>
      </c>
      <c r="B3244">
        <v>10.410026166692999</v>
      </c>
      <c r="C3244">
        <v>2000</v>
      </c>
    </row>
    <row r="3245" spans="1:11" x14ac:dyDescent="0.25">
      <c r="A3245">
        <v>75.979029569756193</v>
      </c>
      <c r="B3245">
        <v>0</v>
      </c>
      <c r="C3245">
        <v>2000</v>
      </c>
    </row>
    <row r="3246" spans="1:11" x14ac:dyDescent="0.25">
      <c r="A3246">
        <v>75.104997520858504</v>
      </c>
      <c r="B3246">
        <v>0</v>
      </c>
      <c r="C3246">
        <v>2001</v>
      </c>
    </row>
    <row r="3247" spans="1:11" x14ac:dyDescent="0.25">
      <c r="A3247">
        <v>85.750056389697804</v>
      </c>
      <c r="B3247">
        <v>10.6450588688393</v>
      </c>
      <c r="C3247">
        <v>2001</v>
      </c>
    </row>
    <row r="3248" spans="1:11" x14ac:dyDescent="0.25">
      <c r="A3248">
        <v>94.898248691446497</v>
      </c>
      <c r="B3248">
        <v>19.793251170588</v>
      </c>
      <c r="C3248">
        <v>2001</v>
      </c>
    </row>
    <row r="3249" spans="1:11" x14ac:dyDescent="0.25">
      <c r="A3249">
        <v>95.335264715895306</v>
      </c>
      <c r="B3249">
        <v>19.356235146139099</v>
      </c>
      <c r="C3249">
        <v>2000</v>
      </c>
    </row>
    <row r="3250" spans="1:11" x14ac:dyDescent="0.25">
      <c r="A3250" t="s">
        <v>87</v>
      </c>
    </row>
    <row r="3251" spans="1:11" x14ac:dyDescent="0.25">
      <c r="A3251">
        <v>912</v>
      </c>
      <c r="B3251">
        <v>0</v>
      </c>
      <c r="C3251">
        <v>17.458071714215201</v>
      </c>
      <c r="D3251">
        <v>10.0629724643324</v>
      </c>
      <c r="E3251">
        <v>6</v>
      </c>
      <c r="F3251">
        <v>1.01722196789785</v>
      </c>
      <c r="G3251" t="s">
        <v>88</v>
      </c>
      <c r="H3251" t="s">
        <v>88</v>
      </c>
      <c r="I3251">
        <v>414</v>
      </c>
      <c r="J3251">
        <v>1000</v>
      </c>
      <c r="K3251">
        <v>0.10525890298501001</v>
      </c>
    </row>
    <row r="3252" spans="1:11" x14ac:dyDescent="0.25">
      <c r="A3252" t="s">
        <v>86</v>
      </c>
    </row>
    <row r="3253" spans="1:11" x14ac:dyDescent="0.25">
      <c r="A3253">
        <v>127.52690945963199</v>
      </c>
      <c r="B3253">
        <v>23.956988033348399</v>
      </c>
      <c r="C3253">
        <v>2000</v>
      </c>
    </row>
    <row r="3254" spans="1:11" x14ac:dyDescent="0.25">
      <c r="A3254">
        <v>115.18218856406899</v>
      </c>
      <c r="B3254">
        <v>11.6122671377858</v>
      </c>
      <c r="C3254">
        <v>2000</v>
      </c>
    </row>
    <row r="3255" spans="1:11" x14ac:dyDescent="0.25">
      <c r="A3255">
        <v>115.619204588518</v>
      </c>
      <c r="B3255">
        <v>11.1752511133369</v>
      </c>
      <c r="C3255">
        <v>2001</v>
      </c>
    </row>
    <row r="3256" spans="1:11" x14ac:dyDescent="0.25">
      <c r="A3256">
        <v>127.963925484081</v>
      </c>
      <c r="B3256">
        <v>23.5199720088996</v>
      </c>
      <c r="C3256">
        <v>2001</v>
      </c>
    </row>
    <row r="3257" spans="1:11" x14ac:dyDescent="0.25">
      <c r="A3257">
        <v>135.07952155250399</v>
      </c>
      <c r="B3257">
        <v>30.6355680773225</v>
      </c>
      <c r="C3257">
        <v>2001</v>
      </c>
    </row>
    <row r="3258" spans="1:11" x14ac:dyDescent="0.25">
      <c r="A3258">
        <v>134.64250552805501</v>
      </c>
      <c r="B3258">
        <v>31.072584101771302</v>
      </c>
      <c r="C3258">
        <v>2000</v>
      </c>
    </row>
    <row r="3259" spans="1:11" x14ac:dyDescent="0.25">
      <c r="A3259" t="s">
        <v>87</v>
      </c>
    </row>
    <row r="3260" spans="1:11" x14ac:dyDescent="0.25">
      <c r="A3260">
        <v>198</v>
      </c>
      <c r="B3260">
        <v>0</v>
      </c>
      <c r="C3260">
        <v>18.737606569088999</v>
      </c>
      <c r="D3260">
        <v>8.5029374158011706</v>
      </c>
      <c r="E3260">
        <v>8</v>
      </c>
      <c r="F3260">
        <v>1.01722196789785</v>
      </c>
      <c r="G3260" t="s">
        <v>88</v>
      </c>
      <c r="H3260" t="s">
        <v>88</v>
      </c>
      <c r="I3260">
        <v>279</v>
      </c>
      <c r="J3260">
        <v>815</v>
      </c>
      <c r="K3260">
        <v>0</v>
      </c>
    </row>
    <row r="3261" spans="1:11" x14ac:dyDescent="0.25">
      <c r="A3261" t="s">
        <v>86</v>
      </c>
    </row>
    <row r="3262" spans="1:11" x14ac:dyDescent="0.25">
      <c r="A3262">
        <v>105.17236983318</v>
      </c>
      <c r="B3262">
        <v>75.576800104503704</v>
      </c>
      <c r="C3262">
        <v>2000</v>
      </c>
    </row>
    <row r="3263" spans="1:11" x14ac:dyDescent="0.25">
      <c r="A3263">
        <v>100.21850801222401</v>
      </c>
      <c r="B3263">
        <v>70.622938283547995</v>
      </c>
      <c r="C3263">
        <v>2000</v>
      </c>
    </row>
    <row r="3264" spans="1:11" x14ac:dyDescent="0.25">
      <c r="A3264">
        <v>91.922881164971699</v>
      </c>
      <c r="B3264">
        <v>62.327311436295297</v>
      </c>
      <c r="C3264">
        <v>2000</v>
      </c>
    </row>
    <row r="3265" spans="1:11" x14ac:dyDescent="0.25">
      <c r="A3265">
        <v>91.485865140522904</v>
      </c>
      <c r="B3265">
        <v>62.764327460744099</v>
      </c>
      <c r="C3265">
        <v>2001</v>
      </c>
    </row>
    <row r="3266" spans="1:11" x14ac:dyDescent="0.25">
      <c r="A3266">
        <v>99.781491987775595</v>
      </c>
      <c r="B3266">
        <v>71.059954307996804</v>
      </c>
      <c r="C3266">
        <v>2001</v>
      </c>
    </row>
    <row r="3267" spans="1:11" x14ac:dyDescent="0.25">
      <c r="A3267">
        <v>104.73535380873101</v>
      </c>
      <c r="B3267">
        <v>76.013816128952499</v>
      </c>
      <c r="C3267">
        <v>2001</v>
      </c>
    </row>
    <row r="3268" spans="1:11" x14ac:dyDescent="0.25">
      <c r="A3268">
        <v>110.747838515449</v>
      </c>
      <c r="B3268">
        <v>82.026300835670298</v>
      </c>
      <c r="C3268">
        <v>2001</v>
      </c>
    </row>
    <row r="3269" spans="1:11" x14ac:dyDescent="0.25">
      <c r="A3269">
        <v>111.184854539898</v>
      </c>
      <c r="B3269">
        <v>81.589284811221503</v>
      </c>
      <c r="C3269">
        <v>2000</v>
      </c>
    </row>
    <row r="3270" spans="1:11" x14ac:dyDescent="0.25">
      <c r="A3270" t="s">
        <v>87</v>
      </c>
    </row>
    <row r="3271" spans="1:11" x14ac:dyDescent="0.25">
      <c r="A3271">
        <v>736</v>
      </c>
      <c r="B3271">
        <v>0</v>
      </c>
      <c r="C3271">
        <v>11.413099338275901</v>
      </c>
      <c r="D3271">
        <v>15.450424496874501</v>
      </c>
      <c r="E3271">
        <v>6</v>
      </c>
      <c r="F3271">
        <v>1.01722196789785</v>
      </c>
      <c r="G3271" t="s">
        <v>88</v>
      </c>
      <c r="H3271" t="s">
        <v>85</v>
      </c>
      <c r="I3271">
        <v>868</v>
      </c>
      <c r="J3271">
        <v>0</v>
      </c>
      <c r="K3271">
        <v>9.9787223602304201E-2</v>
      </c>
    </row>
    <row r="3272" spans="1:11" x14ac:dyDescent="0.25">
      <c r="A3272" t="s">
        <v>86</v>
      </c>
    </row>
    <row r="3273" spans="1:11" x14ac:dyDescent="0.25">
      <c r="A3273">
        <v>138.9492262503</v>
      </c>
      <c r="B3273">
        <v>71.259186497452802</v>
      </c>
      <c r="C3273">
        <v>2000</v>
      </c>
    </row>
    <row r="3274" spans="1:11" x14ac:dyDescent="0.25">
      <c r="A3274">
        <v>130.78611211737399</v>
      </c>
      <c r="B3274">
        <v>63.096072364527103</v>
      </c>
      <c r="C3274">
        <v>2000</v>
      </c>
    </row>
    <row r="3275" spans="1:11" x14ac:dyDescent="0.25">
      <c r="A3275">
        <v>131.223128141823</v>
      </c>
      <c r="B3275">
        <v>62.659056340078301</v>
      </c>
      <c r="C3275">
        <v>2001</v>
      </c>
    </row>
    <row r="3276" spans="1:11" x14ac:dyDescent="0.25">
      <c r="A3276">
        <v>139.20057388179899</v>
      </c>
      <c r="B3276">
        <v>70.636502080053702</v>
      </c>
      <c r="C3276">
        <v>2001</v>
      </c>
    </row>
    <row r="3277" spans="1:11" x14ac:dyDescent="0.25">
      <c r="A3277">
        <v>150</v>
      </c>
      <c r="B3277">
        <v>81.435928198255198</v>
      </c>
      <c r="C3277">
        <v>2001</v>
      </c>
    </row>
    <row r="3278" spans="1:11" x14ac:dyDescent="0.25">
      <c r="A3278">
        <v>150</v>
      </c>
      <c r="B3278">
        <v>82.309960247152802</v>
      </c>
      <c r="C3278">
        <v>2000</v>
      </c>
    </row>
    <row r="3279" spans="1:11" x14ac:dyDescent="0.25">
      <c r="A3279" t="s">
        <v>87</v>
      </c>
    </row>
    <row r="3280" spans="1:11" x14ac:dyDescent="0.25">
      <c r="A3280">
        <v>868</v>
      </c>
      <c r="B3280">
        <v>0</v>
      </c>
      <c r="C3280">
        <v>18.259883356185799</v>
      </c>
      <c r="D3280">
        <v>8.4932955005226898</v>
      </c>
      <c r="E3280">
        <v>8</v>
      </c>
      <c r="F3280">
        <v>1.01722196789785</v>
      </c>
      <c r="G3280" t="s">
        <v>88</v>
      </c>
      <c r="H3280" t="s">
        <v>88</v>
      </c>
      <c r="I3280">
        <v>976</v>
      </c>
      <c r="J3280">
        <v>736</v>
      </c>
      <c r="K3280">
        <v>0.10413651460953199</v>
      </c>
    </row>
    <row r="3281" spans="1:11" x14ac:dyDescent="0.25">
      <c r="A3281" t="s">
        <v>86</v>
      </c>
    </row>
    <row r="3282" spans="1:11" x14ac:dyDescent="0.25">
      <c r="A3282">
        <v>124.963281260782</v>
      </c>
      <c r="B3282">
        <v>56.907569535038</v>
      </c>
      <c r="C3282">
        <v>2000</v>
      </c>
    </row>
    <row r="3283" spans="1:11" x14ac:dyDescent="0.25">
      <c r="A3283">
        <v>117.837203713519</v>
      </c>
      <c r="B3283">
        <v>49.781491987775603</v>
      </c>
      <c r="C3283">
        <v>2000</v>
      </c>
    </row>
    <row r="3284" spans="1:11" x14ac:dyDescent="0.25">
      <c r="A3284">
        <v>112.051593915947</v>
      </c>
      <c r="B3284">
        <v>43.995882190203702</v>
      </c>
      <c r="C3284">
        <v>2000</v>
      </c>
    </row>
    <row r="3285" spans="1:11" x14ac:dyDescent="0.25">
      <c r="A3285">
        <v>111.614577891499</v>
      </c>
      <c r="B3285">
        <v>44.432898214652496</v>
      </c>
      <c r="C3285">
        <v>2001</v>
      </c>
    </row>
    <row r="3286" spans="1:11" x14ac:dyDescent="0.25">
      <c r="A3286">
        <v>117.40018768906999</v>
      </c>
      <c r="B3286">
        <v>50.218508012224397</v>
      </c>
      <c r="C3286">
        <v>2001</v>
      </c>
    </row>
    <row r="3287" spans="1:11" x14ac:dyDescent="0.25">
      <c r="A3287">
        <v>124.526265236333</v>
      </c>
      <c r="B3287">
        <v>57.344585559486902</v>
      </c>
      <c r="C3287">
        <v>2001</v>
      </c>
    </row>
    <row r="3288" spans="1:11" x14ac:dyDescent="0.25">
      <c r="A3288">
        <v>130.531932079374</v>
      </c>
      <c r="B3288">
        <v>63.350252402527701</v>
      </c>
      <c r="C3288">
        <v>2001</v>
      </c>
    </row>
    <row r="3289" spans="1:11" x14ac:dyDescent="0.25">
      <c r="A3289">
        <v>130.96894810382301</v>
      </c>
      <c r="B3289">
        <v>62.9132363780788</v>
      </c>
      <c r="C3289">
        <v>2000</v>
      </c>
    </row>
    <row r="3290" spans="1:11" x14ac:dyDescent="0.25">
      <c r="A3290" t="s">
        <v>87</v>
      </c>
    </row>
    <row r="3291" spans="1:11" x14ac:dyDescent="0.25">
      <c r="A3291">
        <v>763</v>
      </c>
      <c r="B3291">
        <v>0</v>
      </c>
      <c r="C3291">
        <v>3.1129241621294601</v>
      </c>
      <c r="D3291">
        <v>23.6055612219849</v>
      </c>
      <c r="E3291">
        <v>8</v>
      </c>
      <c r="F3291">
        <v>1.01722196789785</v>
      </c>
      <c r="G3291" t="s">
        <v>88</v>
      </c>
      <c r="H3291" t="s">
        <v>85</v>
      </c>
      <c r="I3291">
        <v>806</v>
      </c>
      <c r="J3291">
        <v>0</v>
      </c>
      <c r="K3291">
        <v>0.100785207567138</v>
      </c>
    </row>
    <row r="3292" spans="1:11" x14ac:dyDescent="0.25">
      <c r="A3292" t="s">
        <v>86</v>
      </c>
    </row>
    <row r="3293" spans="1:11" x14ac:dyDescent="0.25">
      <c r="A3293">
        <v>133.50190501642899</v>
      </c>
      <c r="B3293">
        <v>35.545427718057397</v>
      </c>
      <c r="C3293">
        <v>2000</v>
      </c>
    </row>
    <row r="3294" spans="1:11" x14ac:dyDescent="0.25">
      <c r="A3294">
        <v>131.32568581408401</v>
      </c>
      <c r="B3294">
        <v>33.369208515711399</v>
      </c>
      <c r="C3294">
        <v>2000</v>
      </c>
    </row>
    <row r="3295" spans="1:11" x14ac:dyDescent="0.25">
      <c r="A3295">
        <v>130.888669789635</v>
      </c>
      <c r="B3295">
        <v>33.806224540160301</v>
      </c>
      <c r="C3295">
        <v>2001</v>
      </c>
    </row>
    <row r="3296" spans="1:11" x14ac:dyDescent="0.25">
      <c r="A3296">
        <v>133.114790156011</v>
      </c>
      <c r="B3296">
        <v>36.0323449065367</v>
      </c>
      <c r="C3296">
        <v>2001</v>
      </c>
    </row>
    <row r="3297" spans="1:11" x14ac:dyDescent="0.25">
      <c r="A3297">
        <v>147.48698889953801</v>
      </c>
      <c r="B3297">
        <v>50.404543650063999</v>
      </c>
      <c r="C3297">
        <v>2001</v>
      </c>
    </row>
    <row r="3298" spans="1:11" x14ac:dyDescent="0.25">
      <c r="A3298">
        <v>150</v>
      </c>
      <c r="B3298">
        <v>52.917554750525603</v>
      </c>
      <c r="C3298">
        <v>2001</v>
      </c>
    </row>
    <row r="3299" spans="1:11" x14ac:dyDescent="0.25">
      <c r="A3299">
        <v>150</v>
      </c>
      <c r="B3299">
        <v>52.0435227016279</v>
      </c>
      <c r="C3299">
        <v>2000</v>
      </c>
    </row>
    <row r="3300" spans="1:11" x14ac:dyDescent="0.25">
      <c r="A3300">
        <v>147.55193364830799</v>
      </c>
      <c r="B3300">
        <v>49.595456349935901</v>
      </c>
      <c r="C3300">
        <v>2000</v>
      </c>
    </row>
    <row r="3301" spans="1:11" x14ac:dyDescent="0.25">
      <c r="A3301" t="s">
        <v>87</v>
      </c>
    </row>
    <row r="3302" spans="1:11" x14ac:dyDescent="0.25">
      <c r="A3302">
        <v>814</v>
      </c>
      <c r="B3302">
        <v>0</v>
      </c>
      <c r="C3302">
        <v>13.438232499246</v>
      </c>
      <c r="D3302">
        <v>13.2747985457551</v>
      </c>
      <c r="E3302">
        <v>8</v>
      </c>
      <c r="F3302">
        <v>1.01722196789785</v>
      </c>
      <c r="G3302" t="s">
        <v>85</v>
      </c>
      <c r="H3302" t="s">
        <v>88</v>
      </c>
      <c r="I3302">
        <v>0</v>
      </c>
      <c r="J3302">
        <v>910</v>
      </c>
      <c r="K3302">
        <v>0.102861961526139</v>
      </c>
    </row>
    <row r="3303" spans="1:11" x14ac:dyDescent="0.25">
      <c r="A3303" t="s">
        <v>86</v>
      </c>
    </row>
    <row r="3304" spans="1:11" x14ac:dyDescent="0.25">
      <c r="A3304">
        <v>54.621443265306901</v>
      </c>
      <c r="B3304">
        <v>9.6466016552467604</v>
      </c>
      <c r="C3304">
        <v>2000</v>
      </c>
    </row>
    <row r="3305" spans="1:11" x14ac:dyDescent="0.25">
      <c r="A3305">
        <v>49.668489961076297</v>
      </c>
      <c r="B3305">
        <v>4.6936483510161802</v>
      </c>
      <c r="C3305">
        <v>2000</v>
      </c>
    </row>
    <row r="3306" spans="1:11" x14ac:dyDescent="0.25">
      <c r="A3306">
        <v>44.974841610060103</v>
      </c>
      <c r="B3306">
        <v>0</v>
      </c>
      <c r="C3306">
        <v>2000</v>
      </c>
    </row>
    <row r="3307" spans="1:11" x14ac:dyDescent="0.25">
      <c r="A3307">
        <v>45.8488736589577</v>
      </c>
      <c r="B3307">
        <v>0</v>
      </c>
      <c r="C3307">
        <v>2001</v>
      </c>
    </row>
    <row r="3308" spans="1:11" x14ac:dyDescent="0.25">
      <c r="A3308">
        <v>50.331510038923703</v>
      </c>
      <c r="B3308">
        <v>4.4826363799659799</v>
      </c>
      <c r="C3308">
        <v>2001</v>
      </c>
    </row>
    <row r="3309" spans="1:11" x14ac:dyDescent="0.25">
      <c r="A3309">
        <v>55.206802658467602</v>
      </c>
      <c r="B3309">
        <v>9.3579289995098307</v>
      </c>
      <c r="C3309">
        <v>2001</v>
      </c>
    </row>
    <row r="3310" spans="1:11" x14ac:dyDescent="0.25">
      <c r="A3310">
        <v>64.519331044700394</v>
      </c>
      <c r="B3310">
        <v>18.670457385742701</v>
      </c>
      <c r="C3310">
        <v>2001</v>
      </c>
    </row>
    <row r="3311" spans="1:11" x14ac:dyDescent="0.25">
      <c r="A3311">
        <v>64.082315020251599</v>
      </c>
      <c r="B3311">
        <v>19.107473410191499</v>
      </c>
      <c r="C3311">
        <v>2000</v>
      </c>
    </row>
    <row r="3312" spans="1:11" x14ac:dyDescent="0.25">
      <c r="A3312" t="s">
        <v>87</v>
      </c>
    </row>
    <row r="3313" spans="1:11" x14ac:dyDescent="0.25">
      <c r="A3313">
        <v>595</v>
      </c>
      <c r="B3313">
        <v>0</v>
      </c>
      <c r="C3313">
        <v>8.7769040806583796</v>
      </c>
      <c r="D3313">
        <v>17.934798142375399</v>
      </c>
      <c r="E3313">
        <v>6</v>
      </c>
      <c r="F3313">
        <v>1.01722196789785</v>
      </c>
      <c r="G3313" t="s">
        <v>88</v>
      </c>
      <c r="H3313" t="s">
        <v>85</v>
      </c>
      <c r="I3313">
        <v>730</v>
      </c>
      <c r="J3313">
        <v>0</v>
      </c>
      <c r="K3313">
        <v>0</v>
      </c>
    </row>
    <row r="3314" spans="1:11" x14ac:dyDescent="0.25">
      <c r="A3314" t="s">
        <v>86</v>
      </c>
    </row>
    <row r="3315" spans="1:11" x14ac:dyDescent="0.25">
      <c r="A3315">
        <v>14.399803841792799</v>
      </c>
      <c r="B3315">
        <v>137.171471743588</v>
      </c>
      <c r="C3315">
        <v>2000</v>
      </c>
    </row>
    <row r="3316" spans="1:11" x14ac:dyDescent="0.25">
      <c r="A3316">
        <v>8.1217983070377802</v>
      </c>
      <c r="B3316">
        <v>130.89346620883299</v>
      </c>
      <c r="C3316">
        <v>2000</v>
      </c>
    </row>
    <row r="3317" spans="1:11" x14ac:dyDescent="0.25">
      <c r="A3317">
        <v>7.6847822825889596</v>
      </c>
      <c r="B3317">
        <v>131.330482233281</v>
      </c>
      <c r="C3317">
        <v>2001</v>
      </c>
    </row>
    <row r="3318" spans="1:11" x14ac:dyDescent="0.25">
      <c r="A3318">
        <v>13.8191935343488</v>
      </c>
      <c r="B3318">
        <v>137.46489348504099</v>
      </c>
      <c r="C3318">
        <v>2001</v>
      </c>
    </row>
    <row r="3319" spans="1:11" x14ac:dyDescent="0.25">
      <c r="A3319">
        <v>26.354300049307501</v>
      </c>
      <c r="B3319">
        <v>150</v>
      </c>
      <c r="C3319">
        <v>2001</v>
      </c>
    </row>
    <row r="3320" spans="1:11" x14ac:dyDescent="0.25">
      <c r="A3320">
        <v>27.2283320982052</v>
      </c>
      <c r="B3320">
        <v>150</v>
      </c>
      <c r="C3320">
        <v>2000</v>
      </c>
    </row>
    <row r="3321" spans="1:11" x14ac:dyDescent="0.25">
      <c r="A3321" t="s">
        <v>87</v>
      </c>
    </row>
    <row r="3322" spans="1:11" x14ac:dyDescent="0.25">
      <c r="A3322">
        <v>922</v>
      </c>
      <c r="B3322">
        <v>0</v>
      </c>
      <c r="C3322">
        <v>10.512865577440399</v>
      </c>
      <c r="D3322">
        <v>16.115525066739099</v>
      </c>
      <c r="E3322">
        <v>8</v>
      </c>
      <c r="F3322">
        <v>1.01722196789785</v>
      </c>
      <c r="G3322" t="s">
        <v>88</v>
      </c>
      <c r="H3322" t="s">
        <v>88</v>
      </c>
      <c r="I3322">
        <v>991</v>
      </c>
      <c r="J3322">
        <v>839</v>
      </c>
      <c r="K3322">
        <v>0.105605243465119</v>
      </c>
    </row>
    <row r="3323" spans="1:11" x14ac:dyDescent="0.25">
      <c r="A3323" t="s">
        <v>86</v>
      </c>
    </row>
    <row r="3324" spans="1:11" x14ac:dyDescent="0.25">
      <c r="A3324">
        <v>94.618220011521402</v>
      </c>
      <c r="B3324">
        <v>33.877898659970398</v>
      </c>
      <c r="C3324">
        <v>2000</v>
      </c>
    </row>
    <row r="3325" spans="1:11" x14ac:dyDescent="0.25">
      <c r="A3325">
        <v>87.184501472010695</v>
      </c>
      <c r="B3325">
        <v>26.444180120459698</v>
      </c>
      <c r="C3325">
        <v>2000</v>
      </c>
    </row>
    <row r="3326" spans="1:11" x14ac:dyDescent="0.25">
      <c r="A3326">
        <v>86.7474854475619</v>
      </c>
      <c r="B3326">
        <v>26.8811961449085</v>
      </c>
      <c r="C3326">
        <v>2001</v>
      </c>
    </row>
    <row r="3327" spans="1:11" x14ac:dyDescent="0.25">
      <c r="A3327">
        <v>94.181203987072607</v>
      </c>
      <c r="B3327">
        <v>34.3149146844192</v>
      </c>
      <c r="C3327">
        <v>2001</v>
      </c>
    </row>
    <row r="3328" spans="1:11" x14ac:dyDescent="0.25">
      <c r="A3328">
        <v>99.781491987775595</v>
      </c>
      <c r="B3328">
        <v>39.915202685122203</v>
      </c>
      <c r="C3328">
        <v>2001</v>
      </c>
    </row>
    <row r="3329" spans="1:11" x14ac:dyDescent="0.25">
      <c r="A3329">
        <v>105.576601044146</v>
      </c>
      <c r="B3329">
        <v>45.710311741492198</v>
      </c>
      <c r="C3329">
        <v>2001</v>
      </c>
    </row>
    <row r="3330" spans="1:11" x14ac:dyDescent="0.25">
      <c r="A3330">
        <v>106.013617068594</v>
      </c>
      <c r="B3330">
        <v>45.273295717043403</v>
      </c>
      <c r="C3330">
        <v>2000</v>
      </c>
    </row>
    <row r="3331" spans="1:11" x14ac:dyDescent="0.25">
      <c r="A3331">
        <v>100.21850801222401</v>
      </c>
      <c r="B3331">
        <v>39.478186660673302</v>
      </c>
      <c r="C3331">
        <v>2000</v>
      </c>
    </row>
    <row r="3332" spans="1:11" x14ac:dyDescent="0.25">
      <c r="A3332" t="s">
        <v>87</v>
      </c>
    </row>
    <row r="3333" spans="1:11" x14ac:dyDescent="0.25">
      <c r="A3333">
        <v>873</v>
      </c>
      <c r="B3333">
        <v>0</v>
      </c>
      <c r="C3333">
        <v>19.0493620722856</v>
      </c>
      <c r="D3333">
        <v>7.2262709243520602</v>
      </c>
      <c r="E3333">
        <v>6</v>
      </c>
      <c r="F3333">
        <v>1.01722196789785</v>
      </c>
      <c r="G3333" t="s">
        <v>88</v>
      </c>
      <c r="H3333" t="s">
        <v>85</v>
      </c>
      <c r="I3333">
        <v>1006</v>
      </c>
      <c r="J3333">
        <v>0</v>
      </c>
      <c r="K3333">
        <v>0.104333136997122</v>
      </c>
    </row>
    <row r="3334" spans="1:11" x14ac:dyDescent="0.25">
      <c r="A3334" t="s">
        <v>86</v>
      </c>
    </row>
    <row r="3335" spans="1:11" x14ac:dyDescent="0.25">
      <c r="A3335">
        <v>144.830161199434</v>
      </c>
      <c r="B3335">
        <v>120.14594625415501</v>
      </c>
      <c r="C3335">
        <v>2000</v>
      </c>
    </row>
    <row r="3336" spans="1:11" x14ac:dyDescent="0.25">
      <c r="A3336">
        <v>131.20181371588399</v>
      </c>
      <c r="B3336">
        <v>106.51759877060501</v>
      </c>
      <c r="C3336">
        <v>2000</v>
      </c>
    </row>
    <row r="3337" spans="1:11" x14ac:dyDescent="0.25">
      <c r="A3337">
        <v>131.63882974033299</v>
      </c>
      <c r="B3337">
        <v>106.08058274615701</v>
      </c>
      <c r="C3337">
        <v>2001</v>
      </c>
    </row>
    <row r="3338" spans="1:11" x14ac:dyDescent="0.25">
      <c r="A3338">
        <v>144.95034845396501</v>
      </c>
      <c r="B3338">
        <v>119.392101459789</v>
      </c>
      <c r="C3338">
        <v>2001</v>
      </c>
    </row>
    <row r="3339" spans="1:11" x14ac:dyDescent="0.25">
      <c r="A3339">
        <v>150</v>
      </c>
      <c r="B3339">
        <v>124.441753005824</v>
      </c>
      <c r="C3339">
        <v>2001</v>
      </c>
    </row>
    <row r="3340" spans="1:11" x14ac:dyDescent="0.25">
      <c r="A3340">
        <v>150</v>
      </c>
      <c r="B3340">
        <v>125.315785054721</v>
      </c>
      <c r="C3340">
        <v>2000</v>
      </c>
    </row>
    <row r="3341" spans="1:11" x14ac:dyDescent="0.25">
      <c r="A3341" t="s">
        <v>87</v>
      </c>
    </row>
    <row r="3342" spans="1:11" x14ac:dyDescent="0.25">
      <c r="A3342">
        <v>590</v>
      </c>
      <c r="B3342">
        <v>0</v>
      </c>
      <c r="C3342">
        <v>22.9509156231533</v>
      </c>
      <c r="D3342">
        <v>3.3127558765024099</v>
      </c>
      <c r="E3342">
        <v>8</v>
      </c>
      <c r="F3342">
        <v>1.01722196789785</v>
      </c>
      <c r="G3342" t="s">
        <v>88</v>
      </c>
      <c r="H3342" t="s">
        <v>88</v>
      </c>
      <c r="I3342">
        <v>893</v>
      </c>
      <c r="J3342">
        <v>596</v>
      </c>
      <c r="K3342">
        <v>0</v>
      </c>
    </row>
    <row r="3343" spans="1:11" x14ac:dyDescent="0.25">
      <c r="A3343" t="s">
        <v>86</v>
      </c>
    </row>
    <row r="3344" spans="1:11" x14ac:dyDescent="0.25">
      <c r="A3344">
        <v>35.464006484697798</v>
      </c>
      <c r="B3344">
        <v>103.549741776921</v>
      </c>
      <c r="C3344">
        <v>2000</v>
      </c>
    </row>
    <row r="3345" spans="1:11" x14ac:dyDescent="0.25">
      <c r="A3345">
        <v>31.695756695552799</v>
      </c>
      <c r="B3345">
        <v>99.781491987775595</v>
      </c>
      <c r="C3345">
        <v>2000</v>
      </c>
    </row>
    <row r="3346" spans="1:11" x14ac:dyDescent="0.25">
      <c r="A3346">
        <v>19.235258413125798</v>
      </c>
      <c r="B3346">
        <v>87.320993705348599</v>
      </c>
      <c r="C3346">
        <v>2000</v>
      </c>
    </row>
    <row r="3347" spans="1:11" x14ac:dyDescent="0.25">
      <c r="A3347">
        <v>18.798242388677</v>
      </c>
      <c r="B3347">
        <v>87.758009729797394</v>
      </c>
      <c r="C3347">
        <v>2001</v>
      </c>
    </row>
    <row r="3348" spans="1:11" x14ac:dyDescent="0.25">
      <c r="A3348">
        <v>31.258740671104</v>
      </c>
      <c r="B3348">
        <v>100.21850801222401</v>
      </c>
      <c r="C3348">
        <v>2001</v>
      </c>
    </row>
    <row r="3349" spans="1:11" x14ac:dyDescent="0.25">
      <c r="A3349">
        <v>35.026990460248904</v>
      </c>
      <c r="B3349">
        <v>103.986757801369</v>
      </c>
      <c r="C3349">
        <v>2001</v>
      </c>
    </row>
    <row r="3350" spans="1:11" x14ac:dyDescent="0.25">
      <c r="A3350">
        <v>37.3694626049394</v>
      </c>
      <c r="B3350">
        <v>106.32922994606</v>
      </c>
      <c r="C3350">
        <v>2001</v>
      </c>
    </row>
    <row r="3351" spans="1:11" x14ac:dyDescent="0.25">
      <c r="A3351">
        <v>37.806478629388202</v>
      </c>
      <c r="B3351">
        <v>105.892213921611</v>
      </c>
      <c r="C3351">
        <v>2000</v>
      </c>
    </row>
    <row r="3352" spans="1:11" x14ac:dyDescent="0.25">
      <c r="A3352" t="s">
        <v>87</v>
      </c>
    </row>
    <row r="3353" spans="1:11" x14ac:dyDescent="0.25">
      <c r="A3353">
        <v>679</v>
      </c>
      <c r="B3353">
        <v>0</v>
      </c>
      <c r="C3353">
        <v>18.187555928340899</v>
      </c>
      <c r="D3353">
        <v>8.0326661018975507</v>
      </c>
      <c r="E3353">
        <v>6</v>
      </c>
      <c r="F3353">
        <v>1.01722196789785</v>
      </c>
      <c r="G3353" t="s">
        <v>88</v>
      </c>
      <c r="H3353" t="s">
        <v>88</v>
      </c>
      <c r="I3353">
        <v>804</v>
      </c>
      <c r="J3353">
        <v>758</v>
      </c>
      <c r="K3353">
        <v>0</v>
      </c>
    </row>
    <row r="3354" spans="1:11" x14ac:dyDescent="0.25">
      <c r="A3354" t="s">
        <v>86</v>
      </c>
    </row>
    <row r="3355" spans="1:11" x14ac:dyDescent="0.25">
      <c r="A3355">
        <v>130.560888930955</v>
      </c>
      <c r="B3355">
        <v>129.08787725590099</v>
      </c>
      <c r="C3355">
        <v>2000</v>
      </c>
    </row>
    <row r="3356" spans="1:11" x14ac:dyDescent="0.25">
      <c r="A3356">
        <v>117.700344800816</v>
      </c>
      <c r="B3356">
        <v>116.22733312576101</v>
      </c>
      <c r="C3356">
        <v>2000</v>
      </c>
    </row>
    <row r="3357" spans="1:11" x14ac:dyDescent="0.25">
      <c r="A3357">
        <v>118.13736082526501</v>
      </c>
      <c r="B3357">
        <v>115.79031710131299</v>
      </c>
      <c r="C3357">
        <v>2001</v>
      </c>
    </row>
    <row r="3358" spans="1:11" x14ac:dyDescent="0.25">
      <c r="A3358">
        <v>130.99790495540401</v>
      </c>
      <c r="B3358">
        <v>128.65086123145201</v>
      </c>
      <c r="C3358">
        <v>2001</v>
      </c>
    </row>
    <row r="3359" spans="1:11" x14ac:dyDescent="0.25">
      <c r="A3359">
        <v>136.67785762706299</v>
      </c>
      <c r="B3359">
        <v>134.33081390311099</v>
      </c>
      <c r="C3359">
        <v>2001</v>
      </c>
    </row>
    <row r="3360" spans="1:11" x14ac:dyDescent="0.25">
      <c r="A3360">
        <v>136.24084160261401</v>
      </c>
      <c r="B3360">
        <v>134.76782992756</v>
      </c>
      <c r="C3360">
        <v>2000</v>
      </c>
    </row>
    <row r="3361" spans="1:11" x14ac:dyDescent="0.25">
      <c r="A3361" t="s">
        <v>87</v>
      </c>
    </row>
    <row r="3362" spans="1:11" x14ac:dyDescent="0.25">
      <c r="A3362">
        <v>36</v>
      </c>
      <c r="B3362">
        <v>0</v>
      </c>
      <c r="C3362">
        <v>10.2978187243663</v>
      </c>
      <c r="D3362">
        <v>15.7464551508643</v>
      </c>
      <c r="E3362">
        <v>6</v>
      </c>
      <c r="F3362">
        <v>1.01722196789785</v>
      </c>
      <c r="G3362" t="s">
        <v>85</v>
      </c>
      <c r="H3362" t="s">
        <v>88</v>
      </c>
      <c r="I3362">
        <v>0</v>
      </c>
      <c r="J3362">
        <v>30</v>
      </c>
      <c r="K3362">
        <v>0</v>
      </c>
    </row>
    <row r="3363" spans="1:11" x14ac:dyDescent="0.25">
      <c r="A3363" t="s">
        <v>86</v>
      </c>
    </row>
    <row r="3364" spans="1:11" x14ac:dyDescent="0.25">
      <c r="A3364">
        <v>7.3680547881524099</v>
      </c>
      <c r="B3364">
        <v>11.4017432384092</v>
      </c>
      <c r="C3364">
        <v>2000</v>
      </c>
    </row>
    <row r="3365" spans="1:11" x14ac:dyDescent="0.25">
      <c r="A3365">
        <v>0</v>
      </c>
      <c r="B3365">
        <v>4.03368845025678</v>
      </c>
      <c r="C3365">
        <v>2000</v>
      </c>
    </row>
    <row r="3366" spans="1:11" x14ac:dyDescent="0.25">
      <c r="A3366">
        <v>0</v>
      </c>
      <c r="B3366">
        <v>4.9077204991544203</v>
      </c>
      <c r="C3366">
        <v>2001</v>
      </c>
    </row>
    <row r="3367" spans="1:11" x14ac:dyDescent="0.25">
      <c r="A3367">
        <v>7.1952601147060804</v>
      </c>
      <c r="B3367">
        <v>12.102980613860501</v>
      </c>
      <c r="C3367">
        <v>2001</v>
      </c>
    </row>
    <row r="3368" spans="1:11" x14ac:dyDescent="0.25">
      <c r="A3368">
        <v>18.197574656030799</v>
      </c>
      <c r="B3368">
        <v>23.1052951551852</v>
      </c>
      <c r="C3368">
        <v>2001</v>
      </c>
    </row>
    <row r="3369" spans="1:11" x14ac:dyDescent="0.25">
      <c r="A3369">
        <v>18.634590680479601</v>
      </c>
      <c r="B3369">
        <v>22.668279130736401</v>
      </c>
      <c r="C3369">
        <v>2000</v>
      </c>
    </row>
    <row r="3370" spans="1:11" x14ac:dyDescent="0.25">
      <c r="A3370" t="s">
        <v>87</v>
      </c>
    </row>
    <row r="3371" spans="1:11" x14ac:dyDescent="0.25">
      <c r="A3371">
        <v>1003</v>
      </c>
      <c r="B3371">
        <v>0</v>
      </c>
      <c r="C3371">
        <v>16.665250874346299</v>
      </c>
      <c r="D3371">
        <v>9.37766205679503</v>
      </c>
      <c r="E3371">
        <v>8</v>
      </c>
      <c r="F3371">
        <v>1.01722196789785</v>
      </c>
      <c r="G3371" t="s">
        <v>88</v>
      </c>
      <c r="H3371" t="s">
        <v>88</v>
      </c>
      <c r="I3371">
        <v>354</v>
      </c>
      <c r="J3371">
        <v>662</v>
      </c>
      <c r="K3371">
        <v>0.111949327365174</v>
      </c>
    </row>
    <row r="3372" spans="1:11" x14ac:dyDescent="0.25">
      <c r="A3372" t="s">
        <v>86</v>
      </c>
    </row>
    <row r="3373" spans="1:11" x14ac:dyDescent="0.25">
      <c r="A3373">
        <v>94.283372944814005</v>
      </c>
      <c r="B3373">
        <v>133.00783147570601</v>
      </c>
      <c r="C3373">
        <v>2000</v>
      </c>
    </row>
    <row r="3374" spans="1:11" x14ac:dyDescent="0.25">
      <c r="A3374">
        <v>82.499261041388806</v>
      </c>
      <c r="B3374">
        <v>121.22371957228</v>
      </c>
      <c r="C3374">
        <v>2000</v>
      </c>
    </row>
    <row r="3375" spans="1:11" x14ac:dyDescent="0.25">
      <c r="A3375">
        <v>82.062245016939997</v>
      </c>
      <c r="B3375">
        <v>121.660735596729</v>
      </c>
      <c r="C3375">
        <v>2001</v>
      </c>
    </row>
    <row r="3376" spans="1:11" x14ac:dyDescent="0.25">
      <c r="A3376">
        <v>93.846356920365196</v>
      </c>
      <c r="B3376">
        <v>133.444847500154</v>
      </c>
      <c r="C3376">
        <v>2001</v>
      </c>
    </row>
    <row r="3377" spans="1:11" x14ac:dyDescent="0.25">
      <c r="A3377">
        <v>99.781491987775595</v>
      </c>
      <c r="B3377">
        <v>139.37998256756501</v>
      </c>
      <c r="C3377">
        <v>2001</v>
      </c>
    </row>
    <row r="3378" spans="1:11" x14ac:dyDescent="0.25">
      <c r="A3378">
        <v>100.47736535240099</v>
      </c>
      <c r="B3378">
        <v>140.07585593219</v>
      </c>
      <c r="C3378">
        <v>2001</v>
      </c>
    </row>
    <row r="3379" spans="1:11" x14ac:dyDescent="0.25">
      <c r="A3379">
        <v>100.91438137685</v>
      </c>
      <c r="B3379">
        <v>139.63883990774099</v>
      </c>
      <c r="C3379">
        <v>2000</v>
      </c>
    </row>
    <row r="3380" spans="1:11" x14ac:dyDescent="0.25">
      <c r="A3380">
        <v>100.21850801222401</v>
      </c>
      <c r="B3380">
        <v>138.942966543116</v>
      </c>
      <c r="C3380">
        <v>2000</v>
      </c>
    </row>
    <row r="3381" spans="1:11" x14ac:dyDescent="0.25">
      <c r="A3381" t="s">
        <v>87</v>
      </c>
    </row>
    <row r="3382" spans="1:11" x14ac:dyDescent="0.25">
      <c r="A3382">
        <v>347</v>
      </c>
      <c r="B3382">
        <v>0</v>
      </c>
      <c r="C3382">
        <v>19.060857494577402</v>
      </c>
      <c r="D3382">
        <v>6.9820554365638801</v>
      </c>
      <c r="E3382">
        <v>8</v>
      </c>
      <c r="F3382">
        <v>1.01722196789785</v>
      </c>
      <c r="G3382" t="s">
        <v>88</v>
      </c>
      <c r="H3382" t="s">
        <v>88</v>
      </c>
      <c r="I3382">
        <v>354</v>
      </c>
      <c r="J3382">
        <v>662</v>
      </c>
      <c r="K3382">
        <v>0</v>
      </c>
    </row>
    <row r="3383" spans="1:11" x14ac:dyDescent="0.25">
      <c r="A3383" t="s">
        <v>86</v>
      </c>
    </row>
    <row r="3384" spans="1:11" x14ac:dyDescent="0.25">
      <c r="A3384">
        <v>96.623817821784996</v>
      </c>
      <c r="B3384">
        <v>134.055285971176</v>
      </c>
      <c r="C3384">
        <v>2000</v>
      </c>
    </row>
    <row r="3385" spans="1:11" x14ac:dyDescent="0.25">
      <c r="A3385">
        <v>83.145756232138893</v>
      </c>
      <c r="B3385">
        <v>120.57722438153</v>
      </c>
      <c r="C3385">
        <v>2000</v>
      </c>
    </row>
    <row r="3386" spans="1:11" x14ac:dyDescent="0.25">
      <c r="A3386">
        <v>82.708740207690099</v>
      </c>
      <c r="B3386">
        <v>121.014240405979</v>
      </c>
      <c r="C3386">
        <v>2001</v>
      </c>
    </row>
    <row r="3387" spans="1:11" x14ac:dyDescent="0.25">
      <c r="A3387">
        <v>96.186801797336202</v>
      </c>
      <c r="B3387">
        <v>134.49230199562501</v>
      </c>
      <c r="C3387">
        <v>2001</v>
      </c>
    </row>
    <row r="3388" spans="1:11" x14ac:dyDescent="0.25">
      <c r="A3388">
        <v>99.781491987775595</v>
      </c>
      <c r="B3388">
        <v>138.086992186065</v>
      </c>
      <c r="C3388">
        <v>2001</v>
      </c>
    </row>
    <row r="3389" spans="1:11" x14ac:dyDescent="0.25">
      <c r="A3389">
        <v>101.123860543151</v>
      </c>
      <c r="B3389">
        <v>139.42936074144001</v>
      </c>
      <c r="C3389">
        <v>2001</v>
      </c>
    </row>
    <row r="3390" spans="1:11" x14ac:dyDescent="0.25">
      <c r="A3390">
        <v>101.5608765676</v>
      </c>
      <c r="B3390">
        <v>138.992344716991</v>
      </c>
      <c r="C3390">
        <v>2000</v>
      </c>
    </row>
    <row r="3391" spans="1:11" x14ac:dyDescent="0.25">
      <c r="A3391">
        <v>100.21850801222401</v>
      </c>
      <c r="B3391">
        <v>137.649976161616</v>
      </c>
      <c r="C3391">
        <v>2000</v>
      </c>
    </row>
    <row r="3392" spans="1:11" x14ac:dyDescent="0.25">
      <c r="A3392" t="s">
        <v>87</v>
      </c>
    </row>
    <row r="3393" spans="1:11" x14ac:dyDescent="0.25">
      <c r="A3393">
        <v>183</v>
      </c>
      <c r="B3393">
        <v>0</v>
      </c>
      <c r="C3393">
        <v>16.205425321467299</v>
      </c>
      <c r="D3393">
        <v>9.7939863078999796</v>
      </c>
      <c r="E3393">
        <v>8</v>
      </c>
      <c r="F3393">
        <v>1.01722196789785</v>
      </c>
      <c r="G3393" t="s">
        <v>88</v>
      </c>
      <c r="H3393" t="s">
        <v>85</v>
      </c>
      <c r="I3393">
        <v>437</v>
      </c>
      <c r="J3393">
        <v>0</v>
      </c>
      <c r="K3393">
        <v>0</v>
      </c>
    </row>
    <row r="3394" spans="1:11" x14ac:dyDescent="0.25">
      <c r="A3394" t="s">
        <v>86</v>
      </c>
    </row>
    <row r="3395" spans="1:11" x14ac:dyDescent="0.25">
      <c r="A3395">
        <v>143.23962074611501</v>
      </c>
      <c r="B3395">
        <v>51.973014762977201</v>
      </c>
      <c r="C3395">
        <v>2000</v>
      </c>
    </row>
    <row r="3396" spans="1:11" x14ac:dyDescent="0.25">
      <c r="A3396">
        <v>141.04809797091301</v>
      </c>
      <c r="B3396">
        <v>49.781491987775603</v>
      </c>
      <c r="C3396">
        <v>2000</v>
      </c>
    </row>
    <row r="3397" spans="1:11" x14ac:dyDescent="0.25">
      <c r="A3397">
        <v>131.834147742238</v>
      </c>
      <c r="B3397">
        <v>40.5675417591006</v>
      </c>
      <c r="C3397">
        <v>2000</v>
      </c>
    </row>
    <row r="3398" spans="1:11" x14ac:dyDescent="0.25">
      <c r="A3398">
        <v>131.39713171778999</v>
      </c>
      <c r="B3398">
        <v>41.004557783549501</v>
      </c>
      <c r="C3398">
        <v>2001</v>
      </c>
    </row>
    <row r="3399" spans="1:11" x14ac:dyDescent="0.25">
      <c r="A3399">
        <v>140.61108194646499</v>
      </c>
      <c r="B3399">
        <v>50.218508012224397</v>
      </c>
      <c r="C3399">
        <v>2001</v>
      </c>
    </row>
    <row r="3400" spans="1:11" x14ac:dyDescent="0.25">
      <c r="A3400">
        <v>142.90959098755599</v>
      </c>
      <c r="B3400">
        <v>52.517017053316302</v>
      </c>
      <c r="C3400">
        <v>2001</v>
      </c>
    </row>
    <row r="3401" spans="1:11" x14ac:dyDescent="0.25">
      <c r="A3401">
        <v>150</v>
      </c>
      <c r="B3401">
        <v>59.607426065759903</v>
      </c>
      <c r="C3401">
        <v>2001</v>
      </c>
    </row>
    <row r="3402" spans="1:11" x14ac:dyDescent="0.25">
      <c r="A3402">
        <v>150</v>
      </c>
      <c r="B3402">
        <v>58.733394016862199</v>
      </c>
      <c r="C3402">
        <v>2000</v>
      </c>
    </row>
    <row r="3403" spans="1:11" x14ac:dyDescent="0.25">
      <c r="A3403" t="s">
        <v>87</v>
      </c>
    </row>
    <row r="3404" spans="1:11" x14ac:dyDescent="0.25">
      <c r="A3404">
        <v>264</v>
      </c>
      <c r="B3404">
        <v>0</v>
      </c>
      <c r="C3404">
        <v>2.6165149289854002</v>
      </c>
      <c r="D3404">
        <v>23.324822095316801</v>
      </c>
      <c r="E3404">
        <v>8</v>
      </c>
      <c r="F3404">
        <v>1.01722196789785</v>
      </c>
      <c r="G3404" t="s">
        <v>88</v>
      </c>
      <c r="H3404" t="s">
        <v>88</v>
      </c>
      <c r="I3404">
        <v>837</v>
      </c>
      <c r="J3404">
        <v>182</v>
      </c>
      <c r="K3404">
        <v>0</v>
      </c>
    </row>
    <row r="3405" spans="1:11" x14ac:dyDescent="0.25">
      <c r="A3405" t="s">
        <v>86</v>
      </c>
    </row>
    <row r="3406" spans="1:11" x14ac:dyDescent="0.25">
      <c r="A3406">
        <v>80.918573175514595</v>
      </c>
      <c r="B3406">
        <v>48.224752124042404</v>
      </c>
      <c r="C3406">
        <v>2000</v>
      </c>
    </row>
    <row r="3407" spans="1:11" x14ac:dyDescent="0.25">
      <c r="A3407">
        <v>79.0684177261532</v>
      </c>
      <c r="B3407">
        <v>46.374596674681001</v>
      </c>
      <c r="C3407">
        <v>2000</v>
      </c>
    </row>
    <row r="3408" spans="1:11" x14ac:dyDescent="0.25">
      <c r="A3408">
        <v>78.631401701704306</v>
      </c>
      <c r="B3408">
        <v>46.811612699129803</v>
      </c>
      <c r="C3408">
        <v>2001</v>
      </c>
    </row>
    <row r="3409" spans="1:11" x14ac:dyDescent="0.25">
      <c r="A3409">
        <v>80.4815571510658</v>
      </c>
      <c r="B3409">
        <v>48.661768148491198</v>
      </c>
      <c r="C3409">
        <v>2001</v>
      </c>
    </row>
    <row r="3410" spans="1:11" x14ac:dyDescent="0.25">
      <c r="A3410">
        <v>82.0382970147989</v>
      </c>
      <c r="B3410">
        <v>50.218508012224397</v>
      </c>
      <c r="C3410">
        <v>2001</v>
      </c>
    </row>
    <row r="3411" spans="1:11" x14ac:dyDescent="0.25">
      <c r="A3411">
        <v>96.974697024634096</v>
      </c>
      <c r="B3411">
        <v>65.154908022059502</v>
      </c>
      <c r="C3411">
        <v>2001</v>
      </c>
    </row>
    <row r="3412" spans="1:11" x14ac:dyDescent="0.25">
      <c r="A3412">
        <v>97.411713049082906</v>
      </c>
      <c r="B3412">
        <v>64.717891997610707</v>
      </c>
      <c r="C3412">
        <v>2000</v>
      </c>
    </row>
    <row r="3413" spans="1:11" x14ac:dyDescent="0.25">
      <c r="A3413">
        <v>82.475313039247695</v>
      </c>
      <c r="B3413">
        <v>49.781491987775603</v>
      </c>
      <c r="C3413">
        <v>2000</v>
      </c>
    </row>
    <row r="3414" spans="1:11" x14ac:dyDescent="0.25">
      <c r="A3414" t="s">
        <v>87</v>
      </c>
    </row>
    <row r="3415" spans="1:11" x14ac:dyDescent="0.25">
      <c r="A3415">
        <v>881</v>
      </c>
      <c r="B3415">
        <v>0</v>
      </c>
      <c r="C3415">
        <v>20.413785272461599</v>
      </c>
      <c r="D3415">
        <v>5.3320636446409804</v>
      </c>
      <c r="E3415">
        <v>8</v>
      </c>
      <c r="F3415">
        <v>1.01722196789785</v>
      </c>
      <c r="G3415" t="s">
        <v>88</v>
      </c>
      <c r="H3415" t="s">
        <v>88</v>
      </c>
      <c r="I3415">
        <v>11</v>
      </c>
      <c r="J3415">
        <v>817</v>
      </c>
      <c r="K3415">
        <v>0.104525721151597</v>
      </c>
    </row>
    <row r="3416" spans="1:11" x14ac:dyDescent="0.25">
      <c r="A3416" t="s">
        <v>86</v>
      </c>
    </row>
    <row r="3417" spans="1:11" x14ac:dyDescent="0.25">
      <c r="A3417">
        <v>21.9068988873235</v>
      </c>
      <c r="B3417">
        <v>56.145073002733</v>
      </c>
      <c r="C3417">
        <v>2000</v>
      </c>
    </row>
    <row r="3418" spans="1:11" x14ac:dyDescent="0.25">
      <c r="A3418">
        <v>15.9803338968148</v>
      </c>
      <c r="B3418">
        <v>50.218508012224397</v>
      </c>
      <c r="C3418">
        <v>2000</v>
      </c>
    </row>
    <row r="3419" spans="1:11" x14ac:dyDescent="0.25">
      <c r="A3419">
        <v>7.4721728914798096</v>
      </c>
      <c r="B3419">
        <v>41.7103470068894</v>
      </c>
      <c r="C3419">
        <v>2000</v>
      </c>
    </row>
    <row r="3420" spans="1:11" x14ac:dyDescent="0.25">
      <c r="A3420">
        <v>7.9091889159286302</v>
      </c>
      <c r="B3420">
        <v>41.273330982440598</v>
      </c>
      <c r="C3420">
        <v>2001</v>
      </c>
    </row>
    <row r="3421" spans="1:11" x14ac:dyDescent="0.25">
      <c r="A3421">
        <v>16.4173499212636</v>
      </c>
      <c r="B3421">
        <v>49.781491987775603</v>
      </c>
      <c r="C3421">
        <v>2001</v>
      </c>
    </row>
    <row r="3422" spans="1:11" x14ac:dyDescent="0.25">
      <c r="A3422">
        <v>22.343914911772298</v>
      </c>
      <c r="B3422">
        <v>55.708056978284198</v>
      </c>
      <c r="C3422">
        <v>2001</v>
      </c>
    </row>
    <row r="3423" spans="1:11" x14ac:dyDescent="0.25">
      <c r="A3423">
        <v>26.1142532726162</v>
      </c>
      <c r="B3423">
        <v>59.478395339128099</v>
      </c>
      <c r="C3423">
        <v>2001</v>
      </c>
    </row>
    <row r="3424" spans="1:11" x14ac:dyDescent="0.25">
      <c r="A3424">
        <v>25.677237248167302</v>
      </c>
      <c r="B3424">
        <v>59.915411363576901</v>
      </c>
      <c r="C3424">
        <v>2000</v>
      </c>
    </row>
    <row r="3425" spans="1:11" x14ac:dyDescent="0.25">
      <c r="A3425" t="s">
        <v>87</v>
      </c>
    </row>
    <row r="3426" spans="1:11" x14ac:dyDescent="0.25">
      <c r="A3426">
        <v>996</v>
      </c>
      <c r="B3426">
        <v>0</v>
      </c>
      <c r="C3426">
        <v>19.3782733252329</v>
      </c>
      <c r="D3426">
        <v>6.3433726991888202</v>
      </c>
      <c r="E3426">
        <v>10</v>
      </c>
      <c r="F3426">
        <v>1.01722196789785</v>
      </c>
      <c r="G3426" t="s">
        <v>88</v>
      </c>
      <c r="H3426" t="s">
        <v>88</v>
      </c>
      <c r="I3426">
        <v>248</v>
      </c>
      <c r="J3426">
        <v>975</v>
      </c>
      <c r="K3426">
        <v>0.11167055794483299</v>
      </c>
    </row>
    <row r="3427" spans="1:11" x14ac:dyDescent="0.25">
      <c r="A3427" t="s">
        <v>86</v>
      </c>
    </row>
    <row r="3428" spans="1:11" x14ac:dyDescent="0.25">
      <c r="A3428">
        <v>102.98275114968099</v>
      </c>
      <c r="B3428">
        <v>58.822944430547501</v>
      </c>
      <c r="C3428">
        <v>2000</v>
      </c>
    </row>
    <row r="3429" spans="1:11" x14ac:dyDescent="0.25">
      <c r="A3429">
        <v>99.781491987775595</v>
      </c>
      <c r="B3429">
        <v>55.621685268642402</v>
      </c>
      <c r="C3429">
        <v>2000</v>
      </c>
    </row>
    <row r="3430" spans="1:11" x14ac:dyDescent="0.25">
      <c r="A3430">
        <v>94.378314731357605</v>
      </c>
      <c r="B3430">
        <v>50.218508012224397</v>
      </c>
      <c r="C3430">
        <v>2000</v>
      </c>
    </row>
    <row r="3431" spans="1:11" x14ac:dyDescent="0.25">
      <c r="A3431">
        <v>89.280242673722</v>
      </c>
      <c r="B3431">
        <v>45.120435954588899</v>
      </c>
      <c r="C3431">
        <v>2000</v>
      </c>
    </row>
    <row r="3432" spans="1:11" x14ac:dyDescent="0.25">
      <c r="A3432">
        <v>89.717258698170795</v>
      </c>
      <c r="B3432">
        <v>44.683419930139998</v>
      </c>
      <c r="C3432">
        <v>2001</v>
      </c>
    </row>
    <row r="3433" spans="1:11" x14ac:dyDescent="0.25">
      <c r="A3433">
        <v>94.8153307558064</v>
      </c>
      <c r="B3433">
        <v>49.781491987775603</v>
      </c>
      <c r="C3433">
        <v>2001</v>
      </c>
    </row>
    <row r="3434" spans="1:11" x14ac:dyDescent="0.25">
      <c r="A3434">
        <v>100.21850801222401</v>
      </c>
      <c r="B3434">
        <v>55.1846692441936</v>
      </c>
      <c r="C3434">
        <v>2001</v>
      </c>
    </row>
    <row r="3435" spans="1:11" x14ac:dyDescent="0.25">
      <c r="A3435">
        <v>103.41976717412901</v>
      </c>
      <c r="B3435">
        <v>58.3859284060986</v>
      </c>
      <c r="C3435">
        <v>2001</v>
      </c>
    </row>
    <row r="3436" spans="1:11" x14ac:dyDescent="0.25">
      <c r="A3436">
        <v>107.905209025319</v>
      </c>
      <c r="B3436">
        <v>62.871370257288703</v>
      </c>
      <c r="C3436">
        <v>2001</v>
      </c>
    </row>
    <row r="3437" spans="1:11" x14ac:dyDescent="0.25">
      <c r="A3437">
        <v>107.468193000871</v>
      </c>
      <c r="B3437">
        <v>63.308386281737498</v>
      </c>
      <c r="C3437">
        <v>2000</v>
      </c>
    </row>
    <row r="3438" spans="1:11" x14ac:dyDescent="0.25">
      <c r="A3438" t="s">
        <v>87</v>
      </c>
    </row>
    <row r="3439" spans="1:11" x14ac:dyDescent="0.25">
      <c r="A3439">
        <v>1012</v>
      </c>
      <c r="B3439">
        <v>0</v>
      </c>
      <c r="C3439">
        <v>4.0908747647171602</v>
      </c>
      <c r="D3439">
        <v>21.553455495024199</v>
      </c>
      <c r="E3439">
        <v>8</v>
      </c>
      <c r="F3439">
        <v>1.01722196789785</v>
      </c>
      <c r="G3439" t="s">
        <v>88</v>
      </c>
      <c r="H3439" t="s">
        <v>88</v>
      </c>
      <c r="I3439">
        <v>482</v>
      </c>
      <c r="J3439">
        <v>360</v>
      </c>
      <c r="K3439">
        <v>0.112746146041728</v>
      </c>
    </row>
    <row r="3440" spans="1:11" x14ac:dyDescent="0.25">
      <c r="A3440" t="s">
        <v>86</v>
      </c>
    </row>
    <row r="3441" spans="1:11" x14ac:dyDescent="0.25">
      <c r="A3441">
        <v>45.018617006954301</v>
      </c>
      <c r="B3441">
        <v>77.968006788276895</v>
      </c>
      <c r="C3441">
        <v>2000</v>
      </c>
    </row>
    <row r="3442" spans="1:11" x14ac:dyDescent="0.25">
      <c r="A3442">
        <v>42.125931719837901</v>
      </c>
      <c r="B3442">
        <v>75.075321501160502</v>
      </c>
      <c r="C3442">
        <v>2000</v>
      </c>
    </row>
    <row r="3443" spans="1:11" x14ac:dyDescent="0.25">
      <c r="A3443">
        <v>41.688915695388999</v>
      </c>
      <c r="B3443">
        <v>75.512337525609297</v>
      </c>
      <c r="C3443">
        <v>2001</v>
      </c>
    </row>
    <row r="3444" spans="1:11" x14ac:dyDescent="0.25">
      <c r="A3444">
        <v>44.581600982505499</v>
      </c>
      <c r="B3444">
        <v>78.405022812725704</v>
      </c>
      <c r="C3444">
        <v>2001</v>
      </c>
    </row>
    <row r="3445" spans="1:11" x14ac:dyDescent="0.25">
      <c r="A3445">
        <v>49.781491987775603</v>
      </c>
      <c r="B3445">
        <v>83.604913817995794</v>
      </c>
      <c r="C3445">
        <v>2001</v>
      </c>
    </row>
    <row r="3446" spans="1:11" x14ac:dyDescent="0.25">
      <c r="A3446">
        <v>59.822195521039603</v>
      </c>
      <c r="B3446">
        <v>93.645617351259801</v>
      </c>
      <c r="C3446">
        <v>2001</v>
      </c>
    </row>
    <row r="3447" spans="1:11" x14ac:dyDescent="0.25">
      <c r="A3447">
        <v>60.259211545488398</v>
      </c>
      <c r="B3447">
        <v>93.208601326811007</v>
      </c>
      <c r="C3447">
        <v>2000</v>
      </c>
    </row>
    <row r="3448" spans="1:11" x14ac:dyDescent="0.25">
      <c r="A3448">
        <v>50.218508012224397</v>
      </c>
      <c r="B3448">
        <v>83.167897793546999</v>
      </c>
      <c r="C3448">
        <v>2000</v>
      </c>
    </row>
    <row r="3449" spans="1:11" x14ac:dyDescent="0.25">
      <c r="A3449" t="s">
        <v>87</v>
      </c>
    </row>
    <row r="3450" spans="1:11" x14ac:dyDescent="0.25">
      <c r="A3450">
        <v>993</v>
      </c>
      <c r="B3450">
        <v>0</v>
      </c>
      <c r="C3450">
        <v>18.131390406072601</v>
      </c>
      <c r="D3450">
        <v>7.4546872417029704</v>
      </c>
      <c r="E3450">
        <v>6</v>
      </c>
      <c r="F3450">
        <v>1.01722196789785</v>
      </c>
      <c r="G3450" t="s">
        <v>88</v>
      </c>
      <c r="H3450" t="s">
        <v>88</v>
      </c>
      <c r="I3450">
        <v>514</v>
      </c>
      <c r="J3450">
        <v>826</v>
      </c>
      <c r="K3450">
        <v>0.111576050877273</v>
      </c>
    </row>
    <row r="3451" spans="1:11" x14ac:dyDescent="0.25">
      <c r="A3451" t="s">
        <v>86</v>
      </c>
    </row>
    <row r="3452" spans="1:11" x14ac:dyDescent="0.25">
      <c r="A3452">
        <v>37.519724389784599</v>
      </c>
      <c r="B3452">
        <v>73.714582438909005</v>
      </c>
      <c r="C3452">
        <v>2000</v>
      </c>
    </row>
    <row r="3453" spans="1:11" x14ac:dyDescent="0.25">
      <c r="A3453">
        <v>24.698895281310001</v>
      </c>
      <c r="B3453">
        <v>60.893753330434301</v>
      </c>
      <c r="C3453">
        <v>2000</v>
      </c>
    </row>
    <row r="3454" spans="1:11" x14ac:dyDescent="0.25">
      <c r="A3454">
        <v>25.1359113057588</v>
      </c>
      <c r="B3454">
        <v>60.456737305985499</v>
      </c>
      <c r="C3454">
        <v>2001</v>
      </c>
    </row>
    <row r="3455" spans="1:11" x14ac:dyDescent="0.25">
      <c r="A3455">
        <v>37.956740414233501</v>
      </c>
      <c r="B3455">
        <v>73.277566414460196</v>
      </c>
      <c r="C3455">
        <v>2001</v>
      </c>
    </row>
    <row r="3456" spans="1:11" x14ac:dyDescent="0.25">
      <c r="A3456">
        <v>43.228000314466499</v>
      </c>
      <c r="B3456">
        <v>78.548826314693201</v>
      </c>
      <c r="C3456">
        <v>2001</v>
      </c>
    </row>
    <row r="3457" spans="1:11" x14ac:dyDescent="0.25">
      <c r="A3457">
        <v>42.790984290017697</v>
      </c>
      <c r="B3457">
        <v>78.985842339141996</v>
      </c>
      <c r="C3457">
        <v>2000</v>
      </c>
    </row>
    <row r="3458" spans="1:11" x14ac:dyDescent="0.25">
      <c r="A3458" t="s">
        <v>87</v>
      </c>
    </row>
    <row r="3459" spans="1:11" x14ac:dyDescent="0.25">
      <c r="A3459">
        <v>866</v>
      </c>
      <c r="B3459">
        <v>0</v>
      </c>
      <c r="C3459">
        <v>6.8502254223064201</v>
      </c>
      <c r="D3459">
        <v>18.719203186646698</v>
      </c>
      <c r="E3459">
        <v>10</v>
      </c>
      <c r="F3459">
        <v>1.01722196789785</v>
      </c>
      <c r="G3459" t="s">
        <v>88</v>
      </c>
      <c r="H3459" t="s">
        <v>88</v>
      </c>
      <c r="I3459">
        <v>840</v>
      </c>
      <c r="J3459">
        <v>343</v>
      </c>
      <c r="K3459">
        <v>0.10413651460953199</v>
      </c>
    </row>
    <row r="3460" spans="1:11" x14ac:dyDescent="0.25">
      <c r="A3460" t="s">
        <v>86</v>
      </c>
    </row>
    <row r="3461" spans="1:11" x14ac:dyDescent="0.25">
      <c r="A3461">
        <v>40.9394250828446</v>
      </c>
      <c r="B3461">
        <v>90.633656460625701</v>
      </c>
      <c r="C3461">
        <v>2000</v>
      </c>
    </row>
    <row r="3462" spans="1:11" x14ac:dyDescent="0.25">
      <c r="A3462">
        <v>36.095584234075197</v>
      </c>
      <c r="B3462">
        <v>85.789815611856397</v>
      </c>
      <c r="C3462">
        <v>2000</v>
      </c>
    </row>
    <row r="3463" spans="1:11" x14ac:dyDescent="0.25">
      <c r="A3463">
        <v>35.658568209626402</v>
      </c>
      <c r="B3463">
        <v>86.226831636305207</v>
      </c>
      <c r="C3463">
        <v>2001</v>
      </c>
    </row>
    <row r="3464" spans="1:11" x14ac:dyDescent="0.25">
      <c r="A3464">
        <v>40.502409058395799</v>
      </c>
      <c r="B3464">
        <v>91.070672485074496</v>
      </c>
      <c r="C3464">
        <v>2001</v>
      </c>
    </row>
    <row r="3465" spans="1:11" x14ac:dyDescent="0.25">
      <c r="A3465">
        <v>49.6502445855457</v>
      </c>
      <c r="B3465">
        <v>100.21850801222401</v>
      </c>
      <c r="C3465">
        <v>2001</v>
      </c>
    </row>
    <row r="3466" spans="1:11" x14ac:dyDescent="0.25">
      <c r="A3466">
        <v>49.781491987775603</v>
      </c>
      <c r="B3466">
        <v>100.34975541445399</v>
      </c>
      <c r="C3466">
        <v>2001</v>
      </c>
    </row>
    <row r="3467" spans="1:11" x14ac:dyDescent="0.25">
      <c r="A3467">
        <v>53.738884570082497</v>
      </c>
      <c r="B3467">
        <v>104.307147996761</v>
      </c>
      <c r="C3467">
        <v>2001</v>
      </c>
    </row>
    <row r="3468" spans="1:11" x14ac:dyDescent="0.25">
      <c r="A3468">
        <v>54.175900594531299</v>
      </c>
      <c r="B3468">
        <v>103.870131972312</v>
      </c>
      <c r="C3468">
        <v>2000</v>
      </c>
    </row>
    <row r="3469" spans="1:11" x14ac:dyDescent="0.25">
      <c r="A3469">
        <v>50.218508012224397</v>
      </c>
      <c r="B3469">
        <v>99.912739390005498</v>
      </c>
      <c r="C3469">
        <v>2000</v>
      </c>
    </row>
    <row r="3470" spans="1:11" x14ac:dyDescent="0.25">
      <c r="A3470">
        <v>50.087260609994502</v>
      </c>
      <c r="B3470">
        <v>99.781491987775595</v>
      </c>
      <c r="C3470">
        <v>2000</v>
      </c>
    </row>
    <row r="3471" spans="1:11" x14ac:dyDescent="0.25">
      <c r="A3471" t="s">
        <v>87</v>
      </c>
    </row>
    <row r="3472" spans="1:11" x14ac:dyDescent="0.25">
      <c r="A3472">
        <v>932</v>
      </c>
      <c r="B3472">
        <v>0</v>
      </c>
      <c r="C3472">
        <v>15.170763556757899</v>
      </c>
      <c r="D3472">
        <v>10.386107012042199</v>
      </c>
      <c r="E3472">
        <v>8</v>
      </c>
      <c r="F3472">
        <v>1.01722196789785</v>
      </c>
      <c r="G3472" t="s">
        <v>88</v>
      </c>
      <c r="H3472" t="s">
        <v>88</v>
      </c>
      <c r="I3472">
        <v>33</v>
      </c>
      <c r="J3472">
        <v>891</v>
      </c>
      <c r="K3472">
        <v>0.105939460879158</v>
      </c>
    </row>
    <row r="3473" spans="1:11" x14ac:dyDescent="0.25">
      <c r="A3473" t="s">
        <v>86</v>
      </c>
    </row>
    <row r="3474" spans="1:11" x14ac:dyDescent="0.25">
      <c r="A3474">
        <v>49.615938720575699</v>
      </c>
      <c r="B3474">
        <v>67.912160179075698</v>
      </c>
      <c r="C3474">
        <v>2000</v>
      </c>
    </row>
    <row r="3475" spans="1:11" x14ac:dyDescent="0.25">
      <c r="A3475">
        <v>38.888588933814397</v>
      </c>
      <c r="B3475">
        <v>57.184810392314397</v>
      </c>
      <c r="C3475">
        <v>2000</v>
      </c>
    </row>
    <row r="3476" spans="1:11" x14ac:dyDescent="0.25">
      <c r="A3476">
        <v>38.451572909365602</v>
      </c>
      <c r="B3476">
        <v>57.621826416763199</v>
      </c>
      <c r="C3476">
        <v>2001</v>
      </c>
    </row>
    <row r="3477" spans="1:11" x14ac:dyDescent="0.25">
      <c r="A3477">
        <v>49.178922696126897</v>
      </c>
      <c r="B3477">
        <v>68.349176203524493</v>
      </c>
      <c r="C3477">
        <v>2001</v>
      </c>
    </row>
    <row r="3478" spans="1:11" x14ac:dyDescent="0.25">
      <c r="A3478">
        <v>49.781491987775603</v>
      </c>
      <c r="B3478">
        <v>68.951745495173199</v>
      </c>
      <c r="C3478">
        <v>2001</v>
      </c>
    </row>
    <row r="3479" spans="1:11" x14ac:dyDescent="0.25">
      <c r="A3479">
        <v>56.523009394471103</v>
      </c>
      <c r="B3479">
        <v>75.693262901868707</v>
      </c>
      <c r="C3479">
        <v>2001</v>
      </c>
    </row>
    <row r="3480" spans="1:11" x14ac:dyDescent="0.25">
      <c r="A3480">
        <v>56.960025418919898</v>
      </c>
      <c r="B3480">
        <v>75.256246877419898</v>
      </c>
      <c r="C3480">
        <v>2000</v>
      </c>
    </row>
    <row r="3481" spans="1:11" x14ac:dyDescent="0.25">
      <c r="A3481">
        <v>50.218508012224397</v>
      </c>
      <c r="B3481">
        <v>68.514729470724404</v>
      </c>
      <c r="C3481">
        <v>2000</v>
      </c>
    </row>
    <row r="3482" spans="1:11" x14ac:dyDescent="0.25">
      <c r="A3482" t="s">
        <v>87</v>
      </c>
    </row>
    <row r="3483" spans="1:11" x14ac:dyDescent="0.25">
      <c r="A3483">
        <v>980</v>
      </c>
      <c r="B3483">
        <v>0</v>
      </c>
      <c r="C3483">
        <v>14.1973937839056</v>
      </c>
      <c r="D3483">
        <v>11.178815599825199</v>
      </c>
      <c r="E3483">
        <v>8</v>
      </c>
      <c r="F3483">
        <v>1.01722196789785</v>
      </c>
      <c r="G3483" t="s">
        <v>85</v>
      </c>
      <c r="H3483" t="s">
        <v>88</v>
      </c>
      <c r="I3483">
        <v>0</v>
      </c>
      <c r="J3483">
        <v>487</v>
      </c>
      <c r="K3483">
        <v>0.110158980229261</v>
      </c>
    </row>
    <row r="3484" spans="1:11" x14ac:dyDescent="0.25">
      <c r="A3484" t="s">
        <v>86</v>
      </c>
    </row>
    <row r="3485" spans="1:11" x14ac:dyDescent="0.25">
      <c r="A3485">
        <v>9.8974165984819695</v>
      </c>
      <c r="B3485">
        <v>56.676526724101798</v>
      </c>
      <c r="C3485">
        <v>2000</v>
      </c>
    </row>
    <row r="3486" spans="1:11" x14ac:dyDescent="0.25">
      <c r="A3486">
        <v>3.5782888153157901</v>
      </c>
      <c r="B3486">
        <v>50.357398940935703</v>
      </c>
      <c r="C3486">
        <v>2000</v>
      </c>
    </row>
    <row r="3487" spans="1:11" x14ac:dyDescent="0.25">
      <c r="A3487">
        <v>0</v>
      </c>
      <c r="B3487">
        <v>46.779110125619901</v>
      </c>
      <c r="C3487">
        <v>2000</v>
      </c>
    </row>
    <row r="3488" spans="1:11" x14ac:dyDescent="0.25">
      <c r="A3488">
        <v>0</v>
      </c>
      <c r="B3488">
        <v>45.905078076722198</v>
      </c>
      <c r="C3488">
        <v>2001</v>
      </c>
    </row>
    <row r="3489" spans="1:11" x14ac:dyDescent="0.25">
      <c r="A3489">
        <v>3.7375229823421199</v>
      </c>
      <c r="B3489">
        <v>49.642601059064297</v>
      </c>
      <c r="C3489">
        <v>2001</v>
      </c>
    </row>
    <row r="3490" spans="1:11" x14ac:dyDescent="0.25">
      <c r="A3490">
        <v>10.180730241068799</v>
      </c>
      <c r="B3490">
        <v>56.085808317790999</v>
      </c>
      <c r="C3490">
        <v>2001</v>
      </c>
    </row>
    <row r="3491" spans="1:11" x14ac:dyDescent="0.25">
      <c r="A3491">
        <v>18.162197748270199</v>
      </c>
      <c r="B3491">
        <v>64.067275824992393</v>
      </c>
      <c r="C3491">
        <v>2001</v>
      </c>
    </row>
    <row r="3492" spans="1:11" x14ac:dyDescent="0.25">
      <c r="A3492">
        <v>17.725181723821301</v>
      </c>
      <c r="B3492">
        <v>64.504291849441202</v>
      </c>
      <c r="C3492">
        <v>2000</v>
      </c>
    </row>
    <row r="3493" spans="1:11" x14ac:dyDescent="0.25">
      <c r="A3493" t="s">
        <v>87</v>
      </c>
    </row>
    <row r="3494" spans="1:11" x14ac:dyDescent="0.25">
      <c r="A3494">
        <v>859</v>
      </c>
      <c r="B3494">
        <v>0</v>
      </c>
      <c r="C3494">
        <v>19.5941202604937</v>
      </c>
      <c r="D3494">
        <v>5.6597788515004002</v>
      </c>
      <c r="E3494">
        <v>6</v>
      </c>
      <c r="F3494">
        <v>1.01722196789785</v>
      </c>
      <c r="G3494" t="s">
        <v>85</v>
      </c>
      <c r="H3494" t="s">
        <v>88</v>
      </c>
      <c r="I3494">
        <v>0</v>
      </c>
      <c r="J3494">
        <v>30</v>
      </c>
      <c r="K3494">
        <v>0.103935679754349</v>
      </c>
    </row>
    <row r="3495" spans="1:11" x14ac:dyDescent="0.25">
      <c r="A3495" t="s">
        <v>86</v>
      </c>
    </row>
    <row r="3496" spans="1:11" x14ac:dyDescent="0.25">
      <c r="A3496">
        <v>14.0246723858116</v>
      </c>
      <c r="B3496">
        <v>19.176119545594901</v>
      </c>
      <c r="C3496">
        <v>2000</v>
      </c>
    </row>
    <row r="3497" spans="1:11" x14ac:dyDescent="0.25">
      <c r="A3497">
        <v>0</v>
      </c>
      <c r="B3497">
        <v>5.1514471597832996</v>
      </c>
      <c r="C3497">
        <v>2000</v>
      </c>
    </row>
    <row r="3498" spans="1:11" x14ac:dyDescent="0.25">
      <c r="A3498">
        <v>0</v>
      </c>
      <c r="B3498">
        <v>6.0254792086809399</v>
      </c>
      <c r="C3498">
        <v>2001</v>
      </c>
    </row>
    <row r="3499" spans="1:11" x14ac:dyDescent="0.25">
      <c r="A3499">
        <v>13.6855982293481</v>
      </c>
      <c r="B3499">
        <v>19.711077438029001</v>
      </c>
      <c r="C3499">
        <v>2001</v>
      </c>
    </row>
    <row r="3500" spans="1:11" x14ac:dyDescent="0.25">
      <c r="A3500">
        <v>17.6386953012676</v>
      </c>
      <c r="B3500">
        <v>23.664174509948499</v>
      </c>
      <c r="C3500">
        <v>2001</v>
      </c>
    </row>
    <row r="3501" spans="1:11" x14ac:dyDescent="0.25">
      <c r="A3501">
        <v>18.075711325716401</v>
      </c>
      <c r="B3501">
        <v>23.2271584854997</v>
      </c>
      <c r="C3501">
        <v>2000</v>
      </c>
    </row>
    <row r="3502" spans="1:11" x14ac:dyDescent="0.25">
      <c r="A3502" t="s">
        <v>87</v>
      </c>
    </row>
    <row r="3503" spans="1:11" x14ac:dyDescent="0.25">
      <c r="A3503">
        <v>869</v>
      </c>
      <c r="B3503">
        <v>0</v>
      </c>
      <c r="C3503">
        <v>21.078405668176799</v>
      </c>
      <c r="D3503">
        <v>4.1522578477101497</v>
      </c>
      <c r="E3503">
        <v>10</v>
      </c>
      <c r="F3503">
        <v>1.01722196789785</v>
      </c>
      <c r="G3503" t="s">
        <v>88</v>
      </c>
      <c r="H3503" t="s">
        <v>88</v>
      </c>
      <c r="I3503">
        <v>821</v>
      </c>
      <c r="J3503">
        <v>103</v>
      </c>
      <c r="K3503">
        <v>0.10413651460953199</v>
      </c>
    </row>
    <row r="3504" spans="1:11" x14ac:dyDescent="0.25">
      <c r="A3504" t="s">
        <v>86</v>
      </c>
    </row>
    <row r="3505" spans="1:11" x14ac:dyDescent="0.25">
      <c r="A3505">
        <v>59.060614016862097</v>
      </c>
      <c r="B3505">
        <v>48.805499130773903</v>
      </c>
      <c r="C3505">
        <v>2000</v>
      </c>
    </row>
    <row r="3506" spans="1:11" x14ac:dyDescent="0.25">
      <c r="A3506">
        <v>50.218508012224397</v>
      </c>
      <c r="B3506">
        <v>39.963393126136197</v>
      </c>
      <c r="C3506">
        <v>2000</v>
      </c>
    </row>
    <row r="3507" spans="1:11" x14ac:dyDescent="0.25">
      <c r="A3507">
        <v>44.155930432293303</v>
      </c>
      <c r="B3507">
        <v>33.900815546205102</v>
      </c>
      <c r="C3507">
        <v>2000</v>
      </c>
    </row>
    <row r="3508" spans="1:11" x14ac:dyDescent="0.25">
      <c r="A3508">
        <v>43.718914407844501</v>
      </c>
      <c r="B3508">
        <v>34.337831570653897</v>
      </c>
      <c r="C3508">
        <v>2001</v>
      </c>
    </row>
    <row r="3509" spans="1:11" x14ac:dyDescent="0.25">
      <c r="A3509">
        <v>49.781491987775603</v>
      </c>
      <c r="B3509">
        <v>40.400409150584998</v>
      </c>
      <c r="C3509">
        <v>2001</v>
      </c>
    </row>
    <row r="3510" spans="1:11" x14ac:dyDescent="0.25">
      <c r="A3510">
        <v>58.623597992413302</v>
      </c>
      <c r="B3510">
        <v>49.242515155222698</v>
      </c>
      <c r="C3510">
        <v>2001</v>
      </c>
    </row>
    <row r="3511" spans="1:11" x14ac:dyDescent="0.25">
      <c r="A3511">
        <v>59.599590849415002</v>
      </c>
      <c r="B3511">
        <v>50.218508012224397</v>
      </c>
      <c r="C3511">
        <v>2001</v>
      </c>
    </row>
    <row r="3512" spans="1:11" x14ac:dyDescent="0.25">
      <c r="A3512">
        <v>61.559687673764202</v>
      </c>
      <c r="B3512">
        <v>52.178604836573598</v>
      </c>
      <c r="C3512">
        <v>2001</v>
      </c>
    </row>
    <row r="3513" spans="1:11" x14ac:dyDescent="0.25">
      <c r="A3513">
        <v>61.996703698212997</v>
      </c>
      <c r="B3513">
        <v>51.741588812124803</v>
      </c>
      <c r="C3513">
        <v>2000</v>
      </c>
    </row>
    <row r="3514" spans="1:11" x14ac:dyDescent="0.25">
      <c r="A3514">
        <v>60.036606873863803</v>
      </c>
      <c r="B3514">
        <v>49.781491987775603</v>
      </c>
      <c r="C3514">
        <v>2000</v>
      </c>
    </row>
    <row r="3515" spans="1:11" x14ac:dyDescent="0.25">
      <c r="A3515" t="s">
        <v>87</v>
      </c>
    </row>
    <row r="3516" spans="1:11" x14ac:dyDescent="0.25">
      <c r="A3516">
        <v>585</v>
      </c>
      <c r="B3516">
        <v>0</v>
      </c>
      <c r="C3516">
        <v>14.517639434329601</v>
      </c>
      <c r="D3516">
        <v>10.711809285402699</v>
      </c>
      <c r="E3516">
        <v>6</v>
      </c>
      <c r="F3516">
        <v>1.01722196789785</v>
      </c>
      <c r="G3516" t="s">
        <v>85</v>
      </c>
      <c r="H3516" t="s">
        <v>88</v>
      </c>
      <c r="I3516">
        <v>0</v>
      </c>
      <c r="J3516">
        <v>894</v>
      </c>
      <c r="K3516">
        <v>0</v>
      </c>
    </row>
    <row r="3517" spans="1:11" x14ac:dyDescent="0.25">
      <c r="A3517" t="s">
        <v>86</v>
      </c>
    </row>
    <row r="3518" spans="1:11" x14ac:dyDescent="0.25">
      <c r="A3518">
        <v>10.1397864572995</v>
      </c>
      <c r="B3518">
        <v>135.98434422308901</v>
      </c>
      <c r="C3518">
        <v>2000</v>
      </c>
    </row>
    <row r="3519" spans="1:11" x14ac:dyDescent="0.25">
      <c r="A3519">
        <v>0</v>
      </c>
      <c r="B3519">
        <v>125.84455776579</v>
      </c>
      <c r="C3519">
        <v>2000</v>
      </c>
    </row>
    <row r="3520" spans="1:11" x14ac:dyDescent="0.25">
      <c r="A3520">
        <v>0</v>
      </c>
      <c r="B3520">
        <v>124.970525716892</v>
      </c>
      <c r="C3520">
        <v>2001</v>
      </c>
    </row>
    <row r="3521" spans="1:11" x14ac:dyDescent="0.25">
      <c r="A3521">
        <v>10.3912561243719</v>
      </c>
      <c r="B3521">
        <v>135.36178184126399</v>
      </c>
      <c r="C3521">
        <v>2001</v>
      </c>
    </row>
    <row r="3522" spans="1:11" x14ac:dyDescent="0.25">
      <c r="A3522">
        <v>18.058422287545401</v>
      </c>
      <c r="B3522">
        <v>143.02894800443801</v>
      </c>
      <c r="C3522">
        <v>2001</v>
      </c>
    </row>
    <row r="3523" spans="1:11" x14ac:dyDescent="0.25">
      <c r="A3523">
        <v>17.621406263096599</v>
      </c>
      <c r="B3523">
        <v>143.46596402888699</v>
      </c>
      <c r="C3523">
        <v>2000</v>
      </c>
    </row>
    <row r="3524" spans="1:11" x14ac:dyDescent="0.25">
      <c r="A3524" t="s">
        <v>87</v>
      </c>
    </row>
    <row r="3525" spans="1:11" x14ac:dyDescent="0.25">
      <c r="A3525">
        <v>433</v>
      </c>
      <c r="B3525">
        <v>0</v>
      </c>
      <c r="C3525">
        <v>23.849447583001499</v>
      </c>
      <c r="D3525">
        <v>1.25571708065439</v>
      </c>
      <c r="E3525">
        <v>6</v>
      </c>
      <c r="F3525">
        <v>1.01722196789785</v>
      </c>
      <c r="G3525" t="s">
        <v>85</v>
      </c>
      <c r="H3525" t="s">
        <v>88</v>
      </c>
      <c r="I3525">
        <v>0</v>
      </c>
      <c r="J3525">
        <v>402</v>
      </c>
      <c r="K3525">
        <v>0</v>
      </c>
    </row>
    <row r="3526" spans="1:11" x14ac:dyDescent="0.25">
      <c r="A3526" t="s">
        <v>86</v>
      </c>
    </row>
    <row r="3527" spans="1:11" x14ac:dyDescent="0.25">
      <c r="A3527">
        <v>118.514679716911</v>
      </c>
      <c r="B3527">
        <v>17.071684731432502</v>
      </c>
      <c r="C3527">
        <v>2000</v>
      </c>
    </row>
    <row r="3528" spans="1:11" x14ac:dyDescent="0.25">
      <c r="A3528">
        <v>101.442994985479</v>
      </c>
      <c r="B3528">
        <v>0</v>
      </c>
      <c r="C3528">
        <v>2000</v>
      </c>
    </row>
    <row r="3529" spans="1:11" x14ac:dyDescent="0.25">
      <c r="A3529">
        <v>102.31702703437701</v>
      </c>
      <c r="B3529">
        <v>0</v>
      </c>
      <c r="C3529">
        <v>2001</v>
      </c>
    </row>
    <row r="3530" spans="1:11" x14ac:dyDescent="0.25">
      <c r="A3530">
        <v>118.97355452993099</v>
      </c>
      <c r="B3530">
        <v>16.656527495554499</v>
      </c>
      <c r="C3530">
        <v>2001</v>
      </c>
    </row>
    <row r="3531" spans="1:11" x14ac:dyDescent="0.25">
      <c r="A3531">
        <v>119.850551198628</v>
      </c>
      <c r="B3531">
        <v>17.533524164251599</v>
      </c>
      <c r="C3531">
        <v>2001</v>
      </c>
    </row>
    <row r="3532" spans="1:11" x14ac:dyDescent="0.25">
      <c r="A3532">
        <v>119.413535174179</v>
      </c>
      <c r="B3532">
        <v>17.970540188700401</v>
      </c>
      <c r="C3532">
        <v>2000</v>
      </c>
    </row>
    <row r="3533" spans="1:11" x14ac:dyDescent="0.25">
      <c r="A3533" t="s">
        <v>87</v>
      </c>
    </row>
    <row r="3534" spans="1:11" x14ac:dyDescent="0.25">
      <c r="A3534">
        <v>749</v>
      </c>
      <c r="B3534">
        <v>0</v>
      </c>
      <c r="C3534">
        <v>20.738138194334301</v>
      </c>
      <c r="D3534">
        <v>4.2955484120664797</v>
      </c>
      <c r="E3534">
        <v>8</v>
      </c>
      <c r="F3534">
        <v>1.01722196789785</v>
      </c>
      <c r="G3534" t="s">
        <v>88</v>
      </c>
      <c r="H3534" t="s">
        <v>88</v>
      </c>
      <c r="I3534">
        <v>33</v>
      </c>
      <c r="J3534">
        <v>119</v>
      </c>
      <c r="K3534">
        <v>0.101113411737407</v>
      </c>
    </row>
    <row r="3535" spans="1:11" x14ac:dyDescent="0.25">
      <c r="A3535" t="s">
        <v>86</v>
      </c>
    </row>
    <row r="3536" spans="1:11" x14ac:dyDescent="0.25">
      <c r="A3536">
        <v>52.57530127167</v>
      </c>
      <c r="B3536">
        <v>72.826254347253894</v>
      </c>
      <c r="C3536">
        <v>2000</v>
      </c>
    </row>
    <row r="3537" spans="1:11" x14ac:dyDescent="0.25">
      <c r="A3537">
        <v>49.781491987775603</v>
      </c>
      <c r="B3537">
        <v>70.032445063359503</v>
      </c>
      <c r="C3537">
        <v>2000</v>
      </c>
    </row>
    <row r="3538" spans="1:11" x14ac:dyDescent="0.25">
      <c r="A3538">
        <v>37.9112231252725</v>
      </c>
      <c r="B3538">
        <v>58.1621762008564</v>
      </c>
      <c r="C3538">
        <v>2000</v>
      </c>
    </row>
    <row r="3539" spans="1:11" x14ac:dyDescent="0.25">
      <c r="A3539">
        <v>38.348239149721302</v>
      </c>
      <c r="B3539">
        <v>57.725160176407499</v>
      </c>
      <c r="C3539">
        <v>2001</v>
      </c>
    </row>
    <row r="3540" spans="1:11" x14ac:dyDescent="0.25">
      <c r="A3540">
        <v>50.218508012224397</v>
      </c>
      <c r="B3540">
        <v>69.595429038910694</v>
      </c>
      <c r="C3540">
        <v>2001</v>
      </c>
    </row>
    <row r="3541" spans="1:11" x14ac:dyDescent="0.25">
      <c r="A3541">
        <v>53.012317296118802</v>
      </c>
      <c r="B3541">
        <v>72.389238322805099</v>
      </c>
      <c r="C3541">
        <v>2001</v>
      </c>
    </row>
    <row r="3542" spans="1:11" x14ac:dyDescent="0.25">
      <c r="A3542">
        <v>56.0497287072061</v>
      </c>
      <c r="B3542">
        <v>75.426649733892404</v>
      </c>
      <c r="C3542">
        <v>2001</v>
      </c>
    </row>
    <row r="3543" spans="1:11" x14ac:dyDescent="0.25">
      <c r="A3543">
        <v>55.612712682757298</v>
      </c>
      <c r="B3543">
        <v>75.863665758341199</v>
      </c>
      <c r="C3543">
        <v>2000</v>
      </c>
    </row>
    <row r="3544" spans="1:11" x14ac:dyDescent="0.25">
      <c r="A3544" t="s">
        <v>87</v>
      </c>
    </row>
    <row r="3545" spans="1:11" x14ac:dyDescent="0.25">
      <c r="A3545">
        <v>797</v>
      </c>
      <c r="B3545">
        <v>0</v>
      </c>
      <c r="C3545">
        <v>7.22210624715132</v>
      </c>
      <c r="D3545">
        <v>17.717530916932098</v>
      </c>
      <c r="E3545">
        <v>8</v>
      </c>
      <c r="F3545">
        <v>1.01722196789785</v>
      </c>
      <c r="G3545" t="s">
        <v>88</v>
      </c>
      <c r="H3545" t="s">
        <v>88</v>
      </c>
      <c r="I3545">
        <v>748</v>
      </c>
      <c r="J3545">
        <v>679</v>
      </c>
      <c r="K3545">
        <v>0.102396880332516</v>
      </c>
    </row>
    <row r="3546" spans="1:11" x14ac:dyDescent="0.25">
      <c r="A3546" t="s">
        <v>86</v>
      </c>
    </row>
    <row r="3547" spans="1:11" x14ac:dyDescent="0.25">
      <c r="A3547">
        <v>104.95981833523599</v>
      </c>
      <c r="B3547">
        <v>103.911487076851</v>
      </c>
      <c r="C3547">
        <v>2000</v>
      </c>
    </row>
    <row r="3548" spans="1:11" x14ac:dyDescent="0.25">
      <c r="A3548">
        <v>101.266839270609</v>
      </c>
      <c r="B3548">
        <v>100.21850801222401</v>
      </c>
      <c r="C3548">
        <v>2000</v>
      </c>
    </row>
    <row r="3549" spans="1:11" x14ac:dyDescent="0.25">
      <c r="A3549">
        <v>99.8530180334254</v>
      </c>
      <c r="B3549">
        <v>98.804686775041006</v>
      </c>
      <c r="C3549">
        <v>2000</v>
      </c>
    </row>
    <row r="3550" spans="1:11" x14ac:dyDescent="0.25">
      <c r="A3550">
        <v>100.290034057874</v>
      </c>
      <c r="B3550">
        <v>98.367670750592197</v>
      </c>
      <c r="C3550">
        <v>2001</v>
      </c>
    </row>
    <row r="3551" spans="1:11" x14ac:dyDescent="0.25">
      <c r="A3551">
        <v>101.70385529505801</v>
      </c>
      <c r="B3551">
        <v>99.781491987775595</v>
      </c>
      <c r="C3551">
        <v>2001</v>
      </c>
    </row>
    <row r="3552" spans="1:11" x14ac:dyDescent="0.25">
      <c r="A3552">
        <v>105.396834359685</v>
      </c>
      <c r="B3552">
        <v>103.474471052403</v>
      </c>
      <c r="C3552">
        <v>2001</v>
      </c>
    </row>
    <row r="3553" spans="1:11" x14ac:dyDescent="0.25">
      <c r="A3553">
        <v>117.92502061693</v>
      </c>
      <c r="B3553">
        <v>116.002657309648</v>
      </c>
      <c r="C3553">
        <v>2001</v>
      </c>
    </row>
    <row r="3554" spans="1:11" x14ac:dyDescent="0.25">
      <c r="A3554">
        <v>117.488004592481</v>
      </c>
      <c r="B3554">
        <v>116.439673334096</v>
      </c>
      <c r="C3554">
        <v>2000</v>
      </c>
    </row>
    <row r="3555" spans="1:11" x14ac:dyDescent="0.25">
      <c r="A3555" t="s">
        <v>87</v>
      </c>
    </row>
    <row r="3556" spans="1:11" x14ac:dyDescent="0.25">
      <c r="A3556">
        <v>872</v>
      </c>
      <c r="B3556">
        <v>0</v>
      </c>
      <c r="C3556">
        <v>20.137235943478</v>
      </c>
      <c r="D3556">
        <v>4.7295501641834496</v>
      </c>
      <c r="E3556">
        <v>6</v>
      </c>
      <c r="F3556">
        <v>1.01722196789785</v>
      </c>
      <c r="G3556" t="s">
        <v>85</v>
      </c>
      <c r="H3556" t="s">
        <v>88</v>
      </c>
      <c r="I3556">
        <v>0</v>
      </c>
      <c r="J3556">
        <v>428</v>
      </c>
      <c r="K3556">
        <v>0.104333136997122</v>
      </c>
    </row>
    <row r="3557" spans="1:11" x14ac:dyDescent="0.25">
      <c r="A3557" t="s">
        <v>86</v>
      </c>
    </row>
    <row r="3558" spans="1:11" x14ac:dyDescent="0.25">
      <c r="A3558">
        <v>129.33594296640399</v>
      </c>
      <c r="B3558">
        <v>14.416124867309801</v>
      </c>
      <c r="C3558">
        <v>2000</v>
      </c>
    </row>
    <row r="3559" spans="1:11" x14ac:dyDescent="0.25">
      <c r="A3559">
        <v>114.919818099094</v>
      </c>
      <c r="B3559">
        <v>0</v>
      </c>
      <c r="C3559">
        <v>2000</v>
      </c>
    </row>
    <row r="3560" spans="1:11" x14ac:dyDescent="0.25">
      <c r="A3560">
        <v>115.793850147992</v>
      </c>
      <c r="B3560">
        <v>0</v>
      </c>
      <c r="C3560">
        <v>2001</v>
      </c>
    </row>
    <row r="3561" spans="1:11" x14ac:dyDescent="0.25">
      <c r="A3561">
        <v>129.856077460656</v>
      </c>
      <c r="B3561">
        <v>14.062227312663801</v>
      </c>
      <c r="C3561">
        <v>2001</v>
      </c>
    </row>
    <row r="3562" spans="1:11" x14ac:dyDescent="0.25">
      <c r="A3562">
        <v>133.15881521880999</v>
      </c>
      <c r="B3562">
        <v>17.3649650708184</v>
      </c>
      <c r="C3562">
        <v>2001</v>
      </c>
    </row>
    <row r="3563" spans="1:11" x14ac:dyDescent="0.25">
      <c r="A3563">
        <v>132.72179919436101</v>
      </c>
      <c r="B3563">
        <v>17.801981095267202</v>
      </c>
      <c r="C3563">
        <v>2000</v>
      </c>
    </row>
    <row r="3564" spans="1:11" x14ac:dyDescent="0.25">
      <c r="A3564" t="s">
        <v>87</v>
      </c>
    </row>
    <row r="3565" spans="1:11" x14ac:dyDescent="0.25">
      <c r="A3565">
        <v>1031</v>
      </c>
      <c r="B3565">
        <v>0</v>
      </c>
      <c r="C3565">
        <v>24.104794396532601</v>
      </c>
      <c r="D3565">
        <v>0.46796972890619798</v>
      </c>
      <c r="E3565">
        <v>6</v>
      </c>
      <c r="F3565">
        <v>1.01722196789785</v>
      </c>
      <c r="G3565" t="s">
        <v>85</v>
      </c>
      <c r="H3565" t="s">
        <v>88</v>
      </c>
      <c r="I3565">
        <v>0</v>
      </c>
      <c r="J3565">
        <v>418</v>
      </c>
      <c r="K3565">
        <v>0.11441380073691</v>
      </c>
    </row>
    <row r="3566" spans="1:11" x14ac:dyDescent="0.25">
      <c r="A3566" t="s">
        <v>86</v>
      </c>
    </row>
    <row r="3567" spans="1:11" x14ac:dyDescent="0.25">
      <c r="A3567">
        <v>138.244231691848</v>
      </c>
      <c r="B3567">
        <v>17.259010269102401</v>
      </c>
      <c r="C3567">
        <v>2000</v>
      </c>
    </row>
    <row r="3568" spans="1:11" x14ac:dyDescent="0.25">
      <c r="A3568">
        <v>120.985221422745</v>
      </c>
      <c r="B3568">
        <v>0</v>
      </c>
      <c r="C3568">
        <v>2000</v>
      </c>
    </row>
    <row r="3569" spans="1:11" x14ac:dyDescent="0.25">
      <c r="A3569">
        <v>121.859253471643</v>
      </c>
      <c r="B3569">
        <v>0</v>
      </c>
      <c r="C3569">
        <v>2001</v>
      </c>
    </row>
    <row r="3570" spans="1:11" x14ac:dyDescent="0.25">
      <c r="A3570">
        <v>138.68957035633201</v>
      </c>
      <c r="B3570">
        <v>16.830316884688902</v>
      </c>
      <c r="C3570">
        <v>2001</v>
      </c>
    </row>
    <row r="3571" spans="1:11" x14ac:dyDescent="0.25">
      <c r="A3571">
        <v>139.01631360501401</v>
      </c>
      <c r="B3571">
        <v>17.157060133370901</v>
      </c>
      <c r="C3571">
        <v>2001</v>
      </c>
    </row>
    <row r="3572" spans="1:11" x14ac:dyDescent="0.25">
      <c r="A3572">
        <v>138.579297580565</v>
      </c>
      <c r="B3572">
        <v>17.5940761578197</v>
      </c>
      <c r="C3572">
        <v>2000</v>
      </c>
    </row>
    <row r="3573" spans="1:11" x14ac:dyDescent="0.25">
      <c r="A3573" t="s">
        <v>87</v>
      </c>
    </row>
    <row r="3574" spans="1:11" x14ac:dyDescent="0.25">
      <c r="A3574">
        <v>842</v>
      </c>
      <c r="B3574">
        <v>0</v>
      </c>
      <c r="C3574">
        <v>2.2918704649822699</v>
      </c>
      <c r="D3574">
        <v>22.177007905897501</v>
      </c>
      <c r="E3574">
        <v>10</v>
      </c>
      <c r="F3574">
        <v>1.01722196789785</v>
      </c>
      <c r="G3574" t="s">
        <v>88</v>
      </c>
      <c r="H3574" t="s">
        <v>88</v>
      </c>
      <c r="I3574">
        <v>826</v>
      </c>
      <c r="J3574">
        <v>812</v>
      </c>
      <c r="K3574">
        <v>0.103520648210845</v>
      </c>
    </row>
    <row r="3575" spans="1:11" x14ac:dyDescent="0.25">
      <c r="A3575" t="s">
        <v>86</v>
      </c>
    </row>
    <row r="3576" spans="1:11" x14ac:dyDescent="0.25">
      <c r="A3576">
        <v>50.871356049497102</v>
      </c>
      <c r="B3576">
        <v>87.365755308585307</v>
      </c>
      <c r="C3576">
        <v>2000</v>
      </c>
    </row>
    <row r="3577" spans="1:11" x14ac:dyDescent="0.25">
      <c r="A3577">
        <v>49.781491987775603</v>
      </c>
      <c r="B3577">
        <v>86.275891246863793</v>
      </c>
      <c r="C3577">
        <v>2000</v>
      </c>
    </row>
    <row r="3578" spans="1:11" x14ac:dyDescent="0.25">
      <c r="A3578">
        <v>49.250758902107002</v>
      </c>
      <c r="B3578">
        <v>85.745158161195207</v>
      </c>
      <c r="C3578">
        <v>2000</v>
      </c>
    </row>
    <row r="3579" spans="1:11" x14ac:dyDescent="0.25">
      <c r="A3579">
        <v>49.687774926555797</v>
      </c>
      <c r="B3579">
        <v>85.308142136746397</v>
      </c>
      <c r="C3579">
        <v>2001</v>
      </c>
    </row>
    <row r="3580" spans="1:11" x14ac:dyDescent="0.25">
      <c r="A3580">
        <v>50.218508012224397</v>
      </c>
      <c r="B3580">
        <v>85.838875222414998</v>
      </c>
      <c r="C3580">
        <v>2001</v>
      </c>
    </row>
    <row r="3581" spans="1:11" x14ac:dyDescent="0.25">
      <c r="A3581">
        <v>51.308372073946003</v>
      </c>
      <c r="B3581">
        <v>86.928739284136498</v>
      </c>
      <c r="C3581">
        <v>2001</v>
      </c>
    </row>
    <row r="3582" spans="1:11" x14ac:dyDescent="0.25">
      <c r="A3582">
        <v>64.161124777585002</v>
      </c>
      <c r="B3582">
        <v>99.781491987775595</v>
      </c>
      <c r="C3582">
        <v>2001</v>
      </c>
    </row>
    <row r="3583" spans="1:11" x14ac:dyDescent="0.25">
      <c r="A3583">
        <v>66.989884750633706</v>
      </c>
      <c r="B3583">
        <v>102.610251960824</v>
      </c>
      <c r="C3583">
        <v>2001</v>
      </c>
    </row>
    <row r="3584" spans="1:11" x14ac:dyDescent="0.25">
      <c r="A3584">
        <v>66.552868726184897</v>
      </c>
      <c r="B3584">
        <v>103.047267985273</v>
      </c>
      <c r="C3584">
        <v>2000</v>
      </c>
    </row>
    <row r="3585" spans="1:11" x14ac:dyDescent="0.25">
      <c r="A3585">
        <v>63.7241087531362</v>
      </c>
      <c r="B3585">
        <v>100.21850801222401</v>
      </c>
      <c r="C3585">
        <v>2000</v>
      </c>
    </row>
    <row r="3586" spans="1:11" x14ac:dyDescent="0.25">
      <c r="A3586" t="s">
        <v>87</v>
      </c>
    </row>
    <row r="3587" spans="1:11" x14ac:dyDescent="0.25">
      <c r="A3587">
        <v>870</v>
      </c>
      <c r="B3587">
        <v>0</v>
      </c>
      <c r="C3587">
        <v>5.8519983790606602</v>
      </c>
      <c r="D3587">
        <v>18.616879991819101</v>
      </c>
      <c r="E3587">
        <v>10</v>
      </c>
      <c r="F3587">
        <v>1.01722196789785</v>
      </c>
      <c r="G3587" t="s">
        <v>88</v>
      </c>
      <c r="H3587" t="s">
        <v>88</v>
      </c>
      <c r="I3587">
        <v>826</v>
      </c>
      <c r="J3587">
        <v>812</v>
      </c>
      <c r="K3587">
        <v>0.10413651460953199</v>
      </c>
    </row>
    <row r="3588" spans="1:11" x14ac:dyDescent="0.25">
      <c r="A3588" t="s">
        <v>86</v>
      </c>
    </row>
    <row r="3589" spans="1:11" x14ac:dyDescent="0.25">
      <c r="A3589">
        <v>53.342219691878498</v>
      </c>
      <c r="B3589">
        <v>89.929672846076699</v>
      </c>
      <c r="C3589">
        <v>2000</v>
      </c>
    </row>
    <row r="3590" spans="1:11" x14ac:dyDescent="0.25">
      <c r="A3590">
        <v>50.218508012224397</v>
      </c>
      <c r="B3590">
        <v>86.805961166422605</v>
      </c>
      <c r="C3590">
        <v>2000</v>
      </c>
    </row>
    <row r="3591" spans="1:11" x14ac:dyDescent="0.25">
      <c r="A3591">
        <v>49.204231954552</v>
      </c>
      <c r="B3591">
        <v>85.791685108750201</v>
      </c>
      <c r="C3591">
        <v>2000</v>
      </c>
    </row>
    <row r="3592" spans="1:11" x14ac:dyDescent="0.25">
      <c r="A3592">
        <v>48.767215930103198</v>
      </c>
      <c r="B3592">
        <v>86.228701133198996</v>
      </c>
      <c r="C3592">
        <v>2001</v>
      </c>
    </row>
    <row r="3593" spans="1:11" x14ac:dyDescent="0.25">
      <c r="A3593">
        <v>49.781491987775603</v>
      </c>
      <c r="B3593">
        <v>87.2429771908714</v>
      </c>
      <c r="C3593">
        <v>2001</v>
      </c>
    </row>
    <row r="3594" spans="1:11" x14ac:dyDescent="0.25">
      <c r="A3594">
        <v>52.905203667429703</v>
      </c>
      <c r="B3594">
        <v>90.366688870525493</v>
      </c>
      <c r="C3594">
        <v>2001</v>
      </c>
    </row>
    <row r="3595" spans="1:11" x14ac:dyDescent="0.25">
      <c r="A3595">
        <v>62.7570228091286</v>
      </c>
      <c r="B3595">
        <v>100.21850801222401</v>
      </c>
      <c r="C3595">
        <v>2001</v>
      </c>
    </row>
    <row r="3596" spans="1:11" x14ac:dyDescent="0.25">
      <c r="A3596">
        <v>66.069325754181094</v>
      </c>
      <c r="B3596">
        <v>103.530810957277</v>
      </c>
      <c r="C3596">
        <v>2001</v>
      </c>
    </row>
    <row r="3597" spans="1:11" x14ac:dyDescent="0.25">
      <c r="A3597">
        <v>66.506341778629903</v>
      </c>
      <c r="B3597">
        <v>103.093794932828</v>
      </c>
      <c r="C3597">
        <v>2000</v>
      </c>
    </row>
    <row r="3598" spans="1:11" x14ac:dyDescent="0.25">
      <c r="A3598">
        <v>63.194038833577402</v>
      </c>
      <c r="B3598">
        <v>99.781491987775595</v>
      </c>
      <c r="C3598">
        <v>2000</v>
      </c>
    </row>
    <row r="3599" spans="1:11" x14ac:dyDescent="0.25">
      <c r="A3599" t="s">
        <v>87</v>
      </c>
    </row>
    <row r="3600" spans="1:11" x14ac:dyDescent="0.25">
      <c r="A3600">
        <v>923</v>
      </c>
      <c r="B3600">
        <v>0</v>
      </c>
      <c r="C3600">
        <v>9.5565535513556501</v>
      </c>
      <c r="D3600">
        <v>14.8407759634361</v>
      </c>
      <c r="E3600">
        <v>6</v>
      </c>
      <c r="F3600">
        <v>1.01722196789785</v>
      </c>
      <c r="G3600" t="s">
        <v>85</v>
      </c>
      <c r="H3600" t="s">
        <v>88</v>
      </c>
      <c r="I3600">
        <v>0</v>
      </c>
      <c r="J3600">
        <v>419</v>
      </c>
      <c r="K3600">
        <v>0.105605243465119</v>
      </c>
    </row>
    <row r="3601" spans="1:11" x14ac:dyDescent="0.25">
      <c r="A3601" t="s">
        <v>86</v>
      </c>
    </row>
    <row r="3602" spans="1:11" x14ac:dyDescent="0.25">
      <c r="A3602">
        <v>111.54688665965401</v>
      </c>
      <c r="B3602">
        <v>6.8430944803135301</v>
      </c>
      <c r="C3602">
        <v>2000</v>
      </c>
    </row>
    <row r="3603" spans="1:11" x14ac:dyDescent="0.25">
      <c r="A3603">
        <v>104.70379217934</v>
      </c>
      <c r="B3603">
        <v>0</v>
      </c>
      <c r="C3603">
        <v>2000</v>
      </c>
    </row>
    <row r="3604" spans="1:11" x14ac:dyDescent="0.25">
      <c r="A3604">
        <v>105.577824228238</v>
      </c>
      <c r="B3604">
        <v>0</v>
      </c>
      <c r="C3604">
        <v>2001</v>
      </c>
    </row>
    <row r="3605" spans="1:11" x14ac:dyDescent="0.25">
      <c r="A3605">
        <v>112.249737389796</v>
      </c>
      <c r="B3605">
        <v>6.6719131615583898</v>
      </c>
      <c r="C3605">
        <v>2001</v>
      </c>
    </row>
    <row r="3606" spans="1:11" x14ac:dyDescent="0.25">
      <c r="A3606">
        <v>122.61083335876501</v>
      </c>
      <c r="B3606">
        <v>17.033009130527599</v>
      </c>
      <c r="C3606">
        <v>2001</v>
      </c>
    </row>
    <row r="3607" spans="1:11" x14ac:dyDescent="0.25">
      <c r="A3607">
        <v>122.173817334316</v>
      </c>
      <c r="B3607">
        <v>17.470025154976401</v>
      </c>
      <c r="C3607">
        <v>2000</v>
      </c>
    </row>
    <row r="3608" spans="1:11" x14ac:dyDescent="0.25">
      <c r="A3608" t="s">
        <v>87</v>
      </c>
    </row>
    <row r="3609" spans="1:11" x14ac:dyDescent="0.25">
      <c r="A3609">
        <v>272</v>
      </c>
      <c r="B3609">
        <v>0</v>
      </c>
      <c r="C3609">
        <v>17.2941028494789</v>
      </c>
      <c r="D3609">
        <v>7.0856372122880504</v>
      </c>
      <c r="E3609">
        <v>10</v>
      </c>
      <c r="F3609">
        <v>1.01722196789785</v>
      </c>
      <c r="G3609" t="s">
        <v>88</v>
      </c>
      <c r="H3609" t="s">
        <v>88</v>
      </c>
      <c r="I3609">
        <v>266</v>
      </c>
      <c r="J3609">
        <v>196</v>
      </c>
      <c r="K3609">
        <v>0</v>
      </c>
    </row>
    <row r="3610" spans="1:11" x14ac:dyDescent="0.25">
      <c r="A3610" t="s">
        <v>86</v>
      </c>
    </row>
    <row r="3611" spans="1:11" x14ac:dyDescent="0.25">
      <c r="A3611">
        <v>99.825496730774603</v>
      </c>
      <c r="B3611">
        <v>49.718034158799597</v>
      </c>
      <c r="C3611">
        <v>2000</v>
      </c>
    </row>
    <row r="3612" spans="1:11" x14ac:dyDescent="0.25">
      <c r="A3612">
        <v>87.596719331370394</v>
      </c>
      <c r="B3612">
        <v>37.489256759395502</v>
      </c>
      <c r="C3612">
        <v>2000</v>
      </c>
    </row>
    <row r="3613" spans="1:11" x14ac:dyDescent="0.25">
      <c r="A3613">
        <v>87.1597033069216</v>
      </c>
      <c r="B3613">
        <v>37.926272783844297</v>
      </c>
      <c r="C3613">
        <v>2001</v>
      </c>
    </row>
    <row r="3614" spans="1:11" x14ac:dyDescent="0.25">
      <c r="A3614">
        <v>99.388480706325794</v>
      </c>
      <c r="B3614">
        <v>50.155050183248399</v>
      </c>
      <c r="C3614">
        <v>2001</v>
      </c>
    </row>
    <row r="3615" spans="1:11" x14ac:dyDescent="0.25">
      <c r="A3615">
        <v>99.451938535301807</v>
      </c>
      <c r="B3615">
        <v>50.218508012224397</v>
      </c>
      <c r="C3615">
        <v>2001</v>
      </c>
    </row>
    <row r="3616" spans="1:11" x14ac:dyDescent="0.25">
      <c r="A3616">
        <v>99.781491987775595</v>
      </c>
      <c r="B3616">
        <v>50.5480614646982</v>
      </c>
      <c r="C3616">
        <v>2001</v>
      </c>
    </row>
    <row r="3617" spans="1:11" x14ac:dyDescent="0.25">
      <c r="A3617">
        <v>104.398782828162</v>
      </c>
      <c r="B3617">
        <v>55.165352305085101</v>
      </c>
      <c r="C3617">
        <v>2001</v>
      </c>
    </row>
    <row r="3618" spans="1:11" x14ac:dyDescent="0.25">
      <c r="A3618">
        <v>104.83579885261101</v>
      </c>
      <c r="B3618">
        <v>54.728336280636199</v>
      </c>
      <c r="C3618">
        <v>2000</v>
      </c>
    </row>
    <row r="3619" spans="1:11" x14ac:dyDescent="0.25">
      <c r="A3619">
        <v>100.21850801222401</v>
      </c>
      <c r="B3619">
        <v>50.111045440249399</v>
      </c>
      <c r="C3619">
        <v>2000</v>
      </c>
    </row>
    <row r="3620" spans="1:11" x14ac:dyDescent="0.25">
      <c r="A3620">
        <v>99.888954559750601</v>
      </c>
      <c r="B3620">
        <v>49.781491987775603</v>
      </c>
      <c r="C3620">
        <v>2000</v>
      </c>
    </row>
    <row r="3621" spans="1:11" x14ac:dyDescent="0.25">
      <c r="A3621" t="s">
        <v>87</v>
      </c>
    </row>
    <row r="3622" spans="1:11" x14ac:dyDescent="0.25">
      <c r="A3622">
        <v>798</v>
      </c>
      <c r="B3622">
        <v>0</v>
      </c>
      <c r="C3622">
        <v>14.4979043715648</v>
      </c>
      <c r="D3622">
        <v>9.8613790694443999</v>
      </c>
      <c r="E3622">
        <v>8</v>
      </c>
      <c r="F3622">
        <v>1.01722196789785</v>
      </c>
      <c r="G3622" t="s">
        <v>88</v>
      </c>
      <c r="H3622" t="s">
        <v>88</v>
      </c>
      <c r="I3622">
        <v>920</v>
      </c>
      <c r="J3622">
        <v>598</v>
      </c>
      <c r="K3622">
        <v>0.102396880332516</v>
      </c>
    </row>
    <row r="3623" spans="1:11" x14ac:dyDescent="0.25">
      <c r="A3623" t="s">
        <v>86</v>
      </c>
    </row>
    <row r="3624" spans="1:11" x14ac:dyDescent="0.25">
      <c r="A3624">
        <v>19.573966950441001</v>
      </c>
      <c r="B3624">
        <v>98.715292949101396</v>
      </c>
      <c r="C3624">
        <v>2000</v>
      </c>
    </row>
    <row r="3625" spans="1:11" x14ac:dyDescent="0.25">
      <c r="A3625">
        <v>9.3224004563133693</v>
      </c>
      <c r="B3625">
        <v>88.463726454973795</v>
      </c>
      <c r="C3625">
        <v>2000</v>
      </c>
    </row>
    <row r="3626" spans="1:11" x14ac:dyDescent="0.25">
      <c r="A3626">
        <v>8.8853844318645496</v>
      </c>
      <c r="B3626">
        <v>88.900742479422604</v>
      </c>
      <c r="C3626">
        <v>2001</v>
      </c>
    </row>
    <row r="3627" spans="1:11" x14ac:dyDescent="0.25">
      <c r="A3627">
        <v>19.1369509259921</v>
      </c>
      <c r="B3627">
        <v>99.152308973550205</v>
      </c>
      <c r="C3627">
        <v>2001</v>
      </c>
    </row>
    <row r="3628" spans="1:11" x14ac:dyDescent="0.25">
      <c r="A3628">
        <v>20.203149964666299</v>
      </c>
      <c r="B3628">
        <v>100.21850801222401</v>
      </c>
      <c r="C3628">
        <v>2001</v>
      </c>
    </row>
    <row r="3629" spans="1:11" x14ac:dyDescent="0.25">
      <c r="A3629">
        <v>26.109998937847401</v>
      </c>
      <c r="B3629">
        <v>106.12535698540501</v>
      </c>
      <c r="C3629">
        <v>2001</v>
      </c>
    </row>
    <row r="3630" spans="1:11" x14ac:dyDescent="0.25">
      <c r="A3630">
        <v>26.547014962296199</v>
      </c>
      <c r="B3630">
        <v>105.68834096095701</v>
      </c>
      <c r="C3630">
        <v>2000</v>
      </c>
    </row>
    <row r="3631" spans="1:11" x14ac:dyDescent="0.25">
      <c r="A3631">
        <v>20.6401659891152</v>
      </c>
      <c r="B3631">
        <v>99.781491987775595</v>
      </c>
      <c r="C3631">
        <v>2000</v>
      </c>
    </row>
    <row r="3632" spans="1:11" x14ac:dyDescent="0.25">
      <c r="A3632" t="s">
        <v>87</v>
      </c>
    </row>
    <row r="3633" spans="1:11" x14ac:dyDescent="0.25">
      <c r="A3633">
        <v>973</v>
      </c>
      <c r="B3633">
        <v>0</v>
      </c>
      <c r="C3633">
        <v>3.2332074705453202</v>
      </c>
      <c r="D3633">
        <v>21.006664826104299</v>
      </c>
      <c r="E3633">
        <v>6</v>
      </c>
      <c r="F3633">
        <v>1.01722196789785</v>
      </c>
      <c r="G3633" t="s">
        <v>85</v>
      </c>
      <c r="H3633" t="s">
        <v>88</v>
      </c>
      <c r="I3633">
        <v>0</v>
      </c>
      <c r="J3633">
        <v>856</v>
      </c>
      <c r="K3633">
        <v>0.109489164932444</v>
      </c>
    </row>
    <row r="3634" spans="1:11" x14ac:dyDescent="0.25">
      <c r="A3634" t="s">
        <v>86</v>
      </c>
    </row>
    <row r="3635" spans="1:11" x14ac:dyDescent="0.25">
      <c r="A3635">
        <v>2.3153683671526402</v>
      </c>
      <c r="B3635">
        <v>52.478076769848698</v>
      </c>
      <c r="C3635">
        <v>2000</v>
      </c>
    </row>
    <row r="3636" spans="1:11" x14ac:dyDescent="0.25">
      <c r="A3636">
        <v>0</v>
      </c>
      <c r="B3636">
        <v>50.162708402695998</v>
      </c>
      <c r="C3636">
        <v>2000</v>
      </c>
    </row>
    <row r="3637" spans="1:11" x14ac:dyDescent="0.25">
      <c r="A3637">
        <v>0</v>
      </c>
      <c r="B3637">
        <v>51.036740451593701</v>
      </c>
      <c r="C3637">
        <v>2001</v>
      </c>
    </row>
    <row r="3638" spans="1:11" x14ac:dyDescent="0.25">
      <c r="A3638">
        <v>2.25707748765856</v>
      </c>
      <c r="B3638">
        <v>53.2938179392522</v>
      </c>
      <c r="C3638">
        <v>2001</v>
      </c>
    </row>
    <row r="3639" spans="1:11" x14ac:dyDescent="0.25">
      <c r="A3639">
        <v>16.921670063832401</v>
      </c>
      <c r="B3639">
        <v>67.958410515426095</v>
      </c>
      <c r="C3639">
        <v>2001</v>
      </c>
    </row>
    <row r="3640" spans="1:11" x14ac:dyDescent="0.25">
      <c r="A3640">
        <v>17.358686088281299</v>
      </c>
      <c r="B3640">
        <v>67.521394490977301</v>
      </c>
      <c r="C3640">
        <v>2000</v>
      </c>
    </row>
    <row r="3641" spans="1:11" x14ac:dyDescent="0.25">
      <c r="A3641" t="s">
        <v>87</v>
      </c>
    </row>
    <row r="3642" spans="1:11" x14ac:dyDescent="0.25">
      <c r="A3642">
        <v>799</v>
      </c>
      <c r="B3642">
        <v>0</v>
      </c>
      <c r="C3642">
        <v>18.982614763250801</v>
      </c>
      <c r="D3642">
        <v>5.1701268759868499</v>
      </c>
      <c r="E3642">
        <v>8</v>
      </c>
      <c r="F3642">
        <v>1.01722196789785</v>
      </c>
      <c r="G3642" t="s">
        <v>85</v>
      </c>
      <c r="H3642" t="s">
        <v>88</v>
      </c>
      <c r="I3642">
        <v>0</v>
      </c>
      <c r="J3642">
        <v>1013</v>
      </c>
      <c r="K3642">
        <v>0.102396880332516</v>
      </c>
    </row>
    <row r="3643" spans="1:11" x14ac:dyDescent="0.25">
      <c r="A3643" t="s">
        <v>86</v>
      </c>
    </row>
    <row r="3644" spans="1:11" x14ac:dyDescent="0.25">
      <c r="A3644">
        <v>13.606713117071701</v>
      </c>
      <c r="B3644">
        <v>104.799994033366</v>
      </c>
      <c r="C3644">
        <v>2000</v>
      </c>
    </row>
    <row r="3645" spans="1:11" x14ac:dyDescent="0.25">
      <c r="A3645">
        <v>8.5059530182556191</v>
      </c>
      <c r="B3645">
        <v>99.699233934549895</v>
      </c>
      <c r="C3645">
        <v>2000</v>
      </c>
    </row>
    <row r="3646" spans="1:11" x14ac:dyDescent="0.25">
      <c r="A3646">
        <v>0</v>
      </c>
      <c r="B3646">
        <v>91.193280916294299</v>
      </c>
      <c r="C3646">
        <v>2000</v>
      </c>
    </row>
    <row r="3647" spans="1:11" x14ac:dyDescent="0.25">
      <c r="A3647">
        <v>0</v>
      </c>
      <c r="B3647">
        <v>92.067312965191903</v>
      </c>
      <c r="C3647">
        <v>2001</v>
      </c>
    </row>
    <row r="3648" spans="1:11" x14ac:dyDescent="0.25">
      <c r="A3648">
        <v>8.23345310025808</v>
      </c>
      <c r="B3648">
        <v>100.30076606545001</v>
      </c>
      <c r="C3648">
        <v>2001</v>
      </c>
    </row>
    <row r="3649" spans="1:11" x14ac:dyDescent="0.25">
      <c r="A3649">
        <v>13.238758130421299</v>
      </c>
      <c r="B3649">
        <v>105.30607109561301</v>
      </c>
      <c r="C3649">
        <v>2001</v>
      </c>
    </row>
    <row r="3650" spans="1:11" x14ac:dyDescent="0.25">
      <c r="A3650">
        <v>16.860059385127201</v>
      </c>
      <c r="B3650">
        <v>108.927372350319</v>
      </c>
      <c r="C3650">
        <v>2001</v>
      </c>
    </row>
    <row r="3651" spans="1:11" x14ac:dyDescent="0.25">
      <c r="A3651">
        <v>17.297075409576099</v>
      </c>
      <c r="B3651">
        <v>108.49035632587</v>
      </c>
      <c r="C3651">
        <v>2000</v>
      </c>
    </row>
    <row r="3652" spans="1:11" x14ac:dyDescent="0.25">
      <c r="A3652" t="s">
        <v>87</v>
      </c>
    </row>
    <row r="3653" spans="1:11" x14ac:dyDescent="0.25">
      <c r="A3653">
        <v>1033</v>
      </c>
      <c r="B3653">
        <v>0</v>
      </c>
      <c r="C3653">
        <v>14.5467198049261</v>
      </c>
      <c r="D3653">
        <v>9.5740546350812501</v>
      </c>
      <c r="E3653">
        <v>6</v>
      </c>
      <c r="F3653">
        <v>1.01722196789785</v>
      </c>
      <c r="G3653" t="s">
        <v>85</v>
      </c>
      <c r="H3653" t="s">
        <v>85</v>
      </c>
      <c r="I3653">
        <v>0</v>
      </c>
      <c r="J3653">
        <v>0</v>
      </c>
      <c r="K3653">
        <v>0.114487545660881</v>
      </c>
    </row>
    <row r="3654" spans="1:11" x14ac:dyDescent="0.25">
      <c r="A3654" t="s">
        <v>86</v>
      </c>
    </row>
    <row r="3655" spans="1:11" x14ac:dyDescent="0.25">
      <c r="A3655">
        <v>10.549639174568901</v>
      </c>
      <c r="B3655">
        <v>143.05665997611999</v>
      </c>
      <c r="C3655">
        <v>2000</v>
      </c>
    </row>
    <row r="3656" spans="1:11" x14ac:dyDescent="0.25">
      <c r="A3656">
        <v>0</v>
      </c>
      <c r="B3656">
        <v>132.50702080155099</v>
      </c>
      <c r="C3656">
        <v>2000</v>
      </c>
    </row>
    <row r="3657" spans="1:11" x14ac:dyDescent="0.25">
      <c r="A3657">
        <v>0</v>
      </c>
      <c r="B3657">
        <v>133.38105285044799</v>
      </c>
      <c r="C3657">
        <v>2001</v>
      </c>
    </row>
    <row r="3658" spans="1:11" x14ac:dyDescent="0.25">
      <c r="A3658">
        <v>10.022529261598899</v>
      </c>
      <c r="B3658">
        <v>143.40358211204699</v>
      </c>
      <c r="C3658">
        <v>2001</v>
      </c>
    </row>
    <row r="3659" spans="1:11" x14ac:dyDescent="0.25">
      <c r="A3659">
        <v>16.618947149551499</v>
      </c>
      <c r="B3659">
        <v>150</v>
      </c>
      <c r="C3659">
        <v>2001</v>
      </c>
    </row>
    <row r="3660" spans="1:11" x14ac:dyDescent="0.25">
      <c r="A3660">
        <v>17.492979198449198</v>
      </c>
      <c r="B3660">
        <v>150</v>
      </c>
      <c r="C3660">
        <v>2000</v>
      </c>
    </row>
    <row r="3661" spans="1:11" x14ac:dyDescent="0.25">
      <c r="A3661" t="s">
        <v>87</v>
      </c>
    </row>
    <row r="3662" spans="1:11" x14ac:dyDescent="0.25">
      <c r="A3662">
        <v>828</v>
      </c>
      <c r="B3662">
        <v>0</v>
      </c>
      <c r="C3662">
        <v>23.5024796038727</v>
      </c>
      <c r="D3662">
        <v>0.57127151395803799</v>
      </c>
      <c r="E3662">
        <v>8</v>
      </c>
      <c r="F3662">
        <v>1.01722196789785</v>
      </c>
      <c r="G3662" t="s">
        <v>88</v>
      </c>
      <c r="H3662" t="s">
        <v>88</v>
      </c>
      <c r="I3662">
        <v>278</v>
      </c>
      <c r="J3662">
        <v>102</v>
      </c>
      <c r="K3662">
        <v>0.103086576425267</v>
      </c>
    </row>
    <row r="3663" spans="1:11" x14ac:dyDescent="0.25">
      <c r="A3663" t="s">
        <v>86</v>
      </c>
    </row>
    <row r="3664" spans="1:11" x14ac:dyDescent="0.25">
      <c r="A3664">
        <v>87.966246982550501</v>
      </c>
      <c r="B3664">
        <v>64.036033177303906</v>
      </c>
      <c r="C3664">
        <v>2000</v>
      </c>
    </row>
    <row r="3665" spans="1:11" x14ac:dyDescent="0.25">
      <c r="A3665">
        <v>73.711705793022205</v>
      </c>
      <c r="B3665">
        <v>49.781491987775603</v>
      </c>
      <c r="C3665">
        <v>2000</v>
      </c>
    </row>
    <row r="3666" spans="1:11" x14ac:dyDescent="0.25">
      <c r="A3666">
        <v>71.347484279953704</v>
      </c>
      <c r="B3666">
        <v>47.417270474707003</v>
      </c>
      <c r="C3666">
        <v>2000</v>
      </c>
    </row>
    <row r="3667" spans="1:11" x14ac:dyDescent="0.25">
      <c r="A3667">
        <v>70.910468255504895</v>
      </c>
      <c r="B3667">
        <v>47.854286499155897</v>
      </c>
      <c r="C3667">
        <v>2001</v>
      </c>
    </row>
    <row r="3668" spans="1:11" x14ac:dyDescent="0.25">
      <c r="A3668">
        <v>73.274689768573396</v>
      </c>
      <c r="B3668">
        <v>50.218508012224397</v>
      </c>
      <c r="C3668">
        <v>2001</v>
      </c>
    </row>
    <row r="3669" spans="1:11" x14ac:dyDescent="0.25">
      <c r="A3669">
        <v>87.529230958101707</v>
      </c>
      <c r="B3669">
        <v>64.473049201752701</v>
      </c>
      <c r="C3669">
        <v>2001</v>
      </c>
    </row>
    <row r="3670" spans="1:11" x14ac:dyDescent="0.25">
      <c r="A3670">
        <v>87.933180919520197</v>
      </c>
      <c r="B3670">
        <v>64.876999163171206</v>
      </c>
      <c r="C3670">
        <v>2001</v>
      </c>
    </row>
    <row r="3671" spans="1:11" x14ac:dyDescent="0.25">
      <c r="A3671">
        <v>88.370196943969006</v>
      </c>
      <c r="B3671">
        <v>64.439983138722397</v>
      </c>
      <c r="C3671">
        <v>2000</v>
      </c>
    </row>
    <row r="3672" spans="1:11" x14ac:dyDescent="0.25">
      <c r="A3672" t="s">
        <v>87</v>
      </c>
    </row>
    <row r="3673" spans="1:11" x14ac:dyDescent="0.25">
      <c r="A3673">
        <v>867</v>
      </c>
      <c r="B3673">
        <v>0</v>
      </c>
      <c r="C3673">
        <v>9.3422632836035895</v>
      </c>
      <c r="D3673">
        <v>14.496503714018001</v>
      </c>
      <c r="E3673">
        <v>6</v>
      </c>
      <c r="F3673">
        <v>1.01722196789785</v>
      </c>
      <c r="G3673" t="s">
        <v>88</v>
      </c>
      <c r="H3673" t="s">
        <v>88</v>
      </c>
      <c r="I3673">
        <v>986</v>
      </c>
      <c r="J3673">
        <v>803</v>
      </c>
      <c r="K3673">
        <v>0.10413651460953199</v>
      </c>
    </row>
    <row r="3674" spans="1:11" x14ac:dyDescent="0.25">
      <c r="A3674" t="s">
        <v>86</v>
      </c>
    </row>
    <row r="3675" spans="1:11" x14ac:dyDescent="0.25">
      <c r="A3675">
        <v>127.722228276875</v>
      </c>
      <c r="B3675">
        <v>34.5747274586858</v>
      </c>
      <c r="C3675">
        <v>2000</v>
      </c>
    </row>
    <row r="3676" spans="1:11" x14ac:dyDescent="0.25">
      <c r="A3676">
        <v>121.116250557409</v>
      </c>
      <c r="B3676">
        <v>27.9687497392196</v>
      </c>
      <c r="C3676">
        <v>2000</v>
      </c>
    </row>
    <row r="3677" spans="1:11" x14ac:dyDescent="0.25">
      <c r="A3677">
        <v>120.67923453296</v>
      </c>
      <c r="B3677">
        <v>28.405765763668398</v>
      </c>
      <c r="C3677">
        <v>2001</v>
      </c>
    </row>
    <row r="3678" spans="1:11" x14ac:dyDescent="0.25">
      <c r="A3678">
        <v>127.28521225242601</v>
      </c>
      <c r="B3678">
        <v>35.011743483134602</v>
      </c>
      <c r="C3678">
        <v>2001</v>
      </c>
    </row>
    <row r="3679" spans="1:11" x14ac:dyDescent="0.25">
      <c r="A3679">
        <v>137.535788332104</v>
      </c>
      <c r="B3679">
        <v>45.262319562812699</v>
      </c>
      <c r="C3679">
        <v>2001</v>
      </c>
    </row>
    <row r="3680" spans="1:11" x14ac:dyDescent="0.25">
      <c r="A3680">
        <v>137.97280435655301</v>
      </c>
      <c r="B3680">
        <v>44.825303538363897</v>
      </c>
      <c r="C3680">
        <v>2000</v>
      </c>
    </row>
    <row r="3681" spans="1:11" x14ac:dyDescent="0.25">
      <c r="A3681" t="s">
        <v>87</v>
      </c>
    </row>
    <row r="3682" spans="1:11" x14ac:dyDescent="0.25">
      <c r="A3682">
        <v>785</v>
      </c>
      <c r="B3682">
        <v>0</v>
      </c>
      <c r="C3682">
        <v>3.15206527115593</v>
      </c>
      <c r="D3682">
        <v>20.575170675668399</v>
      </c>
      <c r="E3682">
        <v>6</v>
      </c>
      <c r="F3682">
        <v>1.01722196789785</v>
      </c>
      <c r="G3682" t="s">
        <v>85</v>
      </c>
      <c r="H3682" t="s">
        <v>85</v>
      </c>
      <c r="I3682">
        <v>0</v>
      </c>
      <c r="J3682">
        <v>0</v>
      </c>
      <c r="K3682">
        <v>0.102156287543144</v>
      </c>
    </row>
    <row r="3683" spans="1:11" x14ac:dyDescent="0.25">
      <c r="A3683" t="s">
        <v>86</v>
      </c>
    </row>
    <row r="3684" spans="1:11" x14ac:dyDescent="0.25">
      <c r="A3684">
        <v>135.83011754220999</v>
      </c>
      <c r="B3684">
        <v>2.1707909545741702</v>
      </c>
      <c r="C3684">
        <v>2000</v>
      </c>
    </row>
    <row r="3685" spans="1:11" x14ac:dyDescent="0.25">
      <c r="A3685">
        <v>133.659326587636</v>
      </c>
      <c r="B3685">
        <v>0</v>
      </c>
      <c r="C3685">
        <v>2000</v>
      </c>
    </row>
    <row r="3686" spans="1:11" x14ac:dyDescent="0.25">
      <c r="A3686">
        <v>132.78529453873799</v>
      </c>
      <c r="B3686">
        <v>0</v>
      </c>
      <c r="C3686">
        <v>2001</v>
      </c>
    </row>
    <row r="3687" spans="1:11" x14ac:dyDescent="0.25">
      <c r="A3687">
        <v>135.072197040118</v>
      </c>
      <c r="B3687">
        <v>2.2869025013797799</v>
      </c>
      <c r="C3687">
        <v>2001</v>
      </c>
    </row>
    <row r="3688" spans="1:11" x14ac:dyDescent="0.25">
      <c r="A3688">
        <v>150</v>
      </c>
      <c r="B3688">
        <v>17.214705461261499</v>
      </c>
      <c r="C3688">
        <v>2001</v>
      </c>
    </row>
    <row r="3689" spans="1:11" x14ac:dyDescent="0.25">
      <c r="A3689">
        <v>150</v>
      </c>
      <c r="B3689">
        <v>16.340673412363898</v>
      </c>
      <c r="C3689">
        <v>2000</v>
      </c>
    </row>
    <row r="3690" spans="1:11" x14ac:dyDescent="0.25">
      <c r="A3690" t="s">
        <v>87</v>
      </c>
    </row>
    <row r="3691" spans="1:11" x14ac:dyDescent="0.25">
      <c r="A3691">
        <v>815</v>
      </c>
      <c r="B3691">
        <v>0</v>
      </c>
      <c r="C3691">
        <v>7.7894878812744004</v>
      </c>
      <c r="D3691">
        <v>15.914736719577199</v>
      </c>
      <c r="E3691">
        <v>6</v>
      </c>
      <c r="F3691">
        <v>1.01722196789785</v>
      </c>
      <c r="G3691" t="s">
        <v>88</v>
      </c>
      <c r="H3691" t="s">
        <v>88</v>
      </c>
      <c r="I3691">
        <v>832</v>
      </c>
      <c r="J3691">
        <v>917</v>
      </c>
      <c r="K3691">
        <v>0.102861961526139</v>
      </c>
    </row>
    <row r="3692" spans="1:11" x14ac:dyDescent="0.25">
      <c r="A3692" t="s">
        <v>86</v>
      </c>
    </row>
    <row r="3693" spans="1:11" x14ac:dyDescent="0.25">
      <c r="A3693">
        <v>116.58272563181499</v>
      </c>
      <c r="B3693">
        <v>87.207413124943997</v>
      </c>
      <c r="C3693">
        <v>2000</v>
      </c>
    </row>
    <row r="3694" spans="1:11" x14ac:dyDescent="0.25">
      <c r="A3694">
        <v>111.07472592899499</v>
      </c>
      <c r="B3694">
        <v>81.699413422124394</v>
      </c>
      <c r="C3694">
        <v>2000</v>
      </c>
    </row>
    <row r="3695" spans="1:11" x14ac:dyDescent="0.25">
      <c r="A3695">
        <v>111.511741953444</v>
      </c>
      <c r="B3695">
        <v>81.262397397675599</v>
      </c>
      <c r="C3695">
        <v>2001</v>
      </c>
    </row>
    <row r="3696" spans="1:11" x14ac:dyDescent="0.25">
      <c r="A3696">
        <v>117.01974165626299</v>
      </c>
      <c r="B3696">
        <v>86.770397100495202</v>
      </c>
      <c r="C3696">
        <v>2001</v>
      </c>
    </row>
    <row r="3697" spans="1:11" x14ac:dyDescent="0.25">
      <c r="A3697">
        <v>128.27315991147501</v>
      </c>
      <c r="B3697">
        <v>98.023815355706702</v>
      </c>
      <c r="C3697">
        <v>2001</v>
      </c>
    </row>
    <row r="3698" spans="1:11" x14ac:dyDescent="0.25">
      <c r="A3698">
        <v>127.836143887026</v>
      </c>
      <c r="B3698">
        <v>98.460831380155597</v>
      </c>
      <c r="C3698">
        <v>2000</v>
      </c>
    </row>
    <row r="3699" spans="1:11" x14ac:dyDescent="0.25">
      <c r="A3699" t="s">
        <v>87</v>
      </c>
    </row>
    <row r="3700" spans="1:11" x14ac:dyDescent="0.25">
      <c r="A3700">
        <v>670</v>
      </c>
      <c r="B3700">
        <v>0</v>
      </c>
      <c r="C3700">
        <v>4.6510842216485999</v>
      </c>
      <c r="D3700">
        <v>19.043644815793701</v>
      </c>
      <c r="E3700">
        <v>8</v>
      </c>
      <c r="F3700">
        <v>1.01722196789785</v>
      </c>
      <c r="G3700" t="s">
        <v>88</v>
      </c>
      <c r="H3700" t="s">
        <v>85</v>
      </c>
      <c r="I3700">
        <v>812</v>
      </c>
      <c r="J3700">
        <v>0</v>
      </c>
      <c r="K3700">
        <v>0</v>
      </c>
    </row>
    <row r="3701" spans="1:11" x14ac:dyDescent="0.25">
      <c r="A3701" t="s">
        <v>86</v>
      </c>
    </row>
    <row r="3702" spans="1:11" x14ac:dyDescent="0.25">
      <c r="A3702">
        <v>101.143294442281</v>
      </c>
      <c r="B3702">
        <v>136.732277609975</v>
      </c>
      <c r="C3702">
        <v>2000</v>
      </c>
    </row>
    <row r="3703" spans="1:11" x14ac:dyDescent="0.25">
      <c r="A3703">
        <v>99.781491987775595</v>
      </c>
      <c r="B3703">
        <v>135.37047515546899</v>
      </c>
      <c r="C3703">
        <v>2000</v>
      </c>
    </row>
    <row r="3704" spans="1:11" x14ac:dyDescent="0.25">
      <c r="A3704">
        <v>97.874821263777307</v>
      </c>
      <c r="B3704">
        <v>133.463804431471</v>
      </c>
      <c r="C3704">
        <v>2000</v>
      </c>
    </row>
    <row r="3705" spans="1:11" x14ac:dyDescent="0.25">
      <c r="A3705">
        <v>98.311837288226101</v>
      </c>
      <c r="B3705">
        <v>133.026788407022</v>
      </c>
      <c r="C3705">
        <v>2001</v>
      </c>
    </row>
    <row r="3706" spans="1:11" x14ac:dyDescent="0.25">
      <c r="A3706">
        <v>100.21850801222401</v>
      </c>
      <c r="B3706">
        <v>134.93345913102101</v>
      </c>
      <c r="C3706">
        <v>2001</v>
      </c>
    </row>
    <row r="3707" spans="1:11" x14ac:dyDescent="0.25">
      <c r="A3707">
        <v>101.620990495717</v>
      </c>
      <c r="B3707">
        <v>136.33594161451401</v>
      </c>
      <c r="C3707">
        <v>2001</v>
      </c>
    </row>
    <row r="3708" spans="1:11" x14ac:dyDescent="0.25">
      <c r="A3708">
        <v>115.28504888120401</v>
      </c>
      <c r="B3708">
        <v>150</v>
      </c>
      <c r="C3708">
        <v>2001</v>
      </c>
    </row>
    <row r="3709" spans="1:11" x14ac:dyDescent="0.25">
      <c r="A3709">
        <v>114.411016832306</v>
      </c>
      <c r="B3709">
        <v>150</v>
      </c>
      <c r="C3709">
        <v>2000</v>
      </c>
    </row>
    <row r="3710" spans="1:11" x14ac:dyDescent="0.25">
      <c r="A3710" t="s">
        <v>87</v>
      </c>
    </row>
    <row r="3711" spans="1:11" x14ac:dyDescent="0.25">
      <c r="A3711">
        <v>773</v>
      </c>
      <c r="B3711">
        <v>0</v>
      </c>
      <c r="C3711">
        <v>9.1950870812251004</v>
      </c>
      <c r="D3711">
        <v>14.4440876847972</v>
      </c>
      <c r="E3711">
        <v>8</v>
      </c>
      <c r="F3711">
        <v>1.01722196789785</v>
      </c>
      <c r="G3711" t="s">
        <v>88</v>
      </c>
      <c r="H3711" t="s">
        <v>85</v>
      </c>
      <c r="I3711">
        <v>898</v>
      </c>
      <c r="J3711">
        <v>0</v>
      </c>
      <c r="K3711">
        <v>0.101910405093446</v>
      </c>
    </row>
    <row r="3712" spans="1:11" x14ac:dyDescent="0.25">
      <c r="A3712" t="s">
        <v>86</v>
      </c>
    </row>
    <row r="3713" spans="1:11" x14ac:dyDescent="0.25">
      <c r="A3713">
        <v>139.649464953559</v>
      </c>
      <c r="B3713">
        <v>106.373813945065</v>
      </c>
      <c r="C3713">
        <v>2000</v>
      </c>
    </row>
    <row r="3714" spans="1:11" x14ac:dyDescent="0.25">
      <c r="A3714">
        <v>133.494159020718</v>
      </c>
      <c r="B3714">
        <v>100.21850801222401</v>
      </c>
      <c r="C3714">
        <v>2000</v>
      </c>
    </row>
    <row r="3715" spans="1:11" x14ac:dyDescent="0.25">
      <c r="A3715">
        <v>133.06607120906699</v>
      </c>
      <c r="B3715">
        <v>99.790420200573607</v>
      </c>
      <c r="C3715">
        <v>2000</v>
      </c>
    </row>
    <row r="3716" spans="1:11" x14ac:dyDescent="0.25">
      <c r="A3716">
        <v>133.503087233516</v>
      </c>
      <c r="B3716">
        <v>99.353404176124798</v>
      </c>
      <c r="C3716">
        <v>2001</v>
      </c>
    </row>
    <row r="3717" spans="1:11" x14ac:dyDescent="0.25">
      <c r="A3717">
        <v>133.93117504516701</v>
      </c>
      <c r="B3717">
        <v>99.781491987775595</v>
      </c>
      <c r="C3717">
        <v>2001</v>
      </c>
    </row>
    <row r="3718" spans="1:11" x14ac:dyDescent="0.25">
      <c r="A3718">
        <v>139.92351034649499</v>
      </c>
      <c r="B3718">
        <v>105.77382728910401</v>
      </c>
      <c r="C3718">
        <v>2001</v>
      </c>
    </row>
    <row r="3719" spans="1:11" x14ac:dyDescent="0.25">
      <c r="A3719">
        <v>150</v>
      </c>
      <c r="B3719">
        <v>115.850316942609</v>
      </c>
      <c r="C3719">
        <v>2001</v>
      </c>
    </row>
    <row r="3720" spans="1:11" x14ac:dyDescent="0.25">
      <c r="A3720">
        <v>150</v>
      </c>
      <c r="B3720">
        <v>116.72434899150601</v>
      </c>
      <c r="C3720">
        <v>2000</v>
      </c>
    </row>
    <row r="3721" spans="1:11" x14ac:dyDescent="0.25">
      <c r="A3721" t="s">
        <v>87</v>
      </c>
    </row>
    <row r="3722" spans="1:11" x14ac:dyDescent="0.25">
      <c r="A3722">
        <v>777</v>
      </c>
      <c r="B3722">
        <v>0</v>
      </c>
      <c r="C3722">
        <v>2.7283187062554402</v>
      </c>
      <c r="D3722">
        <v>20.850231315400201</v>
      </c>
      <c r="E3722">
        <v>6</v>
      </c>
      <c r="F3722">
        <v>1.01722196789785</v>
      </c>
      <c r="G3722" t="s">
        <v>88</v>
      </c>
      <c r="H3722" t="s">
        <v>85</v>
      </c>
      <c r="I3722">
        <v>951</v>
      </c>
      <c r="J3722">
        <v>0</v>
      </c>
      <c r="K3722">
        <v>0.101910405093446</v>
      </c>
    </row>
    <row r="3723" spans="1:11" x14ac:dyDescent="0.25">
      <c r="A3723" t="s">
        <v>86</v>
      </c>
    </row>
    <row r="3724" spans="1:11" x14ac:dyDescent="0.25">
      <c r="A3724">
        <v>135.44988408361201</v>
      </c>
      <c r="B3724">
        <v>71.928519086702806</v>
      </c>
      <c r="C3724">
        <v>2000</v>
      </c>
    </row>
    <row r="3725" spans="1:11" x14ac:dyDescent="0.25">
      <c r="A3725">
        <v>133.54595540136501</v>
      </c>
      <c r="B3725">
        <v>70.024590404456205</v>
      </c>
      <c r="C3725">
        <v>2000</v>
      </c>
    </row>
    <row r="3726" spans="1:11" x14ac:dyDescent="0.25">
      <c r="A3726">
        <v>133.10893937691699</v>
      </c>
      <c r="B3726">
        <v>70.4616064289051</v>
      </c>
      <c r="C3726">
        <v>2001</v>
      </c>
    </row>
    <row r="3727" spans="1:11" x14ac:dyDescent="0.25">
      <c r="A3727">
        <v>135.06343601153301</v>
      </c>
      <c r="B3727">
        <v>72.416103063521106</v>
      </c>
      <c r="C3727">
        <v>2001</v>
      </c>
    </row>
    <row r="3728" spans="1:11" x14ac:dyDescent="0.25">
      <c r="A3728">
        <v>150</v>
      </c>
      <c r="B3728">
        <v>87.352667051988405</v>
      </c>
      <c r="C3728">
        <v>2001</v>
      </c>
    </row>
    <row r="3729" spans="1:11" x14ac:dyDescent="0.25">
      <c r="A3729">
        <v>150</v>
      </c>
      <c r="B3729">
        <v>86.478635003090801</v>
      </c>
      <c r="C3729">
        <v>2000</v>
      </c>
    </row>
    <row r="3730" spans="1:11" x14ac:dyDescent="0.25">
      <c r="A3730" t="s">
        <v>87</v>
      </c>
    </row>
    <row r="3731" spans="1:11" x14ac:dyDescent="0.25">
      <c r="A3731">
        <v>938</v>
      </c>
      <c r="B3731">
        <v>0</v>
      </c>
      <c r="C3731">
        <v>8.9666438688092107</v>
      </c>
      <c r="D3731">
        <v>14.535886451419699</v>
      </c>
      <c r="E3731">
        <v>6</v>
      </c>
      <c r="F3731">
        <v>1.01722196789785</v>
      </c>
      <c r="G3731" t="s">
        <v>85</v>
      </c>
      <c r="H3731" t="s">
        <v>88</v>
      </c>
      <c r="I3731">
        <v>0</v>
      </c>
      <c r="J3731">
        <v>500</v>
      </c>
      <c r="K3731">
        <v>0.10626245288241699</v>
      </c>
    </row>
    <row r="3732" spans="1:11" x14ac:dyDescent="0.25">
      <c r="A3732" t="s">
        <v>86</v>
      </c>
    </row>
    <row r="3733" spans="1:11" x14ac:dyDescent="0.25">
      <c r="A3733">
        <v>6.2570098931205997</v>
      </c>
      <c r="B3733">
        <v>58.336509367875301</v>
      </c>
      <c r="C3733">
        <v>2000</v>
      </c>
    </row>
    <row r="3734" spans="1:11" x14ac:dyDescent="0.25">
      <c r="A3734">
        <v>0</v>
      </c>
      <c r="B3734">
        <v>52.079499474754698</v>
      </c>
      <c r="C3734">
        <v>2000</v>
      </c>
    </row>
    <row r="3735" spans="1:11" x14ac:dyDescent="0.25">
      <c r="A3735">
        <v>0</v>
      </c>
      <c r="B3735">
        <v>51.205467425857101</v>
      </c>
      <c r="C3735">
        <v>2001</v>
      </c>
    </row>
    <row r="3736" spans="1:11" x14ac:dyDescent="0.25">
      <c r="A3736">
        <v>6.4237394751189498</v>
      </c>
      <c r="B3736">
        <v>57.629206900976001</v>
      </c>
      <c r="C3736">
        <v>2001</v>
      </c>
    </row>
    <row r="3737" spans="1:11" x14ac:dyDescent="0.25">
      <c r="A3737">
        <v>16.837306576700701</v>
      </c>
      <c r="B3737">
        <v>68.042774002557806</v>
      </c>
      <c r="C3737">
        <v>2001</v>
      </c>
    </row>
    <row r="3738" spans="1:11" x14ac:dyDescent="0.25">
      <c r="A3738">
        <v>16.400290552251899</v>
      </c>
      <c r="B3738">
        <v>68.479790027006601</v>
      </c>
      <c r="C3738">
        <v>2000</v>
      </c>
    </row>
    <row r="3739" spans="1:11" x14ac:dyDescent="0.25">
      <c r="A3739" t="s">
        <v>87</v>
      </c>
    </row>
    <row r="3740" spans="1:11" x14ac:dyDescent="0.25">
      <c r="A3740">
        <v>967</v>
      </c>
      <c r="B3740">
        <v>0</v>
      </c>
      <c r="C3740">
        <v>15.0856287549823</v>
      </c>
      <c r="D3740">
        <v>8.2825496935778098</v>
      </c>
      <c r="E3740">
        <v>6</v>
      </c>
      <c r="F3740">
        <v>1.01722196789785</v>
      </c>
      <c r="G3740" t="s">
        <v>88</v>
      </c>
      <c r="H3740" t="s">
        <v>88</v>
      </c>
      <c r="I3740">
        <v>337</v>
      </c>
      <c r="J3740">
        <v>342</v>
      </c>
      <c r="K3740">
        <v>0.108523559698531</v>
      </c>
    </row>
    <row r="3741" spans="1:11" x14ac:dyDescent="0.25">
      <c r="A3741" t="s">
        <v>86</v>
      </c>
    </row>
    <row r="3742" spans="1:11" x14ac:dyDescent="0.25">
      <c r="A3742">
        <v>67.431121451985405</v>
      </c>
      <c r="B3742">
        <v>132.67796084548701</v>
      </c>
      <c r="C3742">
        <v>2000</v>
      </c>
    </row>
    <row r="3743" spans="1:11" x14ac:dyDescent="0.25">
      <c r="A3743">
        <v>56.763971060874702</v>
      </c>
      <c r="B3743">
        <v>122.01081045437699</v>
      </c>
      <c r="C3743">
        <v>2000</v>
      </c>
    </row>
    <row r="3744" spans="1:11" x14ac:dyDescent="0.25">
      <c r="A3744">
        <v>57.200987085323497</v>
      </c>
      <c r="B3744">
        <v>121.573794429928</v>
      </c>
      <c r="C3744">
        <v>2001</v>
      </c>
    </row>
    <row r="3745" spans="1:11" x14ac:dyDescent="0.25">
      <c r="A3745">
        <v>67.8681374764342</v>
      </c>
      <c r="B3745">
        <v>132.24094482103899</v>
      </c>
      <c r="C3745">
        <v>2001</v>
      </c>
    </row>
    <row r="3746" spans="1:11" x14ac:dyDescent="0.25">
      <c r="A3746">
        <v>73.724784530277702</v>
      </c>
      <c r="B3746">
        <v>138.097591874882</v>
      </c>
      <c r="C3746">
        <v>2001</v>
      </c>
    </row>
    <row r="3747" spans="1:11" x14ac:dyDescent="0.25">
      <c r="A3747">
        <v>73.287768505828893</v>
      </c>
      <c r="B3747">
        <v>138.53460789933101</v>
      </c>
      <c r="C3747">
        <v>2000</v>
      </c>
    </row>
    <row r="3748" spans="1:11" x14ac:dyDescent="0.25">
      <c r="A3748" t="s">
        <v>87</v>
      </c>
    </row>
    <row r="3749" spans="1:11" x14ac:dyDescent="0.25">
      <c r="A3749">
        <v>876</v>
      </c>
      <c r="B3749">
        <v>0</v>
      </c>
      <c r="C3749">
        <v>8.5970621382393499</v>
      </c>
      <c r="D3749">
        <v>14.755035344015299</v>
      </c>
      <c r="E3749">
        <v>8</v>
      </c>
      <c r="F3749">
        <v>1.01722196789785</v>
      </c>
      <c r="G3749" t="s">
        <v>85</v>
      </c>
      <c r="H3749" t="s">
        <v>88</v>
      </c>
      <c r="I3749">
        <v>0</v>
      </c>
      <c r="J3749">
        <v>437</v>
      </c>
      <c r="K3749">
        <v>0.104333136997122</v>
      </c>
    </row>
    <row r="3750" spans="1:11" x14ac:dyDescent="0.25">
      <c r="A3750" t="s">
        <v>86</v>
      </c>
    </row>
    <row r="3751" spans="1:11" x14ac:dyDescent="0.25">
      <c r="A3751">
        <v>96.662628005876698</v>
      </c>
      <c r="B3751">
        <v>5.9423365204715903</v>
      </c>
      <c r="C3751">
        <v>2000</v>
      </c>
    </row>
    <row r="3752" spans="1:11" x14ac:dyDescent="0.25">
      <c r="A3752">
        <v>90.720291485405099</v>
      </c>
      <c r="B3752">
        <v>0</v>
      </c>
      <c r="C3752">
        <v>2000</v>
      </c>
    </row>
    <row r="3753" spans="1:11" x14ac:dyDescent="0.25">
      <c r="A3753">
        <v>89.846259436507495</v>
      </c>
      <c r="B3753">
        <v>0</v>
      </c>
      <c r="C3753">
        <v>2001</v>
      </c>
    </row>
    <row r="3754" spans="1:11" x14ac:dyDescent="0.25">
      <c r="A3754">
        <v>96.0620047884982</v>
      </c>
      <c r="B3754">
        <v>6.2157453519907397</v>
      </c>
      <c r="C3754">
        <v>2001</v>
      </c>
    </row>
    <row r="3755" spans="1:11" x14ac:dyDescent="0.25">
      <c r="A3755">
        <v>99.781491987775595</v>
      </c>
      <c r="B3755">
        <v>9.9352325512681201</v>
      </c>
      <c r="C3755">
        <v>2001</v>
      </c>
    </row>
    <row r="3756" spans="1:11" x14ac:dyDescent="0.25">
      <c r="A3756">
        <v>106.57719393336301</v>
      </c>
      <c r="B3756">
        <v>16.730934496856001</v>
      </c>
      <c r="C3756">
        <v>2001</v>
      </c>
    </row>
    <row r="3757" spans="1:11" x14ac:dyDescent="0.25">
      <c r="A3757">
        <v>107.014209957812</v>
      </c>
      <c r="B3757">
        <v>16.2939184724071</v>
      </c>
      <c r="C3757">
        <v>2000</v>
      </c>
    </row>
    <row r="3758" spans="1:11" x14ac:dyDescent="0.25">
      <c r="A3758">
        <v>100.21850801222401</v>
      </c>
      <c r="B3758">
        <v>9.4982165268193004</v>
      </c>
      <c r="C3758">
        <v>2000</v>
      </c>
    </row>
    <row r="3759" spans="1:11" x14ac:dyDescent="0.25">
      <c r="A3759" t="s">
        <v>87</v>
      </c>
    </row>
    <row r="3760" spans="1:11" x14ac:dyDescent="0.25">
      <c r="A3760">
        <v>880</v>
      </c>
      <c r="B3760">
        <v>0</v>
      </c>
      <c r="C3760">
        <v>10.938729431948699</v>
      </c>
      <c r="D3760">
        <v>12.3481331434699</v>
      </c>
      <c r="E3760">
        <v>6</v>
      </c>
      <c r="F3760">
        <v>1.01722196789785</v>
      </c>
      <c r="G3760" t="s">
        <v>88</v>
      </c>
      <c r="H3760" t="s">
        <v>88</v>
      </c>
      <c r="I3760">
        <v>853</v>
      </c>
      <c r="J3760">
        <v>739</v>
      </c>
      <c r="K3760">
        <v>0.104525721151597</v>
      </c>
    </row>
    <row r="3761" spans="1:11" x14ac:dyDescent="0.25">
      <c r="A3761" t="s">
        <v>86</v>
      </c>
    </row>
    <row r="3762" spans="1:11" x14ac:dyDescent="0.25">
      <c r="A3762">
        <v>121.57902869143</v>
      </c>
      <c r="B3762">
        <v>35.864329129864402</v>
      </c>
      <c r="C3762">
        <v>2000</v>
      </c>
    </row>
    <row r="3763" spans="1:11" x14ac:dyDescent="0.25">
      <c r="A3763">
        <v>113.844178932535</v>
      </c>
      <c r="B3763">
        <v>28.1294793709686</v>
      </c>
      <c r="C3763">
        <v>2000</v>
      </c>
    </row>
    <row r="3764" spans="1:11" x14ac:dyDescent="0.25">
      <c r="A3764">
        <v>113.40716290808599</v>
      </c>
      <c r="B3764">
        <v>28.566495395417501</v>
      </c>
      <c r="C3764">
        <v>2001</v>
      </c>
    </row>
    <row r="3765" spans="1:11" x14ac:dyDescent="0.25">
      <c r="A3765">
        <v>121.142012666981</v>
      </c>
      <c r="B3765">
        <v>36.301345154313303</v>
      </c>
      <c r="C3765">
        <v>2001</v>
      </c>
    </row>
    <row r="3766" spans="1:11" x14ac:dyDescent="0.25">
      <c r="A3766">
        <v>129.87346134772301</v>
      </c>
      <c r="B3766">
        <v>45.032793835055202</v>
      </c>
      <c r="C3766">
        <v>2001</v>
      </c>
    </row>
    <row r="3767" spans="1:11" x14ac:dyDescent="0.25">
      <c r="A3767">
        <v>130.31047737217199</v>
      </c>
      <c r="B3767">
        <v>44.5957778106064</v>
      </c>
      <c r="C3767">
        <v>2000</v>
      </c>
    </row>
    <row r="3768" spans="1:11" x14ac:dyDescent="0.25">
      <c r="A3768" t="s">
        <v>87</v>
      </c>
    </row>
    <row r="3769" spans="1:11" x14ac:dyDescent="0.25">
      <c r="A3769">
        <v>929</v>
      </c>
      <c r="B3769">
        <v>0</v>
      </c>
      <c r="C3769">
        <v>11.5472901671511</v>
      </c>
      <c r="D3769">
        <v>11.7125799014009</v>
      </c>
      <c r="E3769">
        <v>6</v>
      </c>
      <c r="F3769">
        <v>1.01722196789785</v>
      </c>
      <c r="G3769" t="s">
        <v>88</v>
      </c>
      <c r="H3769" t="s">
        <v>85</v>
      </c>
      <c r="I3769">
        <v>801</v>
      </c>
      <c r="J3769">
        <v>0</v>
      </c>
      <c r="K3769">
        <v>0.105773809106449</v>
      </c>
    </row>
    <row r="3770" spans="1:11" x14ac:dyDescent="0.25">
      <c r="A3770" t="s">
        <v>86</v>
      </c>
    </row>
    <row r="3771" spans="1:11" x14ac:dyDescent="0.25">
      <c r="A3771">
        <v>141.60792493750699</v>
      </c>
      <c r="B3771">
        <v>65.455219159058899</v>
      </c>
      <c r="C3771">
        <v>2000</v>
      </c>
    </row>
    <row r="3772" spans="1:11" x14ac:dyDescent="0.25">
      <c r="A3772">
        <v>133.33428013278399</v>
      </c>
      <c r="B3772">
        <v>57.181574354336597</v>
      </c>
      <c r="C3772">
        <v>2000</v>
      </c>
    </row>
    <row r="3773" spans="1:11" x14ac:dyDescent="0.25">
      <c r="A3773">
        <v>133.771296157233</v>
      </c>
      <c r="B3773">
        <v>56.744558329887802</v>
      </c>
      <c r="C3773">
        <v>2001</v>
      </c>
    </row>
    <row r="3774" spans="1:11" x14ac:dyDescent="0.25">
      <c r="A3774">
        <v>141.82798571555301</v>
      </c>
      <c r="B3774">
        <v>64.801247888207996</v>
      </c>
      <c r="C3774">
        <v>2001</v>
      </c>
    </row>
    <row r="3775" spans="1:11" x14ac:dyDescent="0.25">
      <c r="A3775">
        <v>150</v>
      </c>
      <c r="B3775">
        <v>72.973262172654501</v>
      </c>
      <c r="C3775">
        <v>2001</v>
      </c>
    </row>
    <row r="3776" spans="1:11" x14ac:dyDescent="0.25">
      <c r="A3776">
        <v>150</v>
      </c>
      <c r="B3776">
        <v>73.847294221552104</v>
      </c>
      <c r="C3776">
        <v>2000</v>
      </c>
    </row>
    <row r="3777" spans="1:11" x14ac:dyDescent="0.25">
      <c r="A3777" t="s">
        <v>87</v>
      </c>
    </row>
    <row r="3778" spans="1:11" x14ac:dyDescent="0.25">
      <c r="A3778">
        <v>114</v>
      </c>
      <c r="B3778">
        <v>0</v>
      </c>
      <c r="C3778">
        <v>16.840982190907798</v>
      </c>
      <c r="D3778">
        <v>6.3668927385294598</v>
      </c>
      <c r="E3778">
        <v>6</v>
      </c>
      <c r="F3778">
        <v>1.01722196789785</v>
      </c>
      <c r="G3778" t="s">
        <v>88</v>
      </c>
      <c r="H3778" t="s">
        <v>88</v>
      </c>
      <c r="I3778">
        <v>267</v>
      </c>
      <c r="J3778">
        <v>115</v>
      </c>
      <c r="K3778">
        <v>0</v>
      </c>
    </row>
    <row r="3779" spans="1:11" x14ac:dyDescent="0.25">
      <c r="A3779" t="s">
        <v>86</v>
      </c>
    </row>
    <row r="3780" spans="1:11" x14ac:dyDescent="0.25">
      <c r="A3780">
        <v>88.143089928269703</v>
      </c>
      <c r="B3780">
        <v>72.389190879361493</v>
      </c>
      <c r="C3780">
        <v>2000</v>
      </c>
    </row>
    <row r="3781" spans="1:11" x14ac:dyDescent="0.25">
      <c r="A3781">
        <v>76.234717219236899</v>
      </c>
      <c r="B3781">
        <v>60.480818170328703</v>
      </c>
      <c r="C3781">
        <v>2000</v>
      </c>
    </row>
    <row r="3782" spans="1:11" x14ac:dyDescent="0.25">
      <c r="A3782">
        <v>76.671733243685694</v>
      </c>
      <c r="B3782">
        <v>60.043802145879901</v>
      </c>
      <c r="C3782">
        <v>2001</v>
      </c>
    </row>
    <row r="3783" spans="1:11" x14ac:dyDescent="0.25">
      <c r="A3783">
        <v>88.580105952718498</v>
      </c>
      <c r="B3783">
        <v>71.952174854912698</v>
      </c>
      <c r="C3783">
        <v>2001</v>
      </c>
    </row>
    <row r="3784" spans="1:11" x14ac:dyDescent="0.25">
      <c r="A3784">
        <v>93.082178983220103</v>
      </c>
      <c r="B3784">
        <v>76.454247885414304</v>
      </c>
      <c r="C3784">
        <v>2001</v>
      </c>
    </row>
    <row r="3785" spans="1:11" x14ac:dyDescent="0.25">
      <c r="A3785">
        <v>92.645162958771294</v>
      </c>
      <c r="B3785">
        <v>76.891263909863099</v>
      </c>
      <c r="C3785">
        <v>2000</v>
      </c>
    </row>
    <row r="3786" spans="1:11" x14ac:dyDescent="0.25">
      <c r="A3786" t="s">
        <v>87</v>
      </c>
    </row>
    <row r="3787" spans="1:11" x14ac:dyDescent="0.25">
      <c r="A3787">
        <v>927</v>
      </c>
      <c r="B3787">
        <v>0</v>
      </c>
      <c r="C3787">
        <v>9.17857355084411</v>
      </c>
      <c r="D3787">
        <v>13.683585669373199</v>
      </c>
      <c r="E3787">
        <v>8</v>
      </c>
      <c r="F3787">
        <v>1.01722196789785</v>
      </c>
      <c r="G3787" t="s">
        <v>88</v>
      </c>
      <c r="H3787" t="s">
        <v>85</v>
      </c>
      <c r="I3787">
        <v>898</v>
      </c>
      <c r="J3787">
        <v>0</v>
      </c>
      <c r="K3787">
        <v>0.105773809106449</v>
      </c>
    </row>
    <row r="3788" spans="1:11" x14ac:dyDescent="0.25">
      <c r="A3788" t="s">
        <v>86</v>
      </c>
    </row>
    <row r="3789" spans="1:11" x14ac:dyDescent="0.25">
      <c r="A3789">
        <v>140.46344349553399</v>
      </c>
      <c r="B3789">
        <v>105.21489451508999</v>
      </c>
      <c r="C3789">
        <v>2000</v>
      </c>
    </row>
    <row r="3790" spans="1:11" x14ac:dyDescent="0.25">
      <c r="A3790">
        <v>135.030040968219</v>
      </c>
      <c r="B3790">
        <v>99.781491987775595</v>
      </c>
      <c r="C3790">
        <v>2000</v>
      </c>
    </row>
    <row r="3791" spans="1:11" x14ac:dyDescent="0.25">
      <c r="A3791">
        <v>134.05252019504201</v>
      </c>
      <c r="B3791">
        <v>98.803971214598803</v>
      </c>
      <c r="C3791">
        <v>2000</v>
      </c>
    </row>
    <row r="3792" spans="1:11" x14ac:dyDescent="0.25">
      <c r="A3792">
        <v>133.615504170593</v>
      </c>
      <c r="B3792">
        <v>99.240987239047598</v>
      </c>
      <c r="C3792">
        <v>2001</v>
      </c>
    </row>
    <row r="3793" spans="1:11" x14ac:dyDescent="0.25">
      <c r="A3793">
        <v>134.59302494376999</v>
      </c>
      <c r="B3793">
        <v>100.21850801222401</v>
      </c>
      <c r="C3793">
        <v>2001</v>
      </c>
    </row>
    <row r="3794" spans="1:11" x14ac:dyDescent="0.25">
      <c r="A3794">
        <v>140.18504406894399</v>
      </c>
      <c r="B3794">
        <v>105.81052713739901</v>
      </c>
      <c r="C3794">
        <v>2001</v>
      </c>
    </row>
    <row r="3795" spans="1:11" x14ac:dyDescent="0.25">
      <c r="A3795">
        <v>150</v>
      </c>
      <c r="B3795">
        <v>115.625483068454</v>
      </c>
      <c r="C3795">
        <v>2001</v>
      </c>
    </row>
    <row r="3796" spans="1:11" x14ac:dyDescent="0.25">
      <c r="A3796">
        <v>150</v>
      </c>
      <c r="B3796">
        <v>114.751451019557</v>
      </c>
      <c r="C3796">
        <v>2000</v>
      </c>
    </row>
    <row r="3797" spans="1:11" x14ac:dyDescent="0.25">
      <c r="A3797" t="s">
        <v>87</v>
      </c>
    </row>
    <row r="3798" spans="1:11" x14ac:dyDescent="0.25">
      <c r="A3798">
        <v>741</v>
      </c>
      <c r="B3798">
        <v>0</v>
      </c>
      <c r="C3798">
        <v>9.9736621427437306</v>
      </c>
      <c r="D3798">
        <v>12.3915820966021</v>
      </c>
      <c r="E3798">
        <v>6</v>
      </c>
      <c r="F3798">
        <v>1.01722196789785</v>
      </c>
      <c r="G3798" t="s">
        <v>85</v>
      </c>
      <c r="H3798" t="s">
        <v>88</v>
      </c>
      <c r="I3798">
        <v>0</v>
      </c>
      <c r="J3798">
        <v>810</v>
      </c>
      <c r="K3798">
        <v>9.9787223602304201E-2</v>
      </c>
    </row>
    <row r="3799" spans="1:11" x14ac:dyDescent="0.25">
      <c r="A3799" t="s">
        <v>86</v>
      </c>
    </row>
    <row r="3800" spans="1:11" x14ac:dyDescent="0.25">
      <c r="A3800">
        <v>11.7771356830914</v>
      </c>
      <c r="B3800">
        <v>7.1498866244543704</v>
      </c>
      <c r="C3800">
        <v>2000</v>
      </c>
    </row>
    <row r="3801" spans="1:11" x14ac:dyDescent="0.25">
      <c r="A3801">
        <v>4.6272490586370498</v>
      </c>
      <c r="B3801">
        <v>0</v>
      </c>
      <c r="C3801">
        <v>2000</v>
      </c>
    </row>
    <row r="3802" spans="1:11" x14ac:dyDescent="0.25">
      <c r="A3802">
        <v>5.5012811075346901</v>
      </c>
      <c r="B3802">
        <v>0</v>
      </c>
      <c r="C3802">
        <v>2001</v>
      </c>
    </row>
    <row r="3803" spans="1:11" x14ac:dyDescent="0.25">
      <c r="A3803">
        <v>12.4562827518756</v>
      </c>
      <c r="B3803">
        <v>6.9550016443409097</v>
      </c>
      <c r="C3803">
        <v>2001</v>
      </c>
    </row>
    <row r="3804" spans="1:11" x14ac:dyDescent="0.25">
      <c r="A3804">
        <v>21.097388959845102</v>
      </c>
      <c r="B3804">
        <v>15.5961078523104</v>
      </c>
      <c r="C3804">
        <v>2001</v>
      </c>
    </row>
    <row r="3805" spans="1:11" x14ac:dyDescent="0.25">
      <c r="A3805">
        <v>20.6603729353963</v>
      </c>
      <c r="B3805">
        <v>16.033123876759198</v>
      </c>
      <c r="C3805">
        <v>2000</v>
      </c>
    </row>
    <row r="3806" spans="1:11" x14ac:dyDescent="0.25">
      <c r="A3806" t="s">
        <v>87</v>
      </c>
    </row>
    <row r="3807" spans="1:11" x14ac:dyDescent="0.25">
      <c r="A3807">
        <v>727</v>
      </c>
      <c r="B3807">
        <v>0</v>
      </c>
      <c r="C3807">
        <v>20.704812406114801</v>
      </c>
      <c r="D3807">
        <v>1.51723050538936</v>
      </c>
      <c r="E3807">
        <v>8</v>
      </c>
      <c r="F3807">
        <v>1.01722196789785</v>
      </c>
      <c r="G3807" t="s">
        <v>85</v>
      </c>
      <c r="H3807" t="s">
        <v>88</v>
      </c>
      <c r="I3807">
        <v>0</v>
      </c>
      <c r="J3807">
        <v>593</v>
      </c>
      <c r="K3807">
        <v>0.10038021386068</v>
      </c>
    </row>
    <row r="3808" spans="1:11" x14ac:dyDescent="0.25">
      <c r="A3808" t="s">
        <v>86</v>
      </c>
    </row>
    <row r="3809" spans="1:11" x14ac:dyDescent="0.25">
      <c r="A3809">
        <v>14.8473303634076</v>
      </c>
      <c r="B3809">
        <v>102.67237440856</v>
      </c>
      <c r="C3809">
        <v>2000</v>
      </c>
    </row>
    <row r="3810" spans="1:11" x14ac:dyDescent="0.25">
      <c r="A3810">
        <v>11.9131273624944</v>
      </c>
      <c r="B3810">
        <v>99.738171407646703</v>
      </c>
      <c r="C3810">
        <v>2000</v>
      </c>
    </row>
    <row r="3811" spans="1:11" x14ac:dyDescent="0.25">
      <c r="A3811">
        <v>0</v>
      </c>
      <c r="B3811">
        <v>87.825044045152296</v>
      </c>
      <c r="C3811">
        <v>2000</v>
      </c>
    </row>
    <row r="3812" spans="1:11" x14ac:dyDescent="0.25">
      <c r="A3812">
        <v>0</v>
      </c>
      <c r="B3812">
        <v>88.6990760940499</v>
      </c>
      <c r="C3812">
        <v>2001</v>
      </c>
    </row>
    <row r="3813" spans="1:11" x14ac:dyDescent="0.25">
      <c r="A3813">
        <v>11.5627524983034</v>
      </c>
      <c r="B3813">
        <v>100.261828592353</v>
      </c>
      <c r="C3813">
        <v>2001</v>
      </c>
    </row>
    <row r="3814" spans="1:11" x14ac:dyDescent="0.25">
      <c r="A3814">
        <v>14.4336961477107</v>
      </c>
      <c r="B3814">
        <v>103.132772241761</v>
      </c>
      <c r="C3814">
        <v>2001</v>
      </c>
    </row>
    <row r="3815" spans="1:11" x14ac:dyDescent="0.25">
      <c r="A3815">
        <v>15.494849222318701</v>
      </c>
      <c r="B3815">
        <v>104.193925316369</v>
      </c>
      <c r="C3815">
        <v>2001</v>
      </c>
    </row>
    <row r="3816" spans="1:11" x14ac:dyDescent="0.25">
      <c r="A3816">
        <v>15.931865246767501</v>
      </c>
      <c r="B3816">
        <v>103.75690929192</v>
      </c>
      <c r="C3816">
        <v>2000</v>
      </c>
    </row>
    <row r="3817" spans="1:11" x14ac:dyDescent="0.25">
      <c r="A3817" t="s">
        <v>87</v>
      </c>
    </row>
    <row r="3818" spans="1:11" x14ac:dyDescent="0.25">
      <c r="A3818">
        <v>840</v>
      </c>
      <c r="B3818">
        <v>0</v>
      </c>
      <c r="C3818">
        <v>13.7277217035506</v>
      </c>
      <c r="D3818">
        <v>8.3585771846976709</v>
      </c>
      <c r="E3818">
        <v>6</v>
      </c>
      <c r="F3818">
        <v>1.01722196789785</v>
      </c>
      <c r="G3818" t="s">
        <v>88</v>
      </c>
      <c r="H3818" t="s">
        <v>88</v>
      </c>
      <c r="I3818">
        <v>504</v>
      </c>
      <c r="J3818">
        <v>866</v>
      </c>
      <c r="K3818">
        <v>0.103520648210845</v>
      </c>
    </row>
    <row r="3819" spans="1:11" x14ac:dyDescent="0.25">
      <c r="A3819" t="s">
        <v>86</v>
      </c>
    </row>
    <row r="3820" spans="1:11" x14ac:dyDescent="0.25">
      <c r="A3820">
        <v>30.463571177541301</v>
      </c>
      <c r="B3820">
        <v>79.601015451648607</v>
      </c>
      <c r="C3820">
        <v>2000</v>
      </c>
    </row>
    <row r="3821" spans="1:11" x14ac:dyDescent="0.25">
      <c r="A3821">
        <v>20.756606070718899</v>
      </c>
      <c r="B3821">
        <v>69.894050344826198</v>
      </c>
      <c r="C3821">
        <v>2000</v>
      </c>
    </row>
    <row r="3822" spans="1:11" x14ac:dyDescent="0.25">
      <c r="A3822">
        <v>20.3195900462701</v>
      </c>
      <c r="B3822">
        <v>70.331066369275007</v>
      </c>
      <c r="C3822">
        <v>2001</v>
      </c>
    </row>
    <row r="3823" spans="1:11" x14ac:dyDescent="0.25">
      <c r="A3823">
        <v>30.026555153092499</v>
      </c>
      <c r="B3823">
        <v>80.038031476097402</v>
      </c>
      <c r="C3823">
        <v>2001</v>
      </c>
    </row>
    <row r="3824" spans="1:11" x14ac:dyDescent="0.25">
      <c r="A3824">
        <v>35.936961761463301</v>
      </c>
      <c r="B3824">
        <v>85.948438084468293</v>
      </c>
      <c r="C3824">
        <v>2001</v>
      </c>
    </row>
    <row r="3825" spans="1:11" x14ac:dyDescent="0.25">
      <c r="A3825">
        <v>36.373977785912203</v>
      </c>
      <c r="B3825">
        <v>85.511422060019399</v>
      </c>
      <c r="C3825">
        <v>2000</v>
      </c>
    </row>
    <row r="3826" spans="1:11" x14ac:dyDescent="0.25">
      <c r="A3826" t="s">
        <v>87</v>
      </c>
    </row>
    <row r="3827" spans="1:11" x14ac:dyDescent="0.25">
      <c r="A3827">
        <v>1000</v>
      </c>
      <c r="B3827">
        <v>0</v>
      </c>
      <c r="C3827">
        <v>11.182771183241901</v>
      </c>
      <c r="D3827">
        <v>10.7889348110137</v>
      </c>
      <c r="E3827">
        <v>6</v>
      </c>
      <c r="F3827">
        <v>1.01722196789785</v>
      </c>
      <c r="G3827" t="s">
        <v>88</v>
      </c>
      <c r="H3827" t="s">
        <v>85</v>
      </c>
      <c r="I3827">
        <v>912</v>
      </c>
      <c r="J3827">
        <v>0</v>
      </c>
      <c r="K3827">
        <v>0.111857181342572</v>
      </c>
    </row>
    <row r="3828" spans="1:11" x14ac:dyDescent="0.25">
      <c r="A3828" t="s">
        <v>86</v>
      </c>
    </row>
    <row r="3829" spans="1:11" x14ac:dyDescent="0.25">
      <c r="A3829">
        <v>142.47836669351599</v>
      </c>
      <c r="B3829">
        <v>38.829124904444299</v>
      </c>
      <c r="C3829">
        <v>2000</v>
      </c>
    </row>
    <row r="3830" spans="1:11" x14ac:dyDescent="0.25">
      <c r="A3830">
        <v>134.68216570944901</v>
      </c>
      <c r="B3830">
        <v>31.0329239203773</v>
      </c>
      <c r="C3830">
        <v>2000</v>
      </c>
    </row>
    <row r="3831" spans="1:11" x14ac:dyDescent="0.25">
      <c r="A3831">
        <v>134.245149685</v>
      </c>
      <c r="B3831">
        <v>31.469939944826098</v>
      </c>
      <c r="C3831">
        <v>2001</v>
      </c>
    </row>
    <row r="3832" spans="1:11" x14ac:dyDescent="0.25">
      <c r="A3832">
        <v>142.26377537318899</v>
      </c>
      <c r="B3832">
        <v>39.488565633014801</v>
      </c>
      <c r="C3832">
        <v>2001</v>
      </c>
    </row>
    <row r="3833" spans="1:11" x14ac:dyDescent="0.25">
      <c r="A3833">
        <v>150</v>
      </c>
      <c r="B3833">
        <v>47.224790259825802</v>
      </c>
      <c r="C3833">
        <v>2001</v>
      </c>
    </row>
    <row r="3834" spans="1:11" x14ac:dyDescent="0.25">
      <c r="A3834">
        <v>150</v>
      </c>
      <c r="B3834">
        <v>46.350758210928099</v>
      </c>
      <c r="C3834">
        <v>2000</v>
      </c>
    </row>
    <row r="3835" spans="1:11" x14ac:dyDescent="0.25">
      <c r="A3835" t="s">
        <v>87</v>
      </c>
    </row>
    <row r="3836" spans="1:11" x14ac:dyDescent="0.25">
      <c r="A3836">
        <v>849</v>
      </c>
      <c r="B3836">
        <v>0</v>
      </c>
      <c r="C3836">
        <v>3.9500165152188602</v>
      </c>
      <c r="D3836">
        <v>17.9760967340839</v>
      </c>
      <c r="E3836">
        <v>10</v>
      </c>
      <c r="F3836">
        <v>1.01722196789785</v>
      </c>
      <c r="G3836" t="s">
        <v>88</v>
      </c>
      <c r="H3836" t="s">
        <v>88</v>
      </c>
      <c r="I3836">
        <v>266</v>
      </c>
      <c r="J3836">
        <v>906</v>
      </c>
      <c r="K3836">
        <v>0.103730452296059</v>
      </c>
    </row>
    <row r="3837" spans="1:11" x14ac:dyDescent="0.25">
      <c r="A3837" t="s">
        <v>86</v>
      </c>
    </row>
    <row r="3838" spans="1:11" x14ac:dyDescent="0.25">
      <c r="A3838">
        <v>90.730772753125194</v>
      </c>
      <c r="B3838">
        <v>39.941370265060897</v>
      </c>
      <c r="C3838">
        <v>2000</v>
      </c>
    </row>
    <row r="3839" spans="1:11" x14ac:dyDescent="0.25">
      <c r="A3839">
        <v>87.937689289415104</v>
      </c>
      <c r="B3839">
        <v>37.1482868013508</v>
      </c>
      <c r="C3839">
        <v>2000</v>
      </c>
    </row>
    <row r="3840" spans="1:11" x14ac:dyDescent="0.25">
      <c r="A3840">
        <v>88.374705313863899</v>
      </c>
      <c r="B3840">
        <v>36.711270776901998</v>
      </c>
      <c r="C3840">
        <v>2001</v>
      </c>
    </row>
    <row r="3841" spans="1:11" x14ac:dyDescent="0.25">
      <c r="A3841">
        <v>91.167788777574103</v>
      </c>
      <c r="B3841">
        <v>39.504354240612102</v>
      </c>
      <c r="C3841">
        <v>2001</v>
      </c>
    </row>
    <row r="3842" spans="1:11" x14ac:dyDescent="0.25">
      <c r="A3842">
        <v>100.21850801222401</v>
      </c>
      <c r="B3842">
        <v>48.555073475262397</v>
      </c>
      <c r="C3842">
        <v>2001</v>
      </c>
    </row>
    <row r="3843" spans="1:11" x14ac:dyDescent="0.25">
      <c r="A3843">
        <v>101.44492652473799</v>
      </c>
      <c r="B3843">
        <v>49.781491987775603</v>
      </c>
      <c r="C3843">
        <v>2001</v>
      </c>
    </row>
    <row r="3844" spans="1:11" x14ac:dyDescent="0.25">
      <c r="A3844">
        <v>103.87880867750999</v>
      </c>
      <c r="B3844">
        <v>52.215374140548199</v>
      </c>
      <c r="C3844">
        <v>2001</v>
      </c>
    </row>
    <row r="3845" spans="1:11" x14ac:dyDescent="0.25">
      <c r="A3845">
        <v>103.441792653061</v>
      </c>
      <c r="B3845">
        <v>52.652390164997001</v>
      </c>
      <c r="C3845">
        <v>2000</v>
      </c>
    </row>
    <row r="3846" spans="1:11" x14ac:dyDescent="0.25">
      <c r="A3846">
        <v>101.007910500289</v>
      </c>
      <c r="B3846">
        <v>50.218508012224397</v>
      </c>
      <c r="C3846">
        <v>2000</v>
      </c>
    </row>
    <row r="3847" spans="1:11" x14ac:dyDescent="0.25">
      <c r="A3847">
        <v>99.781491987775595</v>
      </c>
      <c r="B3847">
        <v>48.992089499711298</v>
      </c>
      <c r="C3847">
        <v>2000</v>
      </c>
    </row>
    <row r="3848" spans="1:11" x14ac:dyDescent="0.25">
      <c r="A3848" t="s">
        <v>87</v>
      </c>
    </row>
    <row r="3849" spans="1:11" x14ac:dyDescent="0.25">
      <c r="A3849">
        <v>26</v>
      </c>
      <c r="B3849">
        <v>0</v>
      </c>
      <c r="C3849">
        <v>11.0941506647612</v>
      </c>
      <c r="D3849">
        <v>10.829073267677</v>
      </c>
      <c r="E3849">
        <v>6</v>
      </c>
      <c r="F3849">
        <v>1.01722196789785</v>
      </c>
      <c r="G3849" t="s">
        <v>85</v>
      </c>
      <c r="H3849" t="s">
        <v>88</v>
      </c>
      <c r="I3849">
        <v>0</v>
      </c>
      <c r="J3849">
        <v>904</v>
      </c>
      <c r="K3849">
        <v>0</v>
      </c>
    </row>
    <row r="3850" spans="1:11" x14ac:dyDescent="0.25">
      <c r="A3850" t="s">
        <v>86</v>
      </c>
    </row>
    <row r="3851" spans="1:11" x14ac:dyDescent="0.25">
      <c r="A3851">
        <v>39.965071370762701</v>
      </c>
      <c r="B3851">
        <v>7.9553241812795497</v>
      </c>
      <c r="C3851">
        <v>2000</v>
      </c>
    </row>
    <row r="3852" spans="1:11" x14ac:dyDescent="0.25">
      <c r="A3852">
        <v>32.0097471894831</v>
      </c>
      <c r="B3852">
        <v>0</v>
      </c>
      <c r="C3852">
        <v>2000</v>
      </c>
    </row>
    <row r="3853" spans="1:11" x14ac:dyDescent="0.25">
      <c r="A3853">
        <v>32.883779238380797</v>
      </c>
      <c r="B3853">
        <v>0</v>
      </c>
      <c r="C3853">
        <v>2001</v>
      </c>
    </row>
    <row r="3854" spans="1:11" x14ac:dyDescent="0.25">
      <c r="A3854">
        <v>40.617953390216996</v>
      </c>
      <c r="B3854">
        <v>7.7341741518362799</v>
      </c>
      <c r="C3854">
        <v>2001</v>
      </c>
    </row>
    <row r="3855" spans="1:11" x14ac:dyDescent="0.25">
      <c r="A3855">
        <v>48.1673315342547</v>
      </c>
      <c r="B3855">
        <v>15.2835522958739</v>
      </c>
      <c r="C3855">
        <v>2001</v>
      </c>
    </row>
    <row r="3856" spans="1:11" x14ac:dyDescent="0.25">
      <c r="A3856">
        <v>47.730315509805799</v>
      </c>
      <c r="B3856">
        <v>15.7205683203227</v>
      </c>
      <c r="C3856">
        <v>2000</v>
      </c>
    </row>
    <row r="3857" spans="1:11" x14ac:dyDescent="0.25">
      <c r="A3857" t="s">
        <v>87</v>
      </c>
    </row>
    <row r="3858" spans="1:11" x14ac:dyDescent="0.25">
      <c r="A3858">
        <v>910</v>
      </c>
      <c r="B3858">
        <v>0</v>
      </c>
      <c r="C3858">
        <v>4.4502446096515103</v>
      </c>
      <c r="D3858">
        <v>17.293754750738799</v>
      </c>
      <c r="E3858">
        <v>6</v>
      </c>
      <c r="F3858">
        <v>1.01722196789785</v>
      </c>
      <c r="G3858" t="s">
        <v>88</v>
      </c>
      <c r="H3858" t="s">
        <v>88</v>
      </c>
      <c r="I3858">
        <v>814</v>
      </c>
      <c r="J3858">
        <v>246</v>
      </c>
      <c r="K3858">
        <v>0.10525890298501001</v>
      </c>
    </row>
    <row r="3859" spans="1:11" x14ac:dyDescent="0.25">
      <c r="A3859" t="s">
        <v>86</v>
      </c>
    </row>
    <row r="3860" spans="1:11" x14ac:dyDescent="0.25">
      <c r="A3860">
        <v>66.915976621175901</v>
      </c>
      <c r="B3860">
        <v>22.5674080921141</v>
      </c>
      <c r="C3860">
        <v>2000</v>
      </c>
    </row>
    <row r="3861" spans="1:11" x14ac:dyDescent="0.25">
      <c r="A3861">
        <v>63.769178479752497</v>
      </c>
      <c r="B3861">
        <v>19.420609950690601</v>
      </c>
      <c r="C3861">
        <v>2000</v>
      </c>
    </row>
    <row r="3862" spans="1:11" x14ac:dyDescent="0.25">
      <c r="A3862">
        <v>64.206194504201306</v>
      </c>
      <c r="B3862">
        <v>18.983593926241799</v>
      </c>
      <c r="C3862">
        <v>2001</v>
      </c>
    </row>
    <row r="3863" spans="1:11" x14ac:dyDescent="0.25">
      <c r="A3863">
        <v>67.352992645624695</v>
      </c>
      <c r="B3863">
        <v>22.130392067665198</v>
      </c>
      <c r="C3863">
        <v>2001</v>
      </c>
    </row>
    <row r="3864" spans="1:11" x14ac:dyDescent="0.25">
      <c r="A3864">
        <v>79.581523902049298</v>
      </c>
      <c r="B3864">
        <v>34.358923324089702</v>
      </c>
      <c r="C3864">
        <v>2001</v>
      </c>
    </row>
    <row r="3865" spans="1:11" x14ac:dyDescent="0.25">
      <c r="A3865">
        <v>79.144507877600404</v>
      </c>
      <c r="B3865">
        <v>34.795939348538603</v>
      </c>
      <c r="C3865">
        <v>2000</v>
      </c>
    </row>
    <row r="3866" spans="1:11" x14ac:dyDescent="0.25">
      <c r="A3866" t="s">
        <v>87</v>
      </c>
    </row>
    <row r="3867" spans="1:11" x14ac:dyDescent="0.25">
      <c r="A3867">
        <v>674</v>
      </c>
      <c r="B3867">
        <v>0</v>
      </c>
      <c r="C3867">
        <v>13.838517450816401</v>
      </c>
      <c r="D3867">
        <v>7.8198183373866899</v>
      </c>
      <c r="E3867">
        <v>6</v>
      </c>
      <c r="F3867">
        <v>1.01722196789785</v>
      </c>
      <c r="G3867" t="s">
        <v>88</v>
      </c>
      <c r="H3867" t="s">
        <v>88</v>
      </c>
      <c r="I3867">
        <v>882</v>
      </c>
      <c r="J3867">
        <v>677</v>
      </c>
      <c r="K3867">
        <v>0</v>
      </c>
    </row>
    <row r="3868" spans="1:11" x14ac:dyDescent="0.25">
      <c r="A3868" t="s">
        <v>86</v>
      </c>
    </row>
    <row r="3869" spans="1:11" x14ac:dyDescent="0.25">
      <c r="A3869">
        <v>136.78337983032401</v>
      </c>
      <c r="B3869">
        <v>133.08066938355199</v>
      </c>
      <c r="C3869">
        <v>2000</v>
      </c>
    </row>
    <row r="3870" spans="1:11" x14ac:dyDescent="0.25">
      <c r="A3870">
        <v>126.998070299283</v>
      </c>
      <c r="B3870">
        <v>123.295359852511</v>
      </c>
      <c r="C3870">
        <v>2000</v>
      </c>
    </row>
    <row r="3871" spans="1:11" x14ac:dyDescent="0.25">
      <c r="A3871">
        <v>127.43508632373199</v>
      </c>
      <c r="B3871">
        <v>122.858343828062</v>
      </c>
      <c r="C3871">
        <v>2001</v>
      </c>
    </row>
    <row r="3872" spans="1:11" x14ac:dyDescent="0.25">
      <c r="A3872">
        <v>137.22039585477199</v>
      </c>
      <c r="B3872">
        <v>132.64365335910301</v>
      </c>
      <c r="C3872">
        <v>2001</v>
      </c>
    </row>
    <row r="3873" spans="1:11" x14ac:dyDescent="0.25">
      <c r="A3873">
        <v>142.749842428786</v>
      </c>
      <c r="B3873">
        <v>138.17309993311599</v>
      </c>
      <c r="C3873">
        <v>2001</v>
      </c>
    </row>
    <row r="3874" spans="1:11" x14ac:dyDescent="0.25">
      <c r="A3874">
        <v>142.31282640433699</v>
      </c>
      <c r="B3874">
        <v>138.610115957565</v>
      </c>
      <c r="C3874">
        <v>2000</v>
      </c>
    </row>
    <row r="3875" spans="1:11" x14ac:dyDescent="0.25">
      <c r="A3875" t="s">
        <v>87</v>
      </c>
    </row>
    <row r="3876" spans="1:11" x14ac:dyDescent="0.25">
      <c r="A3876">
        <v>860</v>
      </c>
      <c r="B3876">
        <v>0</v>
      </c>
      <c r="C3876">
        <v>11.0135607178487</v>
      </c>
      <c r="D3876">
        <v>10.632012353820601</v>
      </c>
      <c r="E3876">
        <v>6</v>
      </c>
      <c r="F3876">
        <v>1.01722196789785</v>
      </c>
      <c r="G3876" t="s">
        <v>88</v>
      </c>
      <c r="H3876" t="s">
        <v>88</v>
      </c>
      <c r="I3876">
        <v>357</v>
      </c>
      <c r="J3876">
        <v>358</v>
      </c>
      <c r="K3876">
        <v>0.103935679754349</v>
      </c>
    </row>
    <row r="3877" spans="1:11" x14ac:dyDescent="0.25">
      <c r="A3877" t="s">
        <v>86</v>
      </c>
    </row>
    <row r="3878" spans="1:11" x14ac:dyDescent="0.25">
      <c r="A3878">
        <v>72.342757673623595</v>
      </c>
      <c r="B3878">
        <v>129.976420382497</v>
      </c>
      <c r="C3878">
        <v>2000</v>
      </c>
    </row>
    <row r="3879" spans="1:11" x14ac:dyDescent="0.25">
      <c r="A3879">
        <v>64.554994205022993</v>
      </c>
      <c r="B3879">
        <v>122.188656913896</v>
      </c>
      <c r="C3879">
        <v>2000</v>
      </c>
    </row>
    <row r="3880" spans="1:11" x14ac:dyDescent="0.25">
      <c r="A3880">
        <v>64.117978180574198</v>
      </c>
      <c r="B3880">
        <v>122.62567293834501</v>
      </c>
      <c r="C3880">
        <v>2001</v>
      </c>
    </row>
    <row r="3881" spans="1:11" x14ac:dyDescent="0.25">
      <c r="A3881">
        <v>71.9057416491748</v>
      </c>
      <c r="B3881">
        <v>130.413436406946</v>
      </c>
      <c r="C3881">
        <v>2001</v>
      </c>
    </row>
    <row r="3882" spans="1:11" x14ac:dyDescent="0.25">
      <c r="A3882">
        <v>79.423709682220505</v>
      </c>
      <c r="B3882">
        <v>137.93140443999101</v>
      </c>
      <c r="C3882">
        <v>2001</v>
      </c>
    </row>
    <row r="3883" spans="1:11" x14ac:dyDescent="0.25">
      <c r="A3883">
        <v>79.860725706669299</v>
      </c>
      <c r="B3883">
        <v>137.494388415543</v>
      </c>
      <c r="C3883">
        <v>2000</v>
      </c>
    </row>
    <row r="3884" spans="1:11" x14ac:dyDescent="0.25">
      <c r="A3884" t="s">
        <v>87</v>
      </c>
    </row>
    <row r="3885" spans="1:11" x14ac:dyDescent="0.25">
      <c r="A3885">
        <v>1011</v>
      </c>
      <c r="B3885">
        <v>0</v>
      </c>
      <c r="C3885">
        <v>14.3940592274189</v>
      </c>
      <c r="D3885">
        <v>7.1992429077155897</v>
      </c>
      <c r="E3885">
        <v>6</v>
      </c>
      <c r="F3885">
        <v>1.01722196789785</v>
      </c>
      <c r="G3885" t="s">
        <v>88</v>
      </c>
      <c r="H3885" t="s">
        <v>85</v>
      </c>
      <c r="I3885">
        <v>660</v>
      </c>
      <c r="J3885">
        <v>0</v>
      </c>
      <c r="K3885">
        <v>0.112660347470226</v>
      </c>
    </row>
    <row r="3886" spans="1:11" x14ac:dyDescent="0.25">
      <c r="A3886" t="s">
        <v>86</v>
      </c>
    </row>
    <row r="3887" spans="1:11" x14ac:dyDescent="0.25">
      <c r="A3887">
        <v>144.83651558522101</v>
      </c>
      <c r="B3887">
        <v>112.854689469821</v>
      </c>
      <c r="C3887">
        <v>2000</v>
      </c>
    </row>
    <row r="3888" spans="1:11" x14ac:dyDescent="0.25">
      <c r="A3888">
        <v>134.512721619812</v>
      </c>
      <c r="B3888">
        <v>102.530895504412</v>
      </c>
      <c r="C3888">
        <v>2000</v>
      </c>
    </row>
    <row r="3889" spans="1:11" x14ac:dyDescent="0.25">
      <c r="A3889">
        <v>134.94973764426101</v>
      </c>
      <c r="B3889">
        <v>102.09387947996299</v>
      </c>
      <c r="C3889">
        <v>2001</v>
      </c>
    </row>
    <row r="3890" spans="1:11" x14ac:dyDescent="0.25">
      <c r="A3890">
        <v>144.98221745586901</v>
      </c>
      <c r="B3890">
        <v>112.126359291572</v>
      </c>
      <c r="C3890">
        <v>2001</v>
      </c>
    </row>
    <row r="3891" spans="1:11" x14ac:dyDescent="0.25">
      <c r="A3891">
        <v>150</v>
      </c>
      <c r="B3891">
        <v>117.144141835702</v>
      </c>
      <c r="C3891">
        <v>2001</v>
      </c>
    </row>
    <row r="3892" spans="1:11" x14ac:dyDescent="0.25">
      <c r="A3892">
        <v>150</v>
      </c>
      <c r="B3892">
        <v>118.0181738846</v>
      </c>
      <c r="C3892">
        <v>2000</v>
      </c>
    </row>
    <row r="3893" spans="1:11" x14ac:dyDescent="0.25">
      <c r="A3893" t="s">
        <v>87</v>
      </c>
    </row>
    <row r="3894" spans="1:11" x14ac:dyDescent="0.25">
      <c r="A3894">
        <v>191</v>
      </c>
      <c r="B3894">
        <v>0</v>
      </c>
      <c r="C3894">
        <v>4.2849876281342496</v>
      </c>
      <c r="D3894">
        <v>16.746438607462899</v>
      </c>
      <c r="E3894">
        <v>6</v>
      </c>
      <c r="F3894">
        <v>1.01722196789785</v>
      </c>
      <c r="G3894" t="s">
        <v>88</v>
      </c>
      <c r="H3894" t="s">
        <v>88</v>
      </c>
      <c r="I3894">
        <v>197</v>
      </c>
      <c r="J3894">
        <v>162</v>
      </c>
      <c r="K3894">
        <v>0</v>
      </c>
    </row>
    <row r="3895" spans="1:11" x14ac:dyDescent="0.25">
      <c r="A3895" t="s">
        <v>86</v>
      </c>
    </row>
    <row r="3896" spans="1:11" x14ac:dyDescent="0.25">
      <c r="A3896">
        <v>124.428840862326</v>
      </c>
      <c r="B3896">
        <v>83.640512016895599</v>
      </c>
      <c r="C3896">
        <v>2000</v>
      </c>
    </row>
    <row r="3897" spans="1:11" x14ac:dyDescent="0.25">
      <c r="A3897">
        <v>121.398897053171</v>
      </c>
      <c r="B3897">
        <v>80.610568207741494</v>
      </c>
      <c r="C3897">
        <v>2000</v>
      </c>
    </row>
    <row r="3898" spans="1:11" x14ac:dyDescent="0.25">
      <c r="A3898">
        <v>121.83591307762001</v>
      </c>
      <c r="B3898">
        <v>80.173552183292699</v>
      </c>
      <c r="C3898">
        <v>2001</v>
      </c>
    </row>
    <row r="3899" spans="1:11" x14ac:dyDescent="0.25">
      <c r="A3899">
        <v>124.865856886774</v>
      </c>
      <c r="B3899">
        <v>83.203495992446804</v>
      </c>
      <c r="C3899">
        <v>2001</v>
      </c>
    </row>
    <row r="3900" spans="1:11" x14ac:dyDescent="0.25">
      <c r="A3900">
        <v>136.707377186836</v>
      </c>
      <c r="B3900">
        <v>95.045016292508095</v>
      </c>
      <c r="C3900">
        <v>2001</v>
      </c>
    </row>
    <row r="3901" spans="1:11" x14ac:dyDescent="0.25">
      <c r="A3901">
        <v>136.27036116238699</v>
      </c>
      <c r="B3901">
        <v>95.482032316956904</v>
      </c>
      <c r="C3901">
        <v>2000</v>
      </c>
    </row>
    <row r="3902" spans="1:11" x14ac:dyDescent="0.25">
      <c r="A3902" t="s">
        <v>87</v>
      </c>
    </row>
    <row r="3903" spans="1:11" x14ac:dyDescent="0.25">
      <c r="A3903">
        <v>425</v>
      </c>
      <c r="B3903">
        <v>0</v>
      </c>
      <c r="C3903">
        <v>7.7420373490670498</v>
      </c>
      <c r="D3903">
        <v>13.285384565826201</v>
      </c>
      <c r="E3903">
        <v>6</v>
      </c>
      <c r="F3903">
        <v>1.01722196789785</v>
      </c>
      <c r="G3903" t="s">
        <v>88</v>
      </c>
      <c r="H3903" t="s">
        <v>88</v>
      </c>
      <c r="I3903">
        <v>753</v>
      </c>
      <c r="J3903">
        <v>412</v>
      </c>
      <c r="K3903">
        <v>0</v>
      </c>
    </row>
    <row r="3904" spans="1:11" x14ac:dyDescent="0.25">
      <c r="A3904" t="s">
        <v>86</v>
      </c>
    </row>
    <row r="3905" spans="1:11" x14ac:dyDescent="0.25">
      <c r="A3905">
        <v>106.632192334916</v>
      </c>
      <c r="B3905">
        <v>34.898986482018898</v>
      </c>
      <c r="C3905">
        <v>2000</v>
      </c>
    </row>
    <row r="3906" spans="1:11" x14ac:dyDescent="0.25">
      <c r="A3906">
        <v>101.15774522519099</v>
      </c>
      <c r="B3906">
        <v>29.424539372294099</v>
      </c>
      <c r="C3906">
        <v>2000</v>
      </c>
    </row>
    <row r="3907" spans="1:11" x14ac:dyDescent="0.25">
      <c r="A3907">
        <v>100.720729200742</v>
      </c>
      <c r="B3907">
        <v>29.861555396742901</v>
      </c>
      <c r="C3907">
        <v>2001</v>
      </c>
    </row>
    <row r="3908" spans="1:11" x14ac:dyDescent="0.25">
      <c r="A3908">
        <v>106.19517631046701</v>
      </c>
      <c r="B3908">
        <v>35.3360025064677</v>
      </c>
      <c r="C3908">
        <v>2001</v>
      </c>
    </row>
    <row r="3909" spans="1:11" x14ac:dyDescent="0.25">
      <c r="A3909">
        <v>115.58936182763399</v>
      </c>
      <c r="B3909">
        <v>44.730188023634497</v>
      </c>
      <c r="C3909">
        <v>2001</v>
      </c>
    </row>
    <row r="3910" spans="1:11" x14ac:dyDescent="0.25">
      <c r="A3910">
        <v>116.026377852083</v>
      </c>
      <c r="B3910">
        <v>44.293171999185702</v>
      </c>
      <c r="C3910">
        <v>2000</v>
      </c>
    </row>
    <row r="3911" spans="1:11" x14ac:dyDescent="0.25">
      <c r="A3911" t="s">
        <v>87</v>
      </c>
    </row>
    <row r="3912" spans="1:11" x14ac:dyDescent="0.25">
      <c r="A3912">
        <v>119</v>
      </c>
      <c r="B3912">
        <v>0</v>
      </c>
      <c r="C3912">
        <v>4.3821198538689297</v>
      </c>
      <c r="D3912">
        <v>16.441441943761099</v>
      </c>
      <c r="E3912">
        <v>6</v>
      </c>
      <c r="F3912">
        <v>1.01722196789785</v>
      </c>
      <c r="G3912" t="s">
        <v>88</v>
      </c>
      <c r="H3912" t="s">
        <v>88</v>
      </c>
      <c r="I3912">
        <v>749</v>
      </c>
      <c r="J3912">
        <v>884</v>
      </c>
      <c r="K3912">
        <v>0</v>
      </c>
    </row>
    <row r="3913" spans="1:11" x14ac:dyDescent="0.25">
      <c r="A3913" t="s">
        <v>86</v>
      </c>
    </row>
    <row r="3914" spans="1:11" x14ac:dyDescent="0.25">
      <c r="A3914">
        <v>58.848751728347999</v>
      </c>
      <c r="B3914">
        <v>78.824880042036298</v>
      </c>
      <c r="C3914">
        <v>2000</v>
      </c>
    </row>
    <row r="3915" spans="1:11" x14ac:dyDescent="0.25">
      <c r="A3915">
        <v>55.750125063705099</v>
      </c>
      <c r="B3915">
        <v>75.726253377393405</v>
      </c>
      <c r="C3915">
        <v>2000</v>
      </c>
    </row>
    <row r="3916" spans="1:11" x14ac:dyDescent="0.25">
      <c r="A3916">
        <v>55.313109039256297</v>
      </c>
      <c r="B3916">
        <v>76.1632694018422</v>
      </c>
      <c r="C3916">
        <v>2001</v>
      </c>
    </row>
    <row r="3917" spans="1:11" x14ac:dyDescent="0.25">
      <c r="A3917">
        <v>58.411735703899197</v>
      </c>
      <c r="B3917">
        <v>79.261896066485093</v>
      </c>
      <c r="C3917">
        <v>2001</v>
      </c>
    </row>
    <row r="3918" spans="1:11" x14ac:dyDescent="0.25">
      <c r="A3918">
        <v>70.037590794817604</v>
      </c>
      <c r="B3918">
        <v>90.8877511574035</v>
      </c>
      <c r="C3918">
        <v>2001</v>
      </c>
    </row>
    <row r="3919" spans="1:11" x14ac:dyDescent="0.25">
      <c r="A3919">
        <v>70.474606819266398</v>
      </c>
      <c r="B3919">
        <v>90.450735132954705</v>
      </c>
      <c r="C3919">
        <v>2000</v>
      </c>
    </row>
    <row r="3920" spans="1:11" x14ac:dyDescent="0.25">
      <c r="A3920" t="s">
        <v>87</v>
      </c>
    </row>
    <row r="3921" spans="1:11" x14ac:dyDescent="0.25">
      <c r="A3921">
        <v>598</v>
      </c>
      <c r="B3921">
        <v>0</v>
      </c>
      <c r="C3921">
        <v>10.2737455638764</v>
      </c>
      <c r="D3921">
        <v>10.478761730451399</v>
      </c>
      <c r="E3921">
        <v>6</v>
      </c>
      <c r="F3921">
        <v>1.01722196789785</v>
      </c>
      <c r="G3921" t="s">
        <v>88</v>
      </c>
      <c r="H3921" t="s">
        <v>88</v>
      </c>
      <c r="I3921">
        <v>798</v>
      </c>
      <c r="J3921">
        <v>805</v>
      </c>
      <c r="K3921">
        <v>0</v>
      </c>
    </row>
    <row r="3922" spans="1:11" x14ac:dyDescent="0.25">
      <c r="A3922" t="s">
        <v>86</v>
      </c>
    </row>
    <row r="3923" spans="1:11" x14ac:dyDescent="0.25">
      <c r="A3923">
        <v>33.366141382770799</v>
      </c>
      <c r="B3923">
        <v>113.39848485328601</v>
      </c>
      <c r="C3923">
        <v>2000</v>
      </c>
    </row>
    <row r="3924" spans="1:11" x14ac:dyDescent="0.25">
      <c r="A3924">
        <v>26.101506226368599</v>
      </c>
      <c r="B3924">
        <v>106.133849696884</v>
      </c>
      <c r="C3924">
        <v>2000</v>
      </c>
    </row>
    <row r="3925" spans="1:11" x14ac:dyDescent="0.25">
      <c r="A3925">
        <v>25.664490201919801</v>
      </c>
      <c r="B3925">
        <v>106.57086572133301</v>
      </c>
      <c r="C3925">
        <v>2001</v>
      </c>
    </row>
    <row r="3926" spans="1:11" x14ac:dyDescent="0.25">
      <c r="A3926">
        <v>32.929125358321997</v>
      </c>
      <c r="B3926">
        <v>113.835500877735</v>
      </c>
      <c r="C3926">
        <v>2001</v>
      </c>
    </row>
    <row r="3927" spans="1:11" x14ac:dyDescent="0.25">
      <c r="A3927">
        <v>40.3387288363623</v>
      </c>
      <c r="B3927">
        <v>121.245104355775</v>
      </c>
      <c r="C3927">
        <v>2001</v>
      </c>
    </row>
    <row r="3928" spans="1:11" x14ac:dyDescent="0.25">
      <c r="A3928">
        <v>40.775744860811102</v>
      </c>
      <c r="B3928">
        <v>120.808088331327</v>
      </c>
      <c r="C3928">
        <v>2000</v>
      </c>
    </row>
    <row r="3929" spans="1:11" x14ac:dyDescent="0.25">
      <c r="A3929" t="s">
        <v>87</v>
      </c>
    </row>
    <row r="3930" spans="1:11" x14ac:dyDescent="0.25">
      <c r="A3930">
        <v>762</v>
      </c>
      <c r="B3930">
        <v>0</v>
      </c>
      <c r="C3930">
        <v>19.552127794159901</v>
      </c>
      <c r="D3930">
        <v>1.1972320392182501</v>
      </c>
      <c r="E3930">
        <v>6</v>
      </c>
      <c r="F3930">
        <v>1.01722196789785</v>
      </c>
      <c r="G3930" t="s">
        <v>88</v>
      </c>
      <c r="H3930" t="s">
        <v>85</v>
      </c>
      <c r="I3930">
        <v>912</v>
      </c>
      <c r="J3930">
        <v>0</v>
      </c>
      <c r="K3930">
        <v>0.10038021386068</v>
      </c>
    </row>
    <row r="3931" spans="1:11" x14ac:dyDescent="0.25">
      <c r="A3931" t="s">
        <v>86</v>
      </c>
    </row>
    <row r="3932" spans="1:11" x14ac:dyDescent="0.25">
      <c r="A3932">
        <v>149.16603695529099</v>
      </c>
      <c r="B3932">
        <v>43.788136647591898</v>
      </c>
      <c r="C3932">
        <v>2000</v>
      </c>
    </row>
    <row r="3933" spans="1:11" x14ac:dyDescent="0.25">
      <c r="A3933">
        <v>135.546494968763</v>
      </c>
      <c r="B3933">
        <v>30.168594661063501</v>
      </c>
      <c r="C3933">
        <v>2000</v>
      </c>
    </row>
    <row r="3934" spans="1:11" x14ac:dyDescent="0.25">
      <c r="A3934">
        <v>135.10947894431399</v>
      </c>
      <c r="B3934">
        <v>30.6056106855123</v>
      </c>
      <c r="C3934">
        <v>2001</v>
      </c>
    </row>
    <row r="3935" spans="1:11" x14ac:dyDescent="0.25">
      <c r="A3935">
        <v>149.14082125753899</v>
      </c>
      <c r="B3935">
        <v>44.636952998736803</v>
      </c>
      <c r="C3935">
        <v>2001</v>
      </c>
    </row>
    <row r="3936" spans="1:11" x14ac:dyDescent="0.25">
      <c r="A3936">
        <v>150</v>
      </c>
      <c r="B3936">
        <v>45.496131741198198</v>
      </c>
      <c r="C3936">
        <v>2001</v>
      </c>
    </row>
    <row r="3937" spans="1:11" x14ac:dyDescent="0.25">
      <c r="A3937">
        <v>150</v>
      </c>
      <c r="B3937">
        <v>44.622099692300601</v>
      </c>
      <c r="C3937">
        <v>2000</v>
      </c>
    </row>
    <row r="3938" spans="1:11" x14ac:dyDescent="0.25">
      <c r="A3938" t="s">
        <v>87</v>
      </c>
    </row>
    <row r="3939" spans="1:11" x14ac:dyDescent="0.25">
      <c r="A3939">
        <v>854</v>
      </c>
      <c r="B3939">
        <v>0</v>
      </c>
      <c r="C3939">
        <v>11.463434140523299</v>
      </c>
      <c r="D3939">
        <v>8.8103617113014696</v>
      </c>
      <c r="E3939">
        <v>6</v>
      </c>
      <c r="F3939">
        <v>1.01722196789785</v>
      </c>
      <c r="G3939" t="s">
        <v>85</v>
      </c>
      <c r="H3939" t="s">
        <v>88</v>
      </c>
      <c r="I3939">
        <v>0</v>
      </c>
      <c r="J3939">
        <v>592</v>
      </c>
      <c r="K3939">
        <v>0.103730452296059</v>
      </c>
    </row>
    <row r="3940" spans="1:11" x14ac:dyDescent="0.25">
      <c r="A3940" t="s">
        <v>86</v>
      </c>
    </row>
    <row r="3941" spans="1:11" x14ac:dyDescent="0.25">
      <c r="A3941">
        <v>7.9823207966571896</v>
      </c>
      <c r="B3941">
        <v>108.52149548029099</v>
      </c>
      <c r="C3941">
        <v>2000</v>
      </c>
    </row>
    <row r="3942" spans="1:11" x14ac:dyDescent="0.25">
      <c r="A3942">
        <v>0</v>
      </c>
      <c r="B3942">
        <v>100.539174683634</v>
      </c>
      <c r="C3942">
        <v>2000</v>
      </c>
    </row>
    <row r="3943" spans="1:11" x14ac:dyDescent="0.25">
      <c r="A3943">
        <v>0.21850801222440999</v>
      </c>
      <c r="B3943">
        <v>99.883650646961001</v>
      </c>
      <c r="C3943">
        <v>2001</v>
      </c>
    </row>
    <row r="3944" spans="1:11" x14ac:dyDescent="0.25">
      <c r="A3944">
        <v>8.3243800286738097</v>
      </c>
      <c r="B3944">
        <v>107.98952266341</v>
      </c>
      <c r="C3944">
        <v>2001</v>
      </c>
    </row>
    <row r="3945" spans="1:11" x14ac:dyDescent="0.25">
      <c r="A3945">
        <v>14.554246539441399</v>
      </c>
      <c r="B3945">
        <v>114.219389174178</v>
      </c>
      <c r="C3945">
        <v>2001</v>
      </c>
    </row>
    <row r="3946" spans="1:11" x14ac:dyDescent="0.25">
      <c r="A3946">
        <v>14.117230514992601</v>
      </c>
      <c r="B3946">
        <v>114.656405198627</v>
      </c>
      <c r="C3946">
        <v>2000</v>
      </c>
    </row>
    <row r="3947" spans="1:11" x14ac:dyDescent="0.25">
      <c r="A3947" t="s">
        <v>87</v>
      </c>
    </row>
    <row r="3948" spans="1:11" x14ac:dyDescent="0.25">
      <c r="A3948">
        <v>734</v>
      </c>
      <c r="B3948">
        <v>0</v>
      </c>
      <c r="C3948">
        <v>13.867224565796899</v>
      </c>
      <c r="D3948">
        <v>6.3747181646862403</v>
      </c>
      <c r="E3948">
        <v>6</v>
      </c>
      <c r="F3948">
        <v>1.01722196789785</v>
      </c>
      <c r="G3948" t="s">
        <v>88</v>
      </c>
      <c r="H3948" t="s">
        <v>88</v>
      </c>
      <c r="I3948">
        <v>928</v>
      </c>
      <c r="J3948">
        <v>851</v>
      </c>
      <c r="K3948">
        <v>0.101113411737407</v>
      </c>
    </row>
    <row r="3949" spans="1:11" x14ac:dyDescent="0.25">
      <c r="A3949" t="s">
        <v>86</v>
      </c>
    </row>
    <row r="3950" spans="1:11" x14ac:dyDescent="0.25">
      <c r="A3950">
        <v>31.528367799957302</v>
      </c>
      <c r="B3950">
        <v>75.539196565993905</v>
      </c>
      <c r="C3950">
        <v>2000</v>
      </c>
    </row>
    <row r="3951" spans="1:11" x14ac:dyDescent="0.25">
      <c r="A3951">
        <v>21.7227592732456</v>
      </c>
      <c r="B3951">
        <v>65.733588039282196</v>
      </c>
      <c r="C3951">
        <v>2000</v>
      </c>
    </row>
    <row r="3952" spans="1:11" x14ac:dyDescent="0.25">
      <c r="A3952">
        <v>22.159775297694399</v>
      </c>
      <c r="B3952">
        <v>65.296572014833401</v>
      </c>
      <c r="C3952">
        <v>2001</v>
      </c>
    </row>
    <row r="3953" spans="1:11" x14ac:dyDescent="0.25">
      <c r="A3953">
        <v>31.9653838244061</v>
      </c>
      <c r="B3953">
        <v>75.102180541545096</v>
      </c>
      <c r="C3953">
        <v>2001</v>
      </c>
    </row>
    <row r="3954" spans="1:11" x14ac:dyDescent="0.25">
      <c r="A3954">
        <v>36.4729902668088</v>
      </c>
      <c r="B3954">
        <v>79.609786983947799</v>
      </c>
      <c r="C3954">
        <v>2001</v>
      </c>
    </row>
    <row r="3955" spans="1:11" x14ac:dyDescent="0.25">
      <c r="A3955">
        <v>36.035974242359998</v>
      </c>
      <c r="B3955">
        <v>80.046803008396594</v>
      </c>
      <c r="C3955">
        <v>2000</v>
      </c>
    </row>
    <row r="3956" spans="1:11" x14ac:dyDescent="0.25">
      <c r="A3956" t="s">
        <v>87</v>
      </c>
    </row>
    <row r="3957" spans="1:11" x14ac:dyDescent="0.25">
      <c r="A3957">
        <v>593</v>
      </c>
      <c r="B3957">
        <v>0</v>
      </c>
      <c r="C3957">
        <v>1.58950057827953</v>
      </c>
      <c r="D3957">
        <v>18.644213432366001</v>
      </c>
      <c r="E3957">
        <v>6</v>
      </c>
      <c r="F3957">
        <v>1.01722196789785</v>
      </c>
      <c r="G3957" t="s">
        <v>88</v>
      </c>
      <c r="H3957" t="s">
        <v>88</v>
      </c>
      <c r="I3957">
        <v>727</v>
      </c>
      <c r="J3957">
        <v>788</v>
      </c>
      <c r="K3957">
        <v>0</v>
      </c>
    </row>
    <row r="3958" spans="1:11" x14ac:dyDescent="0.25">
      <c r="A3958" t="s">
        <v>86</v>
      </c>
    </row>
    <row r="3959" spans="1:11" x14ac:dyDescent="0.25">
      <c r="A3959">
        <v>16.288621320062401</v>
      </c>
      <c r="B3959">
        <v>105.64804649382801</v>
      </c>
      <c r="C3959">
        <v>2000</v>
      </c>
    </row>
    <row r="3960" spans="1:11" x14ac:dyDescent="0.25">
      <c r="A3960">
        <v>15.164674682460999</v>
      </c>
      <c r="B3960">
        <v>104.524099856226</v>
      </c>
      <c r="C3960">
        <v>2000</v>
      </c>
    </row>
    <row r="3961" spans="1:11" x14ac:dyDescent="0.25">
      <c r="A3961">
        <v>15.601690706909899</v>
      </c>
      <c r="B3961">
        <v>104.08708383177699</v>
      </c>
      <c r="C3961">
        <v>2001</v>
      </c>
    </row>
    <row r="3962" spans="1:11" x14ac:dyDescent="0.25">
      <c r="A3962">
        <v>16.725637344511199</v>
      </c>
      <c r="B3962">
        <v>105.211030469379</v>
      </c>
      <c r="C3962">
        <v>2001</v>
      </c>
    </row>
    <row r="3963" spans="1:11" x14ac:dyDescent="0.25">
      <c r="A3963">
        <v>29.909087092426599</v>
      </c>
      <c r="B3963">
        <v>118.394480217294</v>
      </c>
      <c r="C3963">
        <v>2001</v>
      </c>
    </row>
    <row r="3964" spans="1:11" x14ac:dyDescent="0.25">
      <c r="A3964">
        <v>29.472071067977801</v>
      </c>
      <c r="B3964">
        <v>118.831496241743</v>
      </c>
      <c r="C3964">
        <v>2000</v>
      </c>
    </row>
    <row r="3965" spans="1:11" x14ac:dyDescent="0.25">
      <c r="A3965" t="s">
        <v>87</v>
      </c>
    </row>
    <row r="3966" spans="1:11" x14ac:dyDescent="0.25">
      <c r="A3966">
        <v>811</v>
      </c>
      <c r="B3966">
        <v>0</v>
      </c>
      <c r="C3966">
        <v>6.2715677416547102</v>
      </c>
      <c r="D3966">
        <v>13.937920998179401</v>
      </c>
      <c r="E3966">
        <v>6</v>
      </c>
      <c r="F3966">
        <v>1.01722196789785</v>
      </c>
      <c r="G3966" t="s">
        <v>88</v>
      </c>
      <c r="H3966" t="s">
        <v>88</v>
      </c>
      <c r="I3966">
        <v>587</v>
      </c>
      <c r="J3966">
        <v>582</v>
      </c>
      <c r="K3966">
        <v>0.102861961526139</v>
      </c>
    </row>
    <row r="3967" spans="1:11" x14ac:dyDescent="0.25">
      <c r="A3967" t="s">
        <v>86</v>
      </c>
    </row>
    <row r="3968" spans="1:11" x14ac:dyDescent="0.25">
      <c r="A3968">
        <v>13.7830857405316</v>
      </c>
      <c r="B3968">
        <v>119.362236576328</v>
      </c>
      <c r="C3968">
        <v>2000</v>
      </c>
    </row>
    <row r="3969" spans="1:11" x14ac:dyDescent="0.25">
      <c r="A3969">
        <v>9.3484176617367094</v>
      </c>
      <c r="B3969">
        <v>114.927568497533</v>
      </c>
      <c r="C3969">
        <v>2000</v>
      </c>
    </row>
    <row r="3970" spans="1:11" x14ac:dyDescent="0.25">
      <c r="A3970">
        <v>8.9114016372878897</v>
      </c>
      <c r="B3970">
        <v>115.364584521982</v>
      </c>
      <c r="C3970">
        <v>2001</v>
      </c>
    </row>
    <row r="3971" spans="1:11" x14ac:dyDescent="0.25">
      <c r="A3971">
        <v>13.346069716082701</v>
      </c>
      <c r="B3971">
        <v>119.799252600777</v>
      </c>
      <c r="C3971">
        <v>2001</v>
      </c>
    </row>
    <row r="3972" spans="1:11" x14ac:dyDescent="0.25">
      <c r="A3972">
        <v>23.201668169537701</v>
      </c>
      <c r="B3972">
        <v>129.65485105423201</v>
      </c>
      <c r="C3972">
        <v>2001</v>
      </c>
    </row>
    <row r="3973" spans="1:11" x14ac:dyDescent="0.25">
      <c r="A3973">
        <v>23.638684193986499</v>
      </c>
      <c r="B3973">
        <v>129.217835029783</v>
      </c>
      <c r="C3973">
        <v>2000</v>
      </c>
    </row>
    <row r="3974" spans="1:11" x14ac:dyDescent="0.25">
      <c r="A3974" t="s">
        <v>87</v>
      </c>
    </row>
    <row r="3975" spans="1:11" x14ac:dyDescent="0.25">
      <c r="A3975">
        <v>865</v>
      </c>
      <c r="B3975">
        <v>0</v>
      </c>
      <c r="C3975">
        <v>10.840570777569299</v>
      </c>
      <c r="D3975">
        <v>9.3158834729872595</v>
      </c>
      <c r="E3975">
        <v>6</v>
      </c>
      <c r="F3975">
        <v>1.01722196789785</v>
      </c>
      <c r="G3975" t="s">
        <v>88</v>
      </c>
      <c r="H3975" t="s">
        <v>88</v>
      </c>
      <c r="I3975">
        <v>24</v>
      </c>
      <c r="J3975">
        <v>875</v>
      </c>
      <c r="K3975">
        <v>0.10413651460953199</v>
      </c>
    </row>
    <row r="3976" spans="1:11" x14ac:dyDescent="0.25">
      <c r="A3976" t="s">
        <v>86</v>
      </c>
    </row>
    <row r="3977" spans="1:11" x14ac:dyDescent="0.25">
      <c r="A3977">
        <v>35.552217703565297</v>
      </c>
      <c r="B3977">
        <v>27.0154868224753</v>
      </c>
      <c r="C3977">
        <v>2000</v>
      </c>
    </row>
    <row r="3978" spans="1:11" x14ac:dyDescent="0.25">
      <c r="A3978">
        <v>27.886776594813298</v>
      </c>
      <c r="B3978">
        <v>19.350045713723301</v>
      </c>
      <c r="C3978">
        <v>2000</v>
      </c>
    </row>
    <row r="3979" spans="1:11" x14ac:dyDescent="0.25">
      <c r="A3979">
        <v>27.4497605703645</v>
      </c>
      <c r="B3979">
        <v>19.787061738172099</v>
      </c>
      <c r="C3979">
        <v>2001</v>
      </c>
    </row>
    <row r="3980" spans="1:11" x14ac:dyDescent="0.25">
      <c r="A3980">
        <v>35.115201679116502</v>
      </c>
      <c r="B3980">
        <v>27.452502846924101</v>
      </c>
      <c r="C3980">
        <v>2001</v>
      </c>
    </row>
    <row r="3981" spans="1:11" x14ac:dyDescent="0.25">
      <c r="A3981">
        <v>41.702526055609503</v>
      </c>
      <c r="B3981">
        <v>34.039827223417099</v>
      </c>
      <c r="C3981">
        <v>2001</v>
      </c>
    </row>
    <row r="3982" spans="1:11" x14ac:dyDescent="0.25">
      <c r="A3982">
        <v>42.139542080058298</v>
      </c>
      <c r="B3982">
        <v>33.602811198968197</v>
      </c>
      <c r="C3982">
        <v>2000</v>
      </c>
    </row>
    <row r="3983" spans="1:11" x14ac:dyDescent="0.25">
      <c r="A3983" t="s">
        <v>87</v>
      </c>
    </row>
    <row r="3984" spans="1:11" x14ac:dyDescent="0.25">
      <c r="A3984">
        <v>673</v>
      </c>
      <c r="B3984">
        <v>0</v>
      </c>
      <c r="C3984">
        <v>2.5541441151933402</v>
      </c>
      <c r="D3984">
        <v>17.247098354051701</v>
      </c>
      <c r="E3984">
        <v>6</v>
      </c>
      <c r="F3984">
        <v>1.01722196789785</v>
      </c>
      <c r="G3984" t="s">
        <v>88</v>
      </c>
      <c r="H3984" t="s">
        <v>85</v>
      </c>
      <c r="I3984">
        <v>772</v>
      </c>
      <c r="J3984">
        <v>0</v>
      </c>
      <c r="K3984">
        <v>0</v>
      </c>
    </row>
    <row r="3985" spans="1:11" x14ac:dyDescent="0.25">
      <c r="A3985" t="s">
        <v>86</v>
      </c>
    </row>
    <row r="3986" spans="1:11" x14ac:dyDescent="0.25">
      <c r="A3986">
        <v>131.63613107031</v>
      </c>
      <c r="B3986">
        <v>137.614136934035</v>
      </c>
      <c r="C3986">
        <v>2000</v>
      </c>
    </row>
    <row r="3987" spans="1:11" x14ac:dyDescent="0.25">
      <c r="A3987">
        <v>129.80189329812899</v>
      </c>
      <c r="B3987">
        <v>135.779899161853</v>
      </c>
      <c r="C3987">
        <v>2000</v>
      </c>
    </row>
    <row r="3988" spans="1:11" x14ac:dyDescent="0.25">
      <c r="A3988">
        <v>129.36487727368001</v>
      </c>
      <c r="B3988">
        <v>136.216915186302</v>
      </c>
      <c r="C3988">
        <v>2001</v>
      </c>
    </row>
    <row r="3989" spans="1:11" x14ac:dyDescent="0.25">
      <c r="A3989">
        <v>131.14274474946001</v>
      </c>
      <c r="B3989">
        <v>137.994782662083</v>
      </c>
      <c r="C3989">
        <v>2001</v>
      </c>
    </row>
    <row r="3990" spans="1:11" x14ac:dyDescent="0.25">
      <c r="A3990">
        <v>143.147962087378</v>
      </c>
      <c r="B3990">
        <v>150</v>
      </c>
      <c r="C3990">
        <v>2001</v>
      </c>
    </row>
    <row r="3991" spans="1:11" x14ac:dyDescent="0.25">
      <c r="A3991">
        <v>144.021994136275</v>
      </c>
      <c r="B3991">
        <v>150</v>
      </c>
      <c r="C3991">
        <v>2000</v>
      </c>
    </row>
    <row r="3992" spans="1:11" x14ac:dyDescent="0.25">
      <c r="A3992" t="s">
        <v>87</v>
      </c>
    </row>
    <row r="3993" spans="1:11" x14ac:dyDescent="0.25">
      <c r="A3993">
        <v>514</v>
      </c>
      <c r="B3993">
        <v>0</v>
      </c>
      <c r="C3993">
        <v>10.7180266896282</v>
      </c>
      <c r="D3993">
        <v>8.9649714117699997</v>
      </c>
      <c r="E3993">
        <v>8</v>
      </c>
      <c r="F3993">
        <v>1.01722196789785</v>
      </c>
      <c r="G3993" t="s">
        <v>88</v>
      </c>
      <c r="H3993" t="s">
        <v>88</v>
      </c>
      <c r="I3993">
        <v>28</v>
      </c>
      <c r="J3993">
        <v>993</v>
      </c>
      <c r="K3993">
        <v>0</v>
      </c>
    </row>
    <row r="3994" spans="1:11" x14ac:dyDescent="0.25">
      <c r="A3994" t="s">
        <v>86</v>
      </c>
    </row>
    <row r="3995" spans="1:11" x14ac:dyDescent="0.25">
      <c r="A3995">
        <v>18.752771655918298</v>
      </c>
      <c r="B3995">
        <v>54.1614927990138</v>
      </c>
      <c r="C3995">
        <v>2000</v>
      </c>
    </row>
    <row r="3996" spans="1:11" x14ac:dyDescent="0.25">
      <c r="A3996">
        <v>14.809786869128899</v>
      </c>
      <c r="B3996">
        <v>50.218508012224397</v>
      </c>
      <c r="C3996">
        <v>2000</v>
      </c>
    </row>
    <row r="3997" spans="1:11" x14ac:dyDescent="0.25">
      <c r="A3997">
        <v>11.1739823027438</v>
      </c>
      <c r="B3997">
        <v>46.5827034458393</v>
      </c>
      <c r="C3997">
        <v>2000</v>
      </c>
    </row>
    <row r="3998" spans="1:11" x14ac:dyDescent="0.25">
      <c r="A3998">
        <v>11.6109983271926</v>
      </c>
      <c r="B3998">
        <v>46.145687421390498</v>
      </c>
      <c r="C3998">
        <v>2001</v>
      </c>
    </row>
    <row r="3999" spans="1:11" x14ac:dyDescent="0.25">
      <c r="A3999">
        <v>15.2468028935777</v>
      </c>
      <c r="B3999">
        <v>49.781491987775603</v>
      </c>
      <c r="C3999">
        <v>2001</v>
      </c>
    </row>
    <row r="4000" spans="1:11" x14ac:dyDescent="0.25">
      <c r="A4000">
        <v>19.1897876803671</v>
      </c>
      <c r="B4000">
        <v>53.724476774564998</v>
      </c>
      <c r="C4000">
        <v>2001</v>
      </c>
    </row>
    <row r="4001" spans="1:11" x14ac:dyDescent="0.25">
      <c r="A4001">
        <v>25.5289797587732</v>
      </c>
      <c r="B4001">
        <v>60.063668852971098</v>
      </c>
      <c r="C4001">
        <v>2001</v>
      </c>
    </row>
    <row r="4002" spans="1:11" x14ac:dyDescent="0.25">
      <c r="A4002">
        <v>25.091963734324398</v>
      </c>
      <c r="B4002">
        <v>60.5006848774199</v>
      </c>
      <c r="C4002">
        <v>2000</v>
      </c>
    </row>
    <row r="4003" spans="1:11" x14ac:dyDescent="0.25">
      <c r="A4003" t="s">
        <v>87</v>
      </c>
    </row>
    <row r="4004" spans="1:11" x14ac:dyDescent="0.25">
      <c r="A4004">
        <v>675</v>
      </c>
      <c r="B4004">
        <v>0</v>
      </c>
      <c r="C4004">
        <v>18.946911130653</v>
      </c>
      <c r="D4004">
        <v>0.53749358973533401</v>
      </c>
      <c r="E4004">
        <v>8</v>
      </c>
      <c r="F4004">
        <v>1.01722196789785</v>
      </c>
      <c r="G4004" t="s">
        <v>88</v>
      </c>
      <c r="H4004" t="s">
        <v>85</v>
      </c>
      <c r="I4004">
        <v>162</v>
      </c>
      <c r="J4004">
        <v>0</v>
      </c>
      <c r="K4004">
        <v>0</v>
      </c>
    </row>
    <row r="4005" spans="1:11" x14ac:dyDescent="0.25">
      <c r="A4005" t="s">
        <v>86</v>
      </c>
    </row>
    <row r="4006" spans="1:11" x14ac:dyDescent="0.25">
      <c r="A4006">
        <v>149.61101201620301</v>
      </c>
      <c r="B4006">
        <v>109.35553093033499</v>
      </c>
      <c r="C4006">
        <v>2000</v>
      </c>
    </row>
    <row r="4007" spans="1:11" x14ac:dyDescent="0.25">
      <c r="A4007">
        <v>140.47398909809201</v>
      </c>
      <c r="B4007">
        <v>100.21850801222401</v>
      </c>
      <c r="C4007">
        <v>2000</v>
      </c>
    </row>
    <row r="4008" spans="1:11" x14ac:dyDescent="0.25">
      <c r="A4008">
        <v>136.00393728260599</v>
      </c>
      <c r="B4008">
        <v>95.748456196737905</v>
      </c>
      <c r="C4008">
        <v>2000</v>
      </c>
    </row>
    <row r="4009" spans="1:11" x14ac:dyDescent="0.25">
      <c r="A4009">
        <v>136.440953307055</v>
      </c>
      <c r="B4009">
        <v>95.311440172289096</v>
      </c>
      <c r="C4009">
        <v>2001</v>
      </c>
    </row>
    <row r="4010" spans="1:11" x14ac:dyDescent="0.25">
      <c r="A4010">
        <v>140.91100512254101</v>
      </c>
      <c r="B4010">
        <v>99.781491987775595</v>
      </c>
      <c r="C4010">
        <v>2001</v>
      </c>
    </row>
    <row r="4011" spans="1:11" x14ac:dyDescent="0.25">
      <c r="A4011">
        <v>149.628857259505</v>
      </c>
      <c r="B4011">
        <v>108.499344124739</v>
      </c>
      <c r="C4011">
        <v>2001</v>
      </c>
    </row>
    <row r="4012" spans="1:11" x14ac:dyDescent="0.25">
      <c r="A4012">
        <v>150</v>
      </c>
      <c r="B4012">
        <v>108.870486865234</v>
      </c>
      <c r="C4012">
        <v>2001</v>
      </c>
    </row>
    <row r="4013" spans="1:11" x14ac:dyDescent="0.25">
      <c r="A4013">
        <v>150</v>
      </c>
      <c r="B4013">
        <v>109.744518914132</v>
      </c>
      <c r="C4013">
        <v>2000</v>
      </c>
    </row>
    <row r="4014" spans="1:11" x14ac:dyDescent="0.25">
      <c r="A4014" t="s">
        <v>87</v>
      </c>
    </row>
    <row r="4015" spans="1:11" x14ac:dyDescent="0.25">
      <c r="A4015">
        <v>843</v>
      </c>
      <c r="B4015">
        <v>0</v>
      </c>
      <c r="C4015">
        <v>16.936913941485098</v>
      </c>
      <c r="D4015">
        <v>2.5374791027032302</v>
      </c>
      <c r="E4015">
        <v>10</v>
      </c>
      <c r="F4015">
        <v>1.01722196789785</v>
      </c>
      <c r="G4015" t="s">
        <v>88</v>
      </c>
      <c r="H4015" t="s">
        <v>88</v>
      </c>
      <c r="I4015">
        <v>813</v>
      </c>
      <c r="J4015">
        <v>962</v>
      </c>
      <c r="K4015">
        <v>0.103520648210845</v>
      </c>
    </row>
    <row r="4016" spans="1:11" x14ac:dyDescent="0.25">
      <c r="A4016" t="s">
        <v>86</v>
      </c>
    </row>
    <row r="4017" spans="1:11" x14ac:dyDescent="0.25">
      <c r="A4017">
        <v>104.04457949151001</v>
      </c>
      <c r="B4017">
        <v>106.529533625357</v>
      </c>
      <c r="C4017">
        <v>2000</v>
      </c>
    </row>
    <row r="4018" spans="1:11" x14ac:dyDescent="0.25">
      <c r="A4018">
        <v>99.781491987775595</v>
      </c>
      <c r="B4018">
        <v>102.266446121622</v>
      </c>
      <c r="C4018">
        <v>2000</v>
      </c>
    </row>
    <row r="4019" spans="1:11" x14ac:dyDescent="0.25">
      <c r="A4019">
        <v>97.733553878377705</v>
      </c>
      <c r="B4019">
        <v>100.21850801222401</v>
      </c>
      <c r="C4019">
        <v>2000</v>
      </c>
    </row>
    <row r="4020" spans="1:11" x14ac:dyDescent="0.25">
      <c r="A4020">
        <v>92.068372791113006</v>
      </c>
      <c r="B4020">
        <v>94.553326924959705</v>
      </c>
      <c r="C4020">
        <v>2000</v>
      </c>
    </row>
    <row r="4021" spans="1:11" x14ac:dyDescent="0.25">
      <c r="A4021">
        <v>92.505388815561901</v>
      </c>
      <c r="B4021">
        <v>94.116310900510896</v>
      </c>
      <c r="C4021">
        <v>2001</v>
      </c>
    </row>
    <row r="4022" spans="1:11" x14ac:dyDescent="0.25">
      <c r="A4022">
        <v>98.1705699028265</v>
      </c>
      <c r="B4022">
        <v>99.781491987775595</v>
      </c>
      <c r="C4022">
        <v>2001</v>
      </c>
    </row>
    <row r="4023" spans="1:11" x14ac:dyDescent="0.25">
      <c r="A4023">
        <v>100.21850801222401</v>
      </c>
      <c r="B4023">
        <v>101.829430097173</v>
      </c>
      <c r="C4023">
        <v>2001</v>
      </c>
    </row>
    <row r="4024" spans="1:11" x14ac:dyDescent="0.25">
      <c r="A4024">
        <v>104.481595515959</v>
      </c>
      <c r="B4024">
        <v>106.092517600908</v>
      </c>
      <c r="C4024">
        <v>2001</v>
      </c>
    </row>
    <row r="4025" spans="1:11" x14ac:dyDescent="0.25">
      <c r="A4025">
        <v>106.2758641966</v>
      </c>
      <c r="B4025">
        <v>107.88678628154901</v>
      </c>
      <c r="C4025">
        <v>2001</v>
      </c>
    </row>
    <row r="4026" spans="1:11" x14ac:dyDescent="0.25">
      <c r="A4026">
        <v>105.838848172151</v>
      </c>
      <c r="B4026">
        <v>108.32380230599701</v>
      </c>
      <c r="C4026">
        <v>2000</v>
      </c>
    </row>
    <row r="4027" spans="1:11" x14ac:dyDescent="0.25">
      <c r="A4027" t="s">
        <v>87</v>
      </c>
    </row>
    <row r="4028" spans="1:11" x14ac:dyDescent="0.25">
      <c r="A4028">
        <v>108</v>
      </c>
      <c r="B4028">
        <v>0</v>
      </c>
      <c r="C4028">
        <v>7.0681091306431103</v>
      </c>
      <c r="D4028">
        <v>12.4015290850145</v>
      </c>
      <c r="E4028">
        <v>8</v>
      </c>
      <c r="F4028">
        <v>1.01722196789785</v>
      </c>
      <c r="G4028" t="s">
        <v>88</v>
      </c>
      <c r="H4028" t="s">
        <v>88</v>
      </c>
      <c r="I4028">
        <v>38</v>
      </c>
      <c r="J4028">
        <v>112</v>
      </c>
      <c r="K4028">
        <v>0</v>
      </c>
    </row>
    <row r="4029" spans="1:11" x14ac:dyDescent="0.25">
      <c r="A4029" t="s">
        <v>86</v>
      </c>
    </row>
    <row r="4030" spans="1:11" x14ac:dyDescent="0.25">
      <c r="A4030">
        <v>57.985711070232099</v>
      </c>
      <c r="B4030">
        <v>52.227450520376202</v>
      </c>
      <c r="C4030">
        <v>2000</v>
      </c>
    </row>
    <row r="4031" spans="1:11" x14ac:dyDescent="0.25">
      <c r="A4031">
        <v>55.5397525376315</v>
      </c>
      <c r="B4031">
        <v>49.781491987775603</v>
      </c>
      <c r="C4031">
        <v>2000</v>
      </c>
    </row>
    <row r="4032" spans="1:11" x14ac:dyDescent="0.25">
      <c r="A4032">
        <v>52.987803173787803</v>
      </c>
      <c r="B4032">
        <v>47.229542623931899</v>
      </c>
      <c r="C4032">
        <v>2000</v>
      </c>
    </row>
    <row r="4033" spans="1:11" x14ac:dyDescent="0.25">
      <c r="A4033">
        <v>52.550787149339001</v>
      </c>
      <c r="B4033">
        <v>47.6665586483808</v>
      </c>
      <c r="C4033">
        <v>2001</v>
      </c>
    </row>
    <row r="4034" spans="1:11" x14ac:dyDescent="0.25">
      <c r="A4034">
        <v>55.102736513182698</v>
      </c>
      <c r="B4034">
        <v>50.218508012224397</v>
      </c>
      <c r="C4034">
        <v>2001</v>
      </c>
    </row>
    <row r="4035" spans="1:11" x14ac:dyDescent="0.25">
      <c r="A4035">
        <v>57.548695045783298</v>
      </c>
      <c r="B4035">
        <v>52.664466544824997</v>
      </c>
      <c r="C4035">
        <v>2001</v>
      </c>
    </row>
    <row r="4036" spans="1:11" x14ac:dyDescent="0.25">
      <c r="A4036">
        <v>66.317900358879299</v>
      </c>
      <c r="B4036">
        <v>61.433671857920999</v>
      </c>
      <c r="C4036">
        <v>2001</v>
      </c>
    </row>
    <row r="4037" spans="1:11" x14ac:dyDescent="0.25">
      <c r="A4037">
        <v>66.754916383328094</v>
      </c>
      <c r="B4037">
        <v>60.996655833472197</v>
      </c>
      <c r="C4037">
        <v>2000</v>
      </c>
    </row>
    <row r="4038" spans="1:11" x14ac:dyDescent="0.25">
      <c r="A4038" t="s">
        <v>87</v>
      </c>
    </row>
    <row r="4039" spans="1:11" x14ac:dyDescent="0.25">
      <c r="A4039">
        <v>810</v>
      </c>
      <c r="B4039">
        <v>0</v>
      </c>
      <c r="C4039">
        <v>11.7733135083717</v>
      </c>
      <c r="D4039">
        <v>7.6265271505323904</v>
      </c>
      <c r="E4039">
        <v>6</v>
      </c>
      <c r="F4039">
        <v>1.01722196789785</v>
      </c>
      <c r="G4039" t="s">
        <v>88</v>
      </c>
      <c r="H4039" t="s">
        <v>88</v>
      </c>
      <c r="I4039">
        <v>741</v>
      </c>
      <c r="J4039">
        <v>1009</v>
      </c>
      <c r="K4039">
        <v>0.10263209558717</v>
      </c>
    </row>
    <row r="4040" spans="1:11" x14ac:dyDescent="0.25">
      <c r="A4040" t="s">
        <v>86</v>
      </c>
    </row>
    <row r="4041" spans="1:11" x14ac:dyDescent="0.25">
      <c r="A4041">
        <v>29.178708727550301</v>
      </c>
      <c r="B4041">
        <v>24.164767722214702</v>
      </c>
      <c r="C4041">
        <v>2000</v>
      </c>
    </row>
    <row r="4042" spans="1:11" x14ac:dyDescent="0.25">
      <c r="A4042">
        <v>20.853718908745499</v>
      </c>
      <c r="B4042">
        <v>15.839777903410001</v>
      </c>
      <c r="C4042">
        <v>2000</v>
      </c>
    </row>
    <row r="4043" spans="1:11" x14ac:dyDescent="0.25">
      <c r="A4043">
        <v>20.416702884296701</v>
      </c>
      <c r="B4043">
        <v>16.276793927858801</v>
      </c>
      <c r="C4043">
        <v>2001</v>
      </c>
    </row>
    <row r="4044" spans="1:11" x14ac:dyDescent="0.25">
      <c r="A4044">
        <v>28.741692703101499</v>
      </c>
      <c r="B4044">
        <v>24.6017837466636</v>
      </c>
      <c r="C4044">
        <v>2001</v>
      </c>
    </row>
    <row r="4045" spans="1:11" x14ac:dyDescent="0.25">
      <c r="A4045">
        <v>34.134461768146203</v>
      </c>
      <c r="B4045">
        <v>29.994552811708299</v>
      </c>
      <c r="C4045">
        <v>2001</v>
      </c>
    </row>
    <row r="4046" spans="1:11" x14ac:dyDescent="0.25">
      <c r="A4046">
        <v>34.571477792595097</v>
      </c>
      <c r="B4046">
        <v>29.557536787259501</v>
      </c>
      <c r="C4046">
        <v>2000</v>
      </c>
    </row>
    <row r="4047" spans="1:11" x14ac:dyDescent="0.25">
      <c r="A4047" t="s">
        <v>87</v>
      </c>
    </row>
    <row r="4048" spans="1:11" x14ac:dyDescent="0.25">
      <c r="A4048">
        <v>893</v>
      </c>
      <c r="B4048">
        <v>0</v>
      </c>
      <c r="C4048">
        <v>1.15619239520628</v>
      </c>
      <c r="D4048">
        <v>17.8184967982912</v>
      </c>
      <c r="E4048">
        <v>6</v>
      </c>
      <c r="F4048">
        <v>1.01722196789785</v>
      </c>
      <c r="G4048" t="s">
        <v>88</v>
      </c>
      <c r="H4048" t="s">
        <v>88</v>
      </c>
      <c r="I4048">
        <v>733</v>
      </c>
      <c r="J4048">
        <v>590</v>
      </c>
      <c r="K4048">
        <v>0.104714434237089</v>
      </c>
    </row>
    <row r="4049" spans="1:11" x14ac:dyDescent="0.25">
      <c r="A4049" t="s">
        <v>86</v>
      </c>
    </row>
    <row r="4050" spans="1:11" x14ac:dyDescent="0.25">
      <c r="A4050">
        <v>6.2305270802416501</v>
      </c>
      <c r="B4050">
        <v>75.126565204987699</v>
      </c>
      <c r="C4050">
        <v>2000</v>
      </c>
    </row>
    <row r="4051" spans="1:11" x14ac:dyDescent="0.25">
      <c r="A4051">
        <v>5.41297559723498</v>
      </c>
      <c r="B4051">
        <v>74.309013721981103</v>
      </c>
      <c r="C4051">
        <v>2000</v>
      </c>
    </row>
    <row r="4052" spans="1:11" x14ac:dyDescent="0.25">
      <c r="A4052">
        <v>5.8499916216837997</v>
      </c>
      <c r="B4052">
        <v>73.871997697532294</v>
      </c>
      <c r="C4052">
        <v>2001</v>
      </c>
    </row>
    <row r="4053" spans="1:11" x14ac:dyDescent="0.25">
      <c r="A4053">
        <v>6.6675431046904698</v>
      </c>
      <c r="B4053">
        <v>74.689549180538904</v>
      </c>
      <c r="C4053">
        <v>2001</v>
      </c>
    </row>
    <row r="4054" spans="1:11" x14ac:dyDescent="0.25">
      <c r="A4054">
        <v>19.267123021313001</v>
      </c>
      <c r="B4054">
        <v>87.289129097161407</v>
      </c>
      <c r="C4054">
        <v>2001</v>
      </c>
    </row>
    <row r="4055" spans="1:11" x14ac:dyDescent="0.25">
      <c r="A4055">
        <v>18.830106996864199</v>
      </c>
      <c r="B4055">
        <v>87.726145121610202</v>
      </c>
      <c r="C4055">
        <v>2000</v>
      </c>
    </row>
    <row r="4056" spans="1:11" x14ac:dyDescent="0.25">
      <c r="A4056" t="s">
        <v>87</v>
      </c>
    </row>
    <row r="4057" spans="1:11" x14ac:dyDescent="0.25">
      <c r="A4057">
        <v>23</v>
      </c>
      <c r="B4057">
        <v>0</v>
      </c>
      <c r="C4057">
        <v>5.4955208956677701</v>
      </c>
      <c r="D4057">
        <v>13.381591190543499</v>
      </c>
      <c r="E4057">
        <v>6</v>
      </c>
      <c r="F4057">
        <v>1.01722196789785</v>
      </c>
      <c r="G4057" t="s">
        <v>85</v>
      </c>
      <c r="H4057" t="s">
        <v>88</v>
      </c>
      <c r="I4057">
        <v>0</v>
      </c>
      <c r="J4057">
        <v>889</v>
      </c>
      <c r="K4057">
        <v>0</v>
      </c>
    </row>
    <row r="4058" spans="1:11" x14ac:dyDescent="0.25">
      <c r="A4058" t="s">
        <v>86</v>
      </c>
    </row>
    <row r="4059" spans="1:11" x14ac:dyDescent="0.25">
      <c r="A4059">
        <v>3.9495323294933198</v>
      </c>
      <c r="B4059">
        <v>30.049348904263798</v>
      </c>
      <c r="C4059">
        <v>2000</v>
      </c>
    </row>
    <row r="4060" spans="1:11" x14ac:dyDescent="0.25">
      <c r="A4060">
        <v>0</v>
      </c>
      <c r="B4060">
        <v>26.0998165747705</v>
      </c>
      <c r="C4060">
        <v>2000</v>
      </c>
    </row>
    <row r="4061" spans="1:11" x14ac:dyDescent="0.25">
      <c r="A4061">
        <v>0</v>
      </c>
      <c r="B4061">
        <v>26.973848623668101</v>
      </c>
      <c r="C4061">
        <v>2001</v>
      </c>
    </row>
    <row r="4062" spans="1:11" x14ac:dyDescent="0.25">
      <c r="A4062">
        <v>3.8223078534647801</v>
      </c>
      <c r="B4062">
        <v>30.7961564771329</v>
      </c>
      <c r="C4062">
        <v>2001</v>
      </c>
    </row>
    <row r="4063" spans="1:11" x14ac:dyDescent="0.25">
      <c r="A4063">
        <v>13.1296259531541</v>
      </c>
      <c r="B4063">
        <v>40.103474576822201</v>
      </c>
      <c r="C4063">
        <v>2001</v>
      </c>
    </row>
    <row r="4064" spans="1:11" x14ac:dyDescent="0.25">
      <c r="A4064">
        <v>13.566641977602901</v>
      </c>
      <c r="B4064">
        <v>39.666458552373399</v>
      </c>
      <c r="C4064">
        <v>2000</v>
      </c>
    </row>
    <row r="4065" spans="1:11" x14ac:dyDescent="0.25">
      <c r="A4065" t="s">
        <v>87</v>
      </c>
    </row>
    <row r="4066" spans="1:11" x14ac:dyDescent="0.25">
      <c r="A4066">
        <v>668</v>
      </c>
      <c r="B4066">
        <v>0</v>
      </c>
      <c r="C4066">
        <v>18.416580238137101</v>
      </c>
      <c r="D4066">
        <v>0.45769142963862902</v>
      </c>
      <c r="E4066">
        <v>8</v>
      </c>
      <c r="F4066">
        <v>1.01722196789785</v>
      </c>
      <c r="G4066" t="s">
        <v>88</v>
      </c>
      <c r="H4066" t="s">
        <v>85</v>
      </c>
      <c r="I4066">
        <v>974</v>
      </c>
      <c r="J4066">
        <v>0</v>
      </c>
      <c r="K4066">
        <v>0</v>
      </c>
    </row>
    <row r="4067" spans="1:11" x14ac:dyDescent="0.25">
      <c r="A4067" t="s">
        <v>86</v>
      </c>
    </row>
    <row r="4068" spans="1:11" x14ac:dyDescent="0.25">
      <c r="A4068">
        <v>105.688174147865</v>
      </c>
      <c r="B4068">
        <v>149.68734790081899</v>
      </c>
      <c r="C4068">
        <v>2000</v>
      </c>
    </row>
    <row r="4069" spans="1:11" x14ac:dyDescent="0.25">
      <c r="A4069">
        <v>99.781491987775595</v>
      </c>
      <c r="B4069">
        <v>143.78066574073</v>
      </c>
      <c r="C4069">
        <v>2000</v>
      </c>
    </row>
    <row r="4070" spans="1:11" x14ac:dyDescent="0.25">
      <c r="A4070">
        <v>92.873208773028907</v>
      </c>
      <c r="B4070">
        <v>136.872382525983</v>
      </c>
      <c r="C4070">
        <v>2000</v>
      </c>
    </row>
    <row r="4071" spans="1:11" x14ac:dyDescent="0.25">
      <c r="A4071">
        <v>93.310224797477701</v>
      </c>
      <c r="B4071">
        <v>136.43536650153399</v>
      </c>
      <c r="C4071">
        <v>2001</v>
      </c>
    </row>
    <row r="4072" spans="1:11" x14ac:dyDescent="0.25">
      <c r="A4072">
        <v>100.21850801222401</v>
      </c>
      <c r="B4072">
        <v>143.34364971628099</v>
      </c>
      <c r="C4072">
        <v>2001</v>
      </c>
    </row>
    <row r="4073" spans="1:11" x14ac:dyDescent="0.25">
      <c r="A4073">
        <v>106.540236967947</v>
      </c>
      <c r="B4073">
        <v>149.66537867200401</v>
      </c>
      <c r="C4073">
        <v>2001</v>
      </c>
    </row>
    <row r="4074" spans="1:11" x14ac:dyDescent="0.25">
      <c r="A4074">
        <v>106.874858295943</v>
      </c>
      <c r="B4074">
        <v>150</v>
      </c>
      <c r="C4074">
        <v>2001</v>
      </c>
    </row>
    <row r="4075" spans="1:11" x14ac:dyDescent="0.25">
      <c r="A4075">
        <v>106.00082624704601</v>
      </c>
      <c r="B4075">
        <v>150</v>
      </c>
      <c r="C4075">
        <v>2000</v>
      </c>
    </row>
    <row r="4076" spans="1:11" x14ac:dyDescent="0.25">
      <c r="A4076" t="s">
        <v>87</v>
      </c>
    </row>
    <row r="4077" spans="1:11" x14ac:dyDescent="0.25">
      <c r="A4077">
        <v>422</v>
      </c>
      <c r="B4077">
        <v>0</v>
      </c>
      <c r="C4077">
        <v>12.7779937687712</v>
      </c>
      <c r="D4077">
        <v>6.0742463288843602</v>
      </c>
      <c r="E4077">
        <v>8</v>
      </c>
      <c r="F4077">
        <v>1.01722196789785</v>
      </c>
      <c r="G4077" t="s">
        <v>88</v>
      </c>
      <c r="H4077" t="s">
        <v>88</v>
      </c>
      <c r="I4077">
        <v>262</v>
      </c>
      <c r="J4077">
        <v>1035</v>
      </c>
      <c r="K4077">
        <v>0</v>
      </c>
    </row>
    <row r="4078" spans="1:11" x14ac:dyDescent="0.25">
      <c r="A4078" t="s">
        <v>86</v>
      </c>
    </row>
    <row r="4079" spans="1:11" x14ac:dyDescent="0.25">
      <c r="A4079">
        <v>104.51951939030999</v>
      </c>
      <c r="B4079">
        <v>28.242792559439501</v>
      </c>
      <c r="C4079">
        <v>2000</v>
      </c>
    </row>
    <row r="4080" spans="1:11" x14ac:dyDescent="0.25">
      <c r="A4080">
        <v>100.21850801222401</v>
      </c>
      <c r="B4080">
        <v>23.9417811813538</v>
      </c>
      <c r="C4080">
        <v>2000</v>
      </c>
    </row>
    <row r="4081" spans="1:11" x14ac:dyDescent="0.25">
      <c r="A4081">
        <v>95.484113346452503</v>
      </c>
      <c r="B4081">
        <v>19.207386515581899</v>
      </c>
      <c r="C4081">
        <v>2000</v>
      </c>
    </row>
    <row r="4082" spans="1:11" x14ac:dyDescent="0.25">
      <c r="A4082">
        <v>95.047097322003694</v>
      </c>
      <c r="B4082">
        <v>19.644402540030701</v>
      </c>
      <c r="C4082">
        <v>2001</v>
      </c>
    </row>
    <row r="4083" spans="1:11" x14ac:dyDescent="0.25">
      <c r="A4083">
        <v>99.781491987775595</v>
      </c>
      <c r="B4083">
        <v>24.378797205802599</v>
      </c>
      <c r="C4083">
        <v>2001</v>
      </c>
    </row>
    <row r="4084" spans="1:11" x14ac:dyDescent="0.25">
      <c r="A4084">
        <v>104.082503365861</v>
      </c>
      <c r="B4084">
        <v>28.679808583888299</v>
      </c>
      <c r="C4084">
        <v>2001</v>
      </c>
    </row>
    <row r="4085" spans="1:11" x14ac:dyDescent="0.25">
      <c r="A4085">
        <v>108.377644135613</v>
      </c>
      <c r="B4085">
        <v>32.9749493536399</v>
      </c>
      <c r="C4085">
        <v>2001</v>
      </c>
    </row>
    <row r="4086" spans="1:11" x14ac:dyDescent="0.25">
      <c r="A4086">
        <v>108.814660160062</v>
      </c>
      <c r="B4086">
        <v>32.537933329191098</v>
      </c>
      <c r="C4086">
        <v>2000</v>
      </c>
    </row>
    <row r="4087" spans="1:11" x14ac:dyDescent="0.25">
      <c r="A4087" t="s">
        <v>87</v>
      </c>
    </row>
    <row r="4088" spans="1:11" x14ac:dyDescent="0.25">
      <c r="A4088">
        <v>350</v>
      </c>
      <c r="B4088">
        <v>0</v>
      </c>
      <c r="C4088">
        <v>8.9015421672804695</v>
      </c>
      <c r="D4088">
        <v>9.9475739306806794</v>
      </c>
      <c r="E4088">
        <v>6</v>
      </c>
      <c r="F4088">
        <v>1.01722196789785</v>
      </c>
      <c r="G4088" t="s">
        <v>88</v>
      </c>
      <c r="H4088" t="s">
        <v>88</v>
      </c>
      <c r="I4088">
        <v>508</v>
      </c>
      <c r="J4088">
        <v>901</v>
      </c>
      <c r="K4088">
        <v>0</v>
      </c>
    </row>
    <row r="4089" spans="1:11" x14ac:dyDescent="0.25">
      <c r="A4089" t="s">
        <v>86</v>
      </c>
    </row>
    <row r="4090" spans="1:11" x14ac:dyDescent="0.25">
      <c r="A4090">
        <v>91.419365827185004</v>
      </c>
      <c r="B4090">
        <v>108.000898675532</v>
      </c>
      <c r="C4090">
        <v>2000</v>
      </c>
    </row>
    <row r="4091" spans="1:11" x14ac:dyDescent="0.25">
      <c r="A4091">
        <v>85.125024997682999</v>
      </c>
      <c r="B4091">
        <v>101.70655784602999</v>
      </c>
      <c r="C4091">
        <v>2000</v>
      </c>
    </row>
    <row r="4092" spans="1:11" x14ac:dyDescent="0.25">
      <c r="A4092">
        <v>84.688008973234204</v>
      </c>
      <c r="B4092">
        <v>102.143573870479</v>
      </c>
      <c r="C4092">
        <v>2001</v>
      </c>
    </row>
    <row r="4093" spans="1:11" x14ac:dyDescent="0.25">
      <c r="A4093">
        <v>90.982349802736195</v>
      </c>
      <c r="B4093">
        <v>108.43791469998099</v>
      </c>
      <c r="C4093">
        <v>2001</v>
      </c>
    </row>
    <row r="4094" spans="1:11" x14ac:dyDescent="0.25">
      <c r="A4094">
        <v>98.016346785474994</v>
      </c>
      <c r="B4094">
        <v>115.47191168272001</v>
      </c>
      <c r="C4094">
        <v>2001</v>
      </c>
    </row>
    <row r="4095" spans="1:11" x14ac:dyDescent="0.25">
      <c r="A4095">
        <v>98.453362809923803</v>
      </c>
      <c r="B4095">
        <v>115.034895658271</v>
      </c>
      <c r="C4095">
        <v>2000</v>
      </c>
    </row>
    <row r="4096" spans="1:11" x14ac:dyDescent="0.25">
      <c r="A4096" t="s">
        <v>87</v>
      </c>
    </row>
    <row r="4097" spans="1:11" x14ac:dyDescent="0.25">
      <c r="A4097">
        <v>978</v>
      </c>
      <c r="B4097">
        <v>0</v>
      </c>
      <c r="C4097">
        <v>17.672605363553998</v>
      </c>
      <c r="D4097">
        <v>1.1765107344071699</v>
      </c>
      <c r="E4097">
        <v>6</v>
      </c>
      <c r="F4097">
        <v>1.01722196789785</v>
      </c>
      <c r="G4097" t="s">
        <v>88</v>
      </c>
      <c r="H4097" t="s">
        <v>88</v>
      </c>
      <c r="I4097">
        <v>508</v>
      </c>
      <c r="J4097">
        <v>901</v>
      </c>
      <c r="K4097">
        <v>0.110050247479323</v>
      </c>
    </row>
    <row r="4098" spans="1:11" x14ac:dyDescent="0.25">
      <c r="A4098" t="s">
        <v>86</v>
      </c>
    </row>
    <row r="4099" spans="1:11" x14ac:dyDescent="0.25">
      <c r="A4099">
        <v>97.013452732937296</v>
      </c>
      <c r="B4099">
        <v>114.810968298381</v>
      </c>
      <c r="C4099">
        <v>2000</v>
      </c>
    </row>
    <row r="4100" spans="1:11" x14ac:dyDescent="0.25">
      <c r="A4100">
        <v>84.517033639134596</v>
      </c>
      <c r="B4100">
        <v>102.314549204579</v>
      </c>
      <c r="C4100">
        <v>2000</v>
      </c>
    </row>
    <row r="4101" spans="1:11" x14ac:dyDescent="0.25">
      <c r="A4101">
        <v>84.080017614685801</v>
      </c>
      <c r="B4101">
        <v>102.751565229028</v>
      </c>
      <c r="C4101">
        <v>2001</v>
      </c>
    </row>
    <row r="4102" spans="1:11" x14ac:dyDescent="0.25">
      <c r="A4102">
        <v>96.576436708488501</v>
      </c>
      <c r="B4102">
        <v>115.24798432283001</v>
      </c>
      <c r="C4102">
        <v>2001</v>
      </c>
    </row>
    <row r="4103" spans="1:11" x14ac:dyDescent="0.25">
      <c r="A4103">
        <v>97.408355426926605</v>
      </c>
      <c r="B4103">
        <v>116.079903041268</v>
      </c>
      <c r="C4103">
        <v>2001</v>
      </c>
    </row>
    <row r="4104" spans="1:11" x14ac:dyDescent="0.25">
      <c r="A4104">
        <v>97.845371451375399</v>
      </c>
      <c r="B4104">
        <v>115.64288701682</v>
      </c>
      <c r="C4104">
        <v>2000</v>
      </c>
    </row>
    <row r="4105" spans="1:11" x14ac:dyDescent="0.25">
      <c r="A4105" t="s">
        <v>87</v>
      </c>
    </row>
    <row r="4106" spans="1:11" x14ac:dyDescent="0.25">
      <c r="A4106">
        <v>758</v>
      </c>
      <c r="B4106">
        <v>0</v>
      </c>
      <c r="C4106">
        <v>7.9758708486307102</v>
      </c>
      <c r="D4106">
        <v>10.839466906768401</v>
      </c>
      <c r="E4106">
        <v>6</v>
      </c>
      <c r="F4106">
        <v>1.01722196789785</v>
      </c>
      <c r="G4106" t="s">
        <v>88</v>
      </c>
      <c r="H4106" t="s">
        <v>85</v>
      </c>
      <c r="I4106">
        <v>679</v>
      </c>
      <c r="J4106">
        <v>0</v>
      </c>
      <c r="K4106">
        <v>0.100785207567138</v>
      </c>
    </row>
    <row r="4107" spans="1:11" x14ac:dyDescent="0.25">
      <c r="A4107" t="s">
        <v>86</v>
      </c>
    </row>
    <row r="4108" spans="1:11" x14ac:dyDescent="0.25">
      <c r="A4108">
        <v>142.46122134054599</v>
      </c>
      <c r="B4108">
        <v>139.641782680587</v>
      </c>
      <c r="C4108">
        <v>2000</v>
      </c>
    </row>
    <row r="4109" spans="1:11" x14ac:dyDescent="0.25">
      <c r="A4109">
        <v>136.914055095066</v>
      </c>
      <c r="B4109">
        <v>134.09461643510801</v>
      </c>
      <c r="C4109">
        <v>2000</v>
      </c>
    </row>
    <row r="4110" spans="1:11" x14ac:dyDescent="0.25">
      <c r="A4110">
        <v>136.47703907061799</v>
      </c>
      <c r="B4110">
        <v>134.53163245955699</v>
      </c>
      <c r="C4110">
        <v>2001</v>
      </c>
    </row>
    <row r="4111" spans="1:11" x14ac:dyDescent="0.25">
      <c r="A4111">
        <v>142.209457551008</v>
      </c>
      <c r="B4111">
        <v>140.264050939947</v>
      </c>
      <c r="C4111">
        <v>2001</v>
      </c>
    </row>
    <row r="4112" spans="1:11" x14ac:dyDescent="0.25">
      <c r="A4112">
        <v>150</v>
      </c>
      <c r="B4112">
        <v>148.054593388939</v>
      </c>
      <c r="C4112">
        <v>2001</v>
      </c>
    </row>
    <row r="4113" spans="1:11" x14ac:dyDescent="0.25">
      <c r="A4113">
        <v>150</v>
      </c>
      <c r="B4113">
        <v>147.18056134004101</v>
      </c>
      <c r="C4113">
        <v>2000</v>
      </c>
    </row>
    <row r="4114" spans="1:11" x14ac:dyDescent="0.25">
      <c r="A4114" t="s">
        <v>87</v>
      </c>
    </row>
    <row r="4115" spans="1:11" x14ac:dyDescent="0.25">
      <c r="A4115">
        <v>199</v>
      </c>
      <c r="B4115">
        <v>0</v>
      </c>
      <c r="C4115">
        <v>2.9592442107527299</v>
      </c>
      <c r="D4115">
        <v>15.613004417501401</v>
      </c>
      <c r="E4115">
        <v>6</v>
      </c>
      <c r="F4115">
        <v>1.01722196789785</v>
      </c>
      <c r="G4115" t="s">
        <v>88</v>
      </c>
      <c r="H4115" t="s">
        <v>85</v>
      </c>
      <c r="I4115">
        <v>847</v>
      </c>
      <c r="J4115">
        <v>0</v>
      </c>
      <c r="K4115">
        <v>0</v>
      </c>
    </row>
    <row r="4116" spans="1:11" x14ac:dyDescent="0.25">
      <c r="A4116" t="s">
        <v>86</v>
      </c>
    </row>
    <row r="4117" spans="1:11" x14ac:dyDescent="0.25">
      <c r="A4117">
        <v>138.77624707509099</v>
      </c>
      <c r="B4117">
        <v>66.795296696277603</v>
      </c>
      <c r="C4117">
        <v>2000</v>
      </c>
    </row>
    <row r="4118" spans="1:11" x14ac:dyDescent="0.25">
      <c r="A4118">
        <v>136.64892904085499</v>
      </c>
      <c r="B4118">
        <v>64.667978662041605</v>
      </c>
      <c r="C4118">
        <v>2000</v>
      </c>
    </row>
    <row r="4119" spans="1:11" x14ac:dyDescent="0.25">
      <c r="A4119">
        <v>137.08594506530301</v>
      </c>
      <c r="B4119">
        <v>64.230962637592796</v>
      </c>
      <c r="C4119">
        <v>2001</v>
      </c>
    </row>
    <row r="4120" spans="1:11" x14ac:dyDescent="0.25">
      <c r="A4120">
        <v>139.143630328288</v>
      </c>
      <c r="B4120">
        <v>66.288647900577303</v>
      </c>
      <c r="C4120">
        <v>2001</v>
      </c>
    </row>
    <row r="4121" spans="1:11" x14ac:dyDescent="0.25">
      <c r="A4121">
        <v>150</v>
      </c>
      <c r="B4121">
        <v>77.145017572289404</v>
      </c>
      <c r="C4121">
        <v>2001</v>
      </c>
    </row>
    <row r="4122" spans="1:11" x14ac:dyDescent="0.25">
      <c r="A4122">
        <v>150</v>
      </c>
      <c r="B4122">
        <v>78.019049621187094</v>
      </c>
      <c r="C4122">
        <v>2000</v>
      </c>
    </row>
    <row r="4123" spans="1:11" x14ac:dyDescent="0.25">
      <c r="A4123" t="s">
        <v>87</v>
      </c>
    </row>
    <row r="4124" spans="1:11" x14ac:dyDescent="0.25">
      <c r="A4124">
        <v>851</v>
      </c>
      <c r="B4124">
        <v>0</v>
      </c>
      <c r="C4124">
        <v>4.5551451875650697</v>
      </c>
      <c r="D4124">
        <v>14.013907646628001</v>
      </c>
      <c r="E4124">
        <v>6</v>
      </c>
      <c r="F4124">
        <v>1.01722196789785</v>
      </c>
      <c r="G4124" t="s">
        <v>88</v>
      </c>
      <c r="H4124" t="s">
        <v>88</v>
      </c>
      <c r="I4124">
        <v>734</v>
      </c>
      <c r="J4124">
        <v>974</v>
      </c>
      <c r="K4124">
        <v>0.103730452296059</v>
      </c>
    </row>
    <row r="4125" spans="1:11" x14ac:dyDescent="0.25">
      <c r="A4125" t="s">
        <v>86</v>
      </c>
    </row>
    <row r="4126" spans="1:11" x14ac:dyDescent="0.25">
      <c r="A4126">
        <v>39.721117784600501</v>
      </c>
      <c r="B4126">
        <v>82.803607568989094</v>
      </c>
      <c r="C4126">
        <v>2000</v>
      </c>
    </row>
    <row r="4127" spans="1:11" x14ac:dyDescent="0.25">
      <c r="A4127">
        <v>36.500143733183897</v>
      </c>
      <c r="B4127">
        <v>79.582633517572603</v>
      </c>
      <c r="C4127">
        <v>2000</v>
      </c>
    </row>
    <row r="4128" spans="1:11" x14ac:dyDescent="0.25">
      <c r="A4128">
        <v>36.063127708735102</v>
      </c>
      <c r="B4128">
        <v>80.019649542021398</v>
      </c>
      <c r="C4128">
        <v>2001</v>
      </c>
    </row>
    <row r="4129" spans="1:11" x14ac:dyDescent="0.25">
      <c r="A4129">
        <v>39.2841017601516</v>
      </c>
      <c r="B4129">
        <v>83.240623593437903</v>
      </c>
      <c r="C4129">
        <v>2001</v>
      </c>
    </row>
    <row r="4130" spans="1:11" x14ac:dyDescent="0.25">
      <c r="A4130">
        <v>49.193430888004301</v>
      </c>
      <c r="B4130">
        <v>93.149952721290603</v>
      </c>
      <c r="C4130">
        <v>2001</v>
      </c>
    </row>
    <row r="4131" spans="1:11" x14ac:dyDescent="0.25">
      <c r="A4131">
        <v>49.630446912453102</v>
      </c>
      <c r="B4131">
        <v>92.712936696841794</v>
      </c>
      <c r="C4131">
        <v>2000</v>
      </c>
    </row>
    <row r="4132" spans="1:11" x14ac:dyDescent="0.25">
      <c r="A4132" t="s">
        <v>87</v>
      </c>
    </row>
    <row r="4133" spans="1:11" x14ac:dyDescent="0.25">
      <c r="A4133">
        <v>934</v>
      </c>
      <c r="B4133">
        <v>0</v>
      </c>
      <c r="C4133">
        <v>17.945208499885499</v>
      </c>
      <c r="D4133">
        <v>0.52072918682398495</v>
      </c>
      <c r="E4133">
        <v>8</v>
      </c>
      <c r="F4133">
        <v>1.01722196789785</v>
      </c>
      <c r="G4133" t="s">
        <v>88</v>
      </c>
      <c r="H4133" t="s">
        <v>85</v>
      </c>
      <c r="I4133">
        <v>844</v>
      </c>
      <c r="J4133">
        <v>0</v>
      </c>
      <c r="K4133">
        <v>0.105939460879158</v>
      </c>
    </row>
    <row r="4134" spans="1:11" x14ac:dyDescent="0.25">
      <c r="A4134" t="s">
        <v>86</v>
      </c>
    </row>
    <row r="4135" spans="1:11" x14ac:dyDescent="0.25">
      <c r="A4135">
        <v>101.598086308978</v>
      </c>
      <c r="B4135">
        <v>149.58087301283399</v>
      </c>
      <c r="C4135">
        <v>2000</v>
      </c>
    </row>
    <row r="4136" spans="1:11" x14ac:dyDescent="0.25">
      <c r="A4136">
        <v>100.21850801222401</v>
      </c>
      <c r="B4136">
        <v>148.20129471608001</v>
      </c>
      <c r="C4136">
        <v>2000</v>
      </c>
    </row>
    <row r="4137" spans="1:11" x14ac:dyDescent="0.25">
      <c r="A4137">
        <v>88.741315524679393</v>
      </c>
      <c r="B4137">
        <v>136.724102228535</v>
      </c>
      <c r="C4137">
        <v>2000</v>
      </c>
    </row>
    <row r="4138" spans="1:11" x14ac:dyDescent="0.25">
      <c r="A4138">
        <v>88.304299500230599</v>
      </c>
      <c r="B4138">
        <v>137.16111825298401</v>
      </c>
      <c r="C4138">
        <v>2001</v>
      </c>
    </row>
    <row r="4139" spans="1:11" x14ac:dyDescent="0.25">
      <c r="A4139">
        <v>99.781491987775595</v>
      </c>
      <c r="B4139">
        <v>148.63831074052899</v>
      </c>
      <c r="C4139">
        <v>2001</v>
      </c>
    </row>
    <row r="4140" spans="1:11" x14ac:dyDescent="0.25">
      <c r="A4140">
        <v>100.825885956083</v>
      </c>
      <c r="B4140">
        <v>149.68270470883601</v>
      </c>
      <c r="C4140">
        <v>2001</v>
      </c>
    </row>
    <row r="4141" spans="1:11" x14ac:dyDescent="0.25">
      <c r="A4141">
        <v>101.143181247247</v>
      </c>
      <c r="B4141">
        <v>150</v>
      </c>
      <c r="C4141">
        <v>2001</v>
      </c>
    </row>
    <row r="4142" spans="1:11" x14ac:dyDescent="0.25">
      <c r="A4142">
        <v>102.01721329614401</v>
      </c>
      <c r="B4142">
        <v>150</v>
      </c>
      <c r="C4142">
        <v>2000</v>
      </c>
    </row>
    <row r="4143" spans="1:11" x14ac:dyDescent="0.25">
      <c r="A4143" t="s">
        <v>87</v>
      </c>
    </row>
    <row r="4144" spans="1:11" x14ac:dyDescent="0.25">
      <c r="A4144">
        <v>192</v>
      </c>
      <c r="B4144">
        <v>0</v>
      </c>
      <c r="C4144">
        <v>9.0640064559728692</v>
      </c>
      <c r="D4144">
        <v>9.2344536865505198</v>
      </c>
      <c r="E4144">
        <v>8</v>
      </c>
      <c r="F4144">
        <v>1.01722196789785</v>
      </c>
      <c r="G4144" t="s">
        <v>88</v>
      </c>
      <c r="H4144" t="s">
        <v>88</v>
      </c>
      <c r="I4144">
        <v>171</v>
      </c>
      <c r="J4144">
        <v>773</v>
      </c>
      <c r="K4144">
        <v>0</v>
      </c>
    </row>
    <row r="4145" spans="1:11" x14ac:dyDescent="0.25">
      <c r="A4145" t="s">
        <v>86</v>
      </c>
    </row>
    <row r="4146" spans="1:11" x14ac:dyDescent="0.25">
      <c r="A4146">
        <v>126.536326386754</v>
      </c>
      <c r="B4146">
        <v>94.116851001562196</v>
      </c>
      <c r="C4146">
        <v>2000</v>
      </c>
    </row>
    <row r="4147" spans="1:11" x14ac:dyDescent="0.25">
      <c r="A4147">
        <v>120.12710595701699</v>
      </c>
      <c r="B4147">
        <v>87.707630571825106</v>
      </c>
      <c r="C4147">
        <v>2000</v>
      </c>
    </row>
    <row r="4148" spans="1:11" x14ac:dyDescent="0.25">
      <c r="A4148">
        <v>120.564121981466</v>
      </c>
      <c r="B4148">
        <v>87.270614547376297</v>
      </c>
      <c r="C4148">
        <v>2001</v>
      </c>
    </row>
    <row r="4149" spans="1:11" x14ac:dyDescent="0.25">
      <c r="A4149">
        <v>126.97334241120301</v>
      </c>
      <c r="B4149">
        <v>93.679834977113401</v>
      </c>
      <c r="C4149">
        <v>2001</v>
      </c>
    </row>
    <row r="4150" spans="1:11" x14ac:dyDescent="0.25">
      <c r="A4150">
        <v>133.07499942186499</v>
      </c>
      <c r="B4150">
        <v>99.781491987775595</v>
      </c>
      <c r="C4150">
        <v>2001</v>
      </c>
    </row>
    <row r="4151" spans="1:11" x14ac:dyDescent="0.25">
      <c r="A4151">
        <v>133.503087233516</v>
      </c>
      <c r="B4151">
        <v>100.209579799426</v>
      </c>
      <c r="C4151">
        <v>2001</v>
      </c>
    </row>
    <row r="4152" spans="1:11" x14ac:dyDescent="0.25">
      <c r="A4152">
        <v>133.06607120906699</v>
      </c>
      <c r="B4152">
        <v>100.646595823875</v>
      </c>
      <c r="C4152">
        <v>2000</v>
      </c>
    </row>
    <row r="4153" spans="1:11" x14ac:dyDescent="0.25">
      <c r="A4153">
        <v>132.637983397417</v>
      </c>
      <c r="B4153">
        <v>100.21850801222401</v>
      </c>
      <c r="C4153">
        <v>2000</v>
      </c>
    </row>
    <row r="4154" spans="1:11" x14ac:dyDescent="0.25">
      <c r="A4154" t="s">
        <v>87</v>
      </c>
    </row>
    <row r="4155" spans="1:11" x14ac:dyDescent="0.25">
      <c r="A4155">
        <v>430</v>
      </c>
      <c r="B4155">
        <v>0</v>
      </c>
      <c r="C4155">
        <v>12.71796017758</v>
      </c>
      <c r="D4155">
        <v>5.3446468012390902</v>
      </c>
      <c r="E4155">
        <v>6</v>
      </c>
      <c r="F4155">
        <v>1.01722196789785</v>
      </c>
      <c r="G4155" t="s">
        <v>88</v>
      </c>
      <c r="H4155" t="s">
        <v>85</v>
      </c>
      <c r="I4155">
        <v>416</v>
      </c>
      <c r="J4155">
        <v>0</v>
      </c>
      <c r="K4155">
        <v>0</v>
      </c>
    </row>
    <row r="4156" spans="1:11" x14ac:dyDescent="0.25">
      <c r="A4156" t="s">
        <v>86</v>
      </c>
    </row>
    <row r="4157" spans="1:11" x14ac:dyDescent="0.25">
      <c r="A4157">
        <v>146.285419573724</v>
      </c>
      <c r="B4157">
        <v>44.542807553739898</v>
      </c>
      <c r="C4157">
        <v>2000</v>
      </c>
    </row>
    <row r="4158" spans="1:11" x14ac:dyDescent="0.25">
      <c r="A4158">
        <v>137.44631613159399</v>
      </c>
      <c r="B4158">
        <v>35.7037041116102</v>
      </c>
      <c r="C4158">
        <v>2000</v>
      </c>
    </row>
    <row r="4159" spans="1:11" x14ac:dyDescent="0.25">
      <c r="A4159">
        <v>137.00930010714501</v>
      </c>
      <c r="B4159">
        <v>36.140720136059002</v>
      </c>
      <c r="C4159">
        <v>2001</v>
      </c>
    </row>
    <row r="4160" spans="1:11" x14ac:dyDescent="0.25">
      <c r="A4160">
        <v>146.15610843387</v>
      </c>
      <c r="B4160">
        <v>45.287528462783897</v>
      </c>
      <c r="C4160">
        <v>2001</v>
      </c>
    </row>
    <row r="4161" spans="1:11" x14ac:dyDescent="0.25">
      <c r="A4161">
        <v>150</v>
      </c>
      <c r="B4161">
        <v>49.131420028913901</v>
      </c>
      <c r="C4161">
        <v>2001</v>
      </c>
    </row>
    <row r="4162" spans="1:11" x14ac:dyDescent="0.25">
      <c r="A4162">
        <v>150</v>
      </c>
      <c r="B4162">
        <v>48.257387980016198</v>
      </c>
      <c r="C4162">
        <v>2000</v>
      </c>
    </row>
    <row r="4163" spans="1:11" x14ac:dyDescent="0.25">
      <c r="A4163" t="s">
        <v>87</v>
      </c>
    </row>
    <row r="4164" spans="1:11" x14ac:dyDescent="0.25">
      <c r="A4164">
        <v>944</v>
      </c>
      <c r="B4164">
        <v>0</v>
      </c>
      <c r="C4164">
        <v>0.48036933373572299</v>
      </c>
      <c r="D4164">
        <v>17.485567404726499</v>
      </c>
      <c r="E4164">
        <v>10</v>
      </c>
      <c r="F4164">
        <v>1.01722196789785</v>
      </c>
      <c r="G4164" t="s">
        <v>88</v>
      </c>
      <c r="H4164" t="s">
        <v>88</v>
      </c>
      <c r="I4164">
        <v>745</v>
      </c>
      <c r="J4164">
        <v>926</v>
      </c>
      <c r="K4164">
        <v>0.106575022946752</v>
      </c>
    </row>
    <row r="4165" spans="1:11" x14ac:dyDescent="0.25">
      <c r="A4165" t="s">
        <v>86</v>
      </c>
    </row>
    <row r="4166" spans="1:11" x14ac:dyDescent="0.25">
      <c r="A4166">
        <v>40.432383333072998</v>
      </c>
      <c r="B4166">
        <v>48.643787848592801</v>
      </c>
      <c r="C4166">
        <v>2000</v>
      </c>
    </row>
    <row r="4167" spans="1:11" x14ac:dyDescent="0.25">
      <c r="A4167">
        <v>40.092710919714399</v>
      </c>
      <c r="B4167">
        <v>48.304115435234202</v>
      </c>
      <c r="C4167">
        <v>2000</v>
      </c>
    </row>
    <row r="4168" spans="1:11" x14ac:dyDescent="0.25">
      <c r="A4168">
        <v>40.529726944163201</v>
      </c>
      <c r="B4168">
        <v>47.8670994107854</v>
      </c>
      <c r="C4168">
        <v>2001</v>
      </c>
    </row>
    <row r="4169" spans="1:11" x14ac:dyDescent="0.25">
      <c r="A4169">
        <v>40.8693993575218</v>
      </c>
      <c r="B4169">
        <v>48.206771824143999</v>
      </c>
      <c r="C4169">
        <v>2001</v>
      </c>
    </row>
    <row r="4170" spans="1:11" x14ac:dyDescent="0.25">
      <c r="A4170">
        <v>42.444119521153397</v>
      </c>
      <c r="B4170">
        <v>49.781491987775603</v>
      </c>
      <c r="C4170">
        <v>2001</v>
      </c>
    </row>
    <row r="4171" spans="1:11" x14ac:dyDescent="0.25">
      <c r="A4171">
        <v>50.218508012224397</v>
      </c>
      <c r="B4171">
        <v>57.555880478846603</v>
      </c>
      <c r="C4171">
        <v>2001</v>
      </c>
    </row>
    <row r="4172" spans="1:11" x14ac:dyDescent="0.25">
      <c r="A4172">
        <v>53.233562642298402</v>
      </c>
      <c r="B4172">
        <v>60.570935108920601</v>
      </c>
      <c r="C4172">
        <v>2001</v>
      </c>
    </row>
    <row r="4173" spans="1:11" x14ac:dyDescent="0.25">
      <c r="A4173">
        <v>52.7965466178496</v>
      </c>
      <c r="B4173">
        <v>61.007951133369403</v>
      </c>
      <c r="C4173">
        <v>2000</v>
      </c>
    </row>
    <row r="4174" spans="1:11" x14ac:dyDescent="0.25">
      <c r="A4174">
        <v>49.781491987775603</v>
      </c>
      <c r="B4174">
        <v>57.992896503295398</v>
      </c>
      <c r="C4174">
        <v>2000</v>
      </c>
    </row>
    <row r="4175" spans="1:11" x14ac:dyDescent="0.25">
      <c r="A4175">
        <v>42.007103496704602</v>
      </c>
      <c r="B4175">
        <v>50.218508012224397</v>
      </c>
      <c r="C4175">
        <v>2000</v>
      </c>
    </row>
    <row r="4176" spans="1:11" x14ac:dyDescent="0.25">
      <c r="A4176" t="s">
        <v>87</v>
      </c>
    </row>
    <row r="4177" spans="1:11" x14ac:dyDescent="0.25">
      <c r="A4177">
        <v>724</v>
      </c>
      <c r="B4177">
        <v>0</v>
      </c>
      <c r="C4177">
        <v>13.0717389319802</v>
      </c>
      <c r="D4177">
        <v>4.8552053274218601</v>
      </c>
      <c r="E4177">
        <v>6</v>
      </c>
      <c r="F4177">
        <v>1.01722196789785</v>
      </c>
      <c r="G4177" t="s">
        <v>88</v>
      </c>
      <c r="H4177" t="s">
        <v>85</v>
      </c>
      <c r="I4177">
        <v>356</v>
      </c>
      <c r="J4177">
        <v>0</v>
      </c>
      <c r="K4177">
        <v>0.101113411737407</v>
      </c>
    </row>
    <row r="4178" spans="1:11" x14ac:dyDescent="0.25">
      <c r="A4178" t="s">
        <v>86</v>
      </c>
    </row>
    <row r="4179" spans="1:11" x14ac:dyDescent="0.25">
      <c r="A4179">
        <v>94.080715336827794</v>
      </c>
      <c r="B4179">
        <v>146.62603053567301</v>
      </c>
      <c r="C4179">
        <v>2000</v>
      </c>
    </row>
    <row r="4180" spans="1:11" x14ac:dyDescent="0.25">
      <c r="A4180">
        <v>84.996928961602705</v>
      </c>
      <c r="B4180">
        <v>137.54224416044801</v>
      </c>
      <c r="C4180">
        <v>2000</v>
      </c>
    </row>
    <row r="4181" spans="1:11" x14ac:dyDescent="0.25">
      <c r="A4181">
        <v>85.4339449860515</v>
      </c>
      <c r="B4181">
        <v>137.105228135999</v>
      </c>
      <c r="C4181">
        <v>2001</v>
      </c>
    </row>
    <row r="4182" spans="1:11" x14ac:dyDescent="0.25">
      <c r="A4182">
        <v>94.836389092233304</v>
      </c>
      <c r="B4182">
        <v>146.507672242181</v>
      </c>
      <c r="C4182">
        <v>2001</v>
      </c>
    </row>
    <row r="4183" spans="1:11" x14ac:dyDescent="0.25">
      <c r="A4183">
        <v>98.328716850052402</v>
      </c>
      <c r="B4183">
        <v>150</v>
      </c>
      <c r="C4183">
        <v>2001</v>
      </c>
    </row>
    <row r="4184" spans="1:11" x14ac:dyDescent="0.25">
      <c r="A4184">
        <v>97.454684801154798</v>
      </c>
      <c r="B4184">
        <v>150</v>
      </c>
      <c r="C4184">
        <v>2000</v>
      </c>
    </row>
    <row r="4185" spans="1:11" x14ac:dyDescent="0.25">
      <c r="A4185" t="s">
        <v>87</v>
      </c>
    </row>
    <row r="4186" spans="1:11" x14ac:dyDescent="0.25">
      <c r="A4186">
        <v>890</v>
      </c>
      <c r="B4186">
        <v>0</v>
      </c>
      <c r="C4186">
        <v>0.85162459584903205</v>
      </c>
      <c r="D4186">
        <v>16.8855640582115</v>
      </c>
      <c r="E4186">
        <v>6</v>
      </c>
      <c r="F4186">
        <v>1.01722196789785</v>
      </c>
      <c r="G4186" t="s">
        <v>88</v>
      </c>
      <c r="H4186" t="s">
        <v>88</v>
      </c>
      <c r="I4186">
        <v>276</v>
      </c>
      <c r="J4186">
        <v>189</v>
      </c>
      <c r="K4186">
        <v>0.104714434237089</v>
      </c>
    </row>
    <row r="4187" spans="1:11" x14ac:dyDescent="0.25">
      <c r="A4187" t="s">
        <v>86</v>
      </c>
    </row>
    <row r="4188" spans="1:11" x14ac:dyDescent="0.25">
      <c r="A4188">
        <v>68.542220257936293</v>
      </c>
      <c r="B4188">
        <v>27.857238307998902</v>
      </c>
      <c r="C4188">
        <v>2000</v>
      </c>
    </row>
    <row r="4189" spans="1:11" x14ac:dyDescent="0.25">
      <c r="A4189">
        <v>67.940030731186198</v>
      </c>
      <c r="B4189">
        <v>27.255048781248799</v>
      </c>
      <c r="C4189">
        <v>2000</v>
      </c>
    </row>
    <row r="4190" spans="1:11" x14ac:dyDescent="0.25">
      <c r="A4190">
        <v>67.503014706737403</v>
      </c>
      <c r="B4190">
        <v>27.692064805697601</v>
      </c>
      <c r="C4190">
        <v>2001</v>
      </c>
    </row>
    <row r="4191" spans="1:11" x14ac:dyDescent="0.25">
      <c r="A4191">
        <v>68.105204233487498</v>
      </c>
      <c r="B4191">
        <v>28.2942543324477</v>
      </c>
      <c r="C4191">
        <v>2001</v>
      </c>
    </row>
    <row r="4192" spans="1:11" x14ac:dyDescent="0.25">
      <c r="A4192">
        <v>80.045101083208706</v>
      </c>
      <c r="B4192">
        <v>40.234151182168901</v>
      </c>
      <c r="C4192">
        <v>2001</v>
      </c>
    </row>
    <row r="4193" spans="1:11" x14ac:dyDescent="0.25">
      <c r="A4193">
        <v>80.482117107657501</v>
      </c>
      <c r="B4193">
        <v>39.797135157720099</v>
      </c>
      <c r="C4193">
        <v>2000</v>
      </c>
    </row>
    <row r="4194" spans="1:11" x14ac:dyDescent="0.25">
      <c r="A4194" t="s">
        <v>87</v>
      </c>
    </row>
    <row r="4195" spans="1:11" x14ac:dyDescent="0.25">
      <c r="A4195">
        <v>987</v>
      </c>
      <c r="B4195">
        <v>0</v>
      </c>
      <c r="C4195">
        <v>15.4277217255541</v>
      </c>
      <c r="D4195">
        <v>2.3094669285064202</v>
      </c>
      <c r="E4195">
        <v>6</v>
      </c>
      <c r="F4195">
        <v>1.01722196789785</v>
      </c>
      <c r="G4195" t="s">
        <v>88</v>
      </c>
      <c r="H4195" t="s">
        <v>88</v>
      </c>
      <c r="I4195">
        <v>276</v>
      </c>
      <c r="J4195">
        <v>109</v>
      </c>
      <c r="K4195">
        <v>0.110991253371757</v>
      </c>
    </row>
    <row r="4196" spans="1:11" x14ac:dyDescent="0.25">
      <c r="A4196" t="s">
        <v>86</v>
      </c>
    </row>
    <row r="4197" spans="1:11" x14ac:dyDescent="0.25">
      <c r="A4197">
        <v>78.979074487457396</v>
      </c>
      <c r="B4197">
        <v>38.034098325774302</v>
      </c>
      <c r="C4197">
        <v>2000</v>
      </c>
    </row>
    <row r="4198" spans="1:11" x14ac:dyDescent="0.25">
      <c r="A4198">
        <v>68.070027837059101</v>
      </c>
      <c r="B4198">
        <v>27.125051675376</v>
      </c>
      <c r="C4198">
        <v>2000</v>
      </c>
    </row>
    <row r="4199" spans="1:11" x14ac:dyDescent="0.25">
      <c r="A4199">
        <v>68.507043861507896</v>
      </c>
      <c r="B4199">
        <v>26.688035650927201</v>
      </c>
      <c r="C4199">
        <v>2001</v>
      </c>
    </row>
    <row r="4200" spans="1:11" x14ac:dyDescent="0.25">
      <c r="A4200">
        <v>79.416090511906205</v>
      </c>
      <c r="B4200">
        <v>37.5970823013255</v>
      </c>
      <c r="C4200">
        <v>2001</v>
      </c>
    </row>
    <row r="4201" spans="1:11" x14ac:dyDescent="0.25">
      <c r="A4201">
        <v>81.049130237979099</v>
      </c>
      <c r="B4201">
        <v>39.230122027398501</v>
      </c>
      <c r="C4201">
        <v>2001</v>
      </c>
    </row>
    <row r="4202" spans="1:11" x14ac:dyDescent="0.25">
      <c r="A4202">
        <v>80.612114213530305</v>
      </c>
      <c r="B4202">
        <v>39.667138051847303</v>
      </c>
      <c r="C4202">
        <v>2000</v>
      </c>
    </row>
    <row r="4203" spans="1:11" x14ac:dyDescent="0.25">
      <c r="A4203" t="s">
        <v>87</v>
      </c>
    </row>
    <row r="4204" spans="1:11" x14ac:dyDescent="0.25">
      <c r="A4204">
        <v>985</v>
      </c>
      <c r="B4204">
        <v>0</v>
      </c>
      <c r="C4204">
        <v>16.6681033881856</v>
      </c>
      <c r="D4204">
        <v>1.01587395242807</v>
      </c>
      <c r="E4204">
        <v>8</v>
      </c>
      <c r="F4204">
        <v>1.01722196789785</v>
      </c>
      <c r="G4204" t="s">
        <v>85</v>
      </c>
      <c r="H4204" t="s">
        <v>88</v>
      </c>
      <c r="I4204">
        <v>0</v>
      </c>
      <c r="J4204">
        <v>254</v>
      </c>
      <c r="K4204">
        <v>0.110583163543107</v>
      </c>
    </row>
    <row r="4205" spans="1:11" x14ac:dyDescent="0.25">
      <c r="A4205" t="s">
        <v>86</v>
      </c>
    </row>
    <row r="4206" spans="1:11" x14ac:dyDescent="0.25">
      <c r="A4206">
        <v>55.3945794147238</v>
      </c>
      <c r="B4206">
        <v>11.992827618278399</v>
      </c>
      <c r="C4206">
        <v>2000</v>
      </c>
    </row>
    <row r="4207" spans="1:11" x14ac:dyDescent="0.25">
      <c r="A4207">
        <v>49.677209655899603</v>
      </c>
      <c r="B4207">
        <v>6.2754578594543</v>
      </c>
      <c r="C4207">
        <v>2000</v>
      </c>
    </row>
    <row r="4208" spans="1:11" x14ac:dyDescent="0.25">
      <c r="A4208">
        <v>43.401751796445303</v>
      </c>
      <c r="B4208">
        <v>0</v>
      </c>
      <c r="C4208">
        <v>2000</v>
      </c>
    </row>
    <row r="4209" spans="1:11" x14ac:dyDescent="0.25">
      <c r="A4209">
        <v>44.275783845343</v>
      </c>
      <c r="B4209">
        <v>0</v>
      </c>
      <c r="C4209">
        <v>2001</v>
      </c>
    </row>
    <row r="4210" spans="1:11" x14ac:dyDescent="0.25">
      <c r="A4210">
        <v>50.322790344100397</v>
      </c>
      <c r="B4210">
        <v>6.0470064987574297</v>
      </c>
      <c r="C4210">
        <v>2001</v>
      </c>
    </row>
    <row r="4211" spans="1:11" x14ac:dyDescent="0.25">
      <c r="A4211">
        <v>55.855214097673603</v>
      </c>
      <c r="B4211">
        <v>11.579430252330599</v>
      </c>
      <c r="C4211">
        <v>2001</v>
      </c>
    </row>
    <row r="4212" spans="1:11" x14ac:dyDescent="0.25">
      <c r="A4212">
        <v>56.561736129015699</v>
      </c>
      <c r="B4212">
        <v>12.285952283672801</v>
      </c>
      <c r="C4212">
        <v>2001</v>
      </c>
    </row>
    <row r="4213" spans="1:11" x14ac:dyDescent="0.25">
      <c r="A4213">
        <v>56.124720104566897</v>
      </c>
      <c r="B4213">
        <v>12.722968308121599</v>
      </c>
      <c r="C4213">
        <v>2000</v>
      </c>
    </row>
    <row r="4214" spans="1:11" x14ac:dyDescent="0.25">
      <c r="A4214" t="s">
        <v>87</v>
      </c>
    </row>
    <row r="4215" spans="1:11" x14ac:dyDescent="0.25">
      <c r="A4215">
        <v>346</v>
      </c>
      <c r="B4215">
        <v>0</v>
      </c>
      <c r="C4215">
        <v>4.09117325496325</v>
      </c>
      <c r="D4215">
        <v>13.567010877842</v>
      </c>
      <c r="E4215">
        <v>8</v>
      </c>
      <c r="F4215">
        <v>1.01722196789785</v>
      </c>
      <c r="G4215" t="s">
        <v>88</v>
      </c>
      <c r="H4215" t="s">
        <v>85</v>
      </c>
      <c r="I4215">
        <v>353</v>
      </c>
      <c r="J4215">
        <v>0</v>
      </c>
      <c r="K4215">
        <v>0</v>
      </c>
    </row>
    <row r="4216" spans="1:11" x14ac:dyDescent="0.25">
      <c r="A4216" t="s">
        <v>86</v>
      </c>
    </row>
    <row r="4217" spans="1:11" x14ac:dyDescent="0.25">
      <c r="A4217">
        <v>94.864847917249506</v>
      </c>
      <c r="B4217">
        <v>140.58382915519201</v>
      </c>
      <c r="C4217">
        <v>2000</v>
      </c>
    </row>
    <row r="4218" spans="1:11" x14ac:dyDescent="0.25">
      <c r="A4218">
        <v>92.013305030534895</v>
      </c>
      <c r="B4218">
        <v>137.732286268477</v>
      </c>
      <c r="C4218">
        <v>2000</v>
      </c>
    </row>
    <row r="4219" spans="1:11" x14ac:dyDescent="0.25">
      <c r="A4219">
        <v>92.450321054983704</v>
      </c>
      <c r="B4219">
        <v>137.29527024402799</v>
      </c>
      <c r="C4219">
        <v>2001</v>
      </c>
    </row>
    <row r="4220" spans="1:11" x14ac:dyDescent="0.25">
      <c r="A4220">
        <v>95.384570871456205</v>
      </c>
      <c r="B4220">
        <v>140.22952006050099</v>
      </c>
      <c r="C4220">
        <v>2001</v>
      </c>
    </row>
    <row r="4221" spans="1:11" x14ac:dyDescent="0.25">
      <c r="A4221">
        <v>100.32955293311601</v>
      </c>
      <c r="B4221">
        <v>145.17450212215999</v>
      </c>
      <c r="C4221">
        <v>2001</v>
      </c>
    </row>
    <row r="4222" spans="1:11" x14ac:dyDescent="0.25">
      <c r="A4222">
        <v>105.155050810955</v>
      </c>
      <c r="B4222">
        <v>150</v>
      </c>
      <c r="C4222">
        <v>2001</v>
      </c>
    </row>
    <row r="4223" spans="1:11" x14ac:dyDescent="0.25">
      <c r="A4223">
        <v>104.281018762058</v>
      </c>
      <c r="B4223">
        <v>150</v>
      </c>
      <c r="C4223">
        <v>2000</v>
      </c>
    </row>
    <row r="4224" spans="1:11" x14ac:dyDescent="0.25">
      <c r="A4224">
        <v>99.670447066884293</v>
      </c>
      <c r="B4224">
        <v>145.38942830482699</v>
      </c>
      <c r="C4224">
        <v>2000</v>
      </c>
    </row>
    <row r="4225" spans="1:11" x14ac:dyDescent="0.25">
      <c r="A4225" t="s">
        <v>87</v>
      </c>
    </row>
    <row r="4226" spans="1:11" x14ac:dyDescent="0.25">
      <c r="A4226">
        <v>834</v>
      </c>
      <c r="B4226">
        <v>0</v>
      </c>
      <c r="C4226">
        <v>4.5267459848198799</v>
      </c>
      <c r="D4226">
        <v>13.096461836599399</v>
      </c>
      <c r="E4226">
        <v>6</v>
      </c>
      <c r="F4226">
        <v>1.01722196789785</v>
      </c>
      <c r="G4226" t="s">
        <v>88</v>
      </c>
      <c r="H4226" t="s">
        <v>88</v>
      </c>
      <c r="I4226">
        <v>755</v>
      </c>
      <c r="J4226">
        <v>754</v>
      </c>
      <c r="K4226">
        <v>0.103306082875794</v>
      </c>
    </row>
    <row r="4227" spans="1:11" x14ac:dyDescent="0.25">
      <c r="A4227" t="s">
        <v>86</v>
      </c>
    </row>
    <row r="4228" spans="1:11" x14ac:dyDescent="0.25">
      <c r="A4228">
        <v>77.170501181008405</v>
      </c>
      <c r="B4228">
        <v>10.3786797930343</v>
      </c>
      <c r="C4228">
        <v>2000</v>
      </c>
    </row>
    <row r="4229" spans="1:11" x14ac:dyDescent="0.25">
      <c r="A4229">
        <v>73.969608398433195</v>
      </c>
      <c r="B4229">
        <v>7.1777870104591397</v>
      </c>
      <c r="C4229">
        <v>2000</v>
      </c>
    </row>
    <row r="4230" spans="1:11" x14ac:dyDescent="0.25">
      <c r="A4230">
        <v>74.406624422882004</v>
      </c>
      <c r="B4230">
        <v>6.74077098601032</v>
      </c>
      <c r="C4230">
        <v>2001</v>
      </c>
    </row>
    <row r="4231" spans="1:11" x14ac:dyDescent="0.25">
      <c r="A4231">
        <v>77.607517205457199</v>
      </c>
      <c r="B4231">
        <v>9.9416637685854301</v>
      </c>
      <c r="C4231">
        <v>2001</v>
      </c>
    </row>
    <row r="4232" spans="1:11" x14ac:dyDescent="0.25">
      <c r="A4232">
        <v>86.868114179667401</v>
      </c>
      <c r="B4232">
        <v>19.202260742795701</v>
      </c>
      <c r="C4232">
        <v>2001</v>
      </c>
    </row>
    <row r="4233" spans="1:11" x14ac:dyDescent="0.25">
      <c r="A4233">
        <v>86.431098155218606</v>
      </c>
      <c r="B4233">
        <v>19.6392767672445</v>
      </c>
      <c r="C4233">
        <v>2000</v>
      </c>
    </row>
    <row r="4234" spans="1:11" x14ac:dyDescent="0.25">
      <c r="A4234" t="s">
        <v>87</v>
      </c>
    </row>
    <row r="4235" spans="1:11" x14ac:dyDescent="0.25">
      <c r="A4235">
        <v>935</v>
      </c>
      <c r="B4235">
        <v>0</v>
      </c>
      <c r="C4235">
        <v>1.0250847252255399</v>
      </c>
      <c r="D4235">
        <v>16.565531080361701</v>
      </c>
      <c r="E4235">
        <v>8</v>
      </c>
      <c r="F4235">
        <v>1.01722196789785</v>
      </c>
      <c r="G4235" t="s">
        <v>88</v>
      </c>
      <c r="H4235" t="s">
        <v>88</v>
      </c>
      <c r="I4235">
        <v>507</v>
      </c>
      <c r="J4235">
        <v>964</v>
      </c>
      <c r="K4235">
        <v>0.10610230776941799</v>
      </c>
    </row>
    <row r="4236" spans="1:11" x14ac:dyDescent="0.25">
      <c r="A4236" t="s">
        <v>86</v>
      </c>
    </row>
    <row r="4237" spans="1:11" x14ac:dyDescent="0.25">
      <c r="A4237">
        <v>34.877412122612697</v>
      </c>
      <c r="B4237">
        <v>96.396384697130898</v>
      </c>
      <c r="C4237">
        <v>2000</v>
      </c>
    </row>
    <row r="4238" spans="1:11" x14ac:dyDescent="0.25">
      <c r="A4238">
        <v>34.152567762114998</v>
      </c>
      <c r="B4238">
        <v>95.6715403366332</v>
      </c>
      <c r="C4238">
        <v>2000</v>
      </c>
    </row>
    <row r="4239" spans="1:11" x14ac:dyDescent="0.25">
      <c r="A4239">
        <v>33.715551737666203</v>
      </c>
      <c r="B4239">
        <v>96.108556361081995</v>
      </c>
      <c r="C4239">
        <v>2001</v>
      </c>
    </row>
    <row r="4240" spans="1:11" x14ac:dyDescent="0.25">
      <c r="A4240">
        <v>34.440396098163902</v>
      </c>
      <c r="B4240">
        <v>96.833400721579693</v>
      </c>
      <c r="C4240">
        <v>2001</v>
      </c>
    </row>
    <row r="4241" spans="1:11" x14ac:dyDescent="0.25">
      <c r="A4241">
        <v>37.825503388808599</v>
      </c>
      <c r="B4241">
        <v>100.21850801222401</v>
      </c>
      <c r="C4241">
        <v>2001</v>
      </c>
    </row>
    <row r="4242" spans="1:11" x14ac:dyDescent="0.25">
      <c r="A4242">
        <v>46.153995459044197</v>
      </c>
      <c r="B4242">
        <v>108.54700008246</v>
      </c>
      <c r="C4242">
        <v>2001</v>
      </c>
    </row>
    <row r="4243" spans="1:11" x14ac:dyDescent="0.25">
      <c r="A4243">
        <v>46.591011483492998</v>
      </c>
      <c r="B4243">
        <v>108.10998405801099</v>
      </c>
      <c r="C4243">
        <v>2000</v>
      </c>
    </row>
    <row r="4244" spans="1:11" x14ac:dyDescent="0.25">
      <c r="A4244">
        <v>38.262519413257401</v>
      </c>
      <c r="B4244">
        <v>99.781491987775595</v>
      </c>
      <c r="C4244">
        <v>2000</v>
      </c>
    </row>
    <row r="4245" spans="1:11" x14ac:dyDescent="0.25">
      <c r="A4245" t="s">
        <v>87</v>
      </c>
    </row>
    <row r="4246" spans="1:11" x14ac:dyDescent="0.25">
      <c r="A4246">
        <v>806</v>
      </c>
      <c r="B4246">
        <v>0</v>
      </c>
      <c r="C4246">
        <v>14.956863925939601</v>
      </c>
      <c r="D4246">
        <v>2.6158433366703902</v>
      </c>
      <c r="E4246">
        <v>6</v>
      </c>
      <c r="F4246">
        <v>1.01722196789785</v>
      </c>
      <c r="G4246" t="s">
        <v>88</v>
      </c>
      <c r="H4246" t="s">
        <v>88</v>
      </c>
      <c r="I4246">
        <v>415</v>
      </c>
      <c r="J4246">
        <v>763</v>
      </c>
      <c r="K4246">
        <v>0.10263209558717</v>
      </c>
    </row>
    <row r="4247" spans="1:11" x14ac:dyDescent="0.25">
      <c r="A4247" t="s">
        <v>86</v>
      </c>
    </row>
    <row r="4248" spans="1:11" x14ac:dyDescent="0.25">
      <c r="A4248">
        <v>129.41291183810799</v>
      </c>
      <c r="B4248">
        <v>31.582621367923998</v>
      </c>
      <c r="C4248">
        <v>2000</v>
      </c>
    </row>
    <row r="4249" spans="1:11" x14ac:dyDescent="0.25">
      <c r="A4249">
        <v>118.836811930792</v>
      </c>
      <c r="B4249">
        <v>21.006521460607701</v>
      </c>
      <c r="C4249">
        <v>2000</v>
      </c>
    </row>
    <row r="4250" spans="1:11" x14ac:dyDescent="0.25">
      <c r="A4250">
        <v>118.399795906343</v>
      </c>
      <c r="B4250">
        <v>21.443537485056499</v>
      </c>
      <c r="C4250">
        <v>2001</v>
      </c>
    </row>
    <row r="4251" spans="1:11" x14ac:dyDescent="0.25">
      <c r="A4251">
        <v>128.97589581366</v>
      </c>
      <c r="B4251">
        <v>32.0196373923728</v>
      </c>
      <c r="C4251">
        <v>2001</v>
      </c>
    </row>
    <row r="4252" spans="1:11" x14ac:dyDescent="0.25">
      <c r="A4252">
        <v>130.825576375541</v>
      </c>
      <c r="B4252">
        <v>33.8693179542541</v>
      </c>
      <c r="C4252">
        <v>2001</v>
      </c>
    </row>
    <row r="4253" spans="1:11" x14ac:dyDescent="0.25">
      <c r="A4253">
        <v>131.26259239999001</v>
      </c>
      <c r="B4253">
        <v>33.432301929805298</v>
      </c>
      <c r="C4253">
        <v>2000</v>
      </c>
    </row>
    <row r="4254" spans="1:11" x14ac:dyDescent="0.25">
      <c r="A4254" t="s">
        <v>87</v>
      </c>
    </row>
    <row r="4255" spans="1:11" x14ac:dyDescent="0.25">
      <c r="A4255">
        <v>358</v>
      </c>
      <c r="B4255">
        <v>0</v>
      </c>
      <c r="C4255">
        <v>13.0320180386777</v>
      </c>
      <c r="D4255">
        <v>4.5304363323336601</v>
      </c>
      <c r="E4255">
        <v>6</v>
      </c>
      <c r="F4255">
        <v>1.01722196789785</v>
      </c>
      <c r="G4255" t="s">
        <v>88</v>
      </c>
      <c r="H4255" t="s">
        <v>85</v>
      </c>
      <c r="I4255">
        <v>860</v>
      </c>
      <c r="J4255">
        <v>0</v>
      </c>
      <c r="K4255">
        <v>0</v>
      </c>
    </row>
    <row r="4256" spans="1:11" x14ac:dyDescent="0.25">
      <c r="A4256" t="s">
        <v>86</v>
      </c>
    </row>
    <row r="4257" spans="1:11" x14ac:dyDescent="0.25">
      <c r="A4257">
        <v>89.369322408999295</v>
      </c>
      <c r="B4257">
        <v>146.740131102296</v>
      </c>
      <c r="C4257">
        <v>2000</v>
      </c>
    </row>
    <row r="4258" spans="1:11" x14ac:dyDescent="0.25">
      <c r="A4258">
        <v>79.992152714457802</v>
      </c>
      <c r="B4258">
        <v>137.362961407754</v>
      </c>
      <c r="C4258">
        <v>2000</v>
      </c>
    </row>
    <row r="4259" spans="1:11" x14ac:dyDescent="0.25">
      <c r="A4259">
        <v>79.555136690008993</v>
      </c>
      <c r="B4259">
        <v>137.79997743220301</v>
      </c>
      <c r="C4259">
        <v>2001</v>
      </c>
    </row>
    <row r="4260" spans="1:11" x14ac:dyDescent="0.25">
      <c r="A4260">
        <v>88.608023650856396</v>
      </c>
      <c r="B4260">
        <v>146.85286439305</v>
      </c>
      <c r="C4260">
        <v>2001</v>
      </c>
    </row>
    <row r="4261" spans="1:11" x14ac:dyDescent="0.25">
      <c r="A4261">
        <v>91.755159257806</v>
      </c>
      <c r="B4261">
        <v>150</v>
      </c>
      <c r="C4261">
        <v>2001</v>
      </c>
    </row>
    <row r="4262" spans="1:11" x14ac:dyDescent="0.25">
      <c r="A4262">
        <v>92.629191306703703</v>
      </c>
      <c r="B4262">
        <v>150</v>
      </c>
      <c r="C4262">
        <v>2000</v>
      </c>
    </row>
    <row r="4263" spans="1:11" x14ac:dyDescent="0.25">
      <c r="A4263" t="s">
        <v>87</v>
      </c>
    </row>
    <row r="4264" spans="1:11" x14ac:dyDescent="0.25">
      <c r="A4264">
        <v>808</v>
      </c>
      <c r="B4264">
        <v>0</v>
      </c>
      <c r="C4264">
        <v>10.3177697577435</v>
      </c>
      <c r="D4264">
        <v>7.1354308832882802</v>
      </c>
      <c r="E4264">
        <v>8</v>
      </c>
      <c r="F4264">
        <v>1.01722196789785</v>
      </c>
      <c r="G4264" t="s">
        <v>88</v>
      </c>
      <c r="H4264" t="s">
        <v>88</v>
      </c>
      <c r="I4264">
        <v>792</v>
      </c>
      <c r="J4264">
        <v>252</v>
      </c>
      <c r="K4264">
        <v>0.10263209558717</v>
      </c>
    </row>
    <row r="4265" spans="1:11" x14ac:dyDescent="0.25">
      <c r="A4265" t="s">
        <v>86</v>
      </c>
    </row>
    <row r="4266" spans="1:11" x14ac:dyDescent="0.25">
      <c r="A4266">
        <v>53.723972657096702</v>
      </c>
      <c r="B4266">
        <v>32.535632420119498</v>
      </c>
      <c r="C4266">
        <v>2000</v>
      </c>
    </row>
    <row r="4267" spans="1:11" x14ac:dyDescent="0.25">
      <c r="A4267">
        <v>50.218508012224397</v>
      </c>
      <c r="B4267">
        <v>29.030167775247101</v>
      </c>
      <c r="C4267">
        <v>2000</v>
      </c>
    </row>
    <row r="4268" spans="1:11" x14ac:dyDescent="0.25">
      <c r="A4268">
        <v>46.428207694674803</v>
      </c>
      <c r="B4268">
        <v>25.239867457697599</v>
      </c>
      <c r="C4268">
        <v>2000</v>
      </c>
    </row>
    <row r="4269" spans="1:11" x14ac:dyDescent="0.25">
      <c r="A4269">
        <v>45.991191670226002</v>
      </c>
      <c r="B4269">
        <v>25.676883482146401</v>
      </c>
      <c r="C4269">
        <v>2001</v>
      </c>
    </row>
    <row r="4270" spans="1:11" x14ac:dyDescent="0.25">
      <c r="A4270">
        <v>49.781491987775603</v>
      </c>
      <c r="B4270">
        <v>29.467183799695999</v>
      </c>
      <c r="C4270">
        <v>2001</v>
      </c>
    </row>
    <row r="4271" spans="1:11" x14ac:dyDescent="0.25">
      <c r="A4271">
        <v>53.2869566326479</v>
      </c>
      <c r="B4271">
        <v>32.9726484445683</v>
      </c>
      <c r="C4271">
        <v>2001</v>
      </c>
    </row>
    <row r="4272" spans="1:11" x14ac:dyDescent="0.25">
      <c r="A4272">
        <v>58.332468196908998</v>
      </c>
      <c r="B4272">
        <v>38.018160008829298</v>
      </c>
      <c r="C4272">
        <v>2001</v>
      </c>
    </row>
    <row r="4273" spans="1:11" x14ac:dyDescent="0.25">
      <c r="A4273">
        <v>58.7694842213578</v>
      </c>
      <c r="B4273">
        <v>37.581143984380503</v>
      </c>
      <c r="C4273">
        <v>2000</v>
      </c>
    </row>
    <row r="4274" spans="1:11" x14ac:dyDescent="0.25">
      <c r="A4274" t="s">
        <v>87</v>
      </c>
    </row>
    <row r="4275" spans="1:11" x14ac:dyDescent="0.25">
      <c r="A4275">
        <v>265</v>
      </c>
      <c r="B4275">
        <v>0</v>
      </c>
      <c r="C4275">
        <v>0.36684196288277299</v>
      </c>
      <c r="D4275">
        <v>17.032943054124399</v>
      </c>
      <c r="E4275">
        <v>6</v>
      </c>
      <c r="F4275">
        <v>1.01722196789785</v>
      </c>
      <c r="G4275" t="s">
        <v>88</v>
      </c>
      <c r="H4275" t="s">
        <v>88</v>
      </c>
      <c r="I4275">
        <v>270</v>
      </c>
      <c r="J4275">
        <v>879</v>
      </c>
      <c r="K4275">
        <v>0</v>
      </c>
    </row>
    <row r="4276" spans="1:11" x14ac:dyDescent="0.25">
      <c r="A4276" t="s">
        <v>86</v>
      </c>
    </row>
    <row r="4277" spans="1:11" x14ac:dyDescent="0.25">
      <c r="A4277">
        <v>57.137057056718803</v>
      </c>
      <c r="B4277">
        <v>7.6539352259805096</v>
      </c>
      <c r="C4277">
        <v>2000</v>
      </c>
    </row>
    <row r="4278" spans="1:11" x14ac:dyDescent="0.25">
      <c r="A4278">
        <v>56.877660617140599</v>
      </c>
      <c r="B4278">
        <v>7.3945387864023102</v>
      </c>
      <c r="C4278">
        <v>2000</v>
      </c>
    </row>
    <row r="4279" spans="1:11" x14ac:dyDescent="0.25">
      <c r="A4279">
        <v>57.314676641589401</v>
      </c>
      <c r="B4279">
        <v>6.9575227619534896</v>
      </c>
      <c r="C4279">
        <v>2001</v>
      </c>
    </row>
    <row r="4280" spans="1:11" x14ac:dyDescent="0.25">
      <c r="A4280">
        <v>57.574073081167597</v>
      </c>
      <c r="B4280">
        <v>7.2169192015316899</v>
      </c>
      <c r="C4280">
        <v>2001</v>
      </c>
    </row>
    <row r="4281" spans="1:11" x14ac:dyDescent="0.25">
      <c r="A4281">
        <v>69.618182618303294</v>
      </c>
      <c r="B4281">
        <v>19.261028738667399</v>
      </c>
      <c r="C4281">
        <v>2001</v>
      </c>
    </row>
    <row r="4282" spans="1:11" x14ac:dyDescent="0.25">
      <c r="A4282">
        <v>69.181166593854499</v>
      </c>
      <c r="B4282">
        <v>19.698044763116201</v>
      </c>
      <c r="C4282">
        <v>2000</v>
      </c>
    </row>
    <row r="4283" spans="1:11" x14ac:dyDescent="0.25">
      <c r="A4283" t="s">
        <v>87</v>
      </c>
    </row>
    <row r="4284" spans="1:11" x14ac:dyDescent="0.25">
      <c r="A4284">
        <v>803</v>
      </c>
      <c r="B4284">
        <v>0</v>
      </c>
      <c r="C4284">
        <v>16.7497849332632</v>
      </c>
      <c r="D4284">
        <v>0.64980367995809696</v>
      </c>
      <c r="E4284">
        <v>8</v>
      </c>
      <c r="F4284">
        <v>1.01722196789785</v>
      </c>
      <c r="G4284" t="s">
        <v>88</v>
      </c>
      <c r="H4284" t="s">
        <v>85</v>
      </c>
      <c r="I4284">
        <v>867</v>
      </c>
      <c r="J4284">
        <v>0</v>
      </c>
      <c r="K4284">
        <v>0.10263209558717</v>
      </c>
    </row>
    <row r="4285" spans="1:11" x14ac:dyDescent="0.25">
      <c r="A4285" t="s">
        <v>86</v>
      </c>
    </row>
    <row r="4286" spans="1:11" x14ac:dyDescent="0.25">
      <c r="A4286">
        <v>149.52696069017901</v>
      </c>
      <c r="B4286">
        <v>57.368818806075303</v>
      </c>
      <c r="C4286">
        <v>2000</v>
      </c>
    </row>
    <row r="4287" spans="1:11" x14ac:dyDescent="0.25">
      <c r="A4287">
        <v>142.37664989632799</v>
      </c>
      <c r="B4287">
        <v>50.218508012224397</v>
      </c>
      <c r="C4287">
        <v>2000</v>
      </c>
    </row>
    <row r="4288" spans="1:11" x14ac:dyDescent="0.25">
      <c r="A4288">
        <v>137.47812488951101</v>
      </c>
      <c r="B4288">
        <v>45.319983005406598</v>
      </c>
      <c r="C4288">
        <v>2000</v>
      </c>
    </row>
    <row r="4289" spans="1:11" x14ac:dyDescent="0.25">
      <c r="A4289">
        <v>137.91514091395899</v>
      </c>
      <c r="B4289">
        <v>44.882966980957796</v>
      </c>
      <c r="C4289">
        <v>2001</v>
      </c>
    </row>
    <row r="4290" spans="1:11" x14ac:dyDescent="0.25">
      <c r="A4290">
        <v>142.813665920777</v>
      </c>
      <c r="B4290">
        <v>49.781491987775603</v>
      </c>
      <c r="C4290">
        <v>2001</v>
      </c>
    </row>
    <row r="4291" spans="1:11" x14ac:dyDescent="0.25">
      <c r="A4291">
        <v>149.554078132744</v>
      </c>
      <c r="B4291">
        <v>56.521904199742302</v>
      </c>
      <c r="C4291">
        <v>2001</v>
      </c>
    </row>
    <row r="4292" spans="1:11" x14ac:dyDescent="0.25">
      <c r="A4292">
        <v>150</v>
      </c>
      <c r="B4292">
        <v>56.967826066998299</v>
      </c>
      <c r="C4292">
        <v>2001</v>
      </c>
    </row>
    <row r="4293" spans="1:11" x14ac:dyDescent="0.25">
      <c r="A4293">
        <v>150</v>
      </c>
      <c r="B4293">
        <v>57.841858115896002</v>
      </c>
      <c r="C4293">
        <v>2000</v>
      </c>
    </row>
    <row r="4294" spans="1:11" x14ac:dyDescent="0.25">
      <c r="A4294" t="s">
        <v>87</v>
      </c>
    </row>
    <row r="4295" spans="1:11" x14ac:dyDescent="0.25">
      <c r="A4295">
        <v>989</v>
      </c>
      <c r="B4295">
        <v>0</v>
      </c>
      <c r="C4295">
        <v>6.7173296183720197</v>
      </c>
      <c r="D4295">
        <v>10.634675534394701</v>
      </c>
      <c r="E4295">
        <v>6</v>
      </c>
      <c r="F4295">
        <v>1.01722196789785</v>
      </c>
      <c r="G4295" t="s">
        <v>85</v>
      </c>
      <c r="H4295" t="s">
        <v>85</v>
      </c>
      <c r="I4295">
        <v>0</v>
      </c>
      <c r="J4295">
        <v>0</v>
      </c>
      <c r="K4295">
        <v>0.110991253371757</v>
      </c>
    </row>
    <row r="4296" spans="1:11" x14ac:dyDescent="0.25">
      <c r="A4296" t="s">
        <v>86</v>
      </c>
    </row>
    <row r="4297" spans="1:11" x14ac:dyDescent="0.25">
      <c r="A4297">
        <v>4.91904750655464</v>
      </c>
      <c r="B4297">
        <v>142.212310971401</v>
      </c>
      <c r="C4297">
        <v>2000</v>
      </c>
    </row>
    <row r="4298" spans="1:11" x14ac:dyDescent="0.25">
      <c r="A4298">
        <v>0</v>
      </c>
      <c r="B4298">
        <v>137.29326346484601</v>
      </c>
      <c r="C4298">
        <v>2000</v>
      </c>
    </row>
    <row r="4299" spans="1:11" x14ac:dyDescent="0.25">
      <c r="A4299">
        <v>0</v>
      </c>
      <c r="B4299">
        <v>138.16729551374399</v>
      </c>
      <c r="C4299">
        <v>2001</v>
      </c>
    </row>
    <row r="4300" spans="1:11" x14ac:dyDescent="0.25">
      <c r="A4300">
        <v>4.5806911426775603</v>
      </c>
      <c r="B4300">
        <v>142.74798665642101</v>
      </c>
      <c r="C4300">
        <v>2001</v>
      </c>
    </row>
    <row r="4301" spans="1:11" x14ac:dyDescent="0.25">
      <c r="A4301">
        <v>11.8327044862564</v>
      </c>
      <c r="B4301">
        <v>150</v>
      </c>
      <c r="C4301">
        <v>2001</v>
      </c>
    </row>
    <row r="4302" spans="1:11" x14ac:dyDescent="0.25">
      <c r="A4302">
        <v>12.7067365351541</v>
      </c>
      <c r="B4302">
        <v>150</v>
      </c>
      <c r="C4302">
        <v>2000</v>
      </c>
    </row>
    <row r="4303" spans="1:11" x14ac:dyDescent="0.25">
      <c r="A4303" t="s">
        <v>87</v>
      </c>
    </row>
    <row r="4304" spans="1:11" x14ac:dyDescent="0.25">
      <c r="A4304">
        <v>110</v>
      </c>
      <c r="B4304">
        <v>0</v>
      </c>
      <c r="C4304">
        <v>4.7723169877532996</v>
      </c>
      <c r="D4304">
        <v>12.5787446917082</v>
      </c>
      <c r="E4304">
        <v>6</v>
      </c>
      <c r="F4304">
        <v>1.01722196789785</v>
      </c>
      <c r="G4304" t="s">
        <v>88</v>
      </c>
      <c r="H4304" t="s">
        <v>88</v>
      </c>
      <c r="I4304">
        <v>120</v>
      </c>
      <c r="J4304">
        <v>118</v>
      </c>
      <c r="K4304">
        <v>0</v>
      </c>
    </row>
    <row r="4305" spans="1:11" x14ac:dyDescent="0.25">
      <c r="A4305" t="s">
        <v>86</v>
      </c>
    </row>
    <row r="4306" spans="1:11" x14ac:dyDescent="0.25">
      <c r="A4306">
        <v>74.591248765393004</v>
      </c>
      <c r="B4306">
        <v>60.728400935296897</v>
      </c>
      <c r="C4306">
        <v>2000</v>
      </c>
    </row>
    <row r="4307" spans="1:11" x14ac:dyDescent="0.25">
      <c r="A4307">
        <v>71.216711061380906</v>
      </c>
      <c r="B4307">
        <v>57.353863231284798</v>
      </c>
      <c r="C4307">
        <v>2000</v>
      </c>
    </row>
    <row r="4308" spans="1:11" x14ac:dyDescent="0.25">
      <c r="A4308">
        <v>70.779695036932097</v>
      </c>
      <c r="B4308">
        <v>57.7908792557336</v>
      </c>
      <c r="C4308">
        <v>2001</v>
      </c>
    </row>
    <row r="4309" spans="1:11" x14ac:dyDescent="0.25">
      <c r="A4309">
        <v>74.154232740944195</v>
      </c>
      <c r="B4309">
        <v>61.165416959745698</v>
      </c>
      <c r="C4309">
        <v>2001</v>
      </c>
    </row>
    <row r="4310" spans="1:11" x14ac:dyDescent="0.25">
      <c r="A4310">
        <v>83.048748411265393</v>
      </c>
      <c r="B4310">
        <v>70.059932630066896</v>
      </c>
      <c r="C4310">
        <v>2001</v>
      </c>
    </row>
    <row r="4311" spans="1:11" x14ac:dyDescent="0.25">
      <c r="A4311">
        <v>83.485764435714202</v>
      </c>
      <c r="B4311">
        <v>69.622916605618101</v>
      </c>
      <c r="C4311">
        <v>2000</v>
      </c>
    </row>
    <row r="4312" spans="1:11" x14ac:dyDescent="0.25">
      <c r="A4312" t="s">
        <v>87</v>
      </c>
    </row>
    <row r="4313" spans="1:11" x14ac:dyDescent="0.25">
      <c r="A4313">
        <v>104</v>
      </c>
      <c r="B4313">
        <v>0</v>
      </c>
      <c r="C4313">
        <v>6.3668927385294696</v>
      </c>
      <c r="D4313">
        <v>10.9468389982055</v>
      </c>
      <c r="E4313">
        <v>8</v>
      </c>
      <c r="F4313">
        <v>1.01722196789785</v>
      </c>
      <c r="G4313" t="s">
        <v>88</v>
      </c>
      <c r="H4313" t="s">
        <v>88</v>
      </c>
      <c r="I4313">
        <v>271</v>
      </c>
      <c r="J4313">
        <v>117</v>
      </c>
      <c r="K4313">
        <v>0</v>
      </c>
    </row>
    <row r="4314" spans="1:11" x14ac:dyDescent="0.25">
      <c r="A4314" t="s">
        <v>86</v>
      </c>
    </row>
    <row r="4315" spans="1:11" x14ac:dyDescent="0.25">
      <c r="A4315">
        <v>71.983806604973097</v>
      </c>
      <c r="B4315">
        <v>49.998892455831403</v>
      </c>
      <c r="C4315">
        <v>2000</v>
      </c>
    </row>
    <row r="4316" spans="1:11" x14ac:dyDescent="0.25">
      <c r="A4316">
        <v>71.766406136917297</v>
      </c>
      <c r="B4316">
        <v>49.781491987775603</v>
      </c>
      <c r="C4316">
        <v>2000</v>
      </c>
    </row>
    <row r="4317" spans="1:11" x14ac:dyDescent="0.25">
      <c r="A4317">
        <v>67.481733574471505</v>
      </c>
      <c r="B4317">
        <v>45.496819425329797</v>
      </c>
      <c r="C4317">
        <v>2000</v>
      </c>
    </row>
    <row r="4318" spans="1:11" x14ac:dyDescent="0.25">
      <c r="A4318">
        <v>67.044717550022696</v>
      </c>
      <c r="B4318">
        <v>45.933835449778698</v>
      </c>
      <c r="C4318">
        <v>2001</v>
      </c>
    </row>
    <row r="4319" spans="1:11" x14ac:dyDescent="0.25">
      <c r="A4319">
        <v>71.329390112468502</v>
      </c>
      <c r="B4319">
        <v>50.218508012224397</v>
      </c>
      <c r="C4319">
        <v>2001</v>
      </c>
    </row>
    <row r="4320" spans="1:11" x14ac:dyDescent="0.25">
      <c r="A4320">
        <v>71.546790580524302</v>
      </c>
      <c r="B4320">
        <v>50.435908480280197</v>
      </c>
      <c r="C4320">
        <v>2001</v>
      </c>
    </row>
    <row r="4321" spans="1:11" x14ac:dyDescent="0.25">
      <c r="A4321">
        <v>79.2873746687128</v>
      </c>
      <c r="B4321">
        <v>58.176492568468703</v>
      </c>
      <c r="C4321">
        <v>2001</v>
      </c>
    </row>
    <row r="4322" spans="1:11" x14ac:dyDescent="0.25">
      <c r="A4322">
        <v>79.724390693161595</v>
      </c>
      <c r="B4322">
        <v>57.739476544019801</v>
      </c>
      <c r="C4322">
        <v>2000</v>
      </c>
    </row>
    <row r="4323" spans="1:11" x14ac:dyDescent="0.25">
      <c r="A4323" t="s">
        <v>87</v>
      </c>
    </row>
    <row r="4324" spans="1:11" x14ac:dyDescent="0.25">
      <c r="A4324">
        <v>921</v>
      </c>
      <c r="B4324">
        <v>0</v>
      </c>
      <c r="C4324">
        <v>17.163356775897999</v>
      </c>
      <c r="D4324">
        <v>5.3084943540966399E-2</v>
      </c>
      <c r="E4324">
        <v>6</v>
      </c>
      <c r="F4324">
        <v>1.01722196789785</v>
      </c>
      <c r="G4324" t="s">
        <v>88</v>
      </c>
      <c r="H4324" t="s">
        <v>85</v>
      </c>
      <c r="I4324">
        <v>779</v>
      </c>
      <c r="J4324">
        <v>0</v>
      </c>
      <c r="K4324">
        <v>0.105605243465119</v>
      </c>
    </row>
    <row r="4325" spans="1:11" x14ac:dyDescent="0.25">
      <c r="A4325" t="s">
        <v>86</v>
      </c>
    </row>
    <row r="4326" spans="1:11" x14ac:dyDescent="0.25">
      <c r="A4326">
        <v>86.810100789389594</v>
      </c>
      <c r="B4326">
        <v>149.96313702109299</v>
      </c>
      <c r="C4326">
        <v>2000</v>
      </c>
    </row>
    <row r="4327" spans="1:11" x14ac:dyDescent="0.25">
      <c r="A4327">
        <v>74.891609092803094</v>
      </c>
      <c r="B4327">
        <v>138.04464532450601</v>
      </c>
      <c r="C4327">
        <v>2000</v>
      </c>
    </row>
    <row r="4328" spans="1:11" x14ac:dyDescent="0.25">
      <c r="A4328">
        <v>75.328625117251903</v>
      </c>
      <c r="B4328">
        <v>137.607629300057</v>
      </c>
      <c r="C4328">
        <v>2001</v>
      </c>
    </row>
    <row r="4329" spans="1:11" x14ac:dyDescent="0.25">
      <c r="A4329">
        <v>87.682785348988602</v>
      </c>
      <c r="B4329">
        <v>149.96178953179401</v>
      </c>
      <c r="C4329">
        <v>2001</v>
      </c>
    </row>
    <row r="4330" spans="1:11" x14ac:dyDescent="0.25">
      <c r="A4330">
        <v>87.720995817194805</v>
      </c>
      <c r="B4330">
        <v>150</v>
      </c>
      <c r="C4330">
        <v>2001</v>
      </c>
    </row>
    <row r="4331" spans="1:11" x14ac:dyDescent="0.25">
      <c r="A4331">
        <v>86.846963768296803</v>
      </c>
      <c r="B4331">
        <v>150</v>
      </c>
      <c r="C4331">
        <v>2000</v>
      </c>
    </row>
    <row r="4332" spans="1:11" x14ac:dyDescent="0.25">
      <c r="A4332" t="s">
        <v>87</v>
      </c>
    </row>
    <row r="4333" spans="1:11" x14ac:dyDescent="0.25">
      <c r="A4333">
        <v>1021</v>
      </c>
      <c r="B4333">
        <v>0</v>
      </c>
      <c r="C4333">
        <v>10.587202871789501</v>
      </c>
      <c r="D4333">
        <v>6.6053873581843998</v>
      </c>
      <c r="E4333">
        <v>6</v>
      </c>
      <c r="F4333">
        <v>1.01722196789785</v>
      </c>
      <c r="G4333" t="s">
        <v>88</v>
      </c>
      <c r="H4333" t="s">
        <v>85</v>
      </c>
      <c r="I4333">
        <v>413</v>
      </c>
      <c r="J4333">
        <v>0</v>
      </c>
      <c r="K4333">
        <v>0.113410188028275</v>
      </c>
    </row>
    <row r="4334" spans="1:11" x14ac:dyDescent="0.25">
      <c r="A4334" t="s">
        <v>86</v>
      </c>
    </row>
    <row r="4335" spans="1:11" x14ac:dyDescent="0.25">
      <c r="A4335">
        <v>145.245335102186</v>
      </c>
      <c r="B4335">
        <v>10.577338962600299</v>
      </c>
      <c r="C4335">
        <v>2000</v>
      </c>
    </row>
    <row r="4336" spans="1:11" x14ac:dyDescent="0.25">
      <c r="A4336">
        <v>137.624494849999</v>
      </c>
      <c r="B4336">
        <v>2.9564987104138898</v>
      </c>
      <c r="C4336">
        <v>2000</v>
      </c>
    </row>
    <row r="4337" spans="1:11" x14ac:dyDescent="0.25">
      <c r="A4337">
        <v>138.061510874448</v>
      </c>
      <c r="B4337">
        <v>2.5194826859650701</v>
      </c>
      <c r="C4337">
        <v>2001</v>
      </c>
    </row>
    <row r="4338" spans="1:11" x14ac:dyDescent="0.25">
      <c r="A4338">
        <v>145.413236511142</v>
      </c>
      <c r="B4338">
        <v>9.8712083226587595</v>
      </c>
      <c r="C4338">
        <v>2001</v>
      </c>
    </row>
    <row r="4339" spans="1:11" x14ac:dyDescent="0.25">
      <c r="A4339">
        <v>150</v>
      </c>
      <c r="B4339">
        <v>14.457971811516799</v>
      </c>
      <c r="C4339">
        <v>2001</v>
      </c>
    </row>
    <row r="4340" spans="1:11" x14ac:dyDescent="0.25">
      <c r="A4340">
        <v>150</v>
      </c>
      <c r="B4340">
        <v>15.3320038604144</v>
      </c>
      <c r="C4340">
        <v>2000</v>
      </c>
    </row>
    <row r="4341" spans="1:11" x14ac:dyDescent="0.25">
      <c r="A4341" t="s">
        <v>87</v>
      </c>
    </row>
    <row r="4342" spans="1:11" x14ac:dyDescent="0.25">
      <c r="A4342">
        <v>115</v>
      </c>
      <c r="B4342">
        <v>0</v>
      </c>
      <c r="C4342">
        <v>6.2705883281265402</v>
      </c>
      <c r="D4342">
        <v>10.478761730451501</v>
      </c>
      <c r="E4342">
        <v>8</v>
      </c>
      <c r="F4342">
        <v>1.01722196789785</v>
      </c>
      <c r="G4342" t="s">
        <v>88</v>
      </c>
      <c r="H4342" t="s">
        <v>88</v>
      </c>
      <c r="I4342">
        <v>114</v>
      </c>
      <c r="J4342">
        <v>829</v>
      </c>
      <c r="K4342">
        <v>0</v>
      </c>
    </row>
    <row r="4343" spans="1:11" x14ac:dyDescent="0.25">
      <c r="A4343" t="s">
        <v>86</v>
      </c>
    </row>
    <row r="4344" spans="1:11" x14ac:dyDescent="0.25">
      <c r="A4344">
        <v>97.582374597235003</v>
      </c>
      <c r="B4344">
        <v>80.822003329094301</v>
      </c>
      <c r="C4344">
        <v>2000</v>
      </c>
    </row>
    <row r="4345" spans="1:11" x14ac:dyDescent="0.25">
      <c r="A4345">
        <v>93.148399068387505</v>
      </c>
      <c r="B4345">
        <v>76.388027800246803</v>
      </c>
      <c r="C4345">
        <v>2000</v>
      </c>
    </row>
    <row r="4346" spans="1:11" x14ac:dyDescent="0.25">
      <c r="A4346">
        <v>92.711383043938696</v>
      </c>
      <c r="B4346">
        <v>76.825043824695697</v>
      </c>
      <c r="C4346">
        <v>2001</v>
      </c>
    </row>
    <row r="4347" spans="1:11" x14ac:dyDescent="0.25">
      <c r="A4347">
        <v>97.145358572786193</v>
      </c>
      <c r="B4347">
        <v>81.259019353543195</v>
      </c>
      <c r="C4347">
        <v>2001</v>
      </c>
    </row>
    <row r="4348" spans="1:11" x14ac:dyDescent="0.25">
      <c r="A4348">
        <v>99.781491987775595</v>
      </c>
      <c r="B4348">
        <v>83.895152768532498</v>
      </c>
      <c r="C4348">
        <v>2001</v>
      </c>
    </row>
    <row r="4349" spans="1:11" x14ac:dyDescent="0.25">
      <c r="A4349">
        <v>104.554962050827</v>
      </c>
      <c r="B4349">
        <v>88.668622831583505</v>
      </c>
      <c r="C4349">
        <v>2001</v>
      </c>
    </row>
    <row r="4350" spans="1:11" x14ac:dyDescent="0.25">
      <c r="A4350">
        <v>104.991978075275</v>
      </c>
      <c r="B4350">
        <v>88.231606807134696</v>
      </c>
      <c r="C4350">
        <v>2000</v>
      </c>
    </row>
    <row r="4351" spans="1:11" x14ac:dyDescent="0.25">
      <c r="A4351">
        <v>100.21850801222401</v>
      </c>
      <c r="B4351">
        <v>83.458136744083703</v>
      </c>
      <c r="C4351">
        <v>2000</v>
      </c>
    </row>
    <row r="4352" spans="1:11" x14ac:dyDescent="0.25">
      <c r="A4352" t="s">
        <v>87</v>
      </c>
    </row>
    <row r="4353" spans="1:11" x14ac:dyDescent="0.25">
      <c r="A4353">
        <v>971</v>
      </c>
      <c r="B4353">
        <v>0</v>
      </c>
      <c r="C4353">
        <v>1.63591232611014</v>
      </c>
      <c r="D4353">
        <v>15.083076779767399</v>
      </c>
      <c r="E4353">
        <v>8</v>
      </c>
      <c r="F4353">
        <v>1.01722196789785</v>
      </c>
      <c r="G4353" t="s">
        <v>88</v>
      </c>
      <c r="H4353" t="s">
        <v>85</v>
      </c>
      <c r="I4353">
        <v>417</v>
      </c>
      <c r="J4353">
        <v>0</v>
      </c>
      <c r="K4353">
        <v>0.109489164932444</v>
      </c>
    </row>
    <row r="4354" spans="1:11" x14ac:dyDescent="0.25">
      <c r="A4354" t="s">
        <v>86</v>
      </c>
    </row>
    <row r="4355" spans="1:11" x14ac:dyDescent="0.25">
      <c r="A4355">
        <v>139.53349964557799</v>
      </c>
      <c r="B4355">
        <v>44.127600628745498</v>
      </c>
      <c r="C4355">
        <v>2000</v>
      </c>
    </row>
    <row r="4356" spans="1:11" x14ac:dyDescent="0.25">
      <c r="A4356">
        <v>138.39639744087401</v>
      </c>
      <c r="B4356">
        <v>42.990498424042102</v>
      </c>
      <c r="C4356">
        <v>2000</v>
      </c>
    </row>
    <row r="4357" spans="1:11" x14ac:dyDescent="0.25">
      <c r="A4357">
        <v>137.959381416426</v>
      </c>
      <c r="B4357">
        <v>43.427514448490903</v>
      </c>
      <c r="C4357">
        <v>2001</v>
      </c>
    </row>
    <row r="4358" spans="1:11" x14ac:dyDescent="0.25">
      <c r="A4358">
        <v>139.13580861016001</v>
      </c>
      <c r="B4358">
        <v>44.603941642225799</v>
      </c>
      <c r="C4358">
        <v>2001</v>
      </c>
    </row>
    <row r="4359" spans="1:11" x14ac:dyDescent="0.25">
      <c r="A4359">
        <v>144.86580716251501</v>
      </c>
      <c r="B4359">
        <v>50.333940194580499</v>
      </c>
      <c r="C4359">
        <v>2001</v>
      </c>
    </row>
    <row r="4360" spans="1:11" x14ac:dyDescent="0.25">
      <c r="A4360">
        <v>150</v>
      </c>
      <c r="B4360">
        <v>55.468133032065303</v>
      </c>
      <c r="C4360">
        <v>2001</v>
      </c>
    </row>
    <row r="4361" spans="1:11" x14ac:dyDescent="0.25">
      <c r="A4361">
        <v>150</v>
      </c>
      <c r="B4361">
        <v>54.594100983167699</v>
      </c>
      <c r="C4361">
        <v>2000</v>
      </c>
    </row>
    <row r="4362" spans="1:11" x14ac:dyDescent="0.25">
      <c r="A4362">
        <v>145.07195882225199</v>
      </c>
      <c r="B4362">
        <v>49.666059805419501</v>
      </c>
      <c r="C4362">
        <v>2000</v>
      </c>
    </row>
    <row r="4363" spans="1:11" x14ac:dyDescent="0.25">
      <c r="A4363" t="s">
        <v>87</v>
      </c>
    </row>
    <row r="4364" spans="1:11" x14ac:dyDescent="0.25">
      <c r="A4364">
        <v>936</v>
      </c>
      <c r="B4364">
        <v>0</v>
      </c>
      <c r="C4364">
        <v>15.4790067773322</v>
      </c>
      <c r="D4364">
        <v>1.13224656208161</v>
      </c>
      <c r="E4364">
        <v>6</v>
      </c>
      <c r="F4364">
        <v>1.01722196789785</v>
      </c>
      <c r="G4364" t="s">
        <v>85</v>
      </c>
      <c r="H4364" t="s">
        <v>88</v>
      </c>
      <c r="I4364">
        <v>0</v>
      </c>
      <c r="J4364">
        <v>979</v>
      </c>
      <c r="K4364">
        <v>0.10610230776941799</v>
      </c>
    </row>
    <row r="4365" spans="1:11" x14ac:dyDescent="0.25">
      <c r="A4365" t="s">
        <v>86</v>
      </c>
    </row>
    <row r="4366" spans="1:11" x14ac:dyDescent="0.25">
      <c r="A4366">
        <v>37.583091084943497</v>
      </c>
      <c r="B4366">
        <v>10.741696461750401</v>
      </c>
      <c r="C4366">
        <v>2000</v>
      </c>
    </row>
    <row r="4367" spans="1:11" x14ac:dyDescent="0.25">
      <c r="A4367">
        <v>26.841394623193001</v>
      </c>
      <c r="B4367">
        <v>0</v>
      </c>
      <c r="C4367">
        <v>2000</v>
      </c>
    </row>
    <row r="4368" spans="1:11" x14ac:dyDescent="0.25">
      <c r="A4368">
        <v>25.9673625742954</v>
      </c>
      <c r="B4368">
        <v>0</v>
      </c>
      <c r="C4368">
        <v>2001</v>
      </c>
    </row>
    <row r="4369" spans="1:11" x14ac:dyDescent="0.25">
      <c r="A4369">
        <v>37.116287429113299</v>
      </c>
      <c r="B4369">
        <v>11.148924854817899</v>
      </c>
      <c r="C4369">
        <v>2001</v>
      </c>
    </row>
    <row r="4370" spans="1:11" x14ac:dyDescent="0.25">
      <c r="A4370">
        <v>37.931800466826999</v>
      </c>
      <c r="B4370">
        <v>11.964437892531601</v>
      </c>
      <c r="C4370">
        <v>2001</v>
      </c>
    </row>
    <row r="4371" spans="1:11" x14ac:dyDescent="0.25">
      <c r="A4371">
        <v>38.368816491275801</v>
      </c>
      <c r="B4371">
        <v>11.527421868082801</v>
      </c>
      <c r="C4371">
        <v>2000</v>
      </c>
    </row>
    <row r="4372" spans="1:11" x14ac:dyDescent="0.25">
      <c r="A4372" t="s">
        <v>87</v>
      </c>
    </row>
    <row r="4373" spans="1:11" x14ac:dyDescent="0.25">
      <c r="A4373">
        <v>975</v>
      </c>
      <c r="B4373">
        <v>0</v>
      </c>
      <c r="C4373">
        <v>7.6035090250841497</v>
      </c>
      <c r="D4373">
        <v>8.7748338245646398</v>
      </c>
      <c r="E4373">
        <v>6</v>
      </c>
      <c r="F4373">
        <v>1.01722196789785</v>
      </c>
      <c r="G4373" t="s">
        <v>88</v>
      </c>
      <c r="H4373" t="s">
        <v>88</v>
      </c>
      <c r="I4373">
        <v>996</v>
      </c>
      <c r="J4373">
        <v>164</v>
      </c>
      <c r="K4373">
        <v>0.10971719371824901</v>
      </c>
    </row>
    <row r="4374" spans="1:11" x14ac:dyDescent="0.25">
      <c r="A4374" t="s">
        <v>86</v>
      </c>
    </row>
    <row r="4375" spans="1:11" x14ac:dyDescent="0.25">
      <c r="A4375">
        <v>112.955309541871</v>
      </c>
      <c r="B4375">
        <v>68.574255325637694</v>
      </c>
      <c r="C4375">
        <v>2000</v>
      </c>
    </row>
    <row r="4376" spans="1:11" x14ac:dyDescent="0.25">
      <c r="A4376">
        <v>107.57881674942099</v>
      </c>
      <c r="B4376">
        <v>63.1977625331876</v>
      </c>
      <c r="C4376">
        <v>2000</v>
      </c>
    </row>
    <row r="4377" spans="1:11" x14ac:dyDescent="0.25">
      <c r="A4377">
        <v>107.141800724972</v>
      </c>
      <c r="B4377">
        <v>63.634778557636402</v>
      </c>
      <c r="C4377">
        <v>2001</v>
      </c>
    </row>
    <row r="4378" spans="1:11" x14ac:dyDescent="0.25">
      <c r="A4378">
        <v>112.51829351742199</v>
      </c>
      <c r="B4378">
        <v>69.011271350086503</v>
      </c>
      <c r="C4378">
        <v>2001</v>
      </c>
    </row>
    <row r="4379" spans="1:11" x14ac:dyDescent="0.25">
      <c r="A4379">
        <v>118.72303801855701</v>
      </c>
      <c r="B4379">
        <v>75.216015851221201</v>
      </c>
      <c r="C4379">
        <v>2001</v>
      </c>
    </row>
    <row r="4380" spans="1:11" x14ac:dyDescent="0.25">
      <c r="A4380">
        <v>119.160054043005</v>
      </c>
      <c r="B4380">
        <v>74.778999826772406</v>
      </c>
      <c r="C4380">
        <v>2000</v>
      </c>
    </row>
    <row r="4381" spans="1:11" x14ac:dyDescent="0.25">
      <c r="A4381" t="s">
        <v>87</v>
      </c>
    </row>
    <row r="4382" spans="1:11" x14ac:dyDescent="0.25">
      <c r="A4382">
        <v>757</v>
      </c>
      <c r="B4382">
        <v>0</v>
      </c>
      <c r="C4382">
        <v>5.5228512044501796</v>
      </c>
      <c r="D4382">
        <v>10.7970016190409</v>
      </c>
      <c r="E4382">
        <v>6</v>
      </c>
      <c r="F4382">
        <v>1.01722196789785</v>
      </c>
      <c r="G4382" t="s">
        <v>88</v>
      </c>
      <c r="H4382" t="s">
        <v>85</v>
      </c>
      <c r="I4382">
        <v>671</v>
      </c>
      <c r="J4382">
        <v>0</v>
      </c>
      <c r="K4382">
        <v>0.10038021386068</v>
      </c>
    </row>
    <row r="4383" spans="1:11" x14ac:dyDescent="0.25">
      <c r="A4383" t="s">
        <v>86</v>
      </c>
    </row>
    <row r="4384" spans="1:11" x14ac:dyDescent="0.25">
      <c r="A4384">
        <v>142.509928987585</v>
      </c>
      <c r="B4384">
        <v>136.347909530782</v>
      </c>
      <c r="C4384">
        <v>2000</v>
      </c>
    </row>
    <row r="4385" spans="1:11" x14ac:dyDescent="0.25">
      <c r="A4385">
        <v>138.67862941276701</v>
      </c>
      <c r="B4385">
        <v>132.51660995596399</v>
      </c>
      <c r="C4385">
        <v>2000</v>
      </c>
    </row>
    <row r="4386" spans="1:11" x14ac:dyDescent="0.25">
      <c r="A4386">
        <v>138.241613388319</v>
      </c>
      <c r="B4386">
        <v>132.95362598041299</v>
      </c>
      <c r="C4386">
        <v>2001</v>
      </c>
    </row>
    <row r="4387" spans="1:11" x14ac:dyDescent="0.25">
      <c r="A4387">
        <v>142.22080488980299</v>
      </c>
      <c r="B4387">
        <v>136.93281748189801</v>
      </c>
      <c r="C4387">
        <v>2001</v>
      </c>
    </row>
    <row r="4388" spans="1:11" x14ac:dyDescent="0.25">
      <c r="A4388">
        <v>150</v>
      </c>
      <c r="B4388">
        <v>144.712012592094</v>
      </c>
      <c r="C4388">
        <v>2001</v>
      </c>
    </row>
    <row r="4389" spans="1:11" x14ac:dyDescent="0.25">
      <c r="A4389">
        <v>150</v>
      </c>
      <c r="B4389">
        <v>143.83798054319701</v>
      </c>
      <c r="C4389">
        <v>2000</v>
      </c>
    </row>
    <row r="4390" spans="1:11" x14ac:dyDescent="0.25">
      <c r="A4390" t="s">
        <v>87</v>
      </c>
    </row>
    <row r="4391" spans="1:11" x14ac:dyDescent="0.25">
      <c r="A4391">
        <v>764</v>
      </c>
      <c r="B4391">
        <v>0</v>
      </c>
      <c r="C4391">
        <v>16.0523840621975</v>
      </c>
      <c r="D4391">
        <v>0.19819234481029499</v>
      </c>
      <c r="E4391">
        <v>6</v>
      </c>
      <c r="F4391">
        <v>1.01722196789785</v>
      </c>
      <c r="G4391" t="s">
        <v>85</v>
      </c>
      <c r="H4391" t="s">
        <v>88</v>
      </c>
      <c r="I4391">
        <v>0</v>
      </c>
      <c r="J4391">
        <v>414</v>
      </c>
      <c r="K4391">
        <v>0.101113411737407</v>
      </c>
    </row>
    <row r="4392" spans="1:11" x14ac:dyDescent="0.25">
      <c r="A4392" t="s">
        <v>86</v>
      </c>
    </row>
    <row r="4393" spans="1:11" x14ac:dyDescent="0.25">
      <c r="A4393">
        <v>114.942246835099</v>
      </c>
      <c r="B4393">
        <v>11.566592708863199</v>
      </c>
      <c r="C4393">
        <v>2000</v>
      </c>
    </row>
    <row r="4394" spans="1:11" x14ac:dyDescent="0.25">
      <c r="A4394">
        <v>103.375654126236</v>
      </c>
      <c r="B4394">
        <v>0</v>
      </c>
      <c r="C4394">
        <v>2000</v>
      </c>
    </row>
    <row r="4395" spans="1:11" x14ac:dyDescent="0.25">
      <c r="A4395">
        <v>104.24968617513299</v>
      </c>
      <c r="B4395">
        <v>0</v>
      </c>
      <c r="C4395">
        <v>2001</v>
      </c>
    </row>
    <row r="4396" spans="1:11" x14ac:dyDescent="0.25">
      <c r="A4396">
        <v>115.384592715452</v>
      </c>
      <c r="B4396">
        <v>11.134906540318299</v>
      </c>
      <c r="C4396">
        <v>2001</v>
      </c>
    </row>
    <row r="4397" spans="1:11" x14ac:dyDescent="0.25">
      <c r="A4397">
        <v>115.522070938494</v>
      </c>
      <c r="B4397">
        <v>11.2723847633609</v>
      </c>
      <c r="C4397">
        <v>2001</v>
      </c>
    </row>
    <row r="4398" spans="1:11" x14ac:dyDescent="0.25">
      <c r="A4398">
        <v>115.085054914045</v>
      </c>
      <c r="B4398">
        <v>11.7094007878098</v>
      </c>
      <c r="C4398">
        <v>2000</v>
      </c>
    </row>
    <row r="4399" spans="1:11" x14ac:dyDescent="0.25">
      <c r="A4399" t="s">
        <v>87</v>
      </c>
    </row>
    <row r="4400" spans="1:11" x14ac:dyDescent="0.25">
      <c r="A4400">
        <v>21</v>
      </c>
      <c r="B4400">
        <v>0</v>
      </c>
      <c r="C4400">
        <v>7.5649549649002896</v>
      </c>
      <c r="D4400">
        <v>8.5812923831896608</v>
      </c>
      <c r="E4400">
        <v>8</v>
      </c>
      <c r="F4400">
        <v>1.01722196789785</v>
      </c>
      <c r="G4400" t="s">
        <v>85</v>
      </c>
      <c r="H4400" t="s">
        <v>88</v>
      </c>
      <c r="I4400">
        <v>0</v>
      </c>
      <c r="J4400">
        <v>263</v>
      </c>
      <c r="K4400">
        <v>0</v>
      </c>
    </row>
    <row r="4401" spans="1:11" x14ac:dyDescent="0.25">
      <c r="A4401" t="s">
        <v>86</v>
      </c>
    </row>
    <row r="4402" spans="1:11" x14ac:dyDescent="0.25">
      <c r="A4402">
        <v>45.096826725510702</v>
      </c>
      <c r="B4402">
        <v>5.4669036278847596</v>
      </c>
      <c r="C4402">
        <v>2000</v>
      </c>
    </row>
    <row r="4403" spans="1:11" x14ac:dyDescent="0.25">
      <c r="A4403">
        <v>39.629923097625898</v>
      </c>
      <c r="B4403">
        <v>0</v>
      </c>
      <c r="C4403">
        <v>2000</v>
      </c>
    </row>
    <row r="4404" spans="1:11" x14ac:dyDescent="0.25">
      <c r="A4404">
        <v>40.503955146523502</v>
      </c>
      <c r="B4404">
        <v>0</v>
      </c>
      <c r="C4404">
        <v>2001</v>
      </c>
    </row>
    <row r="4405" spans="1:11" x14ac:dyDescent="0.25">
      <c r="A4405">
        <v>45.735513428742401</v>
      </c>
      <c r="B4405">
        <v>5.2315582822189004</v>
      </c>
      <c r="C4405">
        <v>2001</v>
      </c>
    </row>
    <row r="4406" spans="1:11" x14ac:dyDescent="0.25">
      <c r="A4406">
        <v>50.218508012224397</v>
      </c>
      <c r="B4406">
        <v>9.7145528657008704</v>
      </c>
      <c r="C4406">
        <v>2001</v>
      </c>
    </row>
    <row r="4407" spans="1:11" x14ac:dyDescent="0.25">
      <c r="A4407">
        <v>51.702568124848803</v>
      </c>
      <c r="B4407">
        <v>11.198612978325301</v>
      </c>
      <c r="C4407">
        <v>2001</v>
      </c>
    </row>
    <row r="4408" spans="1:11" x14ac:dyDescent="0.25">
      <c r="A4408">
        <v>51.265552100400001</v>
      </c>
      <c r="B4408">
        <v>11.635629002774101</v>
      </c>
      <c r="C4408">
        <v>2000</v>
      </c>
    </row>
    <row r="4409" spans="1:11" x14ac:dyDescent="0.25">
      <c r="A4409">
        <v>49.781491987775603</v>
      </c>
      <c r="B4409">
        <v>10.151568890149701</v>
      </c>
      <c r="C4409">
        <v>2000</v>
      </c>
    </row>
    <row r="4410" spans="1:11" x14ac:dyDescent="0.25">
      <c r="A4410" t="s">
        <v>87</v>
      </c>
    </row>
    <row r="4411" spans="1:11" x14ac:dyDescent="0.25">
      <c r="A4411">
        <v>768</v>
      </c>
      <c r="B4411">
        <v>0</v>
      </c>
      <c r="C4411">
        <v>2.5008597975553499</v>
      </c>
      <c r="D4411">
        <v>13.626647153860301</v>
      </c>
      <c r="E4411">
        <v>8</v>
      </c>
      <c r="F4411">
        <v>1.01722196789785</v>
      </c>
      <c r="G4411" t="s">
        <v>88</v>
      </c>
      <c r="H4411" t="s">
        <v>88</v>
      </c>
      <c r="I4411">
        <v>735</v>
      </c>
      <c r="J4411">
        <v>567</v>
      </c>
      <c r="K4411">
        <v>0.101659477666818</v>
      </c>
    </row>
    <row r="4412" spans="1:11" x14ac:dyDescent="0.25">
      <c r="A4412" t="s">
        <v>86</v>
      </c>
    </row>
    <row r="4413" spans="1:11" x14ac:dyDescent="0.25">
      <c r="A4413">
        <v>24.099926739516398</v>
      </c>
      <c r="B4413">
        <v>95.321028692792794</v>
      </c>
      <c r="C4413">
        <v>2000</v>
      </c>
    </row>
    <row r="4414" spans="1:11" x14ac:dyDescent="0.25">
      <c r="A4414">
        <v>22.331551817868199</v>
      </c>
      <c r="B4414">
        <v>93.552653771144605</v>
      </c>
      <c r="C4414">
        <v>2000</v>
      </c>
    </row>
    <row r="4415" spans="1:11" x14ac:dyDescent="0.25">
      <c r="A4415">
        <v>22.768567842317101</v>
      </c>
      <c r="B4415">
        <v>93.115637746695796</v>
      </c>
      <c r="C4415">
        <v>2001</v>
      </c>
    </row>
    <row r="4416" spans="1:11" x14ac:dyDescent="0.25">
      <c r="A4416">
        <v>24.5369427639653</v>
      </c>
      <c r="B4416">
        <v>94.884012668343999</v>
      </c>
      <c r="C4416">
        <v>2001</v>
      </c>
    </row>
    <row r="4417" spans="1:11" x14ac:dyDescent="0.25">
      <c r="A4417">
        <v>29.4344220833968</v>
      </c>
      <c r="B4417">
        <v>99.781491987775595</v>
      </c>
      <c r="C4417">
        <v>2001</v>
      </c>
    </row>
    <row r="4418" spans="1:11" x14ac:dyDescent="0.25">
      <c r="A4418">
        <v>34.172437371296297</v>
      </c>
      <c r="B4418">
        <v>104.519507275675</v>
      </c>
      <c r="C4418">
        <v>2001</v>
      </c>
    </row>
    <row r="4419" spans="1:11" x14ac:dyDescent="0.25">
      <c r="A4419">
        <v>33.735421346847403</v>
      </c>
      <c r="B4419">
        <v>104.956523300124</v>
      </c>
      <c r="C4419">
        <v>2000</v>
      </c>
    </row>
    <row r="4420" spans="1:11" x14ac:dyDescent="0.25">
      <c r="A4420">
        <v>28.997406058947998</v>
      </c>
      <c r="B4420">
        <v>100.21850801222401</v>
      </c>
      <c r="C4420">
        <v>2000</v>
      </c>
    </row>
    <row r="4421" spans="1:11" x14ac:dyDescent="0.25">
      <c r="A4421" t="s">
        <v>87</v>
      </c>
    </row>
    <row r="4422" spans="1:11" x14ac:dyDescent="0.25">
      <c r="A4422">
        <v>342</v>
      </c>
      <c r="B4422">
        <v>0</v>
      </c>
      <c r="C4422">
        <v>2.5541441151933402</v>
      </c>
      <c r="D4422">
        <v>13.450117745895501</v>
      </c>
      <c r="E4422">
        <v>6</v>
      </c>
      <c r="F4422">
        <v>1.01722196789785</v>
      </c>
      <c r="G4422" t="s">
        <v>88</v>
      </c>
      <c r="H4422" t="s">
        <v>85</v>
      </c>
      <c r="I4422">
        <v>967</v>
      </c>
      <c r="J4422">
        <v>0</v>
      </c>
      <c r="K4422">
        <v>0</v>
      </c>
    </row>
    <row r="4423" spans="1:11" x14ac:dyDescent="0.25">
      <c r="A4423" t="s">
        <v>86</v>
      </c>
    </row>
    <row r="4424" spans="1:11" x14ac:dyDescent="0.25">
      <c r="A4424">
        <v>75.198531152090894</v>
      </c>
      <c r="B4424">
        <v>140.30569454275999</v>
      </c>
      <c r="C4424">
        <v>2000</v>
      </c>
    </row>
    <row r="4425" spans="1:11" x14ac:dyDescent="0.25">
      <c r="A4425">
        <v>73.357606507245194</v>
      </c>
      <c r="B4425">
        <v>138.46476989791401</v>
      </c>
      <c r="C4425">
        <v>2000</v>
      </c>
    </row>
    <row r="4426" spans="1:11" x14ac:dyDescent="0.25">
      <c r="A4426">
        <v>72.920590482796399</v>
      </c>
      <c r="B4426">
        <v>138.90178592236299</v>
      </c>
      <c r="C4426">
        <v>2001</v>
      </c>
    </row>
    <row r="4427" spans="1:11" x14ac:dyDescent="0.25">
      <c r="A4427">
        <v>74.691771085912507</v>
      </c>
      <c r="B4427">
        <v>140.67296652547901</v>
      </c>
      <c r="C4427">
        <v>2001</v>
      </c>
    </row>
    <row r="4428" spans="1:11" x14ac:dyDescent="0.25">
      <c r="A4428">
        <v>84.018804560433196</v>
      </c>
      <c r="B4428">
        <v>150</v>
      </c>
      <c r="C4428">
        <v>2001</v>
      </c>
    </row>
    <row r="4429" spans="1:11" x14ac:dyDescent="0.25">
      <c r="A4429">
        <v>84.8928366093308</v>
      </c>
      <c r="B4429">
        <v>150</v>
      </c>
      <c r="C4429">
        <v>2000</v>
      </c>
    </row>
    <row r="4430" spans="1:11" x14ac:dyDescent="0.25">
      <c r="A4430" t="s">
        <v>87</v>
      </c>
    </row>
    <row r="4431" spans="1:11" x14ac:dyDescent="0.25">
      <c r="A4431">
        <v>434</v>
      </c>
      <c r="B4431">
        <v>0</v>
      </c>
      <c r="C4431">
        <v>8.7322786125845102</v>
      </c>
      <c r="D4431">
        <v>7.0062372759161899</v>
      </c>
      <c r="E4431">
        <v>6</v>
      </c>
      <c r="F4431">
        <v>1.01722196789785</v>
      </c>
      <c r="G4431" t="s">
        <v>88</v>
      </c>
      <c r="H4431" t="s">
        <v>85</v>
      </c>
      <c r="I4431">
        <v>418</v>
      </c>
      <c r="J4431">
        <v>0</v>
      </c>
      <c r="K4431">
        <v>0</v>
      </c>
    </row>
    <row r="4432" spans="1:11" x14ac:dyDescent="0.25">
      <c r="A4432" t="s">
        <v>86</v>
      </c>
    </row>
    <row r="4433" spans="1:11" x14ac:dyDescent="0.25">
      <c r="A4433">
        <v>145.143114242666</v>
      </c>
      <c r="B4433">
        <v>23.1370945777442</v>
      </c>
      <c r="C4433">
        <v>2000</v>
      </c>
    </row>
    <row r="4434" spans="1:11" x14ac:dyDescent="0.25">
      <c r="A4434">
        <v>139.089696701653</v>
      </c>
      <c r="B4434">
        <v>17.083677036731199</v>
      </c>
      <c r="C4434">
        <v>2000</v>
      </c>
    </row>
    <row r="4435" spans="1:11" x14ac:dyDescent="0.25">
      <c r="A4435">
        <v>138.65268067720501</v>
      </c>
      <c r="B4435">
        <v>17.520693061180001</v>
      </c>
      <c r="C4435">
        <v>2001</v>
      </c>
    </row>
    <row r="4436" spans="1:11" x14ac:dyDescent="0.25">
      <c r="A4436">
        <v>144.94856998052899</v>
      </c>
      <c r="B4436">
        <v>23.816582364504502</v>
      </c>
      <c r="C4436">
        <v>2001</v>
      </c>
    </row>
    <row r="4437" spans="1:11" x14ac:dyDescent="0.25">
      <c r="A4437">
        <v>150</v>
      </c>
      <c r="B4437">
        <v>28.868012383975501</v>
      </c>
      <c r="C4437">
        <v>2001</v>
      </c>
    </row>
    <row r="4438" spans="1:11" x14ac:dyDescent="0.25">
      <c r="A4438">
        <v>150</v>
      </c>
      <c r="B4438">
        <v>27.993980335077801</v>
      </c>
      <c r="C4438">
        <v>2000</v>
      </c>
    </row>
    <row r="4439" spans="1:11" x14ac:dyDescent="0.25">
      <c r="A4439" t="s">
        <v>87</v>
      </c>
    </row>
    <row r="4440" spans="1:11" x14ac:dyDescent="0.25">
      <c r="A4440">
        <v>1027</v>
      </c>
      <c r="B4440">
        <v>0</v>
      </c>
      <c r="C4440">
        <v>8.7236315280639598</v>
      </c>
      <c r="D4440">
        <v>6.9934034288297502</v>
      </c>
      <c r="E4440">
        <v>6</v>
      </c>
      <c r="F4440">
        <v>1.01722196789785</v>
      </c>
      <c r="G4440" t="s">
        <v>85</v>
      </c>
      <c r="H4440" t="s">
        <v>85</v>
      </c>
      <c r="I4440">
        <v>0</v>
      </c>
      <c r="J4440">
        <v>0</v>
      </c>
      <c r="K4440">
        <v>0.11380651317534</v>
      </c>
    </row>
    <row r="4441" spans="1:11" x14ac:dyDescent="0.25">
      <c r="A4441" t="s">
        <v>86</v>
      </c>
    </row>
    <row r="4442" spans="1:11" x14ac:dyDescent="0.25">
      <c r="A4442">
        <v>144.860463708704</v>
      </c>
      <c r="B4442">
        <v>6.4111017313184098</v>
      </c>
      <c r="C4442">
        <v>2000</v>
      </c>
    </row>
    <row r="4443" spans="1:11" x14ac:dyDescent="0.25">
      <c r="A4443">
        <v>138.44936197738599</v>
      </c>
      <c r="B4443">
        <v>0</v>
      </c>
      <c r="C4443">
        <v>2000</v>
      </c>
    </row>
    <row r="4444" spans="1:11" x14ac:dyDescent="0.25">
      <c r="A4444">
        <v>139.32339402628301</v>
      </c>
      <c r="B4444">
        <v>0</v>
      </c>
      <c r="C4444">
        <v>2001</v>
      </c>
    </row>
    <row r="4445" spans="1:11" x14ac:dyDescent="0.25">
      <c r="A4445">
        <v>145.24937031509799</v>
      </c>
      <c r="B4445">
        <v>5.9259762888151704</v>
      </c>
      <c r="C4445">
        <v>2001</v>
      </c>
    </row>
    <row r="4446" spans="1:11" x14ac:dyDescent="0.25">
      <c r="A4446">
        <v>150</v>
      </c>
      <c r="B4446">
        <v>10.676605973716701</v>
      </c>
      <c r="C4446">
        <v>2001</v>
      </c>
    </row>
    <row r="4447" spans="1:11" x14ac:dyDescent="0.25">
      <c r="A4447">
        <v>150</v>
      </c>
      <c r="B4447">
        <v>11.5506380226144</v>
      </c>
      <c r="C4447">
        <v>2000</v>
      </c>
    </row>
    <row r="4448" spans="1:11" x14ac:dyDescent="0.25">
      <c r="A4448" t="s">
        <v>87</v>
      </c>
    </row>
    <row r="4449" spans="1:11" x14ac:dyDescent="0.25">
      <c r="A4449">
        <v>995</v>
      </c>
      <c r="B4449">
        <v>0</v>
      </c>
      <c r="C4449">
        <v>15.328965675852</v>
      </c>
      <c r="D4449">
        <v>0.24943953758281601</v>
      </c>
      <c r="E4449">
        <v>6</v>
      </c>
      <c r="F4449">
        <v>1.01722196789785</v>
      </c>
      <c r="G4449" t="s">
        <v>85</v>
      </c>
      <c r="H4449" t="s">
        <v>85</v>
      </c>
      <c r="I4449">
        <v>0</v>
      </c>
      <c r="J4449">
        <v>0</v>
      </c>
      <c r="K4449">
        <v>0.11148072611262499</v>
      </c>
    </row>
    <row r="4450" spans="1:11" x14ac:dyDescent="0.25">
      <c r="A4450" t="s">
        <v>86</v>
      </c>
    </row>
    <row r="4451" spans="1:11" x14ac:dyDescent="0.25">
      <c r="A4451">
        <v>10.409197001178599</v>
      </c>
      <c r="B4451">
        <v>149.83061705913599</v>
      </c>
      <c r="C4451">
        <v>2000</v>
      </c>
    </row>
    <row r="4452" spans="1:11" x14ac:dyDescent="0.25">
      <c r="A4452">
        <v>0</v>
      </c>
      <c r="B4452">
        <v>139.42142005795699</v>
      </c>
      <c r="C4452">
        <v>2000</v>
      </c>
    </row>
    <row r="4453" spans="1:11" x14ac:dyDescent="0.25">
      <c r="A4453">
        <v>0</v>
      </c>
      <c r="B4453">
        <v>138.54738800905901</v>
      </c>
      <c r="C4453">
        <v>2001</v>
      </c>
    </row>
    <row r="4454" spans="1:11" x14ac:dyDescent="0.25">
      <c r="A4454">
        <v>11.269234154763</v>
      </c>
      <c r="B4454">
        <v>149.81662216382301</v>
      </c>
      <c r="C4454">
        <v>2001</v>
      </c>
    </row>
    <row r="4455" spans="1:11" x14ac:dyDescent="0.25">
      <c r="A4455">
        <v>11.4526119909405</v>
      </c>
      <c r="B4455">
        <v>150</v>
      </c>
      <c r="C4455">
        <v>2001</v>
      </c>
    </row>
    <row r="4456" spans="1:11" x14ac:dyDescent="0.25">
      <c r="A4456">
        <v>10.578579942042801</v>
      </c>
      <c r="B4456">
        <v>150</v>
      </c>
      <c r="C4456">
        <v>2000</v>
      </c>
    </row>
    <row r="4457" spans="1:11" x14ac:dyDescent="0.25">
      <c r="A4457" t="s">
        <v>87</v>
      </c>
    </row>
    <row r="4458" spans="1:11" x14ac:dyDescent="0.25">
      <c r="A4458">
        <v>504</v>
      </c>
      <c r="B4458">
        <v>0</v>
      </c>
      <c r="C4458">
        <v>0.13464223799070399</v>
      </c>
      <c r="D4458">
        <v>15.2924195153052</v>
      </c>
      <c r="E4458">
        <v>6</v>
      </c>
      <c r="F4458">
        <v>1.01722196789785</v>
      </c>
      <c r="G4458" t="s">
        <v>88</v>
      </c>
      <c r="H4458" t="s">
        <v>88</v>
      </c>
      <c r="I4458">
        <v>516</v>
      </c>
      <c r="J4458">
        <v>491</v>
      </c>
      <c r="K4458">
        <v>0</v>
      </c>
    </row>
    <row r="4459" spans="1:11" x14ac:dyDescent="0.25">
      <c r="A4459" t="s">
        <v>86</v>
      </c>
    </row>
    <row r="4460" spans="1:11" x14ac:dyDescent="0.25">
      <c r="A4460">
        <v>9.8849601703205003</v>
      </c>
      <c r="B4460">
        <v>59.138949165181003</v>
      </c>
      <c r="C4460">
        <v>2000</v>
      </c>
    </row>
    <row r="4461" spans="1:11" x14ac:dyDescent="0.25">
      <c r="A4461">
        <v>9.7897537308031399</v>
      </c>
      <c r="B4461">
        <v>59.043742725663598</v>
      </c>
      <c r="C4461">
        <v>2000</v>
      </c>
    </row>
    <row r="4462" spans="1:11" x14ac:dyDescent="0.25">
      <c r="A4462">
        <v>10.226769755252</v>
      </c>
      <c r="B4462">
        <v>58.606726701214797</v>
      </c>
      <c r="C4462">
        <v>2001</v>
      </c>
    </row>
    <row r="4463" spans="1:11" x14ac:dyDescent="0.25">
      <c r="A4463">
        <v>10.321976194769301</v>
      </c>
      <c r="B4463">
        <v>58.701933140732102</v>
      </c>
      <c r="C4463">
        <v>2001</v>
      </c>
    </row>
    <row r="4464" spans="1:11" x14ac:dyDescent="0.25">
      <c r="A4464">
        <v>21.135349734791099</v>
      </c>
      <c r="B4464">
        <v>69.515306680753994</v>
      </c>
      <c r="C4464">
        <v>2001</v>
      </c>
    </row>
    <row r="4465" spans="1:11" x14ac:dyDescent="0.25">
      <c r="A4465">
        <v>20.6983337103423</v>
      </c>
      <c r="B4465">
        <v>69.952322705202803</v>
      </c>
      <c r="C4465">
        <v>2000</v>
      </c>
    </row>
    <row r="4466" spans="1:11" x14ac:dyDescent="0.25">
      <c r="A4466" t="s">
        <v>87</v>
      </c>
    </row>
    <row r="4467" spans="1:11" x14ac:dyDescent="0.25">
      <c r="A4467">
        <v>1010</v>
      </c>
      <c r="B4467">
        <v>0</v>
      </c>
      <c r="C4467">
        <v>13.084533180920801</v>
      </c>
      <c r="D4467">
        <v>2.3425285723751701</v>
      </c>
      <c r="E4467">
        <v>6</v>
      </c>
      <c r="F4467">
        <v>1.01722196789785</v>
      </c>
      <c r="G4467" t="s">
        <v>88</v>
      </c>
      <c r="H4467" t="s">
        <v>88</v>
      </c>
      <c r="I4467">
        <v>516</v>
      </c>
      <c r="J4467">
        <v>844</v>
      </c>
      <c r="K4467">
        <v>0.11257389275867601</v>
      </c>
    </row>
    <row r="4468" spans="1:11" x14ac:dyDescent="0.25">
      <c r="A4468" t="s">
        <v>86</v>
      </c>
    </row>
    <row r="4469" spans="1:11" x14ac:dyDescent="0.25">
      <c r="A4469">
        <v>19.988375158504901</v>
      </c>
      <c r="B4469">
        <v>67.349445579740703</v>
      </c>
      <c r="C4469">
        <v>2000</v>
      </c>
    </row>
    <row r="4470" spans="1:11" x14ac:dyDescent="0.25">
      <c r="A4470">
        <v>10.7362130176155</v>
      </c>
      <c r="B4470">
        <v>58.097283438851299</v>
      </c>
      <c r="C4470">
        <v>2000</v>
      </c>
    </row>
    <row r="4471" spans="1:11" x14ac:dyDescent="0.25">
      <c r="A4471">
        <v>10.299196993166699</v>
      </c>
      <c r="B4471">
        <v>58.534299463300101</v>
      </c>
      <c r="C4471">
        <v>2001</v>
      </c>
    </row>
    <row r="4472" spans="1:11" x14ac:dyDescent="0.25">
      <c r="A4472">
        <v>19.551359134056099</v>
      </c>
      <c r="B4472">
        <v>67.786461604189498</v>
      </c>
      <c r="C4472">
        <v>2001</v>
      </c>
    </row>
    <row r="4473" spans="1:11" x14ac:dyDescent="0.25">
      <c r="A4473">
        <v>21.207776972705801</v>
      </c>
      <c r="B4473">
        <v>69.442879442839299</v>
      </c>
      <c r="C4473">
        <v>2001</v>
      </c>
    </row>
    <row r="4474" spans="1:11" x14ac:dyDescent="0.25">
      <c r="A4474">
        <v>21.644792997154699</v>
      </c>
      <c r="B4474">
        <v>69.005863418390405</v>
      </c>
      <c r="C4474">
        <v>2000</v>
      </c>
    </row>
    <row r="4475" spans="1:11" x14ac:dyDescent="0.25">
      <c r="A4475" t="s">
        <v>87</v>
      </c>
    </row>
    <row r="4476" spans="1:11" x14ac:dyDescent="0.25">
      <c r="A4476">
        <v>895</v>
      </c>
      <c r="B4476">
        <v>0</v>
      </c>
      <c r="C4476">
        <v>1.5534955961430399</v>
      </c>
      <c r="D4476">
        <v>13.834735244118599</v>
      </c>
      <c r="E4476">
        <v>6</v>
      </c>
      <c r="F4476">
        <v>1.01722196789785</v>
      </c>
      <c r="G4476" t="s">
        <v>85</v>
      </c>
      <c r="H4476" t="s">
        <v>88</v>
      </c>
      <c r="I4476">
        <v>0</v>
      </c>
      <c r="J4476">
        <v>999</v>
      </c>
      <c r="K4476">
        <v>0.10489943576939401</v>
      </c>
    </row>
    <row r="4477" spans="1:11" x14ac:dyDescent="0.25">
      <c r="A4477" t="s">
        <v>86</v>
      </c>
    </row>
    <row r="4478" spans="1:11" x14ac:dyDescent="0.25">
      <c r="A4478">
        <v>81.356041897780798</v>
      </c>
      <c r="B4478">
        <v>1.07642812432108</v>
      </c>
      <c r="C4478">
        <v>2000</v>
      </c>
    </row>
    <row r="4479" spans="1:11" x14ac:dyDescent="0.25">
      <c r="A4479">
        <v>80.279613773459701</v>
      </c>
      <c r="B4479">
        <v>0</v>
      </c>
      <c r="C4479">
        <v>2000</v>
      </c>
    </row>
    <row r="4480" spans="1:11" x14ac:dyDescent="0.25">
      <c r="A4480">
        <v>79.405581724562097</v>
      </c>
      <c r="B4480">
        <v>0</v>
      </c>
      <c r="C4480">
        <v>2001</v>
      </c>
    </row>
    <row r="4481" spans="1:11" x14ac:dyDescent="0.25">
      <c r="A4481">
        <v>80.5261281413934</v>
      </c>
      <c r="B4481">
        <v>1.12054641683128</v>
      </c>
      <c r="C4481">
        <v>2001</v>
      </c>
    </row>
    <row r="4482" spans="1:11" x14ac:dyDescent="0.25">
      <c r="A4482">
        <v>90.505212114399498</v>
      </c>
      <c r="B4482">
        <v>11.099630389837399</v>
      </c>
      <c r="C4482">
        <v>2001</v>
      </c>
    </row>
    <row r="4483" spans="1:11" x14ac:dyDescent="0.25">
      <c r="A4483">
        <v>90.942228138848293</v>
      </c>
      <c r="B4483">
        <v>10.662614365388601</v>
      </c>
      <c r="C4483">
        <v>2000</v>
      </c>
    </row>
    <row r="4484" spans="1:11" x14ac:dyDescent="0.25">
      <c r="A4484" t="s">
        <v>87</v>
      </c>
    </row>
    <row r="4485" spans="1:11" x14ac:dyDescent="0.25">
      <c r="A4485">
        <v>737</v>
      </c>
      <c r="B4485">
        <v>0</v>
      </c>
      <c r="C4485">
        <v>13.719733610726101</v>
      </c>
      <c r="D4485">
        <v>1.5860032628512499</v>
      </c>
      <c r="E4485">
        <v>6</v>
      </c>
      <c r="F4485">
        <v>1.01722196789785</v>
      </c>
      <c r="G4485" t="s">
        <v>88</v>
      </c>
      <c r="H4485" t="s">
        <v>85</v>
      </c>
      <c r="I4485">
        <v>858</v>
      </c>
      <c r="J4485">
        <v>0</v>
      </c>
      <c r="K4485">
        <v>0.10038021386068</v>
      </c>
    </row>
    <row r="4486" spans="1:11" x14ac:dyDescent="0.25">
      <c r="A4486" t="s">
        <v>86</v>
      </c>
    </row>
    <row r="4487" spans="1:11" x14ac:dyDescent="0.25">
      <c r="A4487">
        <v>148.85588421201501</v>
      </c>
      <c r="B4487">
        <v>83.918312659918797</v>
      </c>
      <c r="C4487">
        <v>2000</v>
      </c>
    </row>
    <row r="4488" spans="1:11" x14ac:dyDescent="0.25">
      <c r="A4488">
        <v>138.95870165341199</v>
      </c>
      <c r="B4488">
        <v>74.021130101315805</v>
      </c>
      <c r="C4488">
        <v>2000</v>
      </c>
    </row>
    <row r="4489" spans="1:11" x14ac:dyDescent="0.25">
      <c r="A4489">
        <v>139.395717677861</v>
      </c>
      <c r="B4489">
        <v>73.584114076866996</v>
      </c>
      <c r="C4489">
        <v>2001</v>
      </c>
    </row>
    <row r="4490" spans="1:11" x14ac:dyDescent="0.25">
      <c r="A4490">
        <v>148.90116846369301</v>
      </c>
      <c r="B4490">
        <v>83.089564862698793</v>
      </c>
      <c r="C4490">
        <v>2001</v>
      </c>
    </row>
    <row r="4491" spans="1:11" x14ac:dyDescent="0.25">
      <c r="A4491">
        <v>150</v>
      </c>
      <c r="B4491">
        <v>84.188396399006095</v>
      </c>
      <c r="C4491">
        <v>2001</v>
      </c>
    </row>
    <row r="4492" spans="1:11" x14ac:dyDescent="0.25">
      <c r="A4492">
        <v>150</v>
      </c>
      <c r="B4492">
        <v>85.062428447903699</v>
      </c>
      <c r="C4492">
        <v>2000</v>
      </c>
    </row>
    <row r="4493" spans="1:11" x14ac:dyDescent="0.25">
      <c r="A4493" t="s">
        <v>87</v>
      </c>
    </row>
    <row r="4494" spans="1:11" x14ac:dyDescent="0.25">
      <c r="A4494">
        <v>783</v>
      </c>
      <c r="B4494">
        <v>0</v>
      </c>
      <c r="C4494">
        <v>3.5993532122159499</v>
      </c>
      <c r="D4494">
        <v>11.7056540478125</v>
      </c>
      <c r="E4494">
        <v>6</v>
      </c>
      <c r="F4494">
        <v>1.01722196789785</v>
      </c>
      <c r="G4494" t="s">
        <v>85</v>
      </c>
      <c r="H4494" t="s">
        <v>88</v>
      </c>
      <c r="I4494">
        <v>0</v>
      </c>
      <c r="J4494">
        <v>774</v>
      </c>
      <c r="K4494">
        <v>0.101910405093446</v>
      </c>
    </row>
    <row r="4495" spans="1:11" x14ac:dyDescent="0.25">
      <c r="A4495" t="s">
        <v>86</v>
      </c>
    </row>
    <row r="4496" spans="1:11" x14ac:dyDescent="0.25">
      <c r="A4496">
        <v>32.903181402386302</v>
      </c>
      <c r="B4496">
        <v>2.4937394691687</v>
      </c>
      <c r="C4496">
        <v>2000</v>
      </c>
    </row>
    <row r="4497" spans="1:11" x14ac:dyDescent="0.25">
      <c r="A4497">
        <v>30.4094419332176</v>
      </c>
      <c r="B4497">
        <v>0</v>
      </c>
      <c r="C4497">
        <v>2000</v>
      </c>
    </row>
    <row r="4498" spans="1:11" x14ac:dyDescent="0.25">
      <c r="A4498">
        <v>29.5354098843199</v>
      </c>
      <c r="B4498">
        <v>0</v>
      </c>
      <c r="C4498">
        <v>2001</v>
      </c>
    </row>
    <row r="4499" spans="1:11" x14ac:dyDescent="0.25">
      <c r="A4499">
        <v>32.131924543638199</v>
      </c>
      <c r="B4499">
        <v>2.59651465931826</v>
      </c>
      <c r="C4499">
        <v>2001</v>
      </c>
    </row>
    <row r="4500" spans="1:11" x14ac:dyDescent="0.25">
      <c r="A4500">
        <v>40.576192316219803</v>
      </c>
      <c r="B4500">
        <v>11.0407824318998</v>
      </c>
      <c r="C4500">
        <v>2001</v>
      </c>
    </row>
    <row r="4501" spans="1:11" x14ac:dyDescent="0.25">
      <c r="A4501">
        <v>41.013208340668598</v>
      </c>
      <c r="B4501">
        <v>10.603766407450999</v>
      </c>
      <c r="C4501">
        <v>2000</v>
      </c>
    </row>
    <row r="4502" spans="1:11" x14ac:dyDescent="0.25">
      <c r="A4502" t="s">
        <v>87</v>
      </c>
    </row>
    <row r="4503" spans="1:11" x14ac:dyDescent="0.25">
      <c r="A4503">
        <v>965</v>
      </c>
      <c r="B4503">
        <v>0</v>
      </c>
      <c r="C4503">
        <v>9.0928236148306194</v>
      </c>
      <c r="D4503">
        <v>6.1708607913876703</v>
      </c>
      <c r="E4503">
        <v>6</v>
      </c>
      <c r="F4503">
        <v>1.01722196789785</v>
      </c>
      <c r="G4503" t="s">
        <v>88</v>
      </c>
      <c r="H4503" t="s">
        <v>85</v>
      </c>
      <c r="I4503">
        <v>988</v>
      </c>
      <c r="J4503">
        <v>0</v>
      </c>
      <c r="K4503">
        <v>0.10839623334135701</v>
      </c>
    </row>
    <row r="4504" spans="1:11" x14ac:dyDescent="0.25">
      <c r="A4504" t="s">
        <v>86</v>
      </c>
    </row>
    <row r="4505" spans="1:11" x14ac:dyDescent="0.25">
      <c r="A4505">
        <v>145.54820323258801</v>
      </c>
      <c r="B4505">
        <v>37.339117282784798</v>
      </c>
      <c r="C4505">
        <v>2000</v>
      </c>
    </row>
    <row r="4506" spans="1:11" x14ac:dyDescent="0.25">
      <c r="A4506">
        <v>138.988437238247</v>
      </c>
      <c r="B4506">
        <v>30.779351288444399</v>
      </c>
      <c r="C4506">
        <v>2000</v>
      </c>
    </row>
    <row r="4507" spans="1:11" x14ac:dyDescent="0.25">
      <c r="A4507">
        <v>139.42545326269601</v>
      </c>
      <c r="B4507">
        <v>30.342335263995501</v>
      </c>
      <c r="C4507">
        <v>2001</v>
      </c>
    </row>
    <row r="4508" spans="1:11" x14ac:dyDescent="0.25">
      <c r="A4508">
        <v>145.72488174471599</v>
      </c>
      <c r="B4508">
        <v>36.641763746014902</v>
      </c>
      <c r="C4508">
        <v>2001</v>
      </c>
    </row>
    <row r="4509" spans="1:11" x14ac:dyDescent="0.25">
      <c r="A4509">
        <v>150</v>
      </c>
      <c r="B4509">
        <v>40.916882001299399</v>
      </c>
      <c r="C4509">
        <v>2001</v>
      </c>
    </row>
    <row r="4510" spans="1:11" x14ac:dyDescent="0.25">
      <c r="A4510">
        <v>150</v>
      </c>
      <c r="B4510">
        <v>41.790914050197102</v>
      </c>
      <c r="C4510">
        <v>2000</v>
      </c>
    </row>
    <row r="4511" spans="1:11" x14ac:dyDescent="0.25">
      <c r="A4511" t="s">
        <v>87</v>
      </c>
    </row>
    <row r="4512" spans="1:11" x14ac:dyDescent="0.25">
      <c r="A4512">
        <v>1024</v>
      </c>
      <c r="B4512">
        <v>0</v>
      </c>
      <c r="C4512">
        <v>5.6467414174350399</v>
      </c>
      <c r="D4512">
        <v>9.4694628827590002</v>
      </c>
      <c r="E4512">
        <v>8</v>
      </c>
      <c r="F4512">
        <v>1.01722196789785</v>
      </c>
      <c r="G4512" t="s">
        <v>85</v>
      </c>
      <c r="H4512" t="s">
        <v>88</v>
      </c>
      <c r="I4512">
        <v>0</v>
      </c>
      <c r="J4512">
        <v>263</v>
      </c>
      <c r="K4512">
        <v>0.113570353677325</v>
      </c>
    </row>
    <row r="4513" spans="1:11" x14ac:dyDescent="0.25">
      <c r="A4513" t="s">
        <v>86</v>
      </c>
    </row>
    <row r="4514" spans="1:11" x14ac:dyDescent="0.25">
      <c r="A4514">
        <v>45.1824028332395</v>
      </c>
      <c r="B4514">
        <v>4.0957788874510497</v>
      </c>
      <c r="C4514">
        <v>2000</v>
      </c>
    </row>
    <row r="4515" spans="1:11" x14ac:dyDescent="0.25">
      <c r="A4515">
        <v>41.086623945788403</v>
      </c>
      <c r="B4515">
        <v>0</v>
      </c>
      <c r="C4515">
        <v>2000</v>
      </c>
    </row>
    <row r="4516" spans="1:11" x14ac:dyDescent="0.25">
      <c r="A4516">
        <v>41.9606559946861</v>
      </c>
      <c r="B4516">
        <v>0</v>
      </c>
      <c r="C4516">
        <v>2001</v>
      </c>
    </row>
    <row r="4517" spans="1:11" x14ac:dyDescent="0.25">
      <c r="A4517">
        <v>45.850575402985498</v>
      </c>
      <c r="B4517">
        <v>3.8899194082994599</v>
      </c>
      <c r="C4517">
        <v>2001</v>
      </c>
    </row>
    <row r="4518" spans="1:11" x14ac:dyDescent="0.25">
      <c r="A4518">
        <v>50.218508012224397</v>
      </c>
      <c r="B4518">
        <v>8.2578520175383492</v>
      </c>
      <c r="C4518">
        <v>2001</v>
      </c>
    </row>
    <row r="4519" spans="1:11" x14ac:dyDescent="0.25">
      <c r="A4519">
        <v>52.430918548930102</v>
      </c>
      <c r="B4519">
        <v>10.470262554244</v>
      </c>
      <c r="C4519">
        <v>2001</v>
      </c>
    </row>
    <row r="4520" spans="1:11" x14ac:dyDescent="0.25">
      <c r="A4520">
        <v>51.9939025244813</v>
      </c>
      <c r="B4520">
        <v>10.9072785786929</v>
      </c>
      <c r="C4520">
        <v>2000</v>
      </c>
    </row>
    <row r="4521" spans="1:11" x14ac:dyDescent="0.25">
      <c r="A4521">
        <v>49.781491987775603</v>
      </c>
      <c r="B4521">
        <v>8.6948680419871707</v>
      </c>
      <c r="C4521">
        <v>2000</v>
      </c>
    </row>
    <row r="4522" spans="1:11" x14ac:dyDescent="0.25">
      <c r="A4522" t="s">
        <v>87</v>
      </c>
    </row>
    <row r="4523" spans="1:11" x14ac:dyDescent="0.25">
      <c r="A4523">
        <v>948</v>
      </c>
      <c r="B4523">
        <v>0</v>
      </c>
      <c r="C4523">
        <v>3.13842888880446</v>
      </c>
      <c r="D4523">
        <v>11.888573912680499</v>
      </c>
      <c r="E4523">
        <v>6</v>
      </c>
      <c r="F4523">
        <v>1.01722196789785</v>
      </c>
      <c r="G4523" t="s">
        <v>85</v>
      </c>
      <c r="H4523" t="s">
        <v>88</v>
      </c>
      <c r="I4523">
        <v>0</v>
      </c>
      <c r="J4523">
        <v>19</v>
      </c>
      <c r="K4523">
        <v>0.106727627876698</v>
      </c>
    </row>
    <row r="4524" spans="1:11" x14ac:dyDescent="0.25">
      <c r="A4524" t="s">
        <v>86</v>
      </c>
    </row>
    <row r="4525" spans="1:11" x14ac:dyDescent="0.25">
      <c r="A4525">
        <v>2.1735683789490099</v>
      </c>
      <c r="B4525">
        <v>26.7843200090315</v>
      </c>
      <c r="C4525">
        <v>2000</v>
      </c>
    </row>
    <row r="4526" spans="1:11" x14ac:dyDescent="0.25">
      <c r="A4526">
        <v>0</v>
      </c>
      <c r="B4526">
        <v>24.6107516300825</v>
      </c>
      <c r="C4526">
        <v>2000</v>
      </c>
    </row>
    <row r="4527" spans="1:11" x14ac:dyDescent="0.25">
      <c r="A4527">
        <v>0</v>
      </c>
      <c r="B4527">
        <v>23.7367195811849</v>
      </c>
      <c r="C4527">
        <v>2001</v>
      </c>
    </row>
    <row r="4528" spans="1:11" x14ac:dyDescent="0.25">
      <c r="A4528">
        <v>2.2648403201417699</v>
      </c>
      <c r="B4528">
        <v>26.001559901326601</v>
      </c>
      <c r="C4528">
        <v>2001</v>
      </c>
    </row>
    <row r="4529" spans="1:11" x14ac:dyDescent="0.25">
      <c r="A4529">
        <v>10.8442035940637</v>
      </c>
      <c r="B4529">
        <v>34.5809231752486</v>
      </c>
      <c r="C4529">
        <v>2001</v>
      </c>
    </row>
    <row r="4530" spans="1:11" x14ac:dyDescent="0.25">
      <c r="A4530">
        <v>10.4071875696149</v>
      </c>
      <c r="B4530">
        <v>35.017939199697402</v>
      </c>
      <c r="C4530">
        <v>2000</v>
      </c>
    </row>
    <row r="4531" spans="1:11" x14ac:dyDescent="0.25">
      <c r="A4531" t="s">
        <v>87</v>
      </c>
    </row>
    <row r="4532" spans="1:11" x14ac:dyDescent="0.25">
      <c r="A4532">
        <v>966</v>
      </c>
      <c r="B4532">
        <v>0</v>
      </c>
      <c r="C4532">
        <v>10.808537162092801</v>
      </c>
      <c r="D4532">
        <v>4.1136246128099296</v>
      </c>
      <c r="E4532">
        <v>6</v>
      </c>
      <c r="F4532">
        <v>1.01722196789785</v>
      </c>
      <c r="G4532" t="s">
        <v>88</v>
      </c>
      <c r="H4532" t="s">
        <v>85</v>
      </c>
      <c r="I4532">
        <v>407</v>
      </c>
      <c r="J4532">
        <v>0</v>
      </c>
      <c r="K4532">
        <v>0.108523559698531</v>
      </c>
    </row>
    <row r="4533" spans="1:11" x14ac:dyDescent="0.25">
      <c r="A4533" t="s">
        <v>86</v>
      </c>
    </row>
    <row r="4534" spans="1:11" x14ac:dyDescent="0.25">
      <c r="A4534">
        <v>147.030991564668</v>
      </c>
      <c r="B4534">
        <v>23.854361557008101</v>
      </c>
      <c r="C4534">
        <v>2000</v>
      </c>
    </row>
    <row r="4535" spans="1:11" x14ac:dyDescent="0.25">
      <c r="A4535">
        <v>139.22993020677899</v>
      </c>
      <c r="B4535">
        <v>16.053300199119199</v>
      </c>
      <c r="C4535">
        <v>2000</v>
      </c>
    </row>
    <row r="4536" spans="1:11" x14ac:dyDescent="0.25">
      <c r="A4536">
        <v>139.666946231228</v>
      </c>
      <c r="B4536">
        <v>15.616284174670399</v>
      </c>
      <c r="C4536">
        <v>2001</v>
      </c>
    </row>
    <row r="4537" spans="1:11" x14ac:dyDescent="0.25">
      <c r="A4537">
        <v>147.15146471738399</v>
      </c>
      <c r="B4537">
        <v>23.100802660826801</v>
      </c>
      <c r="C4537">
        <v>2001</v>
      </c>
    </row>
    <row r="4538" spans="1:11" x14ac:dyDescent="0.25">
      <c r="A4538">
        <v>150</v>
      </c>
      <c r="B4538">
        <v>25.949337943442401</v>
      </c>
      <c r="C4538">
        <v>2001</v>
      </c>
    </row>
    <row r="4539" spans="1:11" x14ac:dyDescent="0.25">
      <c r="A4539">
        <v>150</v>
      </c>
      <c r="B4539">
        <v>26.823369992340101</v>
      </c>
      <c r="C4539">
        <v>2000</v>
      </c>
    </row>
    <row r="4540" spans="1:11" x14ac:dyDescent="0.25">
      <c r="A4540" t="s">
        <v>87</v>
      </c>
    </row>
    <row r="4541" spans="1:11" x14ac:dyDescent="0.25">
      <c r="A4541">
        <v>827</v>
      </c>
      <c r="B4541">
        <v>0</v>
      </c>
      <c r="C4541">
        <v>10.1911612501027</v>
      </c>
      <c r="D4541">
        <v>4.5886497862615299</v>
      </c>
      <c r="E4541">
        <v>6</v>
      </c>
      <c r="F4541">
        <v>1.01722196789785</v>
      </c>
      <c r="G4541" t="s">
        <v>88</v>
      </c>
      <c r="H4541" t="s">
        <v>88</v>
      </c>
      <c r="I4541">
        <v>994</v>
      </c>
      <c r="J4541">
        <v>757</v>
      </c>
      <c r="K4541">
        <v>0.103086576425267</v>
      </c>
    </row>
    <row r="4542" spans="1:11" x14ac:dyDescent="0.25">
      <c r="A4542" t="s">
        <v>86</v>
      </c>
    </row>
    <row r="4543" spans="1:11" x14ac:dyDescent="0.25">
      <c r="A4543">
        <v>134.69547869251301</v>
      </c>
      <c r="B4543">
        <v>130.01042991550699</v>
      </c>
      <c r="C4543">
        <v>2000</v>
      </c>
    </row>
    <row r="4544" spans="1:11" x14ac:dyDescent="0.25">
      <c r="A4544">
        <v>127.4892394644</v>
      </c>
      <c r="B4544">
        <v>122.804190687394</v>
      </c>
      <c r="C4544">
        <v>2000</v>
      </c>
    </row>
    <row r="4545" spans="1:11" x14ac:dyDescent="0.25">
      <c r="A4545">
        <v>127.92625548884899</v>
      </c>
      <c r="B4545">
        <v>122.367174662945</v>
      </c>
      <c r="C4545">
        <v>2001</v>
      </c>
    </row>
    <row r="4546" spans="1:11" x14ac:dyDescent="0.25">
      <c r="A4546">
        <v>135.13249471696199</v>
      </c>
      <c r="B4546">
        <v>129.57341389105801</v>
      </c>
      <c r="C4546">
        <v>2001</v>
      </c>
    </row>
    <row r="4547" spans="1:11" x14ac:dyDescent="0.25">
      <c r="A4547">
        <v>138.37716009731801</v>
      </c>
      <c r="B4547">
        <v>132.81807927141401</v>
      </c>
      <c r="C4547">
        <v>2001</v>
      </c>
    </row>
    <row r="4548" spans="1:11" x14ac:dyDescent="0.25">
      <c r="A4548">
        <v>137.940144072869</v>
      </c>
      <c r="B4548">
        <v>133.25509529586299</v>
      </c>
      <c r="C4548">
        <v>2000</v>
      </c>
    </row>
    <row r="4549" spans="1:11" x14ac:dyDescent="0.25">
      <c r="A4549" t="s">
        <v>87</v>
      </c>
    </row>
    <row r="4550" spans="1:11" x14ac:dyDescent="0.25">
      <c r="A4550">
        <v>102</v>
      </c>
      <c r="B4550">
        <v>0</v>
      </c>
      <c r="C4550">
        <v>0.23006436041948999</v>
      </c>
      <c r="D4550">
        <v>14.5249838684219</v>
      </c>
      <c r="E4550">
        <v>6</v>
      </c>
      <c r="F4550">
        <v>1.01722196789785</v>
      </c>
      <c r="G4550" t="s">
        <v>88</v>
      </c>
      <c r="H4550" t="s">
        <v>88</v>
      </c>
      <c r="I4550">
        <v>828</v>
      </c>
      <c r="J4550">
        <v>88</v>
      </c>
      <c r="K4550">
        <v>0</v>
      </c>
    </row>
    <row r="4551" spans="1:11" x14ac:dyDescent="0.25">
      <c r="A4551" t="s">
        <v>86</v>
      </c>
    </row>
    <row r="4552" spans="1:11" x14ac:dyDescent="0.25">
      <c r="A4552">
        <v>88.5242831220543</v>
      </c>
      <c r="B4552">
        <v>64.611257099360998</v>
      </c>
      <c r="C4552">
        <v>2000</v>
      </c>
    </row>
    <row r="4553" spans="1:11" x14ac:dyDescent="0.25">
      <c r="A4553">
        <v>88.361603052692303</v>
      </c>
      <c r="B4553">
        <v>64.448577029999001</v>
      </c>
      <c r="C4553">
        <v>2000</v>
      </c>
    </row>
    <row r="4554" spans="1:11" x14ac:dyDescent="0.25">
      <c r="A4554">
        <v>88.798619077141097</v>
      </c>
      <c r="B4554">
        <v>64.011561005550206</v>
      </c>
      <c r="C4554">
        <v>2001</v>
      </c>
    </row>
    <row r="4555" spans="1:11" x14ac:dyDescent="0.25">
      <c r="A4555">
        <v>88.961299146503094</v>
      </c>
      <c r="B4555">
        <v>64.174241074912203</v>
      </c>
      <c r="C4555">
        <v>2001</v>
      </c>
    </row>
    <row r="4556" spans="1:11" x14ac:dyDescent="0.25">
      <c r="A4556">
        <v>99.232013736489407</v>
      </c>
      <c r="B4556">
        <v>74.444955664898501</v>
      </c>
      <c r="C4556">
        <v>2001</v>
      </c>
    </row>
    <row r="4557" spans="1:11" x14ac:dyDescent="0.25">
      <c r="A4557">
        <v>98.794997712040598</v>
      </c>
      <c r="B4557">
        <v>74.881971689347296</v>
      </c>
      <c r="C4557">
        <v>2000</v>
      </c>
    </row>
    <row r="4558" spans="1:11" x14ac:dyDescent="0.25">
      <c r="A4558" t="s">
        <v>87</v>
      </c>
    </row>
    <row r="4559" spans="1:11" x14ac:dyDescent="0.25">
      <c r="A4559">
        <v>516</v>
      </c>
      <c r="B4559">
        <v>0</v>
      </c>
      <c r="C4559">
        <v>14.6816081265428</v>
      </c>
      <c r="D4559">
        <v>3.6440183709935098E-2</v>
      </c>
      <c r="E4559">
        <v>8</v>
      </c>
      <c r="F4559">
        <v>1.01722196789785</v>
      </c>
      <c r="G4559" t="s">
        <v>85</v>
      </c>
      <c r="H4559" t="s">
        <v>88</v>
      </c>
      <c r="I4559">
        <v>0</v>
      </c>
      <c r="J4559">
        <v>1010</v>
      </c>
      <c r="K4559">
        <v>0</v>
      </c>
    </row>
    <row r="4560" spans="1:11" x14ac:dyDescent="0.25">
      <c r="A4560" t="s">
        <v>86</v>
      </c>
    </row>
    <row r="4561" spans="1:11" x14ac:dyDescent="0.25">
      <c r="A4561">
        <v>10.1634973376394</v>
      </c>
      <c r="B4561">
        <v>58.619546286533101</v>
      </c>
      <c r="C4561">
        <v>2000</v>
      </c>
    </row>
    <row r="4562" spans="1:11" x14ac:dyDescent="0.25">
      <c r="A4562">
        <v>1.9392718820607899</v>
      </c>
      <c r="B4562">
        <v>50.395320830954503</v>
      </c>
      <c r="C4562">
        <v>2000</v>
      </c>
    </row>
    <row r="4563" spans="1:11" x14ac:dyDescent="0.25">
      <c r="A4563">
        <v>0</v>
      </c>
      <c r="B4563">
        <v>48.456048948893702</v>
      </c>
      <c r="C4563">
        <v>2000</v>
      </c>
    </row>
    <row r="4564" spans="1:11" x14ac:dyDescent="0.25">
      <c r="A4564">
        <v>0</v>
      </c>
      <c r="B4564">
        <v>47.582016899996098</v>
      </c>
      <c r="C4564">
        <v>2001</v>
      </c>
    </row>
    <row r="4565" spans="1:11" x14ac:dyDescent="0.25">
      <c r="A4565">
        <v>2.0226622690494001</v>
      </c>
      <c r="B4565">
        <v>49.604679169045497</v>
      </c>
      <c r="C4565">
        <v>2001</v>
      </c>
    </row>
    <row r="4566" spans="1:11" x14ac:dyDescent="0.25">
      <c r="A4566">
        <v>10.599431992364501</v>
      </c>
      <c r="B4566">
        <v>58.181448892360599</v>
      </c>
      <c r="C4566">
        <v>2001</v>
      </c>
    </row>
    <row r="4567" spans="1:11" x14ac:dyDescent="0.25">
      <c r="A4567">
        <v>10.6257397782353</v>
      </c>
      <c r="B4567">
        <v>58.207756678231398</v>
      </c>
      <c r="C4567">
        <v>2001</v>
      </c>
    </row>
    <row r="4568" spans="1:11" x14ac:dyDescent="0.25">
      <c r="A4568">
        <v>10.188723753786499</v>
      </c>
      <c r="B4568">
        <v>58.6447727026802</v>
      </c>
      <c r="C4568">
        <v>2000</v>
      </c>
    </row>
    <row r="4569" spans="1:11" x14ac:dyDescent="0.25">
      <c r="A4569" t="s">
        <v>87</v>
      </c>
    </row>
    <row r="4570" spans="1:11" x14ac:dyDescent="0.25">
      <c r="A4570">
        <v>197</v>
      </c>
      <c r="B4570">
        <v>0</v>
      </c>
      <c r="C4570">
        <v>10.478761730451399</v>
      </c>
      <c r="D4570">
        <v>4.22558440247278</v>
      </c>
      <c r="E4570">
        <v>6</v>
      </c>
      <c r="F4570">
        <v>1.01722196789785</v>
      </c>
      <c r="G4570" t="s">
        <v>88</v>
      </c>
      <c r="H4570" t="s">
        <v>88</v>
      </c>
      <c r="I4570">
        <v>109</v>
      </c>
      <c r="J4570">
        <v>191</v>
      </c>
      <c r="K4570">
        <v>0</v>
      </c>
    </row>
    <row r="4571" spans="1:11" x14ac:dyDescent="0.25">
      <c r="A4571" t="s">
        <v>86</v>
      </c>
    </row>
    <row r="4572" spans="1:11" x14ac:dyDescent="0.25">
      <c r="A4572">
        <v>118.636309767908</v>
      </c>
      <c r="B4572">
        <v>77.397276722075304</v>
      </c>
      <c r="C4572">
        <v>2000</v>
      </c>
    </row>
    <row r="4573" spans="1:11" x14ac:dyDescent="0.25">
      <c r="A4573">
        <v>111.22670628986801</v>
      </c>
      <c r="B4573">
        <v>69.987673244034994</v>
      </c>
      <c r="C4573">
        <v>2000</v>
      </c>
    </row>
    <row r="4574" spans="1:11" x14ac:dyDescent="0.25">
      <c r="A4574">
        <v>111.663722314317</v>
      </c>
      <c r="B4574">
        <v>69.550657219586199</v>
      </c>
      <c r="C4574">
        <v>2001</v>
      </c>
    </row>
    <row r="4575" spans="1:11" x14ac:dyDescent="0.25">
      <c r="A4575">
        <v>119.073325792357</v>
      </c>
      <c r="B4575">
        <v>76.960260697626495</v>
      </c>
      <c r="C4575">
        <v>2001</v>
      </c>
    </row>
    <row r="4576" spans="1:11" x14ac:dyDescent="0.25">
      <c r="A4576">
        <v>122.06126517782199</v>
      </c>
      <c r="B4576">
        <v>79.948200083091095</v>
      </c>
      <c r="C4576">
        <v>2001</v>
      </c>
    </row>
    <row r="4577" spans="1:11" x14ac:dyDescent="0.25">
      <c r="A4577">
        <v>121.624249153373</v>
      </c>
      <c r="B4577">
        <v>80.385216107539904</v>
      </c>
      <c r="C4577">
        <v>2000</v>
      </c>
    </row>
    <row r="4578" spans="1:11" x14ac:dyDescent="0.25">
      <c r="A4578" t="s">
        <v>87</v>
      </c>
    </row>
    <row r="4579" spans="1:11" x14ac:dyDescent="0.25">
      <c r="A4579">
        <v>782</v>
      </c>
      <c r="B4579">
        <v>0</v>
      </c>
      <c r="C4579">
        <v>11.881261095573899</v>
      </c>
      <c r="D4579">
        <v>2.7450596536255301</v>
      </c>
      <c r="E4579">
        <v>8</v>
      </c>
      <c r="F4579">
        <v>1.01722196789785</v>
      </c>
      <c r="G4579" t="s">
        <v>88</v>
      </c>
      <c r="H4579" t="s">
        <v>88</v>
      </c>
      <c r="I4579">
        <v>783</v>
      </c>
      <c r="J4579">
        <v>751</v>
      </c>
      <c r="K4579">
        <v>0.101659477666818</v>
      </c>
    </row>
    <row r="4580" spans="1:11" x14ac:dyDescent="0.25">
      <c r="A4580" t="s">
        <v>86</v>
      </c>
    </row>
    <row r="4581" spans="1:11" x14ac:dyDescent="0.25">
      <c r="A4581">
        <v>49.181207789197003</v>
      </c>
      <c r="B4581">
        <v>19.238407538379001</v>
      </c>
      <c r="C4581">
        <v>2000</v>
      </c>
    </row>
    <row r="4582" spans="1:11" x14ac:dyDescent="0.25">
      <c r="A4582">
        <v>40.779887499468799</v>
      </c>
      <c r="B4582">
        <v>10.8370872486508</v>
      </c>
      <c r="C4582">
        <v>2000</v>
      </c>
    </row>
    <row r="4583" spans="1:11" x14ac:dyDescent="0.25">
      <c r="A4583">
        <v>41.216903523917601</v>
      </c>
      <c r="B4583">
        <v>10.400071224202</v>
      </c>
      <c r="C4583">
        <v>2001</v>
      </c>
    </row>
    <row r="4584" spans="1:11" x14ac:dyDescent="0.25">
      <c r="A4584">
        <v>49.618223813645798</v>
      </c>
      <c r="B4584">
        <v>18.801391513930199</v>
      </c>
      <c r="C4584">
        <v>2001</v>
      </c>
    </row>
    <row r="4585" spans="1:11" x14ac:dyDescent="0.25">
      <c r="A4585">
        <v>50.218508012224397</v>
      </c>
      <c r="B4585">
        <v>19.401675712508698</v>
      </c>
      <c r="C4585">
        <v>2001</v>
      </c>
    </row>
    <row r="4586" spans="1:11" x14ac:dyDescent="0.25">
      <c r="A4586">
        <v>51.559274109485997</v>
      </c>
      <c r="B4586">
        <v>20.742441809770401</v>
      </c>
      <c r="C4586">
        <v>2001</v>
      </c>
    </row>
    <row r="4587" spans="1:11" x14ac:dyDescent="0.25">
      <c r="A4587">
        <v>51.122258085037203</v>
      </c>
      <c r="B4587">
        <v>21.1794578342192</v>
      </c>
      <c r="C4587">
        <v>2000</v>
      </c>
    </row>
    <row r="4588" spans="1:11" x14ac:dyDescent="0.25">
      <c r="A4588">
        <v>49.781491987775603</v>
      </c>
      <c r="B4588">
        <v>19.8386917369576</v>
      </c>
      <c r="C4588">
        <v>2000</v>
      </c>
    </row>
    <row r="4589" spans="1:11" x14ac:dyDescent="0.25">
      <c r="A4589" t="s">
        <v>87</v>
      </c>
    </row>
    <row r="4590" spans="1:11" x14ac:dyDescent="0.25">
      <c r="A4590">
        <v>505</v>
      </c>
      <c r="B4590">
        <v>0</v>
      </c>
      <c r="C4590">
        <v>0.81390302740172205</v>
      </c>
      <c r="D4590">
        <v>13.704107437262101</v>
      </c>
      <c r="E4590">
        <v>6</v>
      </c>
      <c r="F4590">
        <v>1.01722196789785</v>
      </c>
      <c r="G4590" t="s">
        <v>85</v>
      </c>
      <c r="H4590" t="s">
        <v>88</v>
      </c>
      <c r="I4590">
        <v>0</v>
      </c>
      <c r="J4590">
        <v>831</v>
      </c>
      <c r="K4590">
        <v>0</v>
      </c>
    </row>
    <row r="4591" spans="1:11" x14ac:dyDescent="0.25">
      <c r="A4591" t="s">
        <v>86</v>
      </c>
    </row>
    <row r="4592" spans="1:11" x14ac:dyDescent="0.25">
      <c r="A4592">
        <v>0.56326643914015395</v>
      </c>
      <c r="B4592">
        <v>53.862444538064601</v>
      </c>
      <c r="C4592">
        <v>2000</v>
      </c>
    </row>
    <row r="4593" spans="1:11" x14ac:dyDescent="0.25">
      <c r="A4593">
        <v>0</v>
      </c>
      <c r="B4593">
        <v>53.2991780989245</v>
      </c>
      <c r="C4593">
        <v>2000</v>
      </c>
    </row>
    <row r="4594" spans="1:11" x14ac:dyDescent="0.25">
      <c r="A4594">
        <v>0</v>
      </c>
      <c r="B4594">
        <v>52.425146050026797</v>
      </c>
      <c r="C4594">
        <v>2001</v>
      </c>
    </row>
    <row r="4595" spans="1:11" x14ac:dyDescent="0.25">
      <c r="A4595">
        <v>0.58776626066788196</v>
      </c>
      <c r="B4595">
        <v>53.012912310694702</v>
      </c>
      <c r="C4595">
        <v>2001</v>
      </c>
    </row>
    <row r="4596" spans="1:11" x14ac:dyDescent="0.25">
      <c r="A4596">
        <v>10.4842916611254</v>
      </c>
      <c r="B4596">
        <v>62.909437711152201</v>
      </c>
      <c r="C4596">
        <v>2001</v>
      </c>
    </row>
    <row r="4597" spans="1:11" x14ac:dyDescent="0.25">
      <c r="A4597">
        <v>10.0472756366766</v>
      </c>
      <c r="B4597">
        <v>63.346453735601102</v>
      </c>
      <c r="C4597">
        <v>2000</v>
      </c>
    </row>
    <row r="4598" spans="1:11" x14ac:dyDescent="0.25">
      <c r="A4598" t="s">
        <v>87</v>
      </c>
    </row>
    <row r="4599" spans="1:11" x14ac:dyDescent="0.25">
      <c r="A4599">
        <v>998</v>
      </c>
      <c r="B4599">
        <v>0</v>
      </c>
      <c r="C4599">
        <v>11.908657149423099</v>
      </c>
      <c r="D4599">
        <v>2.5589112196985599</v>
      </c>
      <c r="E4599">
        <v>6</v>
      </c>
      <c r="F4599">
        <v>1.01722196789785</v>
      </c>
      <c r="G4599" t="s">
        <v>88</v>
      </c>
      <c r="H4599" t="s">
        <v>88</v>
      </c>
      <c r="I4599">
        <v>246</v>
      </c>
      <c r="J4599">
        <v>248</v>
      </c>
      <c r="K4599">
        <v>0.111857181342572</v>
      </c>
    </row>
    <row r="4600" spans="1:11" x14ac:dyDescent="0.25">
      <c r="A4600" t="s">
        <v>86</v>
      </c>
    </row>
    <row r="4601" spans="1:11" x14ac:dyDescent="0.25">
      <c r="A4601">
        <v>87.627556759229506</v>
      </c>
      <c r="B4601">
        <v>43.154274917275004</v>
      </c>
      <c r="C4601">
        <v>2000</v>
      </c>
    </row>
    <row r="4602" spans="1:11" x14ac:dyDescent="0.25">
      <c r="A4602">
        <v>79.206864534046701</v>
      </c>
      <c r="B4602">
        <v>34.733582692092298</v>
      </c>
      <c r="C4602">
        <v>2000</v>
      </c>
    </row>
    <row r="4603" spans="1:11" x14ac:dyDescent="0.25">
      <c r="A4603">
        <v>79.643880558495496</v>
      </c>
      <c r="B4603">
        <v>34.296566667643503</v>
      </c>
      <c r="C4603">
        <v>2001</v>
      </c>
    </row>
    <row r="4604" spans="1:11" x14ac:dyDescent="0.25">
      <c r="A4604">
        <v>88.064572783678301</v>
      </c>
      <c r="B4604">
        <v>42.717258892826202</v>
      </c>
      <c r="C4604">
        <v>2001</v>
      </c>
    </row>
    <row r="4605" spans="1:11" x14ac:dyDescent="0.25">
      <c r="A4605">
        <v>89.873996259581503</v>
      </c>
      <c r="B4605">
        <v>44.526682368729404</v>
      </c>
      <c r="C4605">
        <v>2001</v>
      </c>
    </row>
    <row r="4606" spans="1:11" x14ac:dyDescent="0.25">
      <c r="A4606">
        <v>89.436980235132694</v>
      </c>
      <c r="B4606">
        <v>44.963698393178198</v>
      </c>
      <c r="C4606">
        <v>2000</v>
      </c>
    </row>
    <row r="4607" spans="1:11" x14ac:dyDescent="0.25">
      <c r="A4607" t="s">
        <v>87</v>
      </c>
    </row>
    <row r="4608" spans="1:11" x14ac:dyDescent="0.25">
      <c r="A4608">
        <v>40</v>
      </c>
      <c r="B4608">
        <v>0</v>
      </c>
      <c r="C4608">
        <v>2.66233147998491</v>
      </c>
      <c r="D4608">
        <v>11.500308010578999</v>
      </c>
      <c r="E4608">
        <v>6</v>
      </c>
      <c r="F4608">
        <v>1.01722196789785</v>
      </c>
      <c r="G4608" t="s">
        <v>88</v>
      </c>
      <c r="H4608" t="s">
        <v>88</v>
      </c>
      <c r="I4608">
        <v>34</v>
      </c>
      <c r="J4608">
        <v>775</v>
      </c>
      <c r="K4608">
        <v>0</v>
      </c>
    </row>
    <row r="4609" spans="1:11" x14ac:dyDescent="0.25">
      <c r="A4609" t="s">
        <v>86</v>
      </c>
    </row>
    <row r="4610" spans="1:11" x14ac:dyDescent="0.25">
      <c r="A4610">
        <v>41.207938435588702</v>
      </c>
      <c r="B4610">
        <v>30.343559600102701</v>
      </c>
      <c r="C4610">
        <v>2000</v>
      </c>
    </row>
    <row r="4611" spans="1:11" x14ac:dyDescent="0.25">
      <c r="A4611">
        <v>39.325385792325001</v>
      </c>
      <c r="B4611">
        <v>28.461006956838901</v>
      </c>
      <c r="C4611">
        <v>2000</v>
      </c>
    </row>
    <row r="4612" spans="1:11" x14ac:dyDescent="0.25">
      <c r="A4612">
        <v>39.762401816773803</v>
      </c>
      <c r="B4612">
        <v>28.023990932390099</v>
      </c>
      <c r="C4612">
        <v>2001</v>
      </c>
    </row>
    <row r="4613" spans="1:11" x14ac:dyDescent="0.25">
      <c r="A4613">
        <v>41.644954460037603</v>
      </c>
      <c r="B4613">
        <v>29.906543575653899</v>
      </c>
      <c r="C4613">
        <v>2001</v>
      </c>
    </row>
    <row r="4614" spans="1:11" x14ac:dyDescent="0.25">
      <c r="A4614">
        <v>49.776900240052001</v>
      </c>
      <c r="B4614">
        <v>38.038489355668297</v>
      </c>
      <c r="C4614">
        <v>2001</v>
      </c>
    </row>
    <row r="4615" spans="1:11" x14ac:dyDescent="0.25">
      <c r="A4615">
        <v>49.339884215603099</v>
      </c>
      <c r="B4615">
        <v>38.475505380117099</v>
      </c>
      <c r="C4615">
        <v>2000</v>
      </c>
    </row>
    <row r="4616" spans="1:11" x14ac:dyDescent="0.25">
      <c r="A4616" t="s">
        <v>87</v>
      </c>
    </row>
    <row r="4617" spans="1:11" x14ac:dyDescent="0.25">
      <c r="A4617">
        <v>765</v>
      </c>
      <c r="B4617">
        <v>0</v>
      </c>
      <c r="C4617">
        <v>12.013644538041101</v>
      </c>
      <c r="D4617">
        <v>2.12970211992487</v>
      </c>
      <c r="E4617">
        <v>6</v>
      </c>
      <c r="F4617">
        <v>1.01722196789785</v>
      </c>
      <c r="G4617" t="s">
        <v>88</v>
      </c>
      <c r="H4617" t="s">
        <v>85</v>
      </c>
      <c r="I4617">
        <v>816</v>
      </c>
      <c r="J4617">
        <v>0</v>
      </c>
      <c r="K4617">
        <v>0.101399532687084</v>
      </c>
    </row>
    <row r="4618" spans="1:11" x14ac:dyDescent="0.25">
      <c r="A4618" t="s">
        <v>86</v>
      </c>
    </row>
    <row r="4619" spans="1:11" x14ac:dyDescent="0.25">
      <c r="A4619">
        <v>148.46117029926799</v>
      </c>
      <c r="B4619">
        <v>38.667687511448101</v>
      </c>
      <c r="C4619">
        <v>2000</v>
      </c>
    </row>
    <row r="4620" spans="1:11" x14ac:dyDescent="0.25">
      <c r="A4620">
        <v>139.780635657256</v>
      </c>
      <c r="B4620">
        <v>29.987152869435899</v>
      </c>
      <c r="C4620">
        <v>2000</v>
      </c>
    </row>
    <row r="4621" spans="1:11" x14ac:dyDescent="0.25">
      <c r="A4621">
        <v>140.21765168170501</v>
      </c>
      <c r="B4621">
        <v>29.550136844987001</v>
      </c>
      <c r="C4621">
        <v>2001</v>
      </c>
    </row>
    <row r="4622" spans="1:11" x14ac:dyDescent="0.25">
      <c r="A4622">
        <v>148.52697607892</v>
      </c>
      <c r="B4622">
        <v>37.859461242202002</v>
      </c>
      <c r="C4622">
        <v>2001</v>
      </c>
    </row>
    <row r="4623" spans="1:11" x14ac:dyDescent="0.25">
      <c r="A4623">
        <v>150</v>
      </c>
      <c r="B4623">
        <v>39.332485163282399</v>
      </c>
      <c r="C4623">
        <v>2001</v>
      </c>
    </row>
    <row r="4624" spans="1:11" x14ac:dyDescent="0.25">
      <c r="A4624">
        <v>150</v>
      </c>
      <c r="B4624">
        <v>40.206517212180103</v>
      </c>
      <c r="C4624">
        <v>2000</v>
      </c>
    </row>
    <row r="4625" spans="1:11" x14ac:dyDescent="0.25">
      <c r="A4625" t="s">
        <v>87</v>
      </c>
    </row>
    <row r="4626" spans="1:11" x14ac:dyDescent="0.25">
      <c r="A4626">
        <v>879</v>
      </c>
      <c r="B4626">
        <v>0</v>
      </c>
      <c r="C4626">
        <v>12.682955031087101</v>
      </c>
      <c r="D4626">
        <v>1.3464145495999</v>
      </c>
      <c r="E4626">
        <v>6</v>
      </c>
      <c r="F4626">
        <v>1.01722196789785</v>
      </c>
      <c r="G4626" t="s">
        <v>88</v>
      </c>
      <c r="H4626" t="s">
        <v>88</v>
      </c>
      <c r="I4626">
        <v>265</v>
      </c>
      <c r="J4626">
        <v>266</v>
      </c>
      <c r="K4626">
        <v>0.104525721151597</v>
      </c>
    </row>
    <row r="4627" spans="1:11" x14ac:dyDescent="0.25">
      <c r="A4627" t="s">
        <v>86</v>
      </c>
    </row>
    <row r="4628" spans="1:11" x14ac:dyDescent="0.25">
      <c r="A4628">
        <v>79.054251691347304</v>
      </c>
      <c r="B4628">
        <v>27.761366681554801</v>
      </c>
      <c r="C4628">
        <v>2000</v>
      </c>
    </row>
    <row r="4629" spans="1:11" x14ac:dyDescent="0.25">
      <c r="A4629">
        <v>70.086048183381607</v>
      </c>
      <c r="B4629">
        <v>18.7931631735891</v>
      </c>
      <c r="C4629">
        <v>2000</v>
      </c>
    </row>
    <row r="4630" spans="1:11" x14ac:dyDescent="0.25">
      <c r="A4630">
        <v>69.649032158932798</v>
      </c>
      <c r="B4630">
        <v>19.230179198037899</v>
      </c>
      <c r="C4630">
        <v>2001</v>
      </c>
    </row>
    <row r="4631" spans="1:11" x14ac:dyDescent="0.25">
      <c r="A4631">
        <v>78.617235666898495</v>
      </c>
      <c r="B4631">
        <v>28.198382706003599</v>
      </c>
      <c r="C4631">
        <v>2001</v>
      </c>
    </row>
    <row r="4632" spans="1:11" x14ac:dyDescent="0.25">
      <c r="A4632">
        <v>79.569294525208804</v>
      </c>
      <c r="B4632">
        <v>29.150441564313901</v>
      </c>
      <c r="C4632">
        <v>2001</v>
      </c>
    </row>
    <row r="4633" spans="1:11" x14ac:dyDescent="0.25">
      <c r="A4633">
        <v>80.006310549657599</v>
      </c>
      <c r="B4633">
        <v>28.713425539865099</v>
      </c>
      <c r="C4633">
        <v>2000</v>
      </c>
    </row>
    <row r="4634" spans="1:11" x14ac:dyDescent="0.25">
      <c r="A4634" t="s">
        <v>87</v>
      </c>
    </row>
    <row r="4635" spans="1:11" x14ac:dyDescent="0.25">
      <c r="A4635">
        <v>956</v>
      </c>
      <c r="B4635">
        <v>0</v>
      </c>
      <c r="C4635">
        <v>11.0695071554713</v>
      </c>
      <c r="D4635">
        <v>2.9442048838103299</v>
      </c>
      <c r="E4635">
        <v>6</v>
      </c>
      <c r="F4635">
        <v>1.01722196789785</v>
      </c>
      <c r="G4635" t="s">
        <v>88</v>
      </c>
      <c r="H4635" t="s">
        <v>85</v>
      </c>
      <c r="I4635">
        <v>644</v>
      </c>
      <c r="J4635">
        <v>0</v>
      </c>
      <c r="K4635">
        <v>0.10731540376742001</v>
      </c>
    </row>
    <row r="4636" spans="1:11" x14ac:dyDescent="0.25">
      <c r="A4636" t="s">
        <v>86</v>
      </c>
    </row>
    <row r="4637" spans="1:11" x14ac:dyDescent="0.25">
      <c r="A4637">
        <v>147.87222541335601</v>
      </c>
      <c r="B4637">
        <v>129.755200755977</v>
      </c>
      <c r="C4637">
        <v>2000</v>
      </c>
    </row>
    <row r="4638" spans="1:11" x14ac:dyDescent="0.25">
      <c r="A4638">
        <v>139.872301175204</v>
      </c>
      <c r="B4638">
        <v>121.755276517824</v>
      </c>
      <c r="C4638">
        <v>2000</v>
      </c>
    </row>
    <row r="4639" spans="1:11" x14ac:dyDescent="0.25">
      <c r="A4639">
        <v>140.30931719965301</v>
      </c>
      <c r="B4639">
        <v>121.31826049337501</v>
      </c>
      <c r="C4639">
        <v>2001</v>
      </c>
    </row>
    <row r="4640" spans="1:11" x14ac:dyDescent="0.25">
      <c r="A4640">
        <v>147.96404010955399</v>
      </c>
      <c r="B4640">
        <v>128.972983403276</v>
      </c>
      <c r="C4640">
        <v>2001</v>
      </c>
    </row>
    <row r="4641" spans="1:11" x14ac:dyDescent="0.25">
      <c r="A4641">
        <v>150</v>
      </c>
      <c r="B4641">
        <v>131.00894329372201</v>
      </c>
      <c r="C4641">
        <v>2001</v>
      </c>
    </row>
    <row r="4642" spans="1:11" x14ac:dyDescent="0.25">
      <c r="A4642">
        <v>150</v>
      </c>
      <c r="B4642">
        <v>131.88297534262</v>
      </c>
      <c r="C4642">
        <v>2000</v>
      </c>
    </row>
    <row r="4643" spans="1:11" x14ac:dyDescent="0.25">
      <c r="A4643" t="s">
        <v>87</v>
      </c>
    </row>
    <row r="4644" spans="1:11" x14ac:dyDescent="0.25">
      <c r="A4644">
        <v>847</v>
      </c>
      <c r="B4644">
        <v>0</v>
      </c>
      <c r="C4644">
        <v>12.799424617007199</v>
      </c>
      <c r="D4644">
        <v>1.1255795671408499</v>
      </c>
      <c r="E4644">
        <v>6</v>
      </c>
      <c r="F4644">
        <v>1.01722196789785</v>
      </c>
      <c r="G4644" t="s">
        <v>88</v>
      </c>
      <c r="H4644" t="s">
        <v>88</v>
      </c>
      <c r="I4644">
        <v>780</v>
      </c>
      <c r="J4644">
        <v>199</v>
      </c>
      <c r="K4644">
        <v>0.103730452296059</v>
      </c>
    </row>
    <row r="4645" spans="1:11" x14ac:dyDescent="0.25">
      <c r="A4645" t="s">
        <v>86</v>
      </c>
    </row>
    <row r="4646" spans="1:11" x14ac:dyDescent="0.25">
      <c r="A4646">
        <v>135.75556618290301</v>
      </c>
      <c r="B4646">
        <v>63.969531630612899</v>
      </c>
      <c r="C4646">
        <v>2000</v>
      </c>
    </row>
    <row r="4647" spans="1:11" x14ac:dyDescent="0.25">
      <c r="A4647">
        <v>126.705006240931</v>
      </c>
      <c r="B4647">
        <v>54.918971688641001</v>
      </c>
      <c r="C4647">
        <v>2000</v>
      </c>
    </row>
    <row r="4648" spans="1:11" x14ac:dyDescent="0.25">
      <c r="A4648">
        <v>127.14202226538001</v>
      </c>
      <c r="B4648">
        <v>54.481955664192199</v>
      </c>
      <c r="C4648">
        <v>2001</v>
      </c>
    </row>
    <row r="4649" spans="1:11" x14ac:dyDescent="0.25">
      <c r="A4649">
        <v>136.19258220735099</v>
      </c>
      <c r="B4649">
        <v>63.532515606164097</v>
      </c>
      <c r="C4649">
        <v>2001</v>
      </c>
    </row>
    <row r="4650" spans="1:11" x14ac:dyDescent="0.25">
      <c r="A4650">
        <v>136.98848715204201</v>
      </c>
      <c r="B4650">
        <v>64.328420550854403</v>
      </c>
      <c r="C4650">
        <v>2001</v>
      </c>
    </row>
    <row r="4651" spans="1:11" x14ac:dyDescent="0.25">
      <c r="A4651">
        <v>136.551471127593</v>
      </c>
      <c r="B4651">
        <v>64.765436575303198</v>
      </c>
      <c r="C4651">
        <v>2000</v>
      </c>
    </row>
    <row r="4652" spans="1:11" x14ac:dyDescent="0.25">
      <c r="A4652" t="s">
        <v>87</v>
      </c>
    </row>
    <row r="4653" spans="1:11" x14ac:dyDescent="0.25">
      <c r="A4653">
        <v>786</v>
      </c>
      <c r="B4653">
        <v>0</v>
      </c>
      <c r="C4653">
        <v>10.166262703816001</v>
      </c>
      <c r="D4653">
        <v>3.64132660012302</v>
      </c>
      <c r="E4653">
        <v>6</v>
      </c>
      <c r="F4653">
        <v>1.01722196789785</v>
      </c>
      <c r="G4653" t="s">
        <v>88</v>
      </c>
      <c r="H4653" t="s">
        <v>85</v>
      </c>
      <c r="I4653">
        <v>654</v>
      </c>
      <c r="J4653">
        <v>0</v>
      </c>
      <c r="K4653">
        <v>0.102156287543144</v>
      </c>
    </row>
    <row r="4654" spans="1:11" x14ac:dyDescent="0.25">
      <c r="A4654" t="s">
        <v>86</v>
      </c>
    </row>
    <row r="4655" spans="1:11" x14ac:dyDescent="0.25">
      <c r="A4655">
        <v>147.367568507275</v>
      </c>
      <c r="B4655">
        <v>140.33563880894499</v>
      </c>
      <c r="C4655">
        <v>2000</v>
      </c>
    </row>
    <row r="4656" spans="1:11" x14ac:dyDescent="0.25">
      <c r="A4656">
        <v>140.01805195912101</v>
      </c>
      <c r="B4656">
        <v>132.98612226079101</v>
      </c>
      <c r="C4656">
        <v>2000</v>
      </c>
    </row>
    <row r="4657" spans="1:11" x14ac:dyDescent="0.25">
      <c r="A4657">
        <v>140.45506798356999</v>
      </c>
      <c r="B4657">
        <v>132.549106236342</v>
      </c>
      <c r="C4657">
        <v>2001</v>
      </c>
    </row>
    <row r="4658" spans="1:11" x14ac:dyDescent="0.25">
      <c r="A4658">
        <v>147.482818029801</v>
      </c>
      <c r="B4658">
        <v>139.57685628257201</v>
      </c>
      <c r="C4658">
        <v>2001</v>
      </c>
    </row>
    <row r="4659" spans="1:11" x14ac:dyDescent="0.25">
      <c r="A4659">
        <v>150</v>
      </c>
      <c r="B4659">
        <v>142.09403825277101</v>
      </c>
      <c r="C4659">
        <v>2001</v>
      </c>
    </row>
    <row r="4660" spans="1:11" x14ac:dyDescent="0.25">
      <c r="A4660">
        <v>150</v>
      </c>
      <c r="B4660">
        <v>142.968070301669</v>
      </c>
      <c r="C4660">
        <v>2000</v>
      </c>
    </row>
    <row r="4661" spans="1:11" x14ac:dyDescent="0.25">
      <c r="A4661" t="s">
        <v>87</v>
      </c>
    </row>
    <row r="4662" spans="1:11" x14ac:dyDescent="0.25">
      <c r="A4662">
        <v>1016</v>
      </c>
      <c r="B4662">
        <v>0</v>
      </c>
      <c r="C4662">
        <v>7.6736783912403004</v>
      </c>
      <c r="D4662">
        <v>6.0230434136122701</v>
      </c>
      <c r="E4662">
        <v>8</v>
      </c>
      <c r="F4662">
        <v>1.01722196789785</v>
      </c>
      <c r="G4662" t="s">
        <v>85</v>
      </c>
      <c r="H4662" t="s">
        <v>88</v>
      </c>
      <c r="I4662">
        <v>0</v>
      </c>
      <c r="J4662">
        <v>990</v>
      </c>
      <c r="K4662">
        <v>0.112999713672855</v>
      </c>
    </row>
    <row r="4663" spans="1:11" x14ac:dyDescent="0.25">
      <c r="A4663" t="s">
        <v>86</v>
      </c>
    </row>
    <row r="4664" spans="1:11" x14ac:dyDescent="0.25">
      <c r="A4664">
        <v>101.91652025423799</v>
      </c>
      <c r="B4664">
        <v>5.5863176596760704</v>
      </c>
      <c r="C4664">
        <v>2000</v>
      </c>
    </row>
    <row r="4665" spans="1:11" x14ac:dyDescent="0.25">
      <c r="A4665">
        <v>99.693167224690797</v>
      </c>
      <c r="B4665">
        <v>3.3629646301286802</v>
      </c>
      <c r="C4665">
        <v>2000</v>
      </c>
    </row>
    <row r="4666" spans="1:11" x14ac:dyDescent="0.25">
      <c r="A4666">
        <v>96.330202594562195</v>
      </c>
      <c r="B4666">
        <v>0</v>
      </c>
      <c r="C4666">
        <v>2000</v>
      </c>
    </row>
    <row r="4667" spans="1:11" x14ac:dyDescent="0.25">
      <c r="A4667">
        <v>97.204234643459799</v>
      </c>
      <c r="B4667">
        <v>0</v>
      </c>
      <c r="C4667">
        <v>2001</v>
      </c>
    </row>
    <row r="4668" spans="1:11" x14ac:dyDescent="0.25">
      <c r="A4668">
        <v>100.306832775309</v>
      </c>
      <c r="B4668">
        <v>3.1025981318493399</v>
      </c>
      <c r="C4668">
        <v>2001</v>
      </c>
    </row>
    <row r="4669" spans="1:11" x14ac:dyDescent="0.25">
      <c r="A4669">
        <v>102.470137037965</v>
      </c>
      <c r="B4669">
        <v>5.2659023945053098</v>
      </c>
      <c r="C4669">
        <v>2001</v>
      </c>
    </row>
    <row r="4670" spans="1:11" x14ac:dyDescent="0.25">
      <c r="A4670">
        <v>106.670771499472</v>
      </c>
      <c r="B4670">
        <v>9.4665368560124907</v>
      </c>
      <c r="C4670">
        <v>2001</v>
      </c>
    </row>
    <row r="4671" spans="1:11" x14ac:dyDescent="0.25">
      <c r="A4671">
        <v>106.233755475023</v>
      </c>
      <c r="B4671">
        <v>9.9035528804613104</v>
      </c>
      <c r="C4671">
        <v>2000</v>
      </c>
    </row>
    <row r="4672" spans="1:11" x14ac:dyDescent="0.25">
      <c r="A4672" t="s">
        <v>87</v>
      </c>
    </row>
    <row r="4673" spans="1:11" x14ac:dyDescent="0.25">
      <c r="A4673">
        <v>583</v>
      </c>
      <c r="B4673">
        <v>0</v>
      </c>
      <c r="C4673">
        <v>1.0961320548683799</v>
      </c>
      <c r="D4673">
        <v>12.2772299837827</v>
      </c>
      <c r="E4673">
        <v>8</v>
      </c>
      <c r="F4673">
        <v>1.01722196789785</v>
      </c>
      <c r="G4673" t="s">
        <v>88</v>
      </c>
      <c r="H4673" t="s">
        <v>88</v>
      </c>
      <c r="I4673">
        <v>591</v>
      </c>
      <c r="J4673">
        <v>359</v>
      </c>
      <c r="K4673">
        <v>0</v>
      </c>
    </row>
    <row r="4674" spans="1:11" x14ac:dyDescent="0.25">
      <c r="A4674" t="s">
        <v>86</v>
      </c>
    </row>
    <row r="4675" spans="1:11" x14ac:dyDescent="0.25">
      <c r="A4675">
        <v>43.311823963328401</v>
      </c>
      <c r="B4675">
        <v>109.666958556826</v>
      </c>
      <c r="C4675">
        <v>2000</v>
      </c>
    </row>
    <row r="4676" spans="1:11" x14ac:dyDescent="0.25">
      <c r="A4676">
        <v>42.536741554255002</v>
      </c>
      <c r="B4676">
        <v>108.891876147752</v>
      </c>
      <c r="C4676">
        <v>2000</v>
      </c>
    </row>
    <row r="4677" spans="1:11" x14ac:dyDescent="0.25">
      <c r="A4677">
        <v>42.0997255298062</v>
      </c>
      <c r="B4677">
        <v>109.32889217220099</v>
      </c>
      <c r="C4677">
        <v>2001</v>
      </c>
    </row>
    <row r="4678" spans="1:11" x14ac:dyDescent="0.25">
      <c r="A4678">
        <v>42.874807938879499</v>
      </c>
      <c r="B4678">
        <v>110.103974581274</v>
      </c>
      <c r="C4678">
        <v>2001</v>
      </c>
    </row>
    <row r="4679" spans="1:11" x14ac:dyDescent="0.25">
      <c r="A4679">
        <v>49.781491987775603</v>
      </c>
      <c r="B4679">
        <v>117.01065863017</v>
      </c>
      <c r="C4679">
        <v>2001</v>
      </c>
    </row>
    <row r="4680" spans="1:11" x14ac:dyDescent="0.25">
      <c r="A4680">
        <v>51.556120514599101</v>
      </c>
      <c r="B4680">
        <v>118.785287156994</v>
      </c>
      <c r="C4680">
        <v>2001</v>
      </c>
    </row>
    <row r="4681" spans="1:11" x14ac:dyDescent="0.25">
      <c r="A4681">
        <v>51.993136539048002</v>
      </c>
      <c r="B4681">
        <v>118.34827113254499</v>
      </c>
      <c r="C4681">
        <v>2000</v>
      </c>
    </row>
    <row r="4682" spans="1:11" x14ac:dyDescent="0.25">
      <c r="A4682">
        <v>50.218508012224397</v>
      </c>
      <c r="B4682">
        <v>116.573642605722</v>
      </c>
      <c r="C4682">
        <v>2000</v>
      </c>
    </row>
    <row r="4683" spans="1:11" x14ac:dyDescent="0.25">
      <c r="A4683" t="s">
        <v>87</v>
      </c>
    </row>
    <row r="4684" spans="1:11" x14ac:dyDescent="0.25">
      <c r="A4684">
        <v>511</v>
      </c>
      <c r="B4684">
        <v>0</v>
      </c>
      <c r="C4684">
        <v>7.5990400926600596</v>
      </c>
      <c r="D4684">
        <v>5.6775551430318103</v>
      </c>
      <c r="E4684">
        <v>8</v>
      </c>
      <c r="F4684">
        <v>1.01722196789785</v>
      </c>
      <c r="G4684" t="s">
        <v>88</v>
      </c>
      <c r="H4684" t="s">
        <v>88</v>
      </c>
      <c r="I4684">
        <v>486</v>
      </c>
      <c r="J4684">
        <v>575</v>
      </c>
      <c r="K4684">
        <v>0</v>
      </c>
    </row>
    <row r="4685" spans="1:11" x14ac:dyDescent="0.25">
      <c r="A4685" t="s">
        <v>86</v>
      </c>
    </row>
    <row r="4686" spans="1:11" x14ac:dyDescent="0.25">
      <c r="A4686">
        <v>30.419353937455298</v>
      </c>
      <c r="B4686">
        <v>96.294368530299494</v>
      </c>
      <c r="C4686">
        <v>2000</v>
      </c>
    </row>
    <row r="4687" spans="1:11" x14ac:dyDescent="0.25">
      <c r="A4687">
        <v>25.046021157426999</v>
      </c>
      <c r="B4687">
        <v>90.921035750271102</v>
      </c>
      <c r="C4687">
        <v>2000</v>
      </c>
    </row>
    <row r="4688" spans="1:11" x14ac:dyDescent="0.25">
      <c r="A4688">
        <v>24.609005132978101</v>
      </c>
      <c r="B4688">
        <v>91.358051774719996</v>
      </c>
      <c r="C4688">
        <v>2001</v>
      </c>
    </row>
    <row r="4689" spans="1:11" x14ac:dyDescent="0.25">
      <c r="A4689">
        <v>29.9823379130065</v>
      </c>
      <c r="B4689">
        <v>96.731384554748303</v>
      </c>
      <c r="C4689">
        <v>2001</v>
      </c>
    </row>
    <row r="4690" spans="1:11" x14ac:dyDescent="0.25">
      <c r="A4690">
        <v>33.469461370482598</v>
      </c>
      <c r="B4690">
        <v>100.21850801222401</v>
      </c>
      <c r="C4690">
        <v>2001</v>
      </c>
    </row>
    <row r="4691" spans="1:11" x14ac:dyDescent="0.25">
      <c r="A4691">
        <v>33.996975655204899</v>
      </c>
      <c r="B4691">
        <v>100.746022296947</v>
      </c>
      <c r="C4691">
        <v>2001</v>
      </c>
    </row>
    <row r="4692" spans="1:11" x14ac:dyDescent="0.25">
      <c r="A4692">
        <v>34.433991679653701</v>
      </c>
      <c r="B4692">
        <v>100.309006272498</v>
      </c>
      <c r="C4692">
        <v>2000</v>
      </c>
    </row>
    <row r="4693" spans="1:11" x14ac:dyDescent="0.25">
      <c r="A4693">
        <v>33.9064773949314</v>
      </c>
      <c r="B4693">
        <v>99.781491987775595</v>
      </c>
      <c r="C4693">
        <v>2000</v>
      </c>
    </row>
    <row r="4694" spans="1:11" x14ac:dyDescent="0.25">
      <c r="A4694" t="s">
        <v>87</v>
      </c>
    </row>
    <row r="4695" spans="1:11" x14ac:dyDescent="0.25">
      <c r="A4695">
        <v>742</v>
      </c>
      <c r="B4695">
        <v>0</v>
      </c>
      <c r="C4695">
        <v>8.1228228817281103</v>
      </c>
      <c r="D4695">
        <v>5.1416805046205196</v>
      </c>
      <c r="E4695">
        <v>6</v>
      </c>
      <c r="F4695">
        <v>1.01722196789785</v>
      </c>
      <c r="G4695" t="s">
        <v>88</v>
      </c>
      <c r="H4695" t="s">
        <v>88</v>
      </c>
      <c r="I4695">
        <v>32</v>
      </c>
      <c r="J4695">
        <v>38</v>
      </c>
      <c r="K4695">
        <v>0.10038021386068</v>
      </c>
    </row>
    <row r="4696" spans="1:11" x14ac:dyDescent="0.25">
      <c r="A4696" t="s">
        <v>86</v>
      </c>
    </row>
    <row r="4697" spans="1:11" x14ac:dyDescent="0.25">
      <c r="A4697">
        <v>40.719171740910802</v>
      </c>
      <c r="B4697">
        <v>34.8972491230382</v>
      </c>
      <c r="C4697">
        <v>2000</v>
      </c>
    </row>
    <row r="4698" spans="1:11" x14ac:dyDescent="0.25">
      <c r="A4698">
        <v>34.9754685988636</v>
      </c>
      <c r="B4698">
        <v>29.153545980991002</v>
      </c>
      <c r="C4698">
        <v>2000</v>
      </c>
    </row>
    <row r="4699" spans="1:11" x14ac:dyDescent="0.25">
      <c r="A4699">
        <v>34.538452574414698</v>
      </c>
      <c r="B4699">
        <v>29.5905620054398</v>
      </c>
      <c r="C4699">
        <v>2001</v>
      </c>
    </row>
    <row r="4700" spans="1:11" x14ac:dyDescent="0.25">
      <c r="A4700">
        <v>40.282155716462</v>
      </c>
      <c r="B4700">
        <v>35.334265147487002</v>
      </c>
      <c r="C4700">
        <v>2001</v>
      </c>
    </row>
    <row r="4701" spans="1:11" x14ac:dyDescent="0.25">
      <c r="A4701">
        <v>43.917872867973799</v>
      </c>
      <c r="B4701">
        <v>38.969982298998801</v>
      </c>
      <c r="C4701">
        <v>2001</v>
      </c>
    </row>
    <row r="4702" spans="1:11" x14ac:dyDescent="0.25">
      <c r="A4702">
        <v>44.354888892422601</v>
      </c>
      <c r="B4702">
        <v>38.532966274549999</v>
      </c>
      <c r="C4702">
        <v>2000</v>
      </c>
    </row>
    <row r="4703" spans="1:11" x14ac:dyDescent="0.25">
      <c r="A4703" t="s">
        <v>87</v>
      </c>
    </row>
    <row r="4704" spans="1:11" x14ac:dyDescent="0.25">
      <c r="A4704">
        <v>787</v>
      </c>
      <c r="B4704">
        <v>0</v>
      </c>
      <c r="C4704">
        <v>2.6534091838360898</v>
      </c>
      <c r="D4704">
        <v>10.425186565402701</v>
      </c>
      <c r="E4704">
        <v>6</v>
      </c>
      <c r="F4704">
        <v>1.01722196789785</v>
      </c>
      <c r="G4704" t="s">
        <v>88</v>
      </c>
      <c r="H4704" t="s">
        <v>88</v>
      </c>
      <c r="I4704">
        <v>774</v>
      </c>
      <c r="J4704">
        <v>832</v>
      </c>
      <c r="K4704">
        <v>0.102156287543144</v>
      </c>
    </row>
    <row r="4705" spans="1:11" x14ac:dyDescent="0.25">
      <c r="A4705" t="s">
        <v>86</v>
      </c>
    </row>
    <row r="4706" spans="1:11" x14ac:dyDescent="0.25">
      <c r="A4706">
        <v>70.861281828885694</v>
      </c>
      <c r="B4706">
        <v>40.466348830366499</v>
      </c>
      <c r="C4706">
        <v>2000</v>
      </c>
    </row>
    <row r="4707" spans="1:11" x14ac:dyDescent="0.25">
      <c r="A4707">
        <v>68.985038201732607</v>
      </c>
      <c r="B4707">
        <v>38.590105203213298</v>
      </c>
      <c r="C4707">
        <v>2000</v>
      </c>
    </row>
    <row r="4708" spans="1:11" x14ac:dyDescent="0.25">
      <c r="A4708">
        <v>68.548022177283798</v>
      </c>
      <c r="B4708">
        <v>39.0271212276621</v>
      </c>
      <c r="C4708">
        <v>2001</v>
      </c>
    </row>
    <row r="4709" spans="1:11" x14ac:dyDescent="0.25">
      <c r="A4709">
        <v>70.424265804436899</v>
      </c>
      <c r="B4709">
        <v>40.903364854815301</v>
      </c>
      <c r="C4709">
        <v>2001</v>
      </c>
    </row>
    <row r="4710" spans="1:11" x14ac:dyDescent="0.25">
      <c r="A4710">
        <v>77.795985919968103</v>
      </c>
      <c r="B4710">
        <v>48.275084970346398</v>
      </c>
      <c r="C4710">
        <v>2001</v>
      </c>
    </row>
    <row r="4711" spans="1:11" x14ac:dyDescent="0.25">
      <c r="A4711">
        <v>78.233001944416898</v>
      </c>
      <c r="B4711">
        <v>47.838068945897597</v>
      </c>
      <c r="C4711">
        <v>2000</v>
      </c>
    </row>
    <row r="4712" spans="1:11" x14ac:dyDescent="0.25">
      <c r="A4712" t="s">
        <v>87</v>
      </c>
    </row>
    <row r="4713" spans="1:11" x14ac:dyDescent="0.25">
      <c r="A4713">
        <v>31</v>
      </c>
      <c r="B4713">
        <v>0</v>
      </c>
      <c r="C4713">
        <v>9.1737116978391295</v>
      </c>
      <c r="D4713">
        <v>3.8675876900229702</v>
      </c>
      <c r="E4713">
        <v>6</v>
      </c>
      <c r="F4713">
        <v>1.01722196789785</v>
      </c>
      <c r="G4713" t="s">
        <v>85</v>
      </c>
      <c r="H4713" t="s">
        <v>88</v>
      </c>
      <c r="I4713">
        <v>0</v>
      </c>
      <c r="J4713">
        <v>29</v>
      </c>
      <c r="K4713">
        <v>0</v>
      </c>
    </row>
    <row r="4714" spans="1:11" x14ac:dyDescent="0.25">
      <c r="A4714" t="s">
        <v>86</v>
      </c>
    </row>
    <row r="4715" spans="1:11" x14ac:dyDescent="0.25">
      <c r="A4715">
        <v>6.6405000219524402</v>
      </c>
      <c r="B4715">
        <v>13.204092277339299</v>
      </c>
      <c r="C4715">
        <v>2000</v>
      </c>
    </row>
    <row r="4716" spans="1:11" x14ac:dyDescent="0.25">
      <c r="A4716">
        <v>0</v>
      </c>
      <c r="B4716">
        <v>6.5635922553868999</v>
      </c>
      <c r="C4716">
        <v>2000</v>
      </c>
    </row>
    <row r="4717" spans="1:11" x14ac:dyDescent="0.25">
      <c r="A4717">
        <v>0</v>
      </c>
      <c r="B4717">
        <v>7.4376243042845402</v>
      </c>
      <c r="C4717">
        <v>2001</v>
      </c>
    </row>
    <row r="4718" spans="1:11" x14ac:dyDescent="0.25">
      <c r="A4718">
        <v>6.3330874784323798</v>
      </c>
      <c r="B4718">
        <v>13.7707117827169</v>
      </c>
      <c r="C4718">
        <v>2001</v>
      </c>
    </row>
    <row r="4719" spans="1:11" x14ac:dyDescent="0.25">
      <c r="A4719">
        <v>9.00308322041686</v>
      </c>
      <c r="B4719">
        <v>16.440707524701399</v>
      </c>
      <c r="C4719">
        <v>2001</v>
      </c>
    </row>
    <row r="4720" spans="1:11" x14ac:dyDescent="0.25">
      <c r="A4720">
        <v>9.4400992448656798</v>
      </c>
      <c r="B4720">
        <v>16.0036915002526</v>
      </c>
      <c r="C4720">
        <v>2000</v>
      </c>
    </row>
    <row r="4721" spans="1:11" x14ac:dyDescent="0.25">
      <c r="A4721" t="s">
        <v>87</v>
      </c>
    </row>
    <row r="4722" spans="1:11" x14ac:dyDescent="0.25">
      <c r="A4722">
        <v>423</v>
      </c>
      <c r="B4722">
        <v>0</v>
      </c>
      <c r="C4722">
        <v>10.539439099584399</v>
      </c>
      <c r="D4722">
        <v>2.4582695924938598</v>
      </c>
      <c r="E4722">
        <v>6</v>
      </c>
      <c r="F4722">
        <v>1.01722196789785</v>
      </c>
      <c r="G4722" t="s">
        <v>85</v>
      </c>
      <c r="H4722" t="s">
        <v>88</v>
      </c>
      <c r="I4722">
        <v>0</v>
      </c>
      <c r="J4722">
        <v>429</v>
      </c>
      <c r="K4722">
        <v>0</v>
      </c>
    </row>
    <row r="4723" spans="1:11" x14ac:dyDescent="0.25">
      <c r="A4723" t="s">
        <v>86</v>
      </c>
    </row>
    <row r="4724" spans="1:11" x14ac:dyDescent="0.25">
      <c r="A4724">
        <v>121.421551894911</v>
      </c>
      <c r="B4724">
        <v>7.6296902314262303</v>
      </c>
      <c r="C4724">
        <v>2000</v>
      </c>
    </row>
    <row r="4725" spans="1:11" x14ac:dyDescent="0.25">
      <c r="A4725">
        <v>113.79186166348499</v>
      </c>
      <c r="B4725">
        <v>0</v>
      </c>
      <c r="C4725">
        <v>2000</v>
      </c>
    </row>
    <row r="4726" spans="1:11" x14ac:dyDescent="0.25">
      <c r="A4726">
        <v>114.665893712382</v>
      </c>
      <c r="B4726">
        <v>0</v>
      </c>
      <c r="C4726">
        <v>2001</v>
      </c>
    </row>
    <row r="4727" spans="1:11" x14ac:dyDescent="0.25">
      <c r="A4727">
        <v>121.941221195393</v>
      </c>
      <c r="B4727">
        <v>7.2753274830113499</v>
      </c>
      <c r="C4727">
        <v>2001</v>
      </c>
    </row>
    <row r="4728" spans="1:11" x14ac:dyDescent="0.25">
      <c r="A4728">
        <v>123.638153656214</v>
      </c>
      <c r="B4728">
        <v>8.9722599438314798</v>
      </c>
      <c r="C4728">
        <v>2001</v>
      </c>
    </row>
    <row r="4729" spans="1:11" x14ac:dyDescent="0.25">
      <c r="A4729">
        <v>123.20113763176499</v>
      </c>
      <c r="B4729">
        <v>9.4092759682802996</v>
      </c>
      <c r="C4729">
        <v>2000</v>
      </c>
    </row>
    <row r="4730" spans="1:11" x14ac:dyDescent="0.25">
      <c r="A4730" t="s">
        <v>87</v>
      </c>
    </row>
    <row r="4731" spans="1:11" x14ac:dyDescent="0.25">
      <c r="A4731">
        <v>29</v>
      </c>
      <c r="B4731">
        <v>0</v>
      </c>
      <c r="C4731">
        <v>3.8014604583159399</v>
      </c>
      <c r="D4731">
        <v>8.7892887806486399</v>
      </c>
      <c r="E4731">
        <v>6</v>
      </c>
      <c r="F4731">
        <v>1.01722196789785</v>
      </c>
      <c r="G4731" t="s">
        <v>88</v>
      </c>
      <c r="H4731" t="s">
        <v>88</v>
      </c>
      <c r="I4731">
        <v>31</v>
      </c>
      <c r="J4731">
        <v>833</v>
      </c>
      <c r="K4731">
        <v>0</v>
      </c>
    </row>
    <row r="4732" spans="1:11" x14ac:dyDescent="0.25">
      <c r="A4732" t="s">
        <v>86</v>
      </c>
    </row>
    <row r="4733" spans="1:11" x14ac:dyDescent="0.25">
      <c r="A4733">
        <v>12.2783663660608</v>
      </c>
      <c r="B4733">
        <v>18.5415013160329</v>
      </c>
      <c r="C4733">
        <v>2000</v>
      </c>
    </row>
    <row r="4734" spans="1:11" x14ac:dyDescent="0.25">
      <c r="A4734">
        <v>9.5903278975730792</v>
      </c>
      <c r="B4734">
        <v>15.853462847545201</v>
      </c>
      <c r="C4734">
        <v>2000</v>
      </c>
    </row>
    <row r="4735" spans="1:11" x14ac:dyDescent="0.25">
      <c r="A4735">
        <v>9.1533118731242595</v>
      </c>
      <c r="B4735">
        <v>16.290478871994001</v>
      </c>
      <c r="C4735">
        <v>2001</v>
      </c>
    </row>
    <row r="4736" spans="1:11" x14ac:dyDescent="0.25">
      <c r="A4736">
        <v>11.841350341611999</v>
      </c>
      <c r="B4736">
        <v>18.978517340481702</v>
      </c>
      <c r="C4736">
        <v>2001</v>
      </c>
    </row>
    <row r="4737" spans="1:11" x14ac:dyDescent="0.25">
      <c r="A4737">
        <v>18.056316040215499</v>
      </c>
      <c r="B4737">
        <v>25.193483039085201</v>
      </c>
      <c r="C4737">
        <v>2001</v>
      </c>
    </row>
    <row r="4738" spans="1:11" x14ac:dyDescent="0.25">
      <c r="A4738">
        <v>18.493332064664301</v>
      </c>
      <c r="B4738">
        <v>24.756467014636399</v>
      </c>
      <c r="C4738">
        <v>2000</v>
      </c>
    </row>
    <row r="4739" spans="1:11" x14ac:dyDescent="0.25">
      <c r="A4739" t="s">
        <v>87</v>
      </c>
    </row>
    <row r="4740" spans="1:11" x14ac:dyDescent="0.25">
      <c r="A4740">
        <v>920</v>
      </c>
      <c r="B4740">
        <v>0</v>
      </c>
      <c r="C4740">
        <v>11.2909854694585</v>
      </c>
      <c r="D4740">
        <v>1.09494056620359</v>
      </c>
      <c r="E4740">
        <v>6</v>
      </c>
      <c r="F4740">
        <v>1.01722196789785</v>
      </c>
      <c r="G4740" t="s">
        <v>85</v>
      </c>
      <c r="H4740" t="s">
        <v>88</v>
      </c>
      <c r="I4740">
        <v>0</v>
      </c>
      <c r="J4740">
        <v>798</v>
      </c>
      <c r="K4740">
        <v>0.105605243465119</v>
      </c>
    </row>
    <row r="4741" spans="1:11" x14ac:dyDescent="0.25">
      <c r="A4741" t="s">
        <v>86</v>
      </c>
    </row>
    <row r="4742" spans="1:11" x14ac:dyDescent="0.25">
      <c r="A4742">
        <v>8.1831238598461802</v>
      </c>
      <c r="B4742">
        <v>88.015890164501201</v>
      </c>
      <c r="C4742">
        <v>2000</v>
      </c>
    </row>
    <row r="4743" spans="1:11" x14ac:dyDescent="0.25">
      <c r="A4743">
        <v>0</v>
      </c>
      <c r="B4743">
        <v>79.832766304654996</v>
      </c>
      <c r="C4743">
        <v>2000</v>
      </c>
    </row>
    <row r="4744" spans="1:11" x14ac:dyDescent="0.25">
      <c r="A4744">
        <v>0</v>
      </c>
      <c r="B4744">
        <v>80.7067983535526</v>
      </c>
      <c r="C4744">
        <v>2001</v>
      </c>
    </row>
    <row r="4745" spans="1:11" x14ac:dyDescent="0.25">
      <c r="A4745">
        <v>7.7847409236196103</v>
      </c>
      <c r="B4745">
        <v>88.491539277172194</v>
      </c>
      <c r="C4745">
        <v>2001</v>
      </c>
    </row>
    <row r="4746" spans="1:11" x14ac:dyDescent="0.25">
      <c r="A4746">
        <v>8.5396642788672796</v>
      </c>
      <c r="B4746">
        <v>89.246462632419906</v>
      </c>
      <c r="C4746">
        <v>2001</v>
      </c>
    </row>
    <row r="4747" spans="1:11" x14ac:dyDescent="0.25">
      <c r="A4747">
        <v>8.9766803033160993</v>
      </c>
      <c r="B4747">
        <v>88.809446607971097</v>
      </c>
      <c r="C4747">
        <v>2000</v>
      </c>
    </row>
    <row r="4748" spans="1:11" x14ac:dyDescent="0.25">
      <c r="A4748" t="s">
        <v>87</v>
      </c>
    </row>
    <row r="4749" spans="1:11" x14ac:dyDescent="0.25">
      <c r="A4749">
        <v>428</v>
      </c>
      <c r="B4749">
        <v>0</v>
      </c>
      <c r="C4749">
        <v>8.3245652265693497</v>
      </c>
      <c r="D4749">
        <v>4.0508131644449001</v>
      </c>
      <c r="E4749">
        <v>6</v>
      </c>
      <c r="F4749">
        <v>1.01722196789785</v>
      </c>
      <c r="G4749" t="s">
        <v>88</v>
      </c>
      <c r="H4749" t="s">
        <v>88</v>
      </c>
      <c r="I4749">
        <v>872</v>
      </c>
      <c r="J4749">
        <v>401</v>
      </c>
      <c r="K4749">
        <v>0</v>
      </c>
    </row>
    <row r="4750" spans="1:11" x14ac:dyDescent="0.25">
      <c r="A4750" t="s">
        <v>86</v>
      </c>
    </row>
    <row r="4751" spans="1:11" x14ac:dyDescent="0.25">
      <c r="A4751">
        <v>138.70904920889001</v>
      </c>
      <c r="B4751">
        <v>23.5874441250124</v>
      </c>
      <c r="C4751">
        <v>2000</v>
      </c>
    </row>
    <row r="4752" spans="1:11" x14ac:dyDescent="0.25">
      <c r="A4752">
        <v>132.82269268675299</v>
      </c>
      <c r="B4752">
        <v>17.7010876028755</v>
      </c>
      <c r="C4752">
        <v>2000</v>
      </c>
    </row>
    <row r="4753" spans="1:11" x14ac:dyDescent="0.25">
      <c r="A4753">
        <v>133.25970871120199</v>
      </c>
      <c r="B4753">
        <v>17.264071578426702</v>
      </c>
      <c r="C4753">
        <v>2001</v>
      </c>
    </row>
    <row r="4754" spans="1:11" x14ac:dyDescent="0.25">
      <c r="A4754">
        <v>139.14606523333899</v>
      </c>
      <c r="B4754">
        <v>23.150428100563602</v>
      </c>
      <c r="C4754">
        <v>2001</v>
      </c>
    </row>
    <row r="4755" spans="1:11" x14ac:dyDescent="0.25">
      <c r="A4755">
        <v>142.01042269123801</v>
      </c>
      <c r="B4755">
        <v>26.0147855584623</v>
      </c>
      <c r="C4755">
        <v>2001</v>
      </c>
    </row>
    <row r="4756" spans="1:11" x14ac:dyDescent="0.25">
      <c r="A4756">
        <v>141.573406666789</v>
      </c>
      <c r="B4756">
        <v>26.451801582911099</v>
      </c>
      <c r="C4756">
        <v>2000</v>
      </c>
    </row>
    <row r="4757" spans="1:11" x14ac:dyDescent="0.25">
      <c r="A4757" t="s">
        <v>87</v>
      </c>
    </row>
    <row r="4758" spans="1:11" x14ac:dyDescent="0.25">
      <c r="A4758">
        <v>38</v>
      </c>
      <c r="B4758">
        <v>0</v>
      </c>
      <c r="C4758">
        <v>5.1681631272219004</v>
      </c>
      <c r="D4758">
        <v>7.0856372122881401</v>
      </c>
      <c r="E4758">
        <v>8</v>
      </c>
      <c r="F4758">
        <v>1.01722196789785</v>
      </c>
      <c r="G4758" t="s">
        <v>88</v>
      </c>
      <c r="H4758" t="s">
        <v>88</v>
      </c>
      <c r="I4758">
        <v>742</v>
      </c>
      <c r="J4758">
        <v>108</v>
      </c>
      <c r="K4758">
        <v>0</v>
      </c>
    </row>
    <row r="4759" spans="1:11" x14ac:dyDescent="0.25">
      <c r="A4759" t="s">
        <v>86</v>
      </c>
    </row>
    <row r="4760" spans="1:11" x14ac:dyDescent="0.25">
      <c r="A4760">
        <v>47.838498123385101</v>
      </c>
      <c r="B4760">
        <v>42.358243430661297</v>
      </c>
      <c r="C4760">
        <v>2000</v>
      </c>
    </row>
    <row r="4761" spans="1:11" x14ac:dyDescent="0.25">
      <c r="A4761">
        <v>44.184054929848202</v>
      </c>
      <c r="B4761">
        <v>38.703800237124497</v>
      </c>
      <c r="C4761">
        <v>2000</v>
      </c>
    </row>
    <row r="4762" spans="1:11" x14ac:dyDescent="0.25">
      <c r="A4762">
        <v>44.621070954296997</v>
      </c>
      <c r="B4762">
        <v>38.266784212675603</v>
      </c>
      <c r="C4762">
        <v>2001</v>
      </c>
    </row>
    <row r="4763" spans="1:11" x14ac:dyDescent="0.25">
      <c r="A4763">
        <v>48.275514147833903</v>
      </c>
      <c r="B4763">
        <v>41.921227406212502</v>
      </c>
      <c r="C4763">
        <v>2001</v>
      </c>
    </row>
    <row r="4764" spans="1:11" x14ac:dyDescent="0.25">
      <c r="A4764">
        <v>50.218508012224397</v>
      </c>
      <c r="B4764">
        <v>43.864221270603103</v>
      </c>
      <c r="C4764">
        <v>2001</v>
      </c>
    </row>
    <row r="4765" spans="1:11" x14ac:dyDescent="0.25">
      <c r="A4765">
        <v>53.285816269670597</v>
      </c>
      <c r="B4765">
        <v>46.931529528049197</v>
      </c>
      <c r="C4765">
        <v>2001</v>
      </c>
    </row>
    <row r="4766" spans="1:11" x14ac:dyDescent="0.25">
      <c r="A4766">
        <v>52.848800245221703</v>
      </c>
      <c r="B4766">
        <v>47.368545552497999</v>
      </c>
      <c r="C4766">
        <v>2000</v>
      </c>
    </row>
    <row r="4767" spans="1:11" x14ac:dyDescent="0.25">
      <c r="A4767">
        <v>49.781491987775603</v>
      </c>
      <c r="B4767">
        <v>44.301237295051898</v>
      </c>
      <c r="C4767">
        <v>2000</v>
      </c>
    </row>
    <row r="4768" spans="1:11" x14ac:dyDescent="0.25">
      <c r="A4768" t="s">
        <v>87</v>
      </c>
    </row>
    <row r="4769" spans="1:11" x14ac:dyDescent="0.25">
      <c r="A4769">
        <v>276</v>
      </c>
      <c r="B4769">
        <v>0</v>
      </c>
      <c r="C4769">
        <v>5.9295563035065904</v>
      </c>
      <c r="D4769">
        <v>6.18025711115531</v>
      </c>
      <c r="E4769">
        <v>6</v>
      </c>
      <c r="F4769">
        <v>1.01722196789785</v>
      </c>
      <c r="G4769" t="s">
        <v>88</v>
      </c>
      <c r="H4769" t="s">
        <v>88</v>
      </c>
      <c r="I4769">
        <v>253</v>
      </c>
      <c r="J4769">
        <v>987</v>
      </c>
      <c r="K4769">
        <v>0</v>
      </c>
    </row>
    <row r="4770" spans="1:11" x14ac:dyDescent="0.25">
      <c r="A4770" t="s">
        <v>86</v>
      </c>
    </row>
    <row r="4771" spans="1:11" x14ac:dyDescent="0.25">
      <c r="A4771">
        <v>63.834142636891698</v>
      </c>
      <c r="B4771">
        <v>22.620733449994699</v>
      </c>
      <c r="C4771">
        <v>2000</v>
      </c>
    </row>
    <row r="4772" spans="1:11" x14ac:dyDescent="0.25">
      <c r="A4772">
        <v>59.6413131652548</v>
      </c>
      <c r="B4772">
        <v>18.427903978357801</v>
      </c>
      <c r="C4772">
        <v>2000</v>
      </c>
    </row>
    <row r="4773" spans="1:11" x14ac:dyDescent="0.25">
      <c r="A4773">
        <v>59.204297140805899</v>
      </c>
      <c r="B4773">
        <v>18.864920002806599</v>
      </c>
      <c r="C4773">
        <v>2001</v>
      </c>
    </row>
    <row r="4774" spans="1:11" x14ac:dyDescent="0.25">
      <c r="A4774">
        <v>63.397126612442896</v>
      </c>
      <c r="B4774">
        <v>23.0577494744436</v>
      </c>
      <c r="C4774">
        <v>2001</v>
      </c>
    </row>
    <row r="4775" spans="1:11" x14ac:dyDescent="0.25">
      <c r="A4775">
        <v>67.767228325217204</v>
      </c>
      <c r="B4775">
        <v>27.4278511872179</v>
      </c>
      <c r="C4775">
        <v>2001</v>
      </c>
    </row>
    <row r="4776" spans="1:11" x14ac:dyDescent="0.25">
      <c r="A4776">
        <v>68.204244349665998</v>
      </c>
      <c r="B4776">
        <v>26.990835162768999</v>
      </c>
      <c r="C4776">
        <v>2000</v>
      </c>
    </row>
    <row r="4777" spans="1:11" x14ac:dyDescent="0.25">
      <c r="A4777" t="s">
        <v>87</v>
      </c>
    </row>
    <row r="4778" spans="1:11" x14ac:dyDescent="0.25">
      <c r="A4778">
        <v>28</v>
      </c>
      <c r="B4778">
        <v>0</v>
      </c>
      <c r="C4778">
        <v>0.33075692627501901</v>
      </c>
      <c r="D4778">
        <v>11.587193866666899</v>
      </c>
      <c r="E4778">
        <v>6</v>
      </c>
      <c r="F4778">
        <v>1.01722196789785</v>
      </c>
      <c r="G4778" t="s">
        <v>88</v>
      </c>
      <c r="H4778" t="s">
        <v>88</v>
      </c>
      <c r="I4778">
        <v>13</v>
      </c>
      <c r="J4778">
        <v>514</v>
      </c>
      <c r="K4778">
        <v>0</v>
      </c>
    </row>
    <row r="4779" spans="1:11" x14ac:dyDescent="0.25">
      <c r="A4779" t="s">
        <v>86</v>
      </c>
    </row>
    <row r="4780" spans="1:11" x14ac:dyDescent="0.25">
      <c r="A4780">
        <v>3.33385844078113</v>
      </c>
      <c r="B4780">
        <v>38.036060591715199</v>
      </c>
      <c r="C4780">
        <v>2000</v>
      </c>
    </row>
    <row r="4781" spans="1:11" x14ac:dyDescent="0.25">
      <c r="A4781">
        <v>3.0999779752876502</v>
      </c>
      <c r="B4781">
        <v>37.8021801262217</v>
      </c>
      <c r="C4781">
        <v>2000</v>
      </c>
    </row>
    <row r="4782" spans="1:11" x14ac:dyDescent="0.25">
      <c r="A4782">
        <v>2.66296195083883</v>
      </c>
      <c r="B4782">
        <v>38.239196150670601</v>
      </c>
      <c r="C4782">
        <v>2001</v>
      </c>
    </row>
    <row r="4783" spans="1:11" x14ac:dyDescent="0.25">
      <c r="A4783">
        <v>2.8968424163323099</v>
      </c>
      <c r="B4783">
        <v>38.4730766161641</v>
      </c>
      <c r="C4783">
        <v>2001</v>
      </c>
    </row>
    <row r="4784" spans="1:11" x14ac:dyDescent="0.25">
      <c r="A4784">
        <v>11.0902257743756</v>
      </c>
      <c r="B4784">
        <v>46.666459974207399</v>
      </c>
      <c r="C4784">
        <v>2001</v>
      </c>
    </row>
    <row r="4785" spans="1:11" x14ac:dyDescent="0.25">
      <c r="A4785">
        <v>11.5272417988245</v>
      </c>
      <c r="B4785">
        <v>46.229443949758597</v>
      </c>
      <c r="C4785">
        <v>2000</v>
      </c>
    </row>
    <row r="4786" spans="1:11" x14ac:dyDescent="0.25">
      <c r="A4786" t="s">
        <v>87</v>
      </c>
    </row>
    <row r="4787" spans="1:11" x14ac:dyDescent="0.25">
      <c r="A4787">
        <v>983</v>
      </c>
      <c r="B4787">
        <v>0</v>
      </c>
      <c r="C4787">
        <v>11.169278673501401</v>
      </c>
      <c r="D4787">
        <v>0.60422084252833497</v>
      </c>
      <c r="E4787">
        <v>6</v>
      </c>
      <c r="F4787">
        <v>1.01722196789785</v>
      </c>
      <c r="G4787" t="s">
        <v>85</v>
      </c>
      <c r="H4787" t="s">
        <v>85</v>
      </c>
      <c r="I4787">
        <v>0</v>
      </c>
      <c r="J4787">
        <v>0</v>
      </c>
      <c r="K4787">
        <v>0.110478681847414</v>
      </c>
    </row>
    <row r="4788" spans="1:11" x14ac:dyDescent="0.25">
      <c r="A4788" t="s">
        <v>86</v>
      </c>
    </row>
    <row r="4789" spans="1:11" x14ac:dyDescent="0.25">
      <c r="A4789">
        <v>8.3124608731417595</v>
      </c>
      <c r="B4789">
        <v>149.550323502612</v>
      </c>
      <c r="C4789">
        <v>2000</v>
      </c>
    </row>
    <row r="4790" spans="1:11" x14ac:dyDescent="0.25">
      <c r="A4790">
        <v>0</v>
      </c>
      <c r="B4790">
        <v>141.23786262946999</v>
      </c>
      <c r="C4790">
        <v>2000</v>
      </c>
    </row>
    <row r="4791" spans="1:11" x14ac:dyDescent="0.25">
      <c r="A4791">
        <v>0</v>
      </c>
      <c r="B4791">
        <v>142.111894678368</v>
      </c>
      <c r="C4791">
        <v>2001</v>
      </c>
    </row>
    <row r="4792" spans="1:11" x14ac:dyDescent="0.25">
      <c r="A4792">
        <v>7.4832845088485502</v>
      </c>
      <c r="B4792">
        <v>149.59517918721599</v>
      </c>
      <c r="C4792">
        <v>2001</v>
      </c>
    </row>
    <row r="4793" spans="1:11" x14ac:dyDescent="0.25">
      <c r="A4793">
        <v>7.8881053216323602</v>
      </c>
      <c r="B4793">
        <v>150</v>
      </c>
      <c r="C4793">
        <v>2001</v>
      </c>
    </row>
    <row r="4794" spans="1:11" x14ac:dyDescent="0.25">
      <c r="A4794">
        <v>8.7621373705300201</v>
      </c>
      <c r="B4794">
        <v>150</v>
      </c>
      <c r="C4794">
        <v>2000</v>
      </c>
    </row>
    <row r="4795" spans="1:11" x14ac:dyDescent="0.25">
      <c r="A4795" t="s">
        <v>87</v>
      </c>
    </row>
    <row r="4796" spans="1:11" x14ac:dyDescent="0.25">
      <c r="A4796">
        <v>931</v>
      </c>
      <c r="B4796">
        <v>0</v>
      </c>
      <c r="C4796">
        <v>10.9310469049052</v>
      </c>
      <c r="D4796">
        <v>0.82960516509402304</v>
      </c>
      <c r="E4796">
        <v>6</v>
      </c>
      <c r="F4796">
        <v>1.01722196789785</v>
      </c>
      <c r="G4796" t="s">
        <v>85</v>
      </c>
      <c r="H4796" t="s">
        <v>85</v>
      </c>
      <c r="I4796">
        <v>0</v>
      </c>
      <c r="J4796">
        <v>0</v>
      </c>
      <c r="K4796">
        <v>0.105939460879158</v>
      </c>
    </row>
    <row r="4797" spans="1:11" x14ac:dyDescent="0.25">
      <c r="A4797" t="s">
        <v>86</v>
      </c>
    </row>
    <row r="4798" spans="1:11" x14ac:dyDescent="0.25">
      <c r="A4798">
        <v>149.44420799823399</v>
      </c>
      <c r="B4798">
        <v>7.3232288036569004</v>
      </c>
      <c r="C4798">
        <v>2000</v>
      </c>
    </row>
    <row r="4799" spans="1:11" x14ac:dyDescent="0.25">
      <c r="A4799">
        <v>142.12097919457699</v>
      </c>
      <c r="B4799">
        <v>0</v>
      </c>
      <c r="C4799">
        <v>2000</v>
      </c>
    </row>
    <row r="4800" spans="1:11" x14ac:dyDescent="0.25">
      <c r="A4800">
        <v>141.246947145679</v>
      </c>
      <c r="B4800">
        <v>0</v>
      </c>
      <c r="C4800">
        <v>2001</v>
      </c>
    </row>
    <row r="4801" spans="1:11" x14ac:dyDescent="0.25">
      <c r="A4801">
        <v>149.382553125876</v>
      </c>
      <c r="B4801">
        <v>8.1356059801965106</v>
      </c>
      <c r="C4801">
        <v>2001</v>
      </c>
    </row>
    <row r="4802" spans="1:11" x14ac:dyDescent="0.25">
      <c r="A4802">
        <v>150</v>
      </c>
      <c r="B4802">
        <v>8.7530528543209094</v>
      </c>
      <c r="C4802">
        <v>2001</v>
      </c>
    </row>
    <row r="4803" spans="1:11" x14ac:dyDescent="0.25">
      <c r="A4803">
        <v>150</v>
      </c>
      <c r="B4803">
        <v>7.8790208054232496</v>
      </c>
      <c r="C4803">
        <v>2000</v>
      </c>
    </row>
    <row r="4804" spans="1:11" x14ac:dyDescent="0.25">
      <c r="A4804" t="s">
        <v>87</v>
      </c>
    </row>
    <row r="4805" spans="1:11" x14ac:dyDescent="0.25">
      <c r="A4805">
        <v>271</v>
      </c>
      <c r="B4805">
        <v>0</v>
      </c>
      <c r="C4805">
        <v>5.3491075677112603</v>
      </c>
      <c r="D4805">
        <v>6.4086108112306599</v>
      </c>
      <c r="E4805">
        <v>6</v>
      </c>
      <c r="F4805">
        <v>1.01722196789785</v>
      </c>
      <c r="G4805" t="s">
        <v>88</v>
      </c>
      <c r="H4805" t="s">
        <v>88</v>
      </c>
      <c r="I4805">
        <v>252</v>
      </c>
      <c r="J4805">
        <v>104</v>
      </c>
      <c r="K4805">
        <v>0</v>
      </c>
    </row>
    <row r="4806" spans="1:11" x14ac:dyDescent="0.25">
      <c r="A4806" t="s">
        <v>86</v>
      </c>
    </row>
    <row r="4807" spans="1:11" x14ac:dyDescent="0.25">
      <c r="A4807">
        <v>62.659494716510999</v>
      </c>
      <c r="B4807">
        <v>41.255913958077102</v>
      </c>
      <c r="C4807">
        <v>2000</v>
      </c>
    </row>
    <row r="4808" spans="1:11" x14ac:dyDescent="0.25">
      <c r="A4808">
        <v>58.877104482086096</v>
      </c>
      <c r="B4808">
        <v>37.4735237236522</v>
      </c>
      <c r="C4808">
        <v>2000</v>
      </c>
    </row>
    <row r="4809" spans="1:11" x14ac:dyDescent="0.25">
      <c r="A4809">
        <v>58.440088457637302</v>
      </c>
      <c r="B4809">
        <v>37.910539748101002</v>
      </c>
      <c r="C4809">
        <v>2001</v>
      </c>
    </row>
    <row r="4810" spans="1:11" x14ac:dyDescent="0.25">
      <c r="A4810">
        <v>62.222478692062197</v>
      </c>
      <c r="B4810">
        <v>41.692929982525897</v>
      </c>
      <c r="C4810">
        <v>2001</v>
      </c>
    </row>
    <row r="4811" spans="1:11" x14ac:dyDescent="0.25">
      <c r="A4811">
        <v>66.754050854668904</v>
      </c>
      <c r="B4811">
        <v>46.224502145132497</v>
      </c>
      <c r="C4811">
        <v>2001</v>
      </c>
    </row>
    <row r="4812" spans="1:11" x14ac:dyDescent="0.25">
      <c r="A4812">
        <v>67.191066879117699</v>
      </c>
      <c r="B4812">
        <v>45.787486120683702</v>
      </c>
      <c r="C4812">
        <v>2000</v>
      </c>
    </row>
    <row r="4813" spans="1:11" x14ac:dyDescent="0.25">
      <c r="A4813" t="s">
        <v>87</v>
      </c>
    </row>
    <row r="4814" spans="1:11" x14ac:dyDescent="0.25">
      <c r="A4814">
        <v>889</v>
      </c>
      <c r="B4814">
        <v>0</v>
      </c>
      <c r="C4814">
        <v>7.9760525045154402</v>
      </c>
      <c r="D4814">
        <v>3.6914677706245902</v>
      </c>
      <c r="E4814">
        <v>6</v>
      </c>
      <c r="F4814">
        <v>1.01722196789785</v>
      </c>
      <c r="G4814" t="s">
        <v>88</v>
      </c>
      <c r="H4814" t="s">
        <v>88</v>
      </c>
      <c r="I4814">
        <v>23</v>
      </c>
      <c r="J4814">
        <v>769</v>
      </c>
      <c r="K4814">
        <v>0.104714434237089</v>
      </c>
    </row>
    <row r="4815" spans="1:11" x14ac:dyDescent="0.25">
      <c r="A4815" t="s">
        <v>86</v>
      </c>
    </row>
    <row r="4816" spans="1:11" x14ac:dyDescent="0.25">
      <c r="A4816">
        <v>19.162738137949798</v>
      </c>
      <c r="B4816">
        <v>45.350204018112201</v>
      </c>
      <c r="C4816">
        <v>2000</v>
      </c>
    </row>
    <row r="4817" spans="1:11" x14ac:dyDescent="0.25">
      <c r="A4817">
        <v>13.522817324907001</v>
      </c>
      <c r="B4817">
        <v>39.710283205069402</v>
      </c>
      <c r="C4817">
        <v>2000</v>
      </c>
    </row>
    <row r="4818" spans="1:11" x14ac:dyDescent="0.25">
      <c r="A4818">
        <v>13.085801300458099</v>
      </c>
      <c r="B4818">
        <v>40.147299229518197</v>
      </c>
      <c r="C4818">
        <v>2001</v>
      </c>
    </row>
    <row r="4819" spans="1:11" x14ac:dyDescent="0.25">
      <c r="A4819">
        <v>18.725722113501</v>
      </c>
      <c r="B4819">
        <v>45.787220042561003</v>
      </c>
      <c r="C4819">
        <v>2001</v>
      </c>
    </row>
    <row r="4820" spans="1:11" x14ac:dyDescent="0.25">
      <c r="A4820">
        <v>21.335984006641201</v>
      </c>
      <c r="B4820">
        <v>48.397481935701201</v>
      </c>
      <c r="C4820">
        <v>2001</v>
      </c>
    </row>
    <row r="4821" spans="1:11" x14ac:dyDescent="0.25">
      <c r="A4821">
        <v>21.77300003109</v>
      </c>
      <c r="B4821">
        <v>47.960465911252399</v>
      </c>
      <c r="C4821">
        <v>2000</v>
      </c>
    </row>
    <row r="4822" spans="1:11" x14ac:dyDescent="0.25">
      <c r="A4822" t="s">
        <v>87</v>
      </c>
    </row>
    <row r="4823" spans="1:11" x14ac:dyDescent="0.25">
      <c r="A4823">
        <v>969</v>
      </c>
      <c r="B4823">
        <v>0</v>
      </c>
      <c r="C4823">
        <v>3.3656250681876498</v>
      </c>
      <c r="D4823">
        <v>8.2868042676401394</v>
      </c>
      <c r="E4823">
        <v>6</v>
      </c>
      <c r="F4823">
        <v>1.01722196789785</v>
      </c>
      <c r="G4823" t="s">
        <v>88</v>
      </c>
      <c r="H4823" t="s">
        <v>88</v>
      </c>
      <c r="I4823">
        <v>586</v>
      </c>
      <c r="J4823">
        <v>729</v>
      </c>
      <c r="K4823">
        <v>0.108649319452988</v>
      </c>
    </row>
    <row r="4824" spans="1:11" x14ac:dyDescent="0.25">
      <c r="A4824" t="s">
        <v>86</v>
      </c>
    </row>
    <row r="4825" spans="1:11" x14ac:dyDescent="0.25">
      <c r="A4825">
        <v>22.976298400185399</v>
      </c>
      <c r="B4825">
        <v>123.58913963688499</v>
      </c>
      <c r="C4825">
        <v>2000</v>
      </c>
    </row>
    <row r="4826" spans="1:11" x14ac:dyDescent="0.25">
      <c r="A4826">
        <v>20.596442091538499</v>
      </c>
      <c r="B4826">
        <v>121.209283328238</v>
      </c>
      <c r="C4826">
        <v>2000</v>
      </c>
    </row>
    <row r="4827" spans="1:11" x14ac:dyDescent="0.25">
      <c r="A4827">
        <v>20.159426067089601</v>
      </c>
      <c r="B4827">
        <v>121.646299352687</v>
      </c>
      <c r="C4827">
        <v>2001</v>
      </c>
    </row>
    <row r="4828" spans="1:11" x14ac:dyDescent="0.25">
      <c r="A4828">
        <v>22.539282375736601</v>
      </c>
      <c r="B4828">
        <v>124.026155661334</v>
      </c>
      <c r="C4828">
        <v>2001</v>
      </c>
    </row>
    <row r="4829" spans="1:11" x14ac:dyDescent="0.25">
      <c r="A4829">
        <v>28.398937867750501</v>
      </c>
      <c r="B4829">
        <v>129.88581115334799</v>
      </c>
      <c r="C4829">
        <v>2001</v>
      </c>
    </row>
    <row r="4830" spans="1:11" x14ac:dyDescent="0.25">
      <c r="A4830">
        <v>28.835953892199399</v>
      </c>
      <c r="B4830">
        <v>129.44879512889901</v>
      </c>
      <c r="C4830">
        <v>2000</v>
      </c>
    </row>
    <row r="4831" spans="1:11" x14ac:dyDescent="0.25">
      <c r="A4831" t="s">
        <v>87</v>
      </c>
    </row>
    <row r="4832" spans="1:11" x14ac:dyDescent="0.25">
      <c r="A4832">
        <v>924</v>
      </c>
      <c r="B4832">
        <v>0</v>
      </c>
      <c r="C4832">
        <v>2.9863345805682102</v>
      </c>
      <c r="D4832">
        <v>8.6660947552595804</v>
      </c>
      <c r="E4832">
        <v>6</v>
      </c>
      <c r="F4832">
        <v>1.01722196789785</v>
      </c>
      <c r="G4832" t="s">
        <v>88</v>
      </c>
      <c r="H4832" t="s">
        <v>88</v>
      </c>
      <c r="I4832">
        <v>586</v>
      </c>
      <c r="J4832">
        <v>729</v>
      </c>
      <c r="K4832">
        <v>0.105605243465119</v>
      </c>
    </row>
    <row r="4833" spans="1:11" x14ac:dyDescent="0.25">
      <c r="A4833" t="s">
        <v>86</v>
      </c>
    </row>
    <row r="4834" spans="1:11" x14ac:dyDescent="0.25">
      <c r="A4834">
        <v>22.222868914349601</v>
      </c>
      <c r="B4834">
        <v>123.80617137105</v>
      </c>
      <c r="C4834">
        <v>2000</v>
      </c>
    </row>
    <row r="4835" spans="1:11" x14ac:dyDescent="0.25">
      <c r="A4835">
        <v>20.1112114815379</v>
      </c>
      <c r="B4835">
        <v>121.694513938238</v>
      </c>
      <c r="C4835">
        <v>2000</v>
      </c>
    </row>
    <row r="4836" spans="1:11" x14ac:dyDescent="0.25">
      <c r="A4836">
        <v>19.674195457089098</v>
      </c>
      <c r="B4836">
        <v>122.131529962687</v>
      </c>
      <c r="C4836">
        <v>2001</v>
      </c>
    </row>
    <row r="4837" spans="1:11" x14ac:dyDescent="0.25">
      <c r="A4837">
        <v>21.785852889900799</v>
      </c>
      <c r="B4837">
        <v>124.24318739549901</v>
      </c>
      <c r="C4837">
        <v>2001</v>
      </c>
    </row>
    <row r="4838" spans="1:11" x14ac:dyDescent="0.25">
      <c r="A4838">
        <v>27.913707257750001</v>
      </c>
      <c r="B4838">
        <v>130.37104176334799</v>
      </c>
      <c r="C4838">
        <v>2001</v>
      </c>
    </row>
    <row r="4839" spans="1:11" x14ac:dyDescent="0.25">
      <c r="A4839">
        <v>28.3507232821988</v>
      </c>
      <c r="B4839">
        <v>129.93402573889901</v>
      </c>
      <c r="C4839">
        <v>2000</v>
      </c>
    </row>
    <row r="4840" spans="1:11" x14ac:dyDescent="0.25">
      <c r="A4840" t="s">
        <v>87</v>
      </c>
    </row>
    <row r="4841" spans="1:11" x14ac:dyDescent="0.25">
      <c r="A4841">
        <v>266</v>
      </c>
      <c r="B4841">
        <v>0</v>
      </c>
      <c r="C4841">
        <v>5.7617640661832503</v>
      </c>
      <c r="D4841">
        <v>5.8109152212223298</v>
      </c>
      <c r="E4841">
        <v>6</v>
      </c>
      <c r="F4841">
        <v>1.01722196789785</v>
      </c>
      <c r="G4841" t="s">
        <v>88</v>
      </c>
      <c r="H4841" t="s">
        <v>88</v>
      </c>
      <c r="I4841">
        <v>879</v>
      </c>
      <c r="J4841">
        <v>272</v>
      </c>
      <c r="K4841">
        <v>0</v>
      </c>
    </row>
    <row r="4842" spans="1:11" x14ac:dyDescent="0.25">
      <c r="A4842" t="s">
        <v>86</v>
      </c>
    </row>
    <row r="4843" spans="1:11" x14ac:dyDescent="0.25">
      <c r="A4843">
        <v>83.942620045008596</v>
      </c>
      <c r="B4843">
        <v>32.925480930104399</v>
      </c>
      <c r="C4843">
        <v>2000</v>
      </c>
    </row>
    <row r="4844" spans="1:11" x14ac:dyDescent="0.25">
      <c r="A4844">
        <v>79.868437602213504</v>
      </c>
      <c r="B4844">
        <v>28.8512984873093</v>
      </c>
      <c r="C4844">
        <v>2000</v>
      </c>
    </row>
    <row r="4845" spans="1:11" x14ac:dyDescent="0.25">
      <c r="A4845">
        <v>79.431421577764695</v>
      </c>
      <c r="B4845">
        <v>29.288314511758099</v>
      </c>
      <c r="C4845">
        <v>2001</v>
      </c>
    </row>
    <row r="4846" spans="1:11" x14ac:dyDescent="0.25">
      <c r="A4846">
        <v>83.505604020559801</v>
      </c>
      <c r="B4846">
        <v>33.362496954553201</v>
      </c>
      <c r="C4846">
        <v>2001</v>
      </c>
    </row>
    <row r="4847" spans="1:11" x14ac:dyDescent="0.25">
      <c r="A4847">
        <v>87.614541578386195</v>
      </c>
      <c r="B4847">
        <v>37.471434512379702</v>
      </c>
      <c r="C4847">
        <v>2001</v>
      </c>
    </row>
    <row r="4848" spans="1:11" x14ac:dyDescent="0.25">
      <c r="A4848">
        <v>88.051557602835004</v>
      </c>
      <c r="B4848">
        <v>37.0344184879309</v>
      </c>
      <c r="C4848">
        <v>2000</v>
      </c>
    </row>
    <row r="4849" spans="1:11" x14ac:dyDescent="0.25">
      <c r="A4849" t="s">
        <v>87</v>
      </c>
    </row>
    <row r="4850" spans="1:11" x14ac:dyDescent="0.25">
      <c r="A4850">
        <v>1019</v>
      </c>
      <c r="B4850">
        <v>0</v>
      </c>
      <c r="C4850">
        <v>6.8058715366651903</v>
      </c>
      <c r="D4850">
        <v>4.60718096906007</v>
      </c>
      <c r="E4850">
        <v>6</v>
      </c>
      <c r="F4850">
        <v>1.01722196789785</v>
      </c>
      <c r="G4850" t="s">
        <v>88</v>
      </c>
      <c r="H4850" t="s">
        <v>85</v>
      </c>
      <c r="I4850">
        <v>656</v>
      </c>
      <c r="J4850">
        <v>0</v>
      </c>
      <c r="K4850">
        <v>0.113247760014482</v>
      </c>
    </row>
    <row r="4851" spans="1:11" x14ac:dyDescent="0.25">
      <c r="A4851" t="s">
        <v>86</v>
      </c>
    </row>
    <row r="4852" spans="1:11" x14ac:dyDescent="0.25">
      <c r="A4852">
        <v>109.20921220028799</v>
      </c>
      <c r="B4852">
        <v>146.83043764190899</v>
      </c>
      <c r="C4852">
        <v>2000</v>
      </c>
    </row>
    <row r="4853" spans="1:11" x14ac:dyDescent="0.25">
      <c r="A4853">
        <v>104.52703574976699</v>
      </c>
      <c r="B4853">
        <v>142.148261191388</v>
      </c>
      <c r="C4853">
        <v>2000</v>
      </c>
    </row>
    <row r="4854" spans="1:11" x14ac:dyDescent="0.25">
      <c r="A4854">
        <v>104.964051774216</v>
      </c>
      <c r="B4854">
        <v>141.71124516693899</v>
      </c>
      <c r="C4854">
        <v>2001</v>
      </c>
    </row>
    <row r="4855" spans="1:11" x14ac:dyDescent="0.25">
      <c r="A4855">
        <v>109.906831154616</v>
      </c>
      <c r="B4855">
        <v>146.65402454733899</v>
      </c>
      <c r="C4855">
        <v>2001</v>
      </c>
    </row>
    <row r="4856" spans="1:11" x14ac:dyDescent="0.25">
      <c r="A4856">
        <v>113.25280660727699</v>
      </c>
      <c r="B4856">
        <v>150</v>
      </c>
      <c r="C4856">
        <v>2001</v>
      </c>
    </row>
    <row r="4857" spans="1:11" x14ac:dyDescent="0.25">
      <c r="A4857">
        <v>112.37877455837901</v>
      </c>
      <c r="B4857">
        <v>150</v>
      </c>
      <c r="C4857">
        <v>2000</v>
      </c>
    </row>
    <row r="4858" spans="1:11" x14ac:dyDescent="0.25">
      <c r="A4858" t="s">
        <v>87</v>
      </c>
    </row>
    <row r="4859" spans="1:11" x14ac:dyDescent="0.25">
      <c r="A4859">
        <v>820</v>
      </c>
      <c r="B4859">
        <v>0</v>
      </c>
      <c r="C4859">
        <v>7.9153372606486698</v>
      </c>
      <c r="D4859">
        <v>3.3317852120181302</v>
      </c>
      <c r="E4859">
        <v>6</v>
      </c>
      <c r="F4859">
        <v>1.01722196789785</v>
      </c>
      <c r="G4859" t="s">
        <v>88</v>
      </c>
      <c r="H4859" t="s">
        <v>88</v>
      </c>
      <c r="I4859">
        <v>886</v>
      </c>
      <c r="J4859">
        <v>177</v>
      </c>
      <c r="K4859">
        <v>0.103086576425267</v>
      </c>
    </row>
    <row r="4860" spans="1:11" x14ac:dyDescent="0.25">
      <c r="A4860" t="s">
        <v>86</v>
      </c>
    </row>
    <row r="4861" spans="1:11" x14ac:dyDescent="0.25">
      <c r="A4861">
        <v>136.74835586908199</v>
      </c>
      <c r="B4861">
        <v>58.225263061576896</v>
      </c>
      <c r="C4861">
        <v>2000</v>
      </c>
    </row>
    <row r="4862" spans="1:11" x14ac:dyDescent="0.25">
      <c r="A4862">
        <v>131.15136721669899</v>
      </c>
      <c r="B4862">
        <v>52.6282744091937</v>
      </c>
      <c r="C4862">
        <v>2000</v>
      </c>
    </row>
    <row r="4863" spans="1:11" x14ac:dyDescent="0.25">
      <c r="A4863">
        <v>130.71435119225001</v>
      </c>
      <c r="B4863">
        <v>53.065290433642502</v>
      </c>
      <c r="C4863">
        <v>2001</v>
      </c>
    </row>
    <row r="4864" spans="1:11" x14ac:dyDescent="0.25">
      <c r="A4864">
        <v>136.31133984463301</v>
      </c>
      <c r="B4864">
        <v>58.662279086025798</v>
      </c>
      <c r="C4864">
        <v>2001</v>
      </c>
    </row>
    <row r="4865" spans="1:11" x14ac:dyDescent="0.25">
      <c r="A4865">
        <v>138.66726776150799</v>
      </c>
      <c r="B4865">
        <v>61.018207002900802</v>
      </c>
      <c r="C4865">
        <v>2001</v>
      </c>
    </row>
    <row r="4866" spans="1:11" x14ac:dyDescent="0.25">
      <c r="A4866">
        <v>139.10428378595699</v>
      </c>
      <c r="B4866">
        <v>60.581190978452</v>
      </c>
      <c r="C4866">
        <v>2000</v>
      </c>
    </row>
    <row r="4867" spans="1:11" x14ac:dyDescent="0.25">
      <c r="A4867" t="s">
        <v>87</v>
      </c>
    </row>
    <row r="4868" spans="1:11" x14ac:dyDescent="0.25">
      <c r="A4868">
        <v>730</v>
      </c>
      <c r="B4868">
        <v>0</v>
      </c>
      <c r="C4868">
        <v>2.5311692914242898</v>
      </c>
      <c r="D4868">
        <v>8.5767048255493403</v>
      </c>
      <c r="E4868">
        <v>6</v>
      </c>
      <c r="F4868">
        <v>1.01722196789785</v>
      </c>
      <c r="G4868" t="s">
        <v>85</v>
      </c>
      <c r="H4868" t="s">
        <v>88</v>
      </c>
      <c r="I4868">
        <v>0</v>
      </c>
      <c r="J4868">
        <v>595</v>
      </c>
      <c r="K4868">
        <v>0.101399532687084</v>
      </c>
    </row>
    <row r="4869" spans="1:11" x14ac:dyDescent="0.25">
      <c r="A4869" t="s">
        <v>86</v>
      </c>
    </row>
    <row r="4870" spans="1:11" x14ac:dyDescent="0.25">
      <c r="A4870">
        <v>1.83959874545138</v>
      </c>
      <c r="B4870">
        <v>124.708941011516</v>
      </c>
      <c r="C4870">
        <v>2000</v>
      </c>
    </row>
    <row r="4871" spans="1:11" x14ac:dyDescent="0.25">
      <c r="A4871">
        <v>0</v>
      </c>
      <c r="B4871">
        <v>122.869342266064</v>
      </c>
      <c r="C4871">
        <v>2000</v>
      </c>
    </row>
    <row r="4872" spans="1:11" x14ac:dyDescent="0.25">
      <c r="A4872">
        <v>0</v>
      </c>
      <c r="B4872">
        <v>123.743374314962</v>
      </c>
      <c r="C4872">
        <v>2001</v>
      </c>
    </row>
    <row r="4873" spans="1:11" x14ac:dyDescent="0.25">
      <c r="A4873">
        <v>1.74001519514315</v>
      </c>
      <c r="B4873">
        <v>125.483389510105</v>
      </c>
      <c r="C4873">
        <v>2001</v>
      </c>
    </row>
    <row r="4874" spans="1:11" x14ac:dyDescent="0.25">
      <c r="A4874">
        <v>7.6359451004541796</v>
      </c>
      <c r="B4874">
        <v>131.37931941541601</v>
      </c>
      <c r="C4874">
        <v>2001</v>
      </c>
    </row>
    <row r="4875" spans="1:11" x14ac:dyDescent="0.25">
      <c r="A4875">
        <v>8.0729611249029993</v>
      </c>
      <c r="B4875">
        <v>130.942303390967</v>
      </c>
      <c r="C4875">
        <v>2000</v>
      </c>
    </row>
    <row r="4876" spans="1:11" x14ac:dyDescent="0.25">
      <c r="A4876" t="s">
        <v>87</v>
      </c>
    </row>
    <row r="4877" spans="1:11" x14ac:dyDescent="0.25">
      <c r="A4877">
        <v>807</v>
      </c>
      <c r="B4877">
        <v>0</v>
      </c>
      <c r="C4877">
        <v>10.4335099269839</v>
      </c>
      <c r="D4877">
        <v>0.60143019432001699</v>
      </c>
      <c r="E4877">
        <v>6</v>
      </c>
      <c r="F4877">
        <v>1.01722196789785</v>
      </c>
      <c r="G4877" t="s">
        <v>88</v>
      </c>
      <c r="H4877" t="s">
        <v>88</v>
      </c>
      <c r="I4877">
        <v>333</v>
      </c>
      <c r="J4877">
        <v>952</v>
      </c>
      <c r="K4877">
        <v>0.10263209558717</v>
      </c>
    </row>
    <row r="4878" spans="1:11" x14ac:dyDescent="0.25">
      <c r="A4878" t="s">
        <v>86</v>
      </c>
    </row>
    <row r="4879" spans="1:11" x14ac:dyDescent="0.25">
      <c r="A4879">
        <v>73.222918694938201</v>
      </c>
      <c r="B4879">
        <v>149.35621661896201</v>
      </c>
      <c r="C4879">
        <v>2000</v>
      </c>
    </row>
    <row r="4880" spans="1:11" x14ac:dyDescent="0.25">
      <c r="A4880">
        <v>65.845313073990695</v>
      </c>
      <c r="B4880">
        <v>141.97861099801401</v>
      </c>
      <c r="C4880">
        <v>2000</v>
      </c>
    </row>
    <row r="4881" spans="1:11" x14ac:dyDescent="0.25">
      <c r="A4881">
        <v>65.4082970495419</v>
      </c>
      <c r="B4881">
        <v>142.41562702246301</v>
      </c>
      <c r="C4881">
        <v>2001</v>
      </c>
    </row>
    <row r="4882" spans="1:11" x14ac:dyDescent="0.25">
      <c r="A4882">
        <v>72.785902670489406</v>
      </c>
      <c r="B4882">
        <v>149.79323264340999</v>
      </c>
      <c r="C4882">
        <v>2001</v>
      </c>
    </row>
    <row r="4883" spans="1:11" x14ac:dyDescent="0.25">
      <c r="A4883">
        <v>73.211178039303405</v>
      </c>
      <c r="B4883">
        <v>150.21850801222399</v>
      </c>
      <c r="C4883">
        <v>2001</v>
      </c>
    </row>
    <row r="4884" spans="1:11" x14ac:dyDescent="0.25">
      <c r="A4884">
        <v>73.6481940637522</v>
      </c>
      <c r="B4884">
        <v>149.78149198777601</v>
      </c>
      <c r="C4884">
        <v>2000</v>
      </c>
    </row>
    <row r="4885" spans="1:11" x14ac:dyDescent="0.25">
      <c r="A4885" t="s">
        <v>87</v>
      </c>
    </row>
    <row r="4886" spans="1:11" x14ac:dyDescent="0.25">
      <c r="A4886">
        <v>677</v>
      </c>
      <c r="B4886">
        <v>0</v>
      </c>
      <c r="C4886">
        <v>7.8451433485032904</v>
      </c>
      <c r="D4886">
        <v>3.0367106308896701</v>
      </c>
      <c r="E4886">
        <v>6</v>
      </c>
      <c r="F4886">
        <v>1.01722196789785</v>
      </c>
      <c r="G4886" t="s">
        <v>88</v>
      </c>
      <c r="H4886" t="s">
        <v>85</v>
      </c>
      <c r="I4886">
        <v>674</v>
      </c>
      <c r="J4886">
        <v>0</v>
      </c>
      <c r="K4886">
        <v>0</v>
      </c>
    </row>
    <row r="4887" spans="1:11" x14ac:dyDescent="0.25">
      <c r="A4887" t="s">
        <v>86</v>
      </c>
    </row>
    <row r="4888" spans="1:11" x14ac:dyDescent="0.25">
      <c r="A4888">
        <v>147.79174406368</v>
      </c>
      <c r="B4888">
        <v>144.54096793145101</v>
      </c>
      <c r="C4888">
        <v>2000</v>
      </c>
    </row>
    <row r="4889" spans="1:11" x14ac:dyDescent="0.25">
      <c r="A4889">
        <v>142.08685924706501</v>
      </c>
      <c r="B4889">
        <v>138.83608311483599</v>
      </c>
      <c r="C4889">
        <v>2000</v>
      </c>
    </row>
    <row r="4890" spans="1:11" x14ac:dyDescent="0.25">
      <c r="A4890">
        <v>142.52387527151399</v>
      </c>
      <c r="B4890">
        <v>138.39906709038701</v>
      </c>
      <c r="C4890">
        <v>2001</v>
      </c>
    </row>
    <row r="4891" spans="1:11" x14ac:dyDescent="0.25">
      <c r="A4891">
        <v>147.913698577113</v>
      </c>
      <c r="B4891">
        <v>143.78889039598701</v>
      </c>
      <c r="C4891">
        <v>2001</v>
      </c>
    </row>
    <row r="4892" spans="1:11" x14ac:dyDescent="0.25">
      <c r="A4892">
        <v>150</v>
      </c>
      <c r="B4892">
        <v>145.87519181887399</v>
      </c>
      <c r="C4892">
        <v>2001</v>
      </c>
    </row>
    <row r="4893" spans="1:11" x14ac:dyDescent="0.25">
      <c r="A4893">
        <v>150</v>
      </c>
      <c r="B4893">
        <v>146.74922386777101</v>
      </c>
      <c r="C4893">
        <v>2000</v>
      </c>
    </row>
    <row r="4894" spans="1:11" x14ac:dyDescent="0.25">
      <c r="A4894" t="s">
        <v>87</v>
      </c>
    </row>
    <row r="4895" spans="1:11" x14ac:dyDescent="0.25">
      <c r="A4895">
        <v>101</v>
      </c>
      <c r="B4895">
        <v>0</v>
      </c>
      <c r="C4895">
        <v>3.3441004717678999</v>
      </c>
      <c r="D4895">
        <v>7.5031661641803398</v>
      </c>
      <c r="E4895">
        <v>6</v>
      </c>
      <c r="F4895">
        <v>1.01722196789785</v>
      </c>
      <c r="G4895" t="s">
        <v>88</v>
      </c>
      <c r="H4895" t="s">
        <v>88</v>
      </c>
      <c r="I4895">
        <v>95</v>
      </c>
      <c r="J4895">
        <v>106</v>
      </c>
      <c r="K4895">
        <v>0</v>
      </c>
    </row>
    <row r="4896" spans="1:11" x14ac:dyDescent="0.25">
      <c r="A4896" t="s">
        <v>86</v>
      </c>
    </row>
    <row r="4897" spans="1:11" x14ac:dyDescent="0.25">
      <c r="A4897">
        <v>59.4869182568493</v>
      </c>
      <c r="B4897">
        <v>63.576885404329403</v>
      </c>
      <c r="C4897">
        <v>2000</v>
      </c>
    </row>
    <row r="4898" spans="1:11" x14ac:dyDescent="0.25">
      <c r="A4898">
        <v>57.122282136293101</v>
      </c>
      <c r="B4898">
        <v>61.212249283773197</v>
      </c>
      <c r="C4898">
        <v>2000</v>
      </c>
    </row>
    <row r="4899" spans="1:11" x14ac:dyDescent="0.25">
      <c r="A4899">
        <v>57.559298160741903</v>
      </c>
      <c r="B4899">
        <v>60.775233259324402</v>
      </c>
      <c r="C4899">
        <v>2001</v>
      </c>
    </row>
    <row r="4900" spans="1:11" x14ac:dyDescent="0.25">
      <c r="A4900">
        <v>59.923934281298102</v>
      </c>
      <c r="B4900">
        <v>63.139869379880601</v>
      </c>
      <c r="C4900">
        <v>2001</v>
      </c>
    </row>
    <row r="4901" spans="1:11" x14ac:dyDescent="0.25">
      <c r="A4901">
        <v>65.229473956359499</v>
      </c>
      <c r="B4901">
        <v>68.445409054942004</v>
      </c>
      <c r="C4901">
        <v>2001</v>
      </c>
    </row>
    <row r="4902" spans="1:11" x14ac:dyDescent="0.25">
      <c r="A4902">
        <v>64.792457931910704</v>
      </c>
      <c r="B4902">
        <v>68.882425079390799</v>
      </c>
      <c r="C4902">
        <v>2000</v>
      </c>
    </row>
    <row r="4903" spans="1:11" x14ac:dyDescent="0.25">
      <c r="A4903" t="s">
        <v>87</v>
      </c>
    </row>
    <row r="4904" spans="1:11" x14ac:dyDescent="0.25">
      <c r="A4904">
        <v>1025</v>
      </c>
      <c r="B4904">
        <v>0</v>
      </c>
      <c r="C4904">
        <v>10.5696278499792</v>
      </c>
      <c r="D4904">
        <v>0.27503638883021603</v>
      </c>
      <c r="E4904">
        <v>8</v>
      </c>
      <c r="F4904">
        <v>1.01722196789785</v>
      </c>
      <c r="G4904" t="s">
        <v>88</v>
      </c>
      <c r="H4904" t="s">
        <v>88</v>
      </c>
      <c r="I4904">
        <v>812</v>
      </c>
      <c r="J4904">
        <v>656</v>
      </c>
      <c r="K4904">
        <v>0.11380651317534</v>
      </c>
    </row>
    <row r="4905" spans="1:11" x14ac:dyDescent="0.25">
      <c r="A4905" t="s">
        <v>86</v>
      </c>
    </row>
    <row r="4906" spans="1:11" x14ac:dyDescent="0.25">
      <c r="A4906">
        <v>104.62097768747699</v>
      </c>
      <c r="B4906">
        <v>141.665359062448</v>
      </c>
      <c r="C4906">
        <v>2000</v>
      </c>
    </row>
    <row r="4907" spans="1:11" x14ac:dyDescent="0.25">
      <c r="A4907">
        <v>99.781491987775595</v>
      </c>
      <c r="B4907">
        <v>136.82587336274599</v>
      </c>
      <c r="C4907">
        <v>2000</v>
      </c>
    </row>
    <row r="4908" spans="1:11" x14ac:dyDescent="0.25">
      <c r="A4908">
        <v>97.147122160138906</v>
      </c>
      <c r="B4908">
        <v>134.19150353511</v>
      </c>
      <c r="C4908">
        <v>2000</v>
      </c>
    </row>
    <row r="4909" spans="1:11" x14ac:dyDescent="0.25">
      <c r="A4909">
        <v>97.584138184587701</v>
      </c>
      <c r="B4909">
        <v>133.75448751066099</v>
      </c>
      <c r="C4909">
        <v>2001</v>
      </c>
    </row>
    <row r="4910" spans="1:11" x14ac:dyDescent="0.25">
      <c r="A4910">
        <v>100.21850801222401</v>
      </c>
      <c r="B4910">
        <v>136.38885733829699</v>
      </c>
      <c r="C4910">
        <v>2001</v>
      </c>
    </row>
    <row r="4911" spans="1:11" x14ac:dyDescent="0.25">
      <c r="A4911">
        <v>105.057993711926</v>
      </c>
      <c r="B4911">
        <v>141.228343037999</v>
      </c>
      <c r="C4911">
        <v>2001</v>
      </c>
    </row>
    <row r="4912" spans="1:11" x14ac:dyDescent="0.25">
      <c r="A4912">
        <v>105.25247380754099</v>
      </c>
      <c r="B4912">
        <v>141.422823133614</v>
      </c>
      <c r="C4912">
        <v>2001</v>
      </c>
    </row>
    <row r="4913" spans="1:11" x14ac:dyDescent="0.25">
      <c r="A4913">
        <v>104.815457783092</v>
      </c>
      <c r="B4913">
        <v>141.85983915806301</v>
      </c>
      <c r="C4913">
        <v>2000</v>
      </c>
    </row>
    <row r="4914" spans="1:11" x14ac:dyDescent="0.25">
      <c r="A4914" t="s">
        <v>87</v>
      </c>
    </row>
    <row r="4915" spans="1:11" x14ac:dyDescent="0.25">
      <c r="A4915">
        <v>263</v>
      </c>
      <c r="B4915">
        <v>0</v>
      </c>
      <c r="C4915">
        <v>8.6800478354980299</v>
      </c>
      <c r="D4915">
        <v>2.04537330597792</v>
      </c>
      <c r="E4915">
        <v>6</v>
      </c>
      <c r="F4915">
        <v>1.01722196789785</v>
      </c>
      <c r="G4915" t="s">
        <v>88</v>
      </c>
      <c r="H4915" t="s">
        <v>88</v>
      </c>
      <c r="I4915">
        <v>1024</v>
      </c>
      <c r="J4915">
        <v>253</v>
      </c>
      <c r="K4915">
        <v>0</v>
      </c>
    </row>
    <row r="4916" spans="1:11" x14ac:dyDescent="0.25">
      <c r="A4916" t="s">
        <v>86</v>
      </c>
    </row>
    <row r="4917" spans="1:11" x14ac:dyDescent="0.25">
      <c r="A4917">
        <v>58.182101483071499</v>
      </c>
      <c r="B4917">
        <v>16.994520991111202</v>
      </c>
      <c r="C4917">
        <v>2000</v>
      </c>
    </row>
    <row r="4918" spans="1:11" x14ac:dyDescent="0.25">
      <c r="A4918">
        <v>52.0443807975672</v>
      </c>
      <c r="B4918">
        <v>10.856800305607001</v>
      </c>
      <c r="C4918">
        <v>2000</v>
      </c>
    </row>
    <row r="4919" spans="1:11" x14ac:dyDescent="0.25">
      <c r="A4919">
        <v>51.607364773118398</v>
      </c>
      <c r="B4919">
        <v>11.293816330055799</v>
      </c>
      <c r="C4919">
        <v>2001</v>
      </c>
    </row>
    <row r="4920" spans="1:11" x14ac:dyDescent="0.25">
      <c r="A4920">
        <v>57.745085458622597</v>
      </c>
      <c r="B4920">
        <v>17.431537015560099</v>
      </c>
      <c r="C4920">
        <v>2001</v>
      </c>
    </row>
    <row r="4921" spans="1:11" x14ac:dyDescent="0.25">
      <c r="A4921">
        <v>59.191382793337603</v>
      </c>
      <c r="B4921">
        <v>18.877834350274998</v>
      </c>
      <c r="C4921">
        <v>2001</v>
      </c>
    </row>
    <row r="4922" spans="1:11" x14ac:dyDescent="0.25">
      <c r="A4922">
        <v>59.628398817786398</v>
      </c>
      <c r="B4922">
        <v>18.4408183258262</v>
      </c>
      <c r="C4922">
        <v>2000</v>
      </c>
    </row>
    <row r="4923" spans="1:11" x14ac:dyDescent="0.25">
      <c r="A4923" t="s">
        <v>87</v>
      </c>
    </row>
    <row r="4924" spans="1:11" x14ac:dyDescent="0.25">
      <c r="A4924">
        <v>30</v>
      </c>
      <c r="B4924">
        <v>0</v>
      </c>
      <c r="C4924">
        <v>8.0326661018975294</v>
      </c>
      <c r="D4924">
        <v>2.4109662441691402</v>
      </c>
      <c r="E4924">
        <v>6</v>
      </c>
      <c r="F4924">
        <v>1.01722196789785</v>
      </c>
      <c r="G4924" t="s">
        <v>88</v>
      </c>
      <c r="H4924" t="s">
        <v>88</v>
      </c>
      <c r="I4924">
        <v>36</v>
      </c>
      <c r="J4924">
        <v>743</v>
      </c>
      <c r="K4924">
        <v>0</v>
      </c>
    </row>
    <row r="4925" spans="1:11" x14ac:dyDescent="0.25">
      <c r="A4925" t="s">
        <v>86</v>
      </c>
    </row>
    <row r="4926" spans="1:11" x14ac:dyDescent="0.25">
      <c r="A4926">
        <v>23.977684698518399</v>
      </c>
      <c r="B4926">
        <v>28.6850904560158</v>
      </c>
      <c r="C4926">
        <v>2000</v>
      </c>
    </row>
    <row r="4927" spans="1:11" x14ac:dyDescent="0.25">
      <c r="A4927">
        <v>18.2977320268594</v>
      </c>
      <c r="B4927">
        <v>23.005137784356702</v>
      </c>
      <c r="C4927">
        <v>2000</v>
      </c>
    </row>
    <row r="4928" spans="1:11" x14ac:dyDescent="0.25">
      <c r="A4928">
        <v>17.860716002410499</v>
      </c>
      <c r="B4928">
        <v>23.4421538088055</v>
      </c>
      <c r="C4928">
        <v>2001</v>
      </c>
    </row>
    <row r="4929" spans="1:11" x14ac:dyDescent="0.25">
      <c r="A4929">
        <v>23.5406686740696</v>
      </c>
      <c r="B4929">
        <v>29.122106480464598</v>
      </c>
      <c r="C4929">
        <v>2001</v>
      </c>
    </row>
    <row r="4930" spans="1:11" x14ac:dyDescent="0.25">
      <c r="A4930">
        <v>25.2454792545334</v>
      </c>
      <c r="B4930">
        <v>30.826917060928398</v>
      </c>
      <c r="C4930">
        <v>2001</v>
      </c>
    </row>
    <row r="4931" spans="1:11" x14ac:dyDescent="0.25">
      <c r="A4931">
        <v>25.682495278982302</v>
      </c>
      <c r="B4931">
        <v>30.3899010364796</v>
      </c>
      <c r="C4931">
        <v>2000</v>
      </c>
    </row>
    <row r="4932" spans="1:11" x14ac:dyDescent="0.25">
      <c r="A4932" t="s">
        <v>87</v>
      </c>
    </row>
    <row r="4933" spans="1:11" x14ac:dyDescent="0.25">
      <c r="A4933">
        <v>802</v>
      </c>
      <c r="B4933">
        <v>0</v>
      </c>
      <c r="C4933">
        <v>9.6908324269987798</v>
      </c>
      <c r="D4933">
        <v>0.53524972076402799</v>
      </c>
      <c r="E4933">
        <v>6</v>
      </c>
      <c r="F4933">
        <v>1.01722196789785</v>
      </c>
      <c r="G4933" t="s">
        <v>88</v>
      </c>
      <c r="H4933" t="s">
        <v>88</v>
      </c>
      <c r="I4933">
        <v>942</v>
      </c>
      <c r="J4933">
        <v>772</v>
      </c>
      <c r="K4933">
        <v>0.10263209558717</v>
      </c>
    </row>
    <row r="4934" spans="1:11" x14ac:dyDescent="0.25">
      <c r="A4934" t="s">
        <v>86</v>
      </c>
    </row>
    <row r="4935" spans="1:11" x14ac:dyDescent="0.25">
      <c r="A4935">
        <v>127.514345227044</v>
      </c>
      <c r="B4935">
        <v>132.57579070030999</v>
      </c>
      <c r="C4935">
        <v>2000</v>
      </c>
    </row>
    <row r="4936" spans="1:11" x14ac:dyDescent="0.25">
      <c r="A4936">
        <v>120.661891902571</v>
      </c>
      <c r="B4936">
        <v>125.723337375836</v>
      </c>
      <c r="C4936">
        <v>2000</v>
      </c>
    </row>
    <row r="4937" spans="1:11" x14ac:dyDescent="0.25">
      <c r="A4937">
        <v>120.22487587812201</v>
      </c>
      <c r="B4937">
        <v>126.160353400285</v>
      </c>
      <c r="C4937">
        <v>2001</v>
      </c>
    </row>
    <row r="4938" spans="1:11" x14ac:dyDescent="0.25">
      <c r="A4938">
        <v>127.077329202596</v>
      </c>
      <c r="B4938">
        <v>133.01280672475801</v>
      </c>
      <c r="C4938">
        <v>2001</v>
      </c>
    </row>
    <row r="4939" spans="1:11" x14ac:dyDescent="0.25">
      <c r="A4939">
        <v>127.455807909776</v>
      </c>
      <c r="B4939">
        <v>133.391285431939</v>
      </c>
      <c r="C4939">
        <v>2001</v>
      </c>
    </row>
    <row r="4940" spans="1:11" x14ac:dyDescent="0.25">
      <c r="A4940">
        <v>127.89282393422501</v>
      </c>
      <c r="B4940">
        <v>132.95426940748999</v>
      </c>
      <c r="C4940">
        <v>2000</v>
      </c>
    </row>
    <row r="4941" spans="1:11" x14ac:dyDescent="0.25">
      <c r="A4941" t="s">
        <v>87</v>
      </c>
    </row>
    <row r="4942" spans="1:11" x14ac:dyDescent="0.25">
      <c r="A4942">
        <v>662</v>
      </c>
      <c r="B4942">
        <v>0</v>
      </c>
      <c r="C4942">
        <v>6.9952985250511102</v>
      </c>
      <c r="D4942">
        <v>3.1263319694863898</v>
      </c>
      <c r="E4942">
        <v>6</v>
      </c>
      <c r="F4942">
        <v>1.01722196789785</v>
      </c>
      <c r="G4942" t="s">
        <v>88</v>
      </c>
      <c r="H4942" t="s">
        <v>88</v>
      </c>
      <c r="I4942">
        <v>1003</v>
      </c>
      <c r="J4942">
        <v>658</v>
      </c>
      <c r="K4942">
        <v>0</v>
      </c>
    </row>
    <row r="4943" spans="1:11" x14ac:dyDescent="0.25">
      <c r="A4943" t="s">
        <v>86</v>
      </c>
    </row>
    <row r="4944" spans="1:11" x14ac:dyDescent="0.25">
      <c r="A4944">
        <v>105.797983623486</v>
      </c>
      <c r="B4944">
        <v>144.648083708081</v>
      </c>
      <c r="C4944">
        <v>2000</v>
      </c>
    </row>
    <row r="4945" spans="1:11" x14ac:dyDescent="0.25">
      <c r="A4945">
        <v>100.851560599998</v>
      </c>
      <c r="B4945">
        <v>139.70166068459301</v>
      </c>
      <c r="C4945">
        <v>2000</v>
      </c>
    </row>
    <row r="4946" spans="1:11" x14ac:dyDescent="0.25">
      <c r="A4946">
        <v>101.288576624447</v>
      </c>
      <c r="B4946">
        <v>139.264644660144</v>
      </c>
      <c r="C4946">
        <v>2001</v>
      </c>
    </row>
    <row r="4947" spans="1:11" x14ac:dyDescent="0.25">
      <c r="A4947">
        <v>106.234999647935</v>
      </c>
      <c r="B4947">
        <v>144.211067683632</v>
      </c>
      <c r="C4947">
        <v>2001</v>
      </c>
    </row>
    <row r="4948" spans="1:11" x14ac:dyDescent="0.25">
      <c r="A4948">
        <v>108.445650183799</v>
      </c>
      <c r="B4948">
        <v>146.421718219496</v>
      </c>
      <c r="C4948">
        <v>2001</v>
      </c>
    </row>
    <row r="4949" spans="1:11" x14ac:dyDescent="0.25">
      <c r="A4949">
        <v>108.00863415935</v>
      </c>
      <c r="B4949">
        <v>146.85873424394501</v>
      </c>
      <c r="C4949">
        <v>2000</v>
      </c>
    </row>
    <row r="4950" spans="1:11" x14ac:dyDescent="0.25">
      <c r="A4950" t="s">
        <v>87</v>
      </c>
    </row>
    <row r="4951" spans="1:11" x14ac:dyDescent="0.25">
      <c r="A4951">
        <v>855</v>
      </c>
      <c r="B4951">
        <v>0</v>
      </c>
      <c r="C4951">
        <v>2.1731511249752198</v>
      </c>
      <c r="D4951">
        <v>7.8578081890425704</v>
      </c>
      <c r="E4951">
        <v>6</v>
      </c>
      <c r="F4951">
        <v>1.01722196789785</v>
      </c>
      <c r="G4951" t="s">
        <v>88</v>
      </c>
      <c r="H4951" t="s">
        <v>88</v>
      </c>
      <c r="I4951">
        <v>643</v>
      </c>
      <c r="J4951">
        <v>802</v>
      </c>
      <c r="K4951">
        <v>0.103935679754349</v>
      </c>
    </row>
    <row r="4952" spans="1:11" x14ac:dyDescent="0.25">
      <c r="A4952" t="s">
        <v>86</v>
      </c>
    </row>
    <row r="4953" spans="1:11" x14ac:dyDescent="0.25">
      <c r="A4953">
        <v>114.30398124797</v>
      </c>
      <c r="B4953">
        <v>120.968629118967</v>
      </c>
      <c r="C4953">
        <v>2000</v>
      </c>
    </row>
    <row r="4954" spans="1:11" x14ac:dyDescent="0.25">
      <c r="A4954">
        <v>112.76733135095699</v>
      </c>
      <c r="B4954">
        <v>119.43197922195399</v>
      </c>
      <c r="C4954">
        <v>2000</v>
      </c>
    </row>
    <row r="4955" spans="1:11" x14ac:dyDescent="0.25">
      <c r="A4955">
        <v>113.20434737540501</v>
      </c>
      <c r="B4955">
        <v>118.994963197505</v>
      </c>
      <c r="C4955">
        <v>2001</v>
      </c>
    </row>
    <row r="4956" spans="1:11" x14ac:dyDescent="0.25">
      <c r="A4956">
        <v>114.74099727241899</v>
      </c>
      <c r="B4956">
        <v>120.531613094519</v>
      </c>
      <c r="C4956">
        <v>2001</v>
      </c>
    </row>
    <row r="4957" spans="1:11" x14ac:dyDescent="0.25">
      <c r="A4957">
        <v>120.297306728154</v>
      </c>
      <c r="B4957">
        <v>126.08792255025401</v>
      </c>
      <c r="C4957">
        <v>2001</v>
      </c>
    </row>
    <row r="4958" spans="1:11" x14ac:dyDescent="0.25">
      <c r="A4958">
        <v>119.860290703705</v>
      </c>
      <c r="B4958">
        <v>126.524938574703</v>
      </c>
      <c r="C4958">
        <v>2000</v>
      </c>
    </row>
    <row r="4959" spans="1:11" x14ac:dyDescent="0.25">
      <c r="A4959" t="s">
        <v>87</v>
      </c>
    </row>
    <row r="4960" spans="1:11" x14ac:dyDescent="0.25">
      <c r="A4960">
        <v>755</v>
      </c>
      <c r="B4960">
        <v>0</v>
      </c>
      <c r="C4960">
        <v>4.45873183307424</v>
      </c>
      <c r="D4960">
        <v>5.55846100296435</v>
      </c>
      <c r="E4960">
        <v>6</v>
      </c>
      <c r="F4960">
        <v>1.01722196789785</v>
      </c>
      <c r="G4960" t="s">
        <v>85</v>
      </c>
      <c r="H4960" t="s">
        <v>88</v>
      </c>
      <c r="I4960">
        <v>0</v>
      </c>
      <c r="J4960">
        <v>834</v>
      </c>
      <c r="K4960">
        <v>0.101399532687084</v>
      </c>
    </row>
    <row r="4961" spans="1:11" x14ac:dyDescent="0.25">
      <c r="A4961" t="s">
        <v>86</v>
      </c>
    </row>
    <row r="4962" spans="1:11" x14ac:dyDescent="0.25">
      <c r="A4962">
        <v>69.793988579544106</v>
      </c>
      <c r="B4962">
        <v>3.2500591607329801</v>
      </c>
      <c r="C4962">
        <v>2000</v>
      </c>
    </row>
    <row r="4963" spans="1:11" x14ac:dyDescent="0.25">
      <c r="A4963">
        <v>66.543929418811203</v>
      </c>
      <c r="B4963">
        <v>0</v>
      </c>
      <c r="C4963">
        <v>2000</v>
      </c>
    </row>
    <row r="4964" spans="1:11" x14ac:dyDescent="0.25">
      <c r="A4964">
        <v>67.417961467708807</v>
      </c>
      <c r="B4964">
        <v>0</v>
      </c>
      <c r="C4964">
        <v>2001</v>
      </c>
    </row>
    <row r="4965" spans="1:11" x14ac:dyDescent="0.25">
      <c r="A4965">
        <v>70.473501336294007</v>
      </c>
      <c r="B4965">
        <v>3.0555398685852602</v>
      </c>
      <c r="C4965">
        <v>2001</v>
      </c>
    </row>
    <row r="4966" spans="1:11" x14ac:dyDescent="0.25">
      <c r="A4966">
        <v>74.282678438300593</v>
      </c>
      <c r="B4966">
        <v>6.8647169705917799</v>
      </c>
      <c r="C4966">
        <v>2001</v>
      </c>
    </row>
    <row r="4967" spans="1:11" x14ac:dyDescent="0.25">
      <c r="A4967">
        <v>73.845662413851798</v>
      </c>
      <c r="B4967">
        <v>7.3017329950405996</v>
      </c>
      <c r="C4967">
        <v>2000</v>
      </c>
    </row>
    <row r="4968" spans="1:11" x14ac:dyDescent="0.25">
      <c r="A4968" t="s">
        <v>87</v>
      </c>
    </row>
    <row r="4969" spans="1:11" x14ac:dyDescent="0.25">
      <c r="A4969">
        <v>794</v>
      </c>
      <c r="B4969">
        <v>0</v>
      </c>
      <c r="C4969">
        <v>2.3594974509229201</v>
      </c>
      <c r="D4969">
        <v>7.6547746353996002</v>
      </c>
      <c r="E4969">
        <v>6</v>
      </c>
      <c r="F4969">
        <v>1.01722196789785</v>
      </c>
      <c r="G4969" t="s">
        <v>88</v>
      </c>
      <c r="H4969" t="s">
        <v>88</v>
      </c>
      <c r="I4969">
        <v>186</v>
      </c>
      <c r="J4969">
        <v>862</v>
      </c>
      <c r="K4969">
        <v>0.102396880332516</v>
      </c>
    </row>
    <row r="4970" spans="1:11" x14ac:dyDescent="0.25">
      <c r="A4970" t="s">
        <v>86</v>
      </c>
    </row>
    <row r="4971" spans="1:11" x14ac:dyDescent="0.25">
      <c r="A4971">
        <v>122.901063524145</v>
      </c>
      <c r="B4971">
        <v>60.878598361215097</v>
      </c>
      <c r="C4971">
        <v>2000</v>
      </c>
    </row>
    <row r="4972" spans="1:11" x14ac:dyDescent="0.25">
      <c r="A4972">
        <v>121.232646876405</v>
      </c>
      <c r="B4972">
        <v>59.210181713475102</v>
      </c>
      <c r="C4972">
        <v>2000</v>
      </c>
    </row>
    <row r="4973" spans="1:11" x14ac:dyDescent="0.25">
      <c r="A4973">
        <v>121.66966290085399</v>
      </c>
      <c r="B4973">
        <v>58.7731656890263</v>
      </c>
      <c r="C4973">
        <v>2001</v>
      </c>
    </row>
    <row r="4974" spans="1:11" x14ac:dyDescent="0.25">
      <c r="A4974">
        <v>123.338079548594</v>
      </c>
      <c r="B4974">
        <v>60.441582336766302</v>
      </c>
      <c r="C4974">
        <v>2001</v>
      </c>
    </row>
    <row r="4975" spans="1:11" x14ac:dyDescent="0.25">
      <c r="A4975">
        <v>128.75082260174</v>
      </c>
      <c r="B4975">
        <v>65.854325389912105</v>
      </c>
      <c r="C4975">
        <v>2001</v>
      </c>
    </row>
    <row r="4976" spans="1:11" x14ac:dyDescent="0.25">
      <c r="A4976">
        <v>128.31380657729099</v>
      </c>
      <c r="B4976">
        <v>66.2913414143609</v>
      </c>
      <c r="C4976">
        <v>2000</v>
      </c>
    </row>
    <row r="4977" spans="1:11" x14ac:dyDescent="0.25">
      <c r="A4977" t="s">
        <v>87</v>
      </c>
    </row>
    <row r="4978" spans="1:11" x14ac:dyDescent="0.25">
      <c r="A4978">
        <v>945</v>
      </c>
      <c r="B4978">
        <v>0</v>
      </c>
      <c r="C4978">
        <v>7.3673353727124704</v>
      </c>
      <c r="D4978">
        <v>2.3904014515103702</v>
      </c>
      <c r="E4978">
        <v>6</v>
      </c>
      <c r="F4978">
        <v>1.01722196789785</v>
      </c>
      <c r="G4978" t="s">
        <v>85</v>
      </c>
      <c r="H4978" t="s">
        <v>85</v>
      </c>
      <c r="I4978">
        <v>0</v>
      </c>
      <c r="J4978">
        <v>0</v>
      </c>
      <c r="K4978">
        <v>0.106575022946752</v>
      </c>
    </row>
    <row r="4979" spans="1:11" x14ac:dyDescent="0.25">
      <c r="A4979" t="s">
        <v>86</v>
      </c>
    </row>
    <row r="4980" spans="1:11" x14ac:dyDescent="0.25">
      <c r="A4980">
        <v>148.20267292897799</v>
      </c>
      <c r="B4980">
        <v>5.5394508308680503</v>
      </c>
      <c r="C4980">
        <v>2000</v>
      </c>
    </row>
    <row r="4981" spans="1:11" x14ac:dyDescent="0.25">
      <c r="A4981">
        <v>142.663222098109</v>
      </c>
      <c r="B4981">
        <v>0</v>
      </c>
      <c r="C4981">
        <v>2000</v>
      </c>
    </row>
    <row r="4982" spans="1:11" x14ac:dyDescent="0.25">
      <c r="A4982">
        <v>143.53725414700699</v>
      </c>
      <c r="B4982">
        <v>0</v>
      </c>
      <c r="C4982">
        <v>2001</v>
      </c>
    </row>
    <row r="4983" spans="1:11" x14ac:dyDescent="0.25">
      <c r="A4983">
        <v>148.41678891877999</v>
      </c>
      <c r="B4983">
        <v>4.8795347717729696</v>
      </c>
      <c r="C4983">
        <v>2001</v>
      </c>
    </row>
    <row r="4984" spans="1:11" x14ac:dyDescent="0.25">
      <c r="A4984">
        <v>150</v>
      </c>
      <c r="B4984">
        <v>6.4627458529928301</v>
      </c>
      <c r="C4984">
        <v>2001</v>
      </c>
    </row>
    <row r="4985" spans="1:11" x14ac:dyDescent="0.25">
      <c r="A4985">
        <v>150</v>
      </c>
      <c r="B4985">
        <v>7.33677790189049</v>
      </c>
      <c r="C4985">
        <v>2000</v>
      </c>
    </row>
    <row r="4986" spans="1:11" x14ac:dyDescent="0.25">
      <c r="A4986" t="s">
        <v>87</v>
      </c>
    </row>
    <row r="4987" spans="1:11" x14ac:dyDescent="0.25">
      <c r="A4987">
        <v>894</v>
      </c>
      <c r="B4987">
        <v>0</v>
      </c>
      <c r="C4987">
        <v>5.3859632777401902</v>
      </c>
      <c r="D4987">
        <v>4.2312973626725601</v>
      </c>
      <c r="E4987">
        <v>6</v>
      </c>
      <c r="F4987">
        <v>1.01722196789785</v>
      </c>
      <c r="G4987" t="s">
        <v>88</v>
      </c>
      <c r="H4987" t="s">
        <v>85</v>
      </c>
      <c r="I4987">
        <v>585</v>
      </c>
      <c r="J4987">
        <v>0</v>
      </c>
      <c r="K4987">
        <v>0.104714434237089</v>
      </c>
    </row>
    <row r="4988" spans="1:11" x14ac:dyDescent="0.25">
      <c r="A4988" t="s">
        <v>86</v>
      </c>
    </row>
    <row r="4989" spans="1:11" x14ac:dyDescent="0.25">
      <c r="A4989">
        <v>22.037130918448501</v>
      </c>
      <c r="B4989">
        <v>146.91188417146799</v>
      </c>
      <c r="C4989">
        <v>2000</v>
      </c>
    </row>
    <row r="4990" spans="1:11" x14ac:dyDescent="0.25">
      <c r="A4990">
        <v>18.1063085194819</v>
      </c>
      <c r="B4990">
        <v>142.98106177250099</v>
      </c>
      <c r="C4990">
        <v>2000</v>
      </c>
    </row>
    <row r="4991" spans="1:11" x14ac:dyDescent="0.25">
      <c r="A4991">
        <v>17.669292495033002</v>
      </c>
      <c r="B4991">
        <v>143.41807779695</v>
      </c>
      <c r="C4991">
        <v>2001</v>
      </c>
    </row>
    <row r="4992" spans="1:11" x14ac:dyDescent="0.25">
      <c r="A4992">
        <v>21.355372409889998</v>
      </c>
      <c r="B4992">
        <v>147.10415771180701</v>
      </c>
      <c r="C4992">
        <v>2001</v>
      </c>
    </row>
    <row r="4993" spans="1:11" x14ac:dyDescent="0.25">
      <c r="A4993">
        <v>24.251214698082901</v>
      </c>
      <c r="B4993">
        <v>150</v>
      </c>
      <c r="C4993">
        <v>2001</v>
      </c>
    </row>
    <row r="4994" spans="1:11" x14ac:dyDescent="0.25">
      <c r="A4994">
        <v>25.125246746980601</v>
      </c>
      <c r="B4994">
        <v>150</v>
      </c>
      <c r="C4994">
        <v>2000</v>
      </c>
    </row>
    <row r="4995" spans="1:11" x14ac:dyDescent="0.25">
      <c r="A4995" t="s">
        <v>87</v>
      </c>
    </row>
    <row r="4996" spans="1:11" x14ac:dyDescent="0.25">
      <c r="A4996">
        <v>587</v>
      </c>
      <c r="B4996">
        <v>0</v>
      </c>
      <c r="C4996">
        <v>2.4019991117731099</v>
      </c>
      <c r="D4996">
        <v>6.9820554365637104</v>
      </c>
      <c r="E4996">
        <v>6</v>
      </c>
      <c r="F4996">
        <v>1.01722196789785</v>
      </c>
      <c r="G4996" t="s">
        <v>88</v>
      </c>
      <c r="H4996" t="s">
        <v>88</v>
      </c>
      <c r="I4996">
        <v>576</v>
      </c>
      <c r="J4996">
        <v>1004</v>
      </c>
      <c r="K4996">
        <v>0</v>
      </c>
    </row>
    <row r="4997" spans="1:11" x14ac:dyDescent="0.25">
      <c r="A4997" t="s">
        <v>86</v>
      </c>
    </row>
    <row r="4998" spans="1:11" x14ac:dyDescent="0.25">
      <c r="A4998">
        <v>4.8680092617210002</v>
      </c>
      <c r="B4998">
        <v>109.53385940592</v>
      </c>
      <c r="C4998">
        <v>2000</v>
      </c>
    </row>
    <row r="4999" spans="1:11" x14ac:dyDescent="0.25">
      <c r="A4999">
        <v>3.1695394013821701</v>
      </c>
      <c r="B4999">
        <v>107.83538954558099</v>
      </c>
      <c r="C4999">
        <v>2000</v>
      </c>
    </row>
    <row r="5000" spans="1:11" x14ac:dyDescent="0.25">
      <c r="A5000">
        <v>2.7325233769333499</v>
      </c>
      <c r="B5000">
        <v>108.27240557003</v>
      </c>
      <c r="C5000">
        <v>2001</v>
      </c>
    </row>
    <row r="5001" spans="1:11" x14ac:dyDescent="0.25">
      <c r="A5001">
        <v>4.4309932372721796</v>
      </c>
      <c r="B5001">
        <v>109.970875430368</v>
      </c>
      <c r="C5001">
        <v>2001</v>
      </c>
    </row>
    <row r="5002" spans="1:11" x14ac:dyDescent="0.25">
      <c r="A5002">
        <v>9.3680519830867794</v>
      </c>
      <c r="B5002">
        <v>114.90793417618301</v>
      </c>
      <c r="C5002">
        <v>2001</v>
      </c>
    </row>
    <row r="5003" spans="1:11" x14ac:dyDescent="0.25">
      <c r="A5003">
        <v>9.8050680075355992</v>
      </c>
      <c r="B5003">
        <v>114.470918151734</v>
      </c>
      <c r="C5003">
        <v>2000</v>
      </c>
    </row>
    <row r="5004" spans="1:11" x14ac:dyDescent="0.25">
      <c r="A5004" t="s">
        <v>87</v>
      </c>
    </row>
    <row r="5005" spans="1:11" x14ac:dyDescent="0.25">
      <c r="A5005">
        <v>826</v>
      </c>
      <c r="B5005">
        <v>0</v>
      </c>
      <c r="C5005">
        <v>6.4197995487844803</v>
      </c>
      <c r="D5005">
        <v>2.9275089383159401</v>
      </c>
      <c r="E5005">
        <v>6</v>
      </c>
      <c r="F5005">
        <v>1.01722196789785</v>
      </c>
      <c r="G5005" t="s">
        <v>88</v>
      </c>
      <c r="H5005" t="s">
        <v>88</v>
      </c>
      <c r="I5005">
        <v>993</v>
      </c>
      <c r="J5005">
        <v>870</v>
      </c>
      <c r="K5005">
        <v>0.103086576425267</v>
      </c>
    </row>
    <row r="5006" spans="1:11" x14ac:dyDescent="0.25">
      <c r="A5006" t="s">
        <v>86</v>
      </c>
    </row>
    <row r="5007" spans="1:11" x14ac:dyDescent="0.25">
      <c r="A5007">
        <v>47.498681387160502</v>
      </c>
      <c r="B5007">
        <v>83.357112831606898</v>
      </c>
      <c r="C5007">
        <v>2000</v>
      </c>
    </row>
    <row r="5008" spans="1:11" x14ac:dyDescent="0.25">
      <c r="A5008">
        <v>42.959197592356603</v>
      </c>
      <c r="B5008">
        <v>78.817629036802998</v>
      </c>
      <c r="C5008">
        <v>2000</v>
      </c>
    </row>
    <row r="5009" spans="1:11" x14ac:dyDescent="0.25">
      <c r="A5009">
        <v>42.522181567907801</v>
      </c>
      <c r="B5009">
        <v>79.254645061251793</v>
      </c>
      <c r="C5009">
        <v>2001</v>
      </c>
    </row>
    <row r="5010" spans="1:11" x14ac:dyDescent="0.25">
      <c r="A5010">
        <v>47.0616653627117</v>
      </c>
      <c r="B5010">
        <v>83.794128856055707</v>
      </c>
      <c r="C5010">
        <v>2001</v>
      </c>
    </row>
    <row r="5011" spans="1:11" x14ac:dyDescent="0.25">
      <c r="A5011">
        <v>49.131726784979101</v>
      </c>
      <c r="B5011">
        <v>85.864190278323093</v>
      </c>
      <c r="C5011">
        <v>2001</v>
      </c>
    </row>
    <row r="5012" spans="1:11" x14ac:dyDescent="0.25">
      <c r="A5012">
        <v>49.568742809427903</v>
      </c>
      <c r="B5012">
        <v>85.427174253874298</v>
      </c>
      <c r="C5012">
        <v>2000</v>
      </c>
    </row>
    <row r="5013" spans="1:11" x14ac:dyDescent="0.25">
      <c r="A5013" t="s">
        <v>87</v>
      </c>
    </row>
    <row r="5014" spans="1:11" x14ac:dyDescent="0.25">
      <c r="A5014">
        <v>1023</v>
      </c>
      <c r="B5014">
        <v>0</v>
      </c>
      <c r="C5014">
        <v>5.2026123168179303</v>
      </c>
      <c r="D5014">
        <v>3.7937450829650001</v>
      </c>
      <c r="E5014">
        <v>6</v>
      </c>
      <c r="F5014">
        <v>1.01722196789785</v>
      </c>
      <c r="G5014" t="s">
        <v>85</v>
      </c>
      <c r="H5014" t="s">
        <v>88</v>
      </c>
      <c r="I5014">
        <v>0</v>
      </c>
      <c r="J5014">
        <v>39</v>
      </c>
      <c r="K5014">
        <v>0.11349054889507899</v>
      </c>
    </row>
    <row r="5015" spans="1:11" x14ac:dyDescent="0.25">
      <c r="A5015" t="s">
        <v>86</v>
      </c>
    </row>
    <row r="5016" spans="1:11" x14ac:dyDescent="0.25">
      <c r="A5016">
        <v>3.5524388082235201</v>
      </c>
      <c r="B5016">
        <v>24.760343222119499</v>
      </c>
      <c r="C5016">
        <v>2000</v>
      </c>
    </row>
    <row r="5017" spans="1:11" x14ac:dyDescent="0.25">
      <c r="A5017">
        <v>0</v>
      </c>
      <c r="B5017">
        <v>21.207904413895999</v>
      </c>
      <c r="C5017">
        <v>2000</v>
      </c>
    </row>
    <row r="5018" spans="1:11" x14ac:dyDescent="0.25">
      <c r="A5018">
        <v>0</v>
      </c>
      <c r="B5018">
        <v>20.333872364998399</v>
      </c>
      <c r="C5018">
        <v>2001</v>
      </c>
    </row>
    <row r="5019" spans="1:11" x14ac:dyDescent="0.25">
      <c r="A5019">
        <v>3.8051660899897102</v>
      </c>
      <c r="B5019">
        <v>24.1390384549881</v>
      </c>
      <c r="C5019">
        <v>2001</v>
      </c>
    </row>
    <row r="5020" spans="1:11" x14ac:dyDescent="0.25">
      <c r="A5020">
        <v>6.5798933355887002</v>
      </c>
      <c r="B5020">
        <v>26.913765700587099</v>
      </c>
      <c r="C5020">
        <v>2001</v>
      </c>
    </row>
    <row r="5021" spans="1:11" x14ac:dyDescent="0.25">
      <c r="A5021">
        <v>6.1428773111398796</v>
      </c>
      <c r="B5021">
        <v>27.350781725035901</v>
      </c>
      <c r="C5021">
        <v>2000</v>
      </c>
    </row>
    <row r="5022" spans="1:11" x14ac:dyDescent="0.25">
      <c r="A5022" t="s">
        <v>87</v>
      </c>
    </row>
    <row r="5023" spans="1:11" x14ac:dyDescent="0.25">
      <c r="A5023">
        <v>186</v>
      </c>
      <c r="B5023">
        <v>0</v>
      </c>
      <c r="C5023">
        <v>5.77836234031437</v>
      </c>
      <c r="D5023">
        <v>2.8236019616238202</v>
      </c>
      <c r="E5023">
        <v>6</v>
      </c>
      <c r="F5023">
        <v>1.01722196789785</v>
      </c>
      <c r="G5023" t="s">
        <v>88</v>
      </c>
      <c r="H5023" t="s">
        <v>88</v>
      </c>
      <c r="I5023">
        <v>438</v>
      </c>
      <c r="J5023">
        <v>193</v>
      </c>
      <c r="K5023">
        <v>0</v>
      </c>
    </row>
    <row r="5024" spans="1:11" x14ac:dyDescent="0.25">
      <c r="A5024" t="s">
        <v>86</v>
      </c>
    </row>
    <row r="5025" spans="1:11" x14ac:dyDescent="0.25">
      <c r="A5025">
        <v>119.407762099243</v>
      </c>
      <c r="B5025">
        <v>57.041890301765598</v>
      </c>
      <c r="C5025">
        <v>2000</v>
      </c>
    </row>
    <row r="5026" spans="1:11" x14ac:dyDescent="0.25">
      <c r="A5026">
        <v>115.321842904254</v>
      </c>
      <c r="B5026">
        <v>52.955971106776403</v>
      </c>
      <c r="C5026">
        <v>2000</v>
      </c>
    </row>
    <row r="5027" spans="1:11" x14ac:dyDescent="0.25">
      <c r="A5027">
        <v>114.884826879805</v>
      </c>
      <c r="B5027">
        <v>53.392987131225198</v>
      </c>
      <c r="C5027">
        <v>2001</v>
      </c>
    </row>
    <row r="5028" spans="1:11" x14ac:dyDescent="0.25">
      <c r="A5028">
        <v>118.97074607479399</v>
      </c>
      <c r="B5028">
        <v>57.478906326214499</v>
      </c>
      <c r="C5028">
        <v>2001</v>
      </c>
    </row>
    <row r="5029" spans="1:11" x14ac:dyDescent="0.25">
      <c r="A5029">
        <v>120.96733416923</v>
      </c>
      <c r="B5029">
        <v>59.4754944206503</v>
      </c>
      <c r="C5029">
        <v>2001</v>
      </c>
    </row>
    <row r="5030" spans="1:11" x14ac:dyDescent="0.25">
      <c r="A5030">
        <v>121.40435019367899</v>
      </c>
      <c r="B5030">
        <v>59.038478396201498</v>
      </c>
      <c r="C5030">
        <v>2000</v>
      </c>
    </row>
    <row r="5031" spans="1:11" x14ac:dyDescent="0.25">
      <c r="A5031" t="s">
        <v>87</v>
      </c>
    </row>
    <row r="5032" spans="1:11" x14ac:dyDescent="0.25">
      <c r="A5032">
        <v>733</v>
      </c>
      <c r="B5032">
        <v>0</v>
      </c>
      <c r="C5032">
        <v>2.0797154307320498</v>
      </c>
      <c r="D5032">
        <v>6.50963239179152</v>
      </c>
      <c r="E5032">
        <v>6</v>
      </c>
      <c r="F5032">
        <v>1.01722196789785</v>
      </c>
      <c r="G5032" t="s">
        <v>85</v>
      </c>
      <c r="H5032" t="s">
        <v>88</v>
      </c>
      <c r="I5032">
        <v>0</v>
      </c>
      <c r="J5032">
        <v>893</v>
      </c>
      <c r="K5032">
        <v>0.100785207567138</v>
      </c>
    </row>
    <row r="5033" spans="1:11" x14ac:dyDescent="0.25">
      <c r="A5033" t="s">
        <v>86</v>
      </c>
    </row>
    <row r="5034" spans="1:11" x14ac:dyDescent="0.25">
      <c r="A5034">
        <v>1.41767413321116</v>
      </c>
      <c r="B5034">
        <v>69.4295072943234</v>
      </c>
      <c r="C5034">
        <v>2000</v>
      </c>
    </row>
    <row r="5035" spans="1:11" x14ac:dyDescent="0.25">
      <c r="A5035">
        <v>0</v>
      </c>
      <c r="B5035">
        <v>68.011833161112193</v>
      </c>
      <c r="C5035">
        <v>2000</v>
      </c>
    </row>
    <row r="5036" spans="1:11" x14ac:dyDescent="0.25">
      <c r="A5036">
        <v>0</v>
      </c>
      <c r="B5036">
        <v>67.137801112214603</v>
      </c>
      <c r="C5036">
        <v>2001</v>
      </c>
    </row>
    <row r="5037" spans="1:11" x14ac:dyDescent="0.25">
      <c r="A5037">
        <v>1.5234876348067099</v>
      </c>
      <c r="B5037">
        <v>68.661288747021302</v>
      </c>
      <c r="C5037">
        <v>2001</v>
      </c>
    </row>
    <row r="5038" spans="1:11" x14ac:dyDescent="0.25">
      <c r="A5038">
        <v>6.2920941035007401</v>
      </c>
      <c r="B5038">
        <v>73.429895215715305</v>
      </c>
      <c r="C5038">
        <v>2001</v>
      </c>
    </row>
    <row r="5039" spans="1:11" x14ac:dyDescent="0.25">
      <c r="A5039">
        <v>5.8550780790519203</v>
      </c>
      <c r="B5039">
        <v>73.8669112401641</v>
      </c>
      <c r="C5039">
        <v>2000</v>
      </c>
    </row>
    <row r="5040" spans="1:11" x14ac:dyDescent="0.25">
      <c r="A5040" t="s">
        <v>87</v>
      </c>
    </row>
    <row r="5041" spans="1:11" x14ac:dyDescent="0.25">
      <c r="A5041">
        <v>268</v>
      </c>
      <c r="B5041">
        <v>0</v>
      </c>
      <c r="C5041">
        <v>7.2529711175322298</v>
      </c>
      <c r="D5041">
        <v>1.1958834375024501</v>
      </c>
      <c r="E5041">
        <v>6</v>
      </c>
      <c r="F5041">
        <v>1.01722196789785</v>
      </c>
      <c r="G5041" t="s">
        <v>85</v>
      </c>
      <c r="H5041" t="s">
        <v>88</v>
      </c>
      <c r="I5041">
        <v>0</v>
      </c>
      <c r="J5041">
        <v>270</v>
      </c>
      <c r="K5041">
        <v>0</v>
      </c>
    </row>
    <row r="5042" spans="1:11" x14ac:dyDescent="0.25">
      <c r="A5042" t="s">
        <v>86</v>
      </c>
    </row>
    <row r="5043" spans="1:11" x14ac:dyDescent="0.25">
      <c r="A5043">
        <v>55.188038280325799</v>
      </c>
      <c r="B5043">
        <v>5.34713307318163</v>
      </c>
      <c r="C5043">
        <v>2000</v>
      </c>
    </row>
    <row r="5044" spans="1:11" x14ac:dyDescent="0.25">
      <c r="A5044">
        <v>50.059413219368601</v>
      </c>
      <c r="B5044">
        <v>0.21850801222441399</v>
      </c>
      <c r="C5044">
        <v>2000</v>
      </c>
    </row>
    <row r="5045" spans="1:11" x14ac:dyDescent="0.25">
      <c r="A5045">
        <v>50.7149372560418</v>
      </c>
      <c r="B5045">
        <v>0</v>
      </c>
      <c r="C5045">
        <v>2001</v>
      </c>
    </row>
    <row r="5046" spans="1:11" x14ac:dyDescent="0.25">
      <c r="A5046">
        <v>55.655982771003799</v>
      </c>
      <c r="B5046">
        <v>4.9410455149620001</v>
      </c>
      <c r="C5046">
        <v>2001</v>
      </c>
    </row>
    <row r="5047" spans="1:11" x14ac:dyDescent="0.25">
      <c r="A5047">
        <v>56.470671592941301</v>
      </c>
      <c r="B5047">
        <v>5.7557343368994696</v>
      </c>
      <c r="C5047">
        <v>2001</v>
      </c>
    </row>
    <row r="5048" spans="1:11" x14ac:dyDescent="0.25">
      <c r="A5048">
        <v>56.033655568492399</v>
      </c>
      <c r="B5048">
        <v>6.1927503613482902</v>
      </c>
      <c r="C5048">
        <v>2000</v>
      </c>
    </row>
    <row r="5049" spans="1:11" x14ac:dyDescent="0.25">
      <c r="A5049" t="s">
        <v>87</v>
      </c>
    </row>
    <row r="5050" spans="1:11" x14ac:dyDescent="0.25">
      <c r="A5050">
        <v>111</v>
      </c>
      <c r="B5050">
        <v>0</v>
      </c>
      <c r="C5050">
        <v>8.0326661018975898</v>
      </c>
      <c r="D5050">
        <v>0.25369247488420399</v>
      </c>
      <c r="E5050">
        <v>6</v>
      </c>
      <c r="F5050">
        <v>1.01722196789785</v>
      </c>
      <c r="G5050" t="s">
        <v>88</v>
      </c>
      <c r="H5050" t="s">
        <v>88</v>
      </c>
      <c r="I5050">
        <v>747</v>
      </c>
      <c r="J5050">
        <v>102</v>
      </c>
      <c r="K5050">
        <v>0</v>
      </c>
    </row>
    <row r="5051" spans="1:11" x14ac:dyDescent="0.25">
      <c r="A5051" t="s">
        <v>86</v>
      </c>
    </row>
    <row r="5052" spans="1:11" x14ac:dyDescent="0.25">
      <c r="A5052">
        <v>88.843918951151096</v>
      </c>
      <c r="B5052">
        <v>63.607485792886997</v>
      </c>
      <c r="C5052">
        <v>2000</v>
      </c>
    </row>
    <row r="5053" spans="1:11" x14ac:dyDescent="0.25">
      <c r="A5053">
        <v>83.163966279492001</v>
      </c>
      <c r="B5053">
        <v>57.927533121227903</v>
      </c>
      <c r="C5053">
        <v>2000</v>
      </c>
    </row>
    <row r="5054" spans="1:11" x14ac:dyDescent="0.25">
      <c r="A5054">
        <v>82.726950255043207</v>
      </c>
      <c r="B5054">
        <v>58.364549145676698</v>
      </c>
      <c r="C5054">
        <v>2001</v>
      </c>
    </row>
    <row r="5055" spans="1:11" x14ac:dyDescent="0.25">
      <c r="A5055">
        <v>88.406902926702301</v>
      </c>
      <c r="B5055">
        <v>64.044501817335799</v>
      </c>
      <c r="C5055">
        <v>2001</v>
      </c>
    </row>
    <row r="5056" spans="1:11" x14ac:dyDescent="0.25">
      <c r="A5056">
        <v>88.586290596028903</v>
      </c>
      <c r="B5056">
        <v>64.223889486662401</v>
      </c>
      <c r="C5056">
        <v>2001</v>
      </c>
    </row>
    <row r="5057" spans="1:11" x14ac:dyDescent="0.25">
      <c r="A5057">
        <v>89.023306620477697</v>
      </c>
      <c r="B5057">
        <v>63.786873462213599</v>
      </c>
      <c r="C5057">
        <v>2000</v>
      </c>
    </row>
    <row r="5058" spans="1:11" x14ac:dyDescent="0.25">
      <c r="A5058" t="s">
        <v>87</v>
      </c>
    </row>
    <row r="5059" spans="1:11" x14ac:dyDescent="0.25">
      <c r="A5059">
        <v>27</v>
      </c>
      <c r="B5059">
        <v>0</v>
      </c>
      <c r="C5059">
        <v>7.4145875216890502</v>
      </c>
      <c r="D5059">
        <v>0.76415924511050204</v>
      </c>
      <c r="E5059">
        <v>6</v>
      </c>
      <c r="F5059">
        <v>1.01722196789785</v>
      </c>
      <c r="G5059" t="s">
        <v>85</v>
      </c>
      <c r="H5059" t="s">
        <v>88</v>
      </c>
      <c r="I5059">
        <v>0</v>
      </c>
      <c r="J5059">
        <v>39</v>
      </c>
      <c r="K5059">
        <v>0</v>
      </c>
    </row>
    <row r="5060" spans="1:11" x14ac:dyDescent="0.25">
      <c r="A5060" t="s">
        <v>86</v>
      </c>
    </row>
    <row r="5061" spans="1:11" x14ac:dyDescent="0.25">
      <c r="A5061">
        <v>5.4409974190599497</v>
      </c>
      <c r="B5061">
        <v>26.931145829963899</v>
      </c>
      <c r="C5061">
        <v>2000</v>
      </c>
    </row>
    <row r="5062" spans="1:11" x14ac:dyDescent="0.25">
      <c r="A5062">
        <v>0</v>
      </c>
      <c r="B5062">
        <v>21.490148410903899</v>
      </c>
      <c r="C5062">
        <v>2000</v>
      </c>
    </row>
    <row r="5063" spans="1:11" x14ac:dyDescent="0.25">
      <c r="A5063">
        <v>0</v>
      </c>
      <c r="B5063">
        <v>22.364180459801599</v>
      </c>
      <c r="C5063">
        <v>2001</v>
      </c>
    </row>
    <row r="5064" spans="1:11" x14ac:dyDescent="0.25">
      <c r="A5064">
        <v>5.0448128135150201</v>
      </c>
      <c r="B5064">
        <v>27.4089932733166</v>
      </c>
      <c r="C5064">
        <v>2001</v>
      </c>
    </row>
    <row r="5065" spans="1:11" x14ac:dyDescent="0.25">
      <c r="A5065">
        <v>5.5647392881871003</v>
      </c>
      <c r="B5065">
        <v>27.928919747988701</v>
      </c>
      <c r="C5065">
        <v>2001</v>
      </c>
    </row>
    <row r="5066" spans="1:11" x14ac:dyDescent="0.25">
      <c r="A5066">
        <v>6.00175531263592</v>
      </c>
      <c r="B5066">
        <v>27.491903723539799</v>
      </c>
      <c r="C5066">
        <v>2000</v>
      </c>
    </row>
    <row r="5067" spans="1:11" x14ac:dyDescent="0.25">
      <c r="A5067" t="s">
        <v>87</v>
      </c>
    </row>
    <row r="5068" spans="1:11" x14ac:dyDescent="0.25">
      <c r="A5068">
        <v>429</v>
      </c>
      <c r="B5068">
        <v>0</v>
      </c>
      <c r="C5068">
        <v>2.48905496577179</v>
      </c>
      <c r="D5068">
        <v>5.6618040129130902</v>
      </c>
      <c r="E5068">
        <v>6</v>
      </c>
      <c r="F5068">
        <v>1.01722196789785</v>
      </c>
      <c r="G5068" t="s">
        <v>88</v>
      </c>
      <c r="H5068" t="s">
        <v>88</v>
      </c>
      <c r="I5068">
        <v>423</v>
      </c>
      <c r="J5068">
        <v>435</v>
      </c>
      <c r="K5068">
        <v>0</v>
      </c>
    </row>
    <row r="5069" spans="1:11" x14ac:dyDescent="0.25">
      <c r="A5069" t="s">
        <v>86</v>
      </c>
    </row>
    <row r="5070" spans="1:11" x14ac:dyDescent="0.25">
      <c r="A5070">
        <v>124.72872419363701</v>
      </c>
      <c r="B5070">
        <v>11.401744696494299</v>
      </c>
      <c r="C5070">
        <v>2000</v>
      </c>
    </row>
    <row r="5071" spans="1:11" x14ac:dyDescent="0.25">
      <c r="A5071">
        <v>122.968696548594</v>
      </c>
      <c r="B5071">
        <v>9.6417170514509891</v>
      </c>
      <c r="C5071">
        <v>2000</v>
      </c>
    </row>
    <row r="5072" spans="1:11" x14ac:dyDescent="0.25">
      <c r="A5072">
        <v>123.405712573043</v>
      </c>
      <c r="B5072">
        <v>9.2047010270021694</v>
      </c>
      <c r="C5072">
        <v>2001</v>
      </c>
    </row>
    <row r="5073" spans="1:11" x14ac:dyDescent="0.25">
      <c r="A5073">
        <v>125.165740218086</v>
      </c>
      <c r="B5073">
        <v>10.9647286720454</v>
      </c>
      <c r="C5073">
        <v>2001</v>
      </c>
    </row>
    <row r="5074" spans="1:11" x14ac:dyDescent="0.25">
      <c r="A5074">
        <v>129.16924022936601</v>
      </c>
      <c r="B5074">
        <v>14.968228683325499</v>
      </c>
      <c r="C5074">
        <v>2001</v>
      </c>
    </row>
    <row r="5075" spans="1:11" x14ac:dyDescent="0.25">
      <c r="A5075">
        <v>128.732224204917</v>
      </c>
      <c r="B5075">
        <v>15.405244707774299</v>
      </c>
      <c r="C5075">
        <v>2000</v>
      </c>
    </row>
    <row r="5076" spans="1:11" x14ac:dyDescent="0.25">
      <c r="A5076" t="s">
        <v>87</v>
      </c>
    </row>
    <row r="5077" spans="1:11" x14ac:dyDescent="0.25">
      <c r="A5077">
        <v>903</v>
      </c>
      <c r="B5077">
        <v>0</v>
      </c>
      <c r="C5077">
        <v>5.2560057555337796</v>
      </c>
      <c r="D5077">
        <v>2.8509297591818701</v>
      </c>
      <c r="E5077">
        <v>6</v>
      </c>
      <c r="F5077">
        <v>1.01722196789785</v>
      </c>
      <c r="G5077" t="s">
        <v>88</v>
      </c>
      <c r="H5077" t="s">
        <v>85</v>
      </c>
      <c r="I5077">
        <v>329</v>
      </c>
      <c r="J5077">
        <v>0</v>
      </c>
      <c r="K5077">
        <v>0.105080877406349</v>
      </c>
    </row>
    <row r="5078" spans="1:11" x14ac:dyDescent="0.25">
      <c r="A5078" t="s">
        <v>86</v>
      </c>
    </row>
    <row r="5079" spans="1:11" x14ac:dyDescent="0.25">
      <c r="A5079">
        <v>56.8589300435533</v>
      </c>
      <c r="B5079">
        <v>148.060929970112</v>
      </c>
      <c r="C5079">
        <v>2000</v>
      </c>
    </row>
    <row r="5080" spans="1:11" x14ac:dyDescent="0.25">
      <c r="A5080">
        <v>53.284039008567902</v>
      </c>
      <c r="B5080">
        <v>144.486038935127</v>
      </c>
      <c r="C5080">
        <v>2000</v>
      </c>
    </row>
    <row r="5081" spans="1:11" x14ac:dyDescent="0.25">
      <c r="A5081">
        <v>53.721055033016697</v>
      </c>
      <c r="B5081">
        <v>144.04902291067799</v>
      </c>
      <c r="C5081">
        <v>2001</v>
      </c>
    </row>
    <row r="5082" spans="1:11" x14ac:dyDescent="0.25">
      <c r="A5082">
        <v>57.579278621418197</v>
      </c>
      <c r="B5082">
        <v>147.90724649908</v>
      </c>
      <c r="C5082">
        <v>2001</v>
      </c>
    </row>
    <row r="5083" spans="1:11" x14ac:dyDescent="0.25">
      <c r="A5083">
        <v>59.672032122338599</v>
      </c>
      <c r="B5083">
        <v>150</v>
      </c>
      <c r="C5083">
        <v>2001</v>
      </c>
    </row>
    <row r="5084" spans="1:11" x14ac:dyDescent="0.25">
      <c r="A5084">
        <v>58.798000073440903</v>
      </c>
      <c r="B5084">
        <v>150</v>
      </c>
      <c r="C5084">
        <v>2000</v>
      </c>
    </row>
    <row r="5085" spans="1:11" x14ac:dyDescent="0.25">
      <c r="A5085" t="s">
        <v>87</v>
      </c>
    </row>
    <row r="5086" spans="1:11" x14ac:dyDescent="0.25">
      <c r="A5086">
        <v>861</v>
      </c>
      <c r="B5086">
        <v>0</v>
      </c>
      <c r="C5086">
        <v>6.8444302544360296</v>
      </c>
      <c r="D5086">
        <v>1.0803602889388799</v>
      </c>
      <c r="E5086">
        <v>6</v>
      </c>
      <c r="F5086">
        <v>1.01722196789785</v>
      </c>
      <c r="G5086" t="s">
        <v>88</v>
      </c>
      <c r="H5086" t="s">
        <v>88</v>
      </c>
      <c r="I5086">
        <v>767</v>
      </c>
      <c r="J5086">
        <v>822</v>
      </c>
      <c r="K5086">
        <v>0.103935679754349</v>
      </c>
    </row>
    <row r="5087" spans="1:11" x14ac:dyDescent="0.25">
      <c r="A5087" t="s">
        <v>86</v>
      </c>
    </row>
    <row r="5088" spans="1:11" x14ac:dyDescent="0.25">
      <c r="A5088">
        <v>26.9846669211868</v>
      </c>
      <c r="B5088">
        <v>139.00752608013201</v>
      </c>
      <c r="C5088">
        <v>2000</v>
      </c>
    </row>
    <row r="5089" spans="1:11" x14ac:dyDescent="0.25">
      <c r="A5089">
        <v>22.144923874916699</v>
      </c>
      <c r="B5089">
        <v>134.16778303386201</v>
      </c>
      <c r="C5089">
        <v>2000</v>
      </c>
    </row>
    <row r="5090" spans="1:11" x14ac:dyDescent="0.25">
      <c r="A5090">
        <v>21.707907850467901</v>
      </c>
      <c r="B5090">
        <v>134.60479905831099</v>
      </c>
      <c r="C5090">
        <v>2001</v>
      </c>
    </row>
    <row r="5091" spans="1:11" x14ac:dyDescent="0.25">
      <c r="A5091">
        <v>26.547650896737899</v>
      </c>
      <c r="B5091">
        <v>139.44454210458099</v>
      </c>
      <c r="C5091">
        <v>2001</v>
      </c>
    </row>
    <row r="5092" spans="1:11" x14ac:dyDescent="0.25">
      <c r="A5092">
        <v>27.3115809831713</v>
      </c>
      <c r="B5092">
        <v>140.20847219101401</v>
      </c>
      <c r="C5092">
        <v>2001</v>
      </c>
    </row>
    <row r="5093" spans="1:11" x14ac:dyDescent="0.25">
      <c r="A5093">
        <v>27.748597007620099</v>
      </c>
      <c r="B5093">
        <v>139.771456166565</v>
      </c>
      <c r="C5093">
        <v>2000</v>
      </c>
    </row>
    <row r="5094" spans="1:11" x14ac:dyDescent="0.25">
      <c r="A5094" t="s">
        <v>87</v>
      </c>
    </row>
    <row r="5095" spans="1:11" x14ac:dyDescent="0.25">
      <c r="A5095">
        <v>103</v>
      </c>
      <c r="B5095">
        <v>0</v>
      </c>
      <c r="C5095">
        <v>7.0856372122880202</v>
      </c>
      <c r="D5095">
        <v>0.17260279593088501</v>
      </c>
      <c r="E5095">
        <v>6</v>
      </c>
      <c r="F5095">
        <v>1.01722196789785</v>
      </c>
      <c r="G5095" t="s">
        <v>88</v>
      </c>
      <c r="H5095" t="s">
        <v>88</v>
      </c>
      <c r="I5095">
        <v>869</v>
      </c>
      <c r="J5095">
        <v>113</v>
      </c>
      <c r="K5095">
        <v>0</v>
      </c>
    </row>
    <row r="5096" spans="1:11" x14ac:dyDescent="0.25">
      <c r="A5096" t="s">
        <v>86</v>
      </c>
    </row>
    <row r="5097" spans="1:11" x14ac:dyDescent="0.25">
      <c r="A5097">
        <v>66.579094288679201</v>
      </c>
      <c r="B5097">
        <v>57.179802465331797</v>
      </c>
      <c r="C5097">
        <v>2000</v>
      </c>
    </row>
    <row r="5098" spans="1:11" x14ac:dyDescent="0.25">
      <c r="A5098">
        <v>61.568792166842599</v>
      </c>
      <c r="B5098">
        <v>52.169500343495201</v>
      </c>
      <c r="C5098">
        <v>2000</v>
      </c>
    </row>
    <row r="5099" spans="1:11" x14ac:dyDescent="0.25">
      <c r="A5099">
        <v>62.005808191291401</v>
      </c>
      <c r="B5099">
        <v>51.732484319046399</v>
      </c>
      <c r="C5099">
        <v>2001</v>
      </c>
    </row>
    <row r="5100" spans="1:11" x14ac:dyDescent="0.25">
      <c r="A5100">
        <v>67.016110313127996</v>
      </c>
      <c r="B5100">
        <v>56.742786440883002</v>
      </c>
      <c r="C5100">
        <v>2001</v>
      </c>
    </row>
    <row r="5101" spans="1:11" x14ac:dyDescent="0.25">
      <c r="A5101">
        <v>67.138158920582498</v>
      </c>
      <c r="B5101">
        <v>56.864835048337497</v>
      </c>
      <c r="C5101">
        <v>2001</v>
      </c>
    </row>
    <row r="5102" spans="1:11" x14ac:dyDescent="0.25">
      <c r="A5102">
        <v>66.701142896133703</v>
      </c>
      <c r="B5102">
        <v>57.301851072786299</v>
      </c>
      <c r="C5102">
        <v>2000</v>
      </c>
    </row>
    <row r="5103" spans="1:11" x14ac:dyDescent="0.25">
      <c r="A5103" t="s">
        <v>87</v>
      </c>
    </row>
    <row r="5104" spans="1:11" x14ac:dyDescent="0.25">
      <c r="A5104">
        <v>887</v>
      </c>
      <c r="B5104">
        <v>0</v>
      </c>
      <c r="C5104">
        <v>4.5919954802924998</v>
      </c>
      <c r="D5104">
        <v>2.29587448686536</v>
      </c>
      <c r="E5104">
        <v>8</v>
      </c>
      <c r="F5104">
        <v>1.01722196789785</v>
      </c>
      <c r="G5104" t="s">
        <v>88</v>
      </c>
      <c r="H5104" t="s">
        <v>88</v>
      </c>
      <c r="I5104">
        <v>732</v>
      </c>
      <c r="J5104">
        <v>678</v>
      </c>
      <c r="K5104">
        <v>0.104714434237089</v>
      </c>
    </row>
    <row r="5105" spans="1:11" x14ac:dyDescent="0.25">
      <c r="A5105" t="s">
        <v>86</v>
      </c>
    </row>
    <row r="5106" spans="1:11" x14ac:dyDescent="0.25">
      <c r="A5106">
        <v>102.043772179184</v>
      </c>
      <c r="B5106">
        <v>117.938548575597</v>
      </c>
      <c r="C5106">
        <v>2000</v>
      </c>
    </row>
    <row r="5107" spans="1:11" x14ac:dyDescent="0.25">
      <c r="A5107">
        <v>100.21850801222401</v>
      </c>
      <c r="B5107">
        <v>116.11328440863799</v>
      </c>
      <c r="C5107">
        <v>2000</v>
      </c>
    </row>
    <row r="5108" spans="1:11" x14ac:dyDescent="0.25">
      <c r="A5108">
        <v>98.796741035890804</v>
      </c>
      <c r="B5108">
        <v>114.691517432304</v>
      </c>
      <c r="C5108">
        <v>2000</v>
      </c>
    </row>
    <row r="5109" spans="1:11" x14ac:dyDescent="0.25">
      <c r="A5109">
        <v>98.359725011441995</v>
      </c>
      <c r="B5109">
        <v>115.128533456753</v>
      </c>
      <c r="C5109">
        <v>2001</v>
      </c>
    </row>
    <row r="5110" spans="1:11" x14ac:dyDescent="0.25">
      <c r="A5110">
        <v>99.781491987775595</v>
      </c>
      <c r="B5110">
        <v>116.550300433087</v>
      </c>
      <c r="C5110">
        <v>2001</v>
      </c>
    </row>
    <row r="5111" spans="1:11" x14ac:dyDescent="0.25">
      <c r="A5111">
        <v>101.606756154735</v>
      </c>
      <c r="B5111">
        <v>118.375564600046</v>
      </c>
      <c r="C5111">
        <v>2001</v>
      </c>
    </row>
    <row r="5112" spans="1:11" x14ac:dyDescent="0.25">
      <c r="A5112">
        <v>103.23018457315</v>
      </c>
      <c r="B5112">
        <v>119.99899301846099</v>
      </c>
      <c r="C5112">
        <v>2001</v>
      </c>
    </row>
    <row r="5113" spans="1:11" x14ac:dyDescent="0.25">
      <c r="A5113">
        <v>103.66720059759901</v>
      </c>
      <c r="B5113">
        <v>119.56197699401299</v>
      </c>
      <c r="C5113">
        <v>2000</v>
      </c>
    </row>
    <row r="5114" spans="1:11" x14ac:dyDescent="0.25">
      <c r="A5114" t="s">
        <v>87</v>
      </c>
    </row>
    <row r="5115" spans="1:11" x14ac:dyDescent="0.25">
      <c r="A5115">
        <v>862</v>
      </c>
      <c r="B5115">
        <v>0</v>
      </c>
      <c r="C5115">
        <v>5.7576743152308696</v>
      </c>
      <c r="D5115">
        <v>0.58181927520374199</v>
      </c>
      <c r="E5115">
        <v>6</v>
      </c>
      <c r="F5115">
        <v>1.01722196789785</v>
      </c>
      <c r="G5115" t="s">
        <v>88</v>
      </c>
      <c r="H5115" t="s">
        <v>88</v>
      </c>
      <c r="I5115">
        <v>794</v>
      </c>
      <c r="J5115">
        <v>777</v>
      </c>
      <c r="K5115">
        <v>0.103935679754349</v>
      </c>
    </row>
    <row r="5116" spans="1:11" x14ac:dyDescent="0.25">
      <c r="A5116" t="s">
        <v>86</v>
      </c>
    </row>
    <row r="5117" spans="1:11" x14ac:dyDescent="0.25">
      <c r="A5117">
        <v>132.52274207748999</v>
      </c>
      <c r="B5117">
        <v>70.224987018488093</v>
      </c>
      <c r="C5117">
        <v>2000</v>
      </c>
    </row>
    <row r="5118" spans="1:11" x14ac:dyDescent="0.25">
      <c r="A5118">
        <v>128.451451525327</v>
      </c>
      <c r="B5118">
        <v>66.153696466324703</v>
      </c>
      <c r="C5118">
        <v>2000</v>
      </c>
    </row>
    <row r="5119" spans="1:11" x14ac:dyDescent="0.25">
      <c r="A5119">
        <v>128.88846754977601</v>
      </c>
      <c r="B5119">
        <v>65.716680441875894</v>
      </c>
      <c r="C5119">
        <v>2001</v>
      </c>
    </row>
    <row r="5120" spans="1:11" x14ac:dyDescent="0.25">
      <c r="A5120">
        <v>132.959758101939</v>
      </c>
      <c r="B5120">
        <v>69.787970994039199</v>
      </c>
      <c r="C5120">
        <v>2001</v>
      </c>
    </row>
    <row r="5121" spans="1:11" x14ac:dyDescent="0.25">
      <c r="A5121">
        <v>133.371166456861</v>
      </c>
      <c r="B5121">
        <v>70.199379348960804</v>
      </c>
      <c r="C5121">
        <v>2001</v>
      </c>
    </row>
    <row r="5122" spans="1:11" x14ac:dyDescent="0.25">
      <c r="A5122">
        <v>132.934150432412</v>
      </c>
      <c r="B5122">
        <v>70.636395373409698</v>
      </c>
      <c r="C5122">
        <v>2000</v>
      </c>
    </row>
    <row r="5123" spans="1:11" x14ac:dyDescent="0.25">
      <c r="A5123" t="s">
        <v>87</v>
      </c>
    </row>
    <row r="5124" spans="1:11" x14ac:dyDescent="0.25">
      <c r="A5124">
        <v>904</v>
      </c>
      <c r="B5124">
        <v>0</v>
      </c>
      <c r="C5124">
        <v>2.9571869156278101</v>
      </c>
      <c r="D5124">
        <v>3.3012964737379802</v>
      </c>
      <c r="E5124">
        <v>8</v>
      </c>
      <c r="F5124">
        <v>1.01722196789785</v>
      </c>
      <c r="G5124" t="s">
        <v>88</v>
      </c>
      <c r="H5124" t="s">
        <v>88</v>
      </c>
      <c r="I5124">
        <v>26</v>
      </c>
      <c r="J5124">
        <v>837</v>
      </c>
      <c r="K5124">
        <v>0.105080877406349</v>
      </c>
    </row>
    <row r="5125" spans="1:11" x14ac:dyDescent="0.25">
      <c r="A5125" t="s">
        <v>86</v>
      </c>
    </row>
    <row r="5126" spans="1:11" x14ac:dyDescent="0.25">
      <c r="A5126">
        <v>49.637208956595003</v>
      </c>
      <c r="B5126">
        <v>17.995768716086701</v>
      </c>
      <c r="C5126">
        <v>2000</v>
      </c>
    </row>
    <row r="5127" spans="1:11" x14ac:dyDescent="0.25">
      <c r="A5127">
        <v>47.546162035318403</v>
      </c>
      <c r="B5127">
        <v>15.9047217948102</v>
      </c>
      <c r="C5127">
        <v>2000</v>
      </c>
    </row>
    <row r="5128" spans="1:11" x14ac:dyDescent="0.25">
      <c r="A5128">
        <v>47.983178059767198</v>
      </c>
      <c r="B5128">
        <v>15.467705770361301</v>
      </c>
      <c r="C5128">
        <v>2001</v>
      </c>
    </row>
    <row r="5129" spans="1:11" x14ac:dyDescent="0.25">
      <c r="A5129">
        <v>50.074224981043798</v>
      </c>
      <c r="B5129">
        <v>17.558752691637899</v>
      </c>
      <c r="C5129">
        <v>2001</v>
      </c>
    </row>
    <row r="5130" spans="1:11" x14ac:dyDescent="0.25">
      <c r="A5130">
        <v>50.218508012224397</v>
      </c>
      <c r="B5130">
        <v>17.703035722818498</v>
      </c>
      <c r="C5130">
        <v>2001</v>
      </c>
    </row>
    <row r="5131" spans="1:11" x14ac:dyDescent="0.25">
      <c r="A5131">
        <v>52.4085941043312</v>
      </c>
      <c r="B5131">
        <v>19.893121814925301</v>
      </c>
      <c r="C5131">
        <v>2001</v>
      </c>
    </row>
    <row r="5132" spans="1:11" x14ac:dyDescent="0.25">
      <c r="A5132">
        <v>51.971578079882299</v>
      </c>
      <c r="B5132">
        <v>20.3301378393741</v>
      </c>
      <c r="C5132">
        <v>2000</v>
      </c>
    </row>
    <row r="5133" spans="1:11" x14ac:dyDescent="0.25">
      <c r="A5133">
        <v>49.781491987775603</v>
      </c>
      <c r="B5133">
        <v>18.1400517472673</v>
      </c>
      <c r="C5133">
        <v>2000</v>
      </c>
    </row>
    <row r="5134" spans="1:11" x14ac:dyDescent="0.25">
      <c r="A5134" t="s">
        <v>87</v>
      </c>
    </row>
    <row r="5135" spans="1:11" x14ac:dyDescent="0.25">
      <c r="A5135">
        <v>850</v>
      </c>
      <c r="B5135">
        <v>0</v>
      </c>
      <c r="C5135">
        <v>2.1283994137178301</v>
      </c>
      <c r="D5135">
        <v>3.7148304734696498</v>
      </c>
      <c r="E5135">
        <v>6</v>
      </c>
      <c r="F5135">
        <v>1.01722196789785</v>
      </c>
      <c r="G5135" t="s">
        <v>88</v>
      </c>
      <c r="H5135" t="s">
        <v>85</v>
      </c>
      <c r="I5135">
        <v>345</v>
      </c>
      <c r="J5135">
        <v>0</v>
      </c>
      <c r="K5135">
        <v>0.103730452296059</v>
      </c>
    </row>
    <row r="5136" spans="1:11" x14ac:dyDescent="0.25">
      <c r="A5136" t="s">
        <v>86</v>
      </c>
    </row>
    <row r="5137" spans="1:11" x14ac:dyDescent="0.25">
      <c r="A5137">
        <v>78.637082349771603</v>
      </c>
      <c r="B5137">
        <v>147.51213454055599</v>
      </c>
      <c r="C5137">
        <v>2000</v>
      </c>
    </row>
    <row r="5138" spans="1:11" x14ac:dyDescent="0.25">
      <c r="A5138">
        <v>77.211668344177994</v>
      </c>
      <c r="B5138">
        <v>146.08672053496201</v>
      </c>
      <c r="C5138">
        <v>2000</v>
      </c>
    </row>
    <row r="5139" spans="1:11" x14ac:dyDescent="0.25">
      <c r="A5139">
        <v>77.648684368626803</v>
      </c>
      <c r="B5139">
        <v>145.649704510513</v>
      </c>
      <c r="C5139">
        <v>2001</v>
      </c>
    </row>
    <row r="5140" spans="1:11" x14ac:dyDescent="0.25">
      <c r="A5140">
        <v>79.233281680059804</v>
      </c>
      <c r="B5140">
        <v>147.23430182194599</v>
      </c>
      <c r="C5140">
        <v>2001</v>
      </c>
    </row>
    <row r="5141" spans="1:11" x14ac:dyDescent="0.25">
      <c r="A5141">
        <v>81.998979858113401</v>
      </c>
      <c r="B5141">
        <v>150</v>
      </c>
      <c r="C5141">
        <v>2001</v>
      </c>
    </row>
    <row r="5142" spans="1:11" x14ac:dyDescent="0.25">
      <c r="A5142">
        <v>81.124947809215698</v>
      </c>
      <c r="B5142">
        <v>150</v>
      </c>
      <c r="C5142">
        <v>2000</v>
      </c>
    </row>
    <row r="5143" spans="1:11" x14ac:dyDescent="0.25">
      <c r="A5143" t="s">
        <v>87</v>
      </c>
    </row>
    <row r="5144" spans="1:11" x14ac:dyDescent="0.25">
      <c r="A5144">
        <v>509</v>
      </c>
      <c r="B5144">
        <v>0</v>
      </c>
      <c r="C5144">
        <v>3.5257567353558099</v>
      </c>
      <c r="D5144">
        <v>1.58950057827953</v>
      </c>
      <c r="E5144">
        <v>6</v>
      </c>
      <c r="F5144">
        <v>1.01722196789785</v>
      </c>
      <c r="G5144" t="s">
        <v>88</v>
      </c>
      <c r="H5144" t="s">
        <v>88</v>
      </c>
      <c r="I5144">
        <v>517</v>
      </c>
      <c r="J5144">
        <v>503</v>
      </c>
      <c r="K5144">
        <v>0</v>
      </c>
    </row>
    <row r="5145" spans="1:11" x14ac:dyDescent="0.25">
      <c r="A5145" t="s">
        <v>86</v>
      </c>
    </row>
    <row r="5146" spans="1:11" x14ac:dyDescent="0.25">
      <c r="A5146">
        <v>40.562962045694</v>
      </c>
      <c r="B5146">
        <v>56.250591687504702</v>
      </c>
      <c r="C5146">
        <v>2000</v>
      </c>
    </row>
    <row r="5147" spans="1:11" x14ac:dyDescent="0.25">
      <c r="A5147">
        <v>38.069875549309799</v>
      </c>
      <c r="B5147">
        <v>53.757505191120401</v>
      </c>
      <c r="C5147">
        <v>2000</v>
      </c>
    </row>
    <row r="5148" spans="1:11" x14ac:dyDescent="0.25">
      <c r="A5148">
        <v>38.506891573758601</v>
      </c>
      <c r="B5148">
        <v>53.320489166671599</v>
      </c>
      <c r="C5148">
        <v>2001</v>
      </c>
    </row>
    <row r="5149" spans="1:11" x14ac:dyDescent="0.25">
      <c r="A5149">
        <v>40.999978070142902</v>
      </c>
      <c r="B5149">
        <v>55.813575663055801</v>
      </c>
      <c r="C5149">
        <v>2001</v>
      </c>
    </row>
    <row r="5150" spans="1:11" x14ac:dyDescent="0.25">
      <c r="A5150">
        <v>42.123924707744301</v>
      </c>
      <c r="B5150">
        <v>56.9375223006572</v>
      </c>
      <c r="C5150">
        <v>2001</v>
      </c>
    </row>
    <row r="5151" spans="1:11" x14ac:dyDescent="0.25">
      <c r="A5151">
        <v>41.6869086832954</v>
      </c>
      <c r="B5151">
        <v>57.374538325106101</v>
      </c>
      <c r="C5151">
        <v>2000</v>
      </c>
    </row>
    <row r="5152" spans="1:11" x14ac:dyDescent="0.25">
      <c r="A5152" t="s">
        <v>87</v>
      </c>
    </row>
    <row r="5153" spans="1:11" x14ac:dyDescent="0.25">
      <c r="A5153">
        <v>661</v>
      </c>
      <c r="B5153">
        <v>0</v>
      </c>
      <c r="C5153">
        <v>1.11574272196529</v>
      </c>
      <c r="D5153">
        <v>3.9360896073809499</v>
      </c>
      <c r="E5153">
        <v>6</v>
      </c>
      <c r="F5153">
        <v>1.01722196789785</v>
      </c>
      <c r="G5153" t="s">
        <v>88</v>
      </c>
      <c r="H5153" t="s">
        <v>85</v>
      </c>
      <c r="I5153">
        <v>823</v>
      </c>
      <c r="J5153">
        <v>0</v>
      </c>
      <c r="K5153">
        <v>0</v>
      </c>
    </row>
    <row r="5154" spans="1:11" x14ac:dyDescent="0.25">
      <c r="A5154" t="s">
        <v>86</v>
      </c>
    </row>
    <row r="5155" spans="1:11" x14ac:dyDescent="0.25">
      <c r="A5155">
        <v>106.66011073676</v>
      </c>
      <c r="B5155">
        <v>147.04651579981001</v>
      </c>
      <c r="C5155">
        <v>2000</v>
      </c>
    </row>
    <row r="5156" spans="1:11" x14ac:dyDescent="0.25">
      <c r="A5156">
        <v>105.822902027227</v>
      </c>
      <c r="B5156">
        <v>146.20930709027701</v>
      </c>
      <c r="C5156">
        <v>2000</v>
      </c>
    </row>
    <row r="5157" spans="1:11" x14ac:dyDescent="0.25">
      <c r="A5157">
        <v>105.38588600277799</v>
      </c>
      <c r="B5157">
        <v>146.64632311472599</v>
      </c>
      <c r="C5157">
        <v>2001</v>
      </c>
    </row>
    <row r="5158" spans="1:11" x14ac:dyDescent="0.25">
      <c r="A5158">
        <v>106.126575782768</v>
      </c>
      <c r="B5158">
        <v>147.38701289471601</v>
      </c>
      <c r="C5158">
        <v>2001</v>
      </c>
    </row>
    <row r="5159" spans="1:11" x14ac:dyDescent="0.25">
      <c r="A5159">
        <v>108.73956288805201</v>
      </c>
      <c r="B5159">
        <v>150</v>
      </c>
      <c r="C5159">
        <v>2001</v>
      </c>
    </row>
    <row r="5160" spans="1:11" x14ac:dyDescent="0.25">
      <c r="A5160">
        <v>109.613594936949</v>
      </c>
      <c r="B5160">
        <v>150</v>
      </c>
      <c r="C5160">
        <v>2000</v>
      </c>
    </row>
    <row r="5161" spans="1:11" x14ac:dyDescent="0.25">
      <c r="A5161" t="s">
        <v>87</v>
      </c>
    </row>
    <row r="5162" spans="1:11" x14ac:dyDescent="0.25">
      <c r="A5162">
        <v>591</v>
      </c>
      <c r="B5162">
        <v>0</v>
      </c>
      <c r="C5162">
        <v>3.5844896715083499</v>
      </c>
      <c r="D5162">
        <v>1.1944176843543099</v>
      </c>
      <c r="E5162">
        <v>6</v>
      </c>
      <c r="F5162">
        <v>1.01722196789785</v>
      </c>
      <c r="G5162" t="s">
        <v>88</v>
      </c>
      <c r="H5162" t="s">
        <v>88</v>
      </c>
      <c r="I5162">
        <v>589</v>
      </c>
      <c r="J5162">
        <v>583</v>
      </c>
      <c r="K5162">
        <v>0</v>
      </c>
    </row>
    <row r="5163" spans="1:11" x14ac:dyDescent="0.25">
      <c r="A5163" t="s">
        <v>86</v>
      </c>
    </row>
    <row r="5164" spans="1:11" x14ac:dyDescent="0.25">
      <c r="A5164">
        <v>41.185687858702302</v>
      </c>
      <c r="B5164">
        <v>108.553768154953</v>
      </c>
      <c r="C5164">
        <v>2000</v>
      </c>
    </row>
    <row r="5165" spans="1:11" x14ac:dyDescent="0.25">
      <c r="A5165">
        <v>38.6510709048856</v>
      </c>
      <c r="B5165">
        <v>106.019151201136</v>
      </c>
      <c r="C5165">
        <v>2000</v>
      </c>
    </row>
    <row r="5166" spans="1:11" x14ac:dyDescent="0.25">
      <c r="A5166">
        <v>39.088086929334402</v>
      </c>
      <c r="B5166">
        <v>105.582135176687</v>
      </c>
      <c r="C5166">
        <v>2001</v>
      </c>
    </row>
    <row r="5167" spans="1:11" x14ac:dyDescent="0.25">
      <c r="A5167">
        <v>41.622703883151097</v>
      </c>
      <c r="B5167">
        <v>108.116752130504</v>
      </c>
      <c r="C5167">
        <v>2001</v>
      </c>
    </row>
    <row r="5168" spans="1:11" x14ac:dyDescent="0.25">
      <c r="A5168">
        <v>42.467284727327197</v>
      </c>
      <c r="B5168">
        <v>108.96133297468</v>
      </c>
      <c r="C5168">
        <v>2001</v>
      </c>
    </row>
    <row r="5169" spans="1:11" x14ac:dyDescent="0.25">
      <c r="A5169">
        <v>42.030268702878402</v>
      </c>
      <c r="B5169">
        <v>109.398348999129</v>
      </c>
      <c r="C5169">
        <v>2000</v>
      </c>
    </row>
    <row r="5170" spans="1:11" x14ac:dyDescent="0.25">
      <c r="A5170" t="s">
        <v>87</v>
      </c>
    </row>
    <row r="5171" spans="1:11" x14ac:dyDescent="0.25">
      <c r="A5171">
        <v>1035</v>
      </c>
      <c r="B5171">
        <v>0</v>
      </c>
      <c r="C5171">
        <v>3.8564709081664699</v>
      </c>
      <c r="D5171">
        <v>0.78137700376529995</v>
      </c>
      <c r="E5171">
        <v>6</v>
      </c>
      <c r="F5171">
        <v>1.01722196789785</v>
      </c>
      <c r="G5171" t="s">
        <v>88</v>
      </c>
      <c r="H5171" t="s">
        <v>88</v>
      </c>
      <c r="I5171">
        <v>422</v>
      </c>
      <c r="J5171">
        <v>410</v>
      </c>
      <c r="K5171">
        <v>0.114560832632427</v>
      </c>
    </row>
    <row r="5172" spans="1:11" x14ac:dyDescent="0.25">
      <c r="A5172" t="s">
        <v>86</v>
      </c>
    </row>
    <row r="5173" spans="1:11" x14ac:dyDescent="0.25">
      <c r="A5173">
        <v>111.528724491847</v>
      </c>
      <c r="B5173">
        <v>35.277742458632297</v>
      </c>
      <c r="C5173">
        <v>2000</v>
      </c>
    </row>
    <row r="5174" spans="1:11" x14ac:dyDescent="0.25">
      <c r="A5174">
        <v>108.801787761234</v>
      </c>
      <c r="B5174">
        <v>32.5508057280191</v>
      </c>
      <c r="C5174">
        <v>2000</v>
      </c>
    </row>
    <row r="5175" spans="1:11" x14ac:dyDescent="0.25">
      <c r="A5175">
        <v>109.238803785683</v>
      </c>
      <c r="B5175">
        <v>32.113789703570298</v>
      </c>
      <c r="C5175">
        <v>2001</v>
      </c>
    </row>
    <row r="5176" spans="1:11" x14ac:dyDescent="0.25">
      <c r="A5176">
        <v>111.96574051629599</v>
      </c>
      <c r="B5176">
        <v>34.840726434183502</v>
      </c>
      <c r="C5176">
        <v>2001</v>
      </c>
    </row>
    <row r="5177" spans="1:11" x14ac:dyDescent="0.25">
      <c r="A5177">
        <v>112.51825749432101</v>
      </c>
      <c r="B5177">
        <v>35.393243412209102</v>
      </c>
      <c r="C5177">
        <v>2001</v>
      </c>
    </row>
    <row r="5178" spans="1:11" x14ac:dyDescent="0.25">
      <c r="A5178">
        <v>112.08124146987301</v>
      </c>
      <c r="B5178">
        <v>35.830259436657997</v>
      </c>
      <c r="C5178">
        <v>2000</v>
      </c>
    </row>
    <row r="5179" spans="1:11" x14ac:dyDescent="0.25">
      <c r="A5179" t="s">
        <v>87</v>
      </c>
    </row>
    <row r="5180" spans="1:11" x14ac:dyDescent="0.25">
      <c r="A5180">
        <v>886</v>
      </c>
      <c r="B5180">
        <v>0</v>
      </c>
      <c r="C5180">
        <v>1.1561923952064601</v>
      </c>
      <c r="D5180">
        <v>3.3882669752599002</v>
      </c>
      <c r="E5180">
        <v>8</v>
      </c>
      <c r="F5180">
        <v>1.01722196789785</v>
      </c>
      <c r="G5180" t="s">
        <v>88</v>
      </c>
      <c r="H5180" t="s">
        <v>88</v>
      </c>
      <c r="I5180">
        <v>824</v>
      </c>
      <c r="J5180">
        <v>820</v>
      </c>
      <c r="K5180">
        <v>0.104714434237089</v>
      </c>
    </row>
    <row r="5181" spans="1:11" x14ac:dyDescent="0.25">
      <c r="A5181" t="s">
        <v>86</v>
      </c>
    </row>
    <row r="5182" spans="1:11" x14ac:dyDescent="0.25">
      <c r="A5182">
        <v>128.33775174587399</v>
      </c>
      <c r="B5182">
        <v>50.650156770665497</v>
      </c>
      <c r="C5182">
        <v>2000</v>
      </c>
    </row>
    <row r="5183" spans="1:11" x14ac:dyDescent="0.25">
      <c r="A5183">
        <v>127.906102987433</v>
      </c>
      <c r="B5183">
        <v>50.218508012224397</v>
      </c>
      <c r="C5183">
        <v>2000</v>
      </c>
    </row>
    <row r="5184" spans="1:11" x14ac:dyDescent="0.25">
      <c r="A5184">
        <v>127.52020026286699</v>
      </c>
      <c r="B5184">
        <v>49.832605287658701</v>
      </c>
      <c r="C5184">
        <v>2000</v>
      </c>
    </row>
    <row r="5185" spans="1:11" x14ac:dyDescent="0.25">
      <c r="A5185">
        <v>127.957216287316</v>
      </c>
      <c r="B5185">
        <v>49.395589263209899</v>
      </c>
      <c r="C5185">
        <v>2001</v>
      </c>
    </row>
    <row r="5186" spans="1:11" x14ac:dyDescent="0.25">
      <c r="A5186">
        <v>128.34311901188201</v>
      </c>
      <c r="B5186">
        <v>49.781491987775603</v>
      </c>
      <c r="C5186">
        <v>2001</v>
      </c>
    </row>
    <row r="5187" spans="1:11" x14ac:dyDescent="0.25">
      <c r="A5187">
        <v>128.774767770323</v>
      </c>
      <c r="B5187">
        <v>50.213140746216702</v>
      </c>
      <c r="C5187">
        <v>2001</v>
      </c>
    </row>
    <row r="5188" spans="1:11" x14ac:dyDescent="0.25">
      <c r="A5188">
        <v>131.17063432499901</v>
      </c>
      <c r="B5188">
        <v>52.609007300893403</v>
      </c>
      <c r="C5188">
        <v>2001</v>
      </c>
    </row>
    <row r="5189" spans="1:11" x14ac:dyDescent="0.25">
      <c r="A5189">
        <v>130.73361830055001</v>
      </c>
      <c r="B5189">
        <v>53.046023325342198</v>
      </c>
      <c r="C5189">
        <v>2000</v>
      </c>
    </row>
    <row r="5190" spans="1:11" x14ac:dyDescent="0.25">
      <c r="A5190" t="s">
        <v>87</v>
      </c>
    </row>
    <row r="5191" spans="1:11" x14ac:dyDescent="0.25">
      <c r="A5191">
        <v>589</v>
      </c>
      <c r="B5191">
        <v>0</v>
      </c>
      <c r="C5191">
        <v>0.78923378548506695</v>
      </c>
      <c r="D5191">
        <v>3.60889408339892</v>
      </c>
      <c r="E5191">
        <v>6</v>
      </c>
      <c r="F5191">
        <v>1.01722196789785</v>
      </c>
      <c r="G5191" t="s">
        <v>88</v>
      </c>
      <c r="H5191" t="s">
        <v>88</v>
      </c>
      <c r="I5191">
        <v>578</v>
      </c>
      <c r="J5191">
        <v>591</v>
      </c>
      <c r="K5191">
        <v>0</v>
      </c>
    </row>
    <row r="5192" spans="1:11" x14ac:dyDescent="0.25">
      <c r="A5192" t="s">
        <v>86</v>
      </c>
    </row>
    <row r="5193" spans="1:11" x14ac:dyDescent="0.25">
      <c r="A5193">
        <v>36.526776665605801</v>
      </c>
      <c r="B5193">
        <v>103.039698482505</v>
      </c>
      <c r="C5193">
        <v>2000</v>
      </c>
    </row>
    <row r="5194" spans="1:11" x14ac:dyDescent="0.25">
      <c r="A5194">
        <v>35.9687041039478</v>
      </c>
      <c r="B5194">
        <v>102.48162592084699</v>
      </c>
      <c r="C5194">
        <v>2000</v>
      </c>
    </row>
    <row r="5195" spans="1:11" x14ac:dyDescent="0.25">
      <c r="A5195">
        <v>36.405720128396602</v>
      </c>
      <c r="B5195">
        <v>102.044609896398</v>
      </c>
      <c r="C5195">
        <v>2001</v>
      </c>
    </row>
    <row r="5196" spans="1:11" x14ac:dyDescent="0.25">
      <c r="A5196">
        <v>36.963792690054603</v>
      </c>
      <c r="B5196">
        <v>102.60268245805599</v>
      </c>
      <c r="C5196">
        <v>2001</v>
      </c>
    </row>
    <row r="5197" spans="1:11" x14ac:dyDescent="0.25">
      <c r="A5197">
        <v>39.515666169009997</v>
      </c>
      <c r="B5197">
        <v>105.15455593701201</v>
      </c>
      <c r="C5197">
        <v>2001</v>
      </c>
    </row>
    <row r="5198" spans="1:11" x14ac:dyDescent="0.25">
      <c r="A5198">
        <v>39.078650144561202</v>
      </c>
      <c r="B5198">
        <v>105.59157196146001</v>
      </c>
      <c r="C5198">
        <v>2000</v>
      </c>
    </row>
    <row r="5199" spans="1:11" x14ac:dyDescent="0.25">
      <c r="A5199" t="s">
        <v>87</v>
      </c>
    </row>
    <row r="5200" spans="1:11" x14ac:dyDescent="0.25">
      <c r="A5200">
        <v>345</v>
      </c>
      <c r="B5200">
        <v>0</v>
      </c>
      <c r="C5200">
        <v>0.36205078020918802</v>
      </c>
      <c r="D5200">
        <v>3.9944758406016101</v>
      </c>
      <c r="E5200">
        <v>6</v>
      </c>
      <c r="F5200">
        <v>1.01722196789785</v>
      </c>
      <c r="G5200" t="s">
        <v>88</v>
      </c>
      <c r="H5200" t="s">
        <v>88</v>
      </c>
      <c r="I5200">
        <v>963</v>
      </c>
      <c r="J5200">
        <v>850</v>
      </c>
      <c r="K5200">
        <v>0</v>
      </c>
    </row>
    <row r="5201" spans="1:11" x14ac:dyDescent="0.25">
      <c r="A5201" t="s">
        <v>86</v>
      </c>
    </row>
    <row r="5202" spans="1:11" x14ac:dyDescent="0.25">
      <c r="A5202">
        <v>74.470686962577105</v>
      </c>
      <c r="B5202">
        <v>143.178660008213</v>
      </c>
      <c r="C5202">
        <v>2000</v>
      </c>
    </row>
    <row r="5203" spans="1:11" x14ac:dyDescent="0.25">
      <c r="A5203">
        <v>74.214678400757293</v>
      </c>
      <c r="B5203">
        <v>142.92265144639299</v>
      </c>
      <c r="C5203">
        <v>2000</v>
      </c>
    </row>
    <row r="5204" spans="1:11" x14ac:dyDescent="0.25">
      <c r="A5204">
        <v>73.777662376308498</v>
      </c>
      <c r="B5204">
        <v>143.359667470842</v>
      </c>
      <c r="C5204">
        <v>2001</v>
      </c>
    </row>
    <row r="5205" spans="1:11" x14ac:dyDescent="0.25">
      <c r="A5205">
        <v>74.033670938128296</v>
      </c>
      <c r="B5205">
        <v>143.61567603266201</v>
      </c>
      <c r="C5205">
        <v>2001</v>
      </c>
    </row>
    <row r="5206" spans="1:11" x14ac:dyDescent="0.25">
      <c r="A5206">
        <v>76.858191892303495</v>
      </c>
      <c r="B5206">
        <v>146.44019698683701</v>
      </c>
      <c r="C5206">
        <v>2001</v>
      </c>
    </row>
    <row r="5207" spans="1:11" x14ac:dyDescent="0.25">
      <c r="A5207">
        <v>77.295207916752304</v>
      </c>
      <c r="B5207">
        <v>146.003180962388</v>
      </c>
      <c r="C5207">
        <v>2000</v>
      </c>
    </row>
    <row r="5208" spans="1:11" x14ac:dyDescent="0.25">
      <c r="A5208" t="s">
        <v>87</v>
      </c>
    </row>
    <row r="5209" spans="1:11" x14ac:dyDescent="0.25">
      <c r="A5209">
        <v>772</v>
      </c>
      <c r="B5209">
        <v>0</v>
      </c>
      <c r="C5209">
        <v>0.94702148799333896</v>
      </c>
      <c r="D5209">
        <v>2.4009163654112098</v>
      </c>
      <c r="E5209">
        <v>6</v>
      </c>
      <c r="F5209">
        <v>1.01722196789785</v>
      </c>
      <c r="G5209" t="s">
        <v>88</v>
      </c>
      <c r="H5209" t="s">
        <v>88</v>
      </c>
      <c r="I5209">
        <v>802</v>
      </c>
      <c r="J5209">
        <v>673</v>
      </c>
      <c r="K5209">
        <v>0.101659477666818</v>
      </c>
    </row>
    <row r="5210" spans="1:11" x14ac:dyDescent="0.25">
      <c r="A5210" t="s">
        <v>86</v>
      </c>
    </row>
    <row r="5211" spans="1:11" x14ac:dyDescent="0.25">
      <c r="A5211">
        <v>127.84569782430999</v>
      </c>
      <c r="B5211">
        <v>134.340686149584</v>
      </c>
      <c r="C5211">
        <v>2000</v>
      </c>
    </row>
    <row r="5212" spans="1:11" x14ac:dyDescent="0.25">
      <c r="A5212">
        <v>127.17605250822101</v>
      </c>
      <c r="B5212">
        <v>133.671040833494</v>
      </c>
      <c r="C5212">
        <v>2000</v>
      </c>
    </row>
    <row r="5213" spans="1:11" x14ac:dyDescent="0.25">
      <c r="A5213">
        <v>127.61306853267</v>
      </c>
      <c r="B5213">
        <v>133.234024809045</v>
      </c>
      <c r="C5213">
        <v>2001</v>
      </c>
    </row>
    <row r="5214" spans="1:11" x14ac:dyDescent="0.25">
      <c r="A5214">
        <v>128.28271384875899</v>
      </c>
      <c r="B5214">
        <v>133.90367012513499</v>
      </c>
      <c r="C5214">
        <v>2001</v>
      </c>
    </row>
    <row r="5215" spans="1:11" x14ac:dyDescent="0.25">
      <c r="A5215">
        <v>129.98041809180299</v>
      </c>
      <c r="B5215">
        <v>135.60137436817899</v>
      </c>
      <c r="C5215">
        <v>2001</v>
      </c>
    </row>
    <row r="5216" spans="1:11" x14ac:dyDescent="0.25">
      <c r="A5216">
        <v>129.54340206735401</v>
      </c>
      <c r="B5216">
        <v>136.038390392628</v>
      </c>
      <c r="C5216">
        <v>2000</v>
      </c>
    </row>
    <row r="5217" spans="1:11" x14ac:dyDescent="0.25">
      <c r="A5217" t="s">
        <v>87</v>
      </c>
    </row>
    <row r="5218" spans="1:11" x14ac:dyDescent="0.25">
      <c r="A5218">
        <v>822</v>
      </c>
      <c r="B5218">
        <v>0</v>
      </c>
      <c r="C5218">
        <v>2.5427520072924401</v>
      </c>
      <c r="D5218">
        <v>0.23582594087129399</v>
      </c>
      <c r="E5218">
        <v>6</v>
      </c>
      <c r="F5218">
        <v>1.01722196789785</v>
      </c>
      <c r="G5218" t="s">
        <v>88</v>
      </c>
      <c r="H5218" t="s">
        <v>88</v>
      </c>
      <c r="I5218">
        <v>861</v>
      </c>
      <c r="J5218">
        <v>565</v>
      </c>
      <c r="K5218">
        <v>0.103086576425267</v>
      </c>
    </row>
    <row r="5219" spans="1:11" x14ac:dyDescent="0.25">
      <c r="A5219" t="s">
        <v>86</v>
      </c>
    </row>
    <row r="5220" spans="1:11" x14ac:dyDescent="0.25">
      <c r="A5220">
        <v>29.182030864149201</v>
      </c>
      <c r="B5220">
        <v>141.93401668450099</v>
      </c>
      <c r="C5220">
        <v>2000</v>
      </c>
    </row>
    <row r="5221" spans="1:11" x14ac:dyDescent="0.25">
      <c r="A5221">
        <v>27.384033676916999</v>
      </c>
      <c r="B5221">
        <v>140.13601949726899</v>
      </c>
      <c r="C5221">
        <v>2000</v>
      </c>
    </row>
    <row r="5222" spans="1:11" x14ac:dyDescent="0.25">
      <c r="A5222">
        <v>27.821049701365801</v>
      </c>
      <c r="B5222">
        <v>139.69900347282001</v>
      </c>
      <c r="C5222">
        <v>2001</v>
      </c>
    </row>
    <row r="5223" spans="1:11" x14ac:dyDescent="0.25">
      <c r="A5223">
        <v>29.619046888598</v>
      </c>
      <c r="B5223">
        <v>141.49700066005201</v>
      </c>
      <c r="C5223">
        <v>2001</v>
      </c>
    </row>
    <row r="5224" spans="1:11" x14ac:dyDescent="0.25">
      <c r="A5224">
        <v>29.785801010567798</v>
      </c>
      <c r="B5224">
        <v>141.66375478202201</v>
      </c>
      <c r="C5224">
        <v>2001</v>
      </c>
    </row>
    <row r="5225" spans="1:11" x14ac:dyDescent="0.25">
      <c r="A5225">
        <v>29.348784986119</v>
      </c>
      <c r="B5225">
        <v>142.10077080647099</v>
      </c>
      <c r="C5225">
        <v>2000</v>
      </c>
    </row>
    <row r="5226" spans="1:11" x14ac:dyDescent="0.25">
      <c r="A5226" t="s">
        <v>87</v>
      </c>
    </row>
    <row r="5227" spans="1:11" x14ac:dyDescent="0.25">
      <c r="A5227">
        <v>489</v>
      </c>
      <c r="B5227">
        <v>0</v>
      </c>
      <c r="C5227">
        <v>0.95229015391693395</v>
      </c>
      <c r="D5227">
        <v>0.95229015391696203</v>
      </c>
      <c r="E5227">
        <v>8</v>
      </c>
      <c r="F5227">
        <v>1.5707963267949001</v>
      </c>
      <c r="G5227" t="s">
        <v>89</v>
      </c>
      <c r="H5227" t="s">
        <v>89</v>
      </c>
      <c r="I5227">
        <v>0</v>
      </c>
      <c r="J5227">
        <v>0</v>
      </c>
      <c r="K5227">
        <v>0</v>
      </c>
    </row>
    <row r="5228" spans="1:11" x14ac:dyDescent="0.25">
      <c r="A5228" t="s">
        <v>86</v>
      </c>
    </row>
    <row r="5229" spans="1:11" x14ac:dyDescent="0.25">
      <c r="A5229">
        <v>49.529203143682899</v>
      </c>
      <c r="B5229">
        <v>66.369289213963498</v>
      </c>
      <c r="C5229">
        <v>2000</v>
      </c>
    </row>
    <row r="5230" spans="1:11" x14ac:dyDescent="0.25">
      <c r="A5230">
        <v>48.855832318190998</v>
      </c>
      <c r="B5230">
        <v>65.695918388471597</v>
      </c>
      <c r="C5230">
        <v>2000</v>
      </c>
    </row>
    <row r="5231" spans="1:11" x14ac:dyDescent="0.25">
      <c r="A5231">
        <v>48.855832318190998</v>
      </c>
      <c r="B5231">
        <v>65.695918388471597</v>
      </c>
      <c r="C5231">
        <v>2001</v>
      </c>
    </row>
    <row r="5232" spans="1:11" x14ac:dyDescent="0.25">
      <c r="A5232">
        <v>49.529203143682899</v>
      </c>
      <c r="B5232">
        <v>66.369289213963498</v>
      </c>
      <c r="C5232">
        <v>2001</v>
      </c>
    </row>
    <row r="5233" spans="1:11" x14ac:dyDescent="0.25">
      <c r="A5233">
        <v>50</v>
      </c>
      <c r="B5233">
        <v>66.840086070280606</v>
      </c>
      <c r="C5233">
        <v>2001</v>
      </c>
    </row>
    <row r="5234" spans="1:11" x14ac:dyDescent="0.25">
      <c r="A5234">
        <v>50.2025739691748</v>
      </c>
      <c r="B5234">
        <v>67.042660039455299</v>
      </c>
      <c r="C5234">
        <v>2001</v>
      </c>
    </row>
    <row r="5235" spans="1:11" x14ac:dyDescent="0.25">
      <c r="A5235">
        <v>50.2025739691748</v>
      </c>
      <c r="B5235">
        <v>67.042660039455299</v>
      </c>
      <c r="C5235">
        <v>2000</v>
      </c>
    </row>
    <row r="5236" spans="1:11" x14ac:dyDescent="0.25">
      <c r="A5236">
        <v>50</v>
      </c>
      <c r="B5236">
        <v>66.840086070280606</v>
      </c>
      <c r="C5236">
        <v>2000</v>
      </c>
    </row>
    <row r="5237" spans="1:11" x14ac:dyDescent="0.25">
      <c r="A5237" t="s">
        <v>87</v>
      </c>
    </row>
    <row r="5238" spans="1:11" x14ac:dyDescent="0.25">
      <c r="A5238">
        <v>498</v>
      </c>
      <c r="B5238">
        <v>0</v>
      </c>
      <c r="C5238">
        <v>0.95229015391695504</v>
      </c>
      <c r="D5238">
        <v>0.95229015391691996</v>
      </c>
      <c r="E5238">
        <v>8</v>
      </c>
      <c r="F5238">
        <v>1.5707963267949001</v>
      </c>
      <c r="G5238" t="s">
        <v>89</v>
      </c>
      <c r="H5238" t="s">
        <v>89</v>
      </c>
      <c r="I5238">
        <v>0</v>
      </c>
      <c r="J5238">
        <v>0</v>
      </c>
      <c r="K5238">
        <v>0</v>
      </c>
    </row>
    <row r="5239" spans="1:11" x14ac:dyDescent="0.25">
      <c r="A5239" t="s">
        <v>86</v>
      </c>
    </row>
    <row r="5240" spans="1:11" x14ac:dyDescent="0.25">
      <c r="A5240">
        <v>24.9997045728377</v>
      </c>
      <c r="B5240">
        <v>50.568192405890798</v>
      </c>
      <c r="C5240">
        <v>2000</v>
      </c>
    </row>
    <row r="5241" spans="1:11" x14ac:dyDescent="0.25">
      <c r="A5241">
        <v>24.431512166946899</v>
      </c>
      <c r="B5241">
        <v>50</v>
      </c>
      <c r="C5241">
        <v>2000</v>
      </c>
    </row>
    <row r="5242" spans="1:11" x14ac:dyDescent="0.25">
      <c r="A5242">
        <v>24.326333747345799</v>
      </c>
      <c r="B5242">
        <v>49.894821580398897</v>
      </c>
      <c r="C5242">
        <v>2000</v>
      </c>
    </row>
    <row r="5243" spans="1:11" x14ac:dyDescent="0.25">
      <c r="A5243">
        <v>24.326333747345799</v>
      </c>
      <c r="B5243">
        <v>49.894821580398897</v>
      </c>
      <c r="C5243">
        <v>2001</v>
      </c>
    </row>
    <row r="5244" spans="1:11" x14ac:dyDescent="0.25">
      <c r="A5244">
        <v>24.431512166946899</v>
      </c>
      <c r="B5244">
        <v>50</v>
      </c>
      <c r="C5244">
        <v>2001</v>
      </c>
    </row>
    <row r="5245" spans="1:11" x14ac:dyDescent="0.25">
      <c r="A5245">
        <v>24.9997045728377</v>
      </c>
      <c r="B5245">
        <v>50.568192405890798</v>
      </c>
      <c r="C5245">
        <v>2001</v>
      </c>
    </row>
    <row r="5246" spans="1:11" x14ac:dyDescent="0.25">
      <c r="A5246">
        <v>25.673075398329502</v>
      </c>
      <c r="B5246">
        <v>51.241563231382599</v>
      </c>
      <c r="C5246">
        <v>2001</v>
      </c>
    </row>
    <row r="5247" spans="1:11" x14ac:dyDescent="0.25">
      <c r="A5247">
        <v>25.673075398329502</v>
      </c>
      <c r="B5247">
        <v>51.241563231382599</v>
      </c>
      <c r="C5247">
        <v>2000</v>
      </c>
    </row>
    <row r="5248" spans="1:11" x14ac:dyDescent="0.25">
      <c r="A5248" t="s">
        <v>87</v>
      </c>
    </row>
    <row r="5249" spans="1:11" x14ac:dyDescent="0.25">
      <c r="A5249">
        <v>409</v>
      </c>
      <c r="B5249">
        <v>0</v>
      </c>
      <c r="C5249">
        <v>0.95229015391693395</v>
      </c>
      <c r="D5249">
        <v>0.95229015391693395</v>
      </c>
      <c r="E5249">
        <v>6</v>
      </c>
      <c r="F5249">
        <v>1.5707963267949001</v>
      </c>
      <c r="G5249" t="s">
        <v>89</v>
      </c>
      <c r="H5249" t="s">
        <v>89</v>
      </c>
      <c r="I5249">
        <v>0</v>
      </c>
      <c r="J5249">
        <v>0</v>
      </c>
      <c r="K5249">
        <v>0</v>
      </c>
    </row>
    <row r="5250" spans="1:11" x14ac:dyDescent="0.25">
      <c r="A5250" t="s">
        <v>86</v>
      </c>
    </row>
    <row r="5251" spans="1:11" x14ac:dyDescent="0.25">
      <c r="A5251">
        <v>117.085869082755</v>
      </c>
      <c r="B5251">
        <v>10.359443216752</v>
      </c>
      <c r="C5251">
        <v>2000</v>
      </c>
    </row>
    <row r="5252" spans="1:11" x14ac:dyDescent="0.25">
      <c r="A5252">
        <v>116.41249825726401</v>
      </c>
      <c r="B5252">
        <v>9.6860723912601703</v>
      </c>
      <c r="C5252">
        <v>2000</v>
      </c>
    </row>
    <row r="5253" spans="1:11" x14ac:dyDescent="0.25">
      <c r="A5253">
        <v>116.41249825726401</v>
      </c>
      <c r="B5253">
        <v>9.6860723912601703</v>
      </c>
      <c r="C5253">
        <v>2001</v>
      </c>
    </row>
    <row r="5254" spans="1:11" x14ac:dyDescent="0.25">
      <c r="A5254">
        <v>117.085869082755</v>
      </c>
      <c r="B5254">
        <v>10.359443216752</v>
      </c>
      <c r="C5254">
        <v>2001</v>
      </c>
    </row>
    <row r="5255" spans="1:11" x14ac:dyDescent="0.25">
      <c r="A5255">
        <v>117.759239908247</v>
      </c>
      <c r="B5255">
        <v>11.0328140422438</v>
      </c>
      <c r="C5255">
        <v>2001</v>
      </c>
    </row>
    <row r="5256" spans="1:11" x14ac:dyDescent="0.25">
      <c r="A5256">
        <v>117.759239908247</v>
      </c>
      <c r="B5256">
        <v>11.0328140422438</v>
      </c>
      <c r="C5256">
        <v>2000</v>
      </c>
    </row>
    <row r="5257" spans="1:11" x14ac:dyDescent="0.25">
      <c r="A5257" t="s">
        <v>87</v>
      </c>
    </row>
    <row r="5258" spans="1:11" x14ac:dyDescent="0.25">
      <c r="A5258">
        <v>408</v>
      </c>
      <c r="B5258">
        <v>0</v>
      </c>
      <c r="C5258">
        <v>0.95229015391693395</v>
      </c>
      <c r="D5258">
        <v>0.95229015391693395</v>
      </c>
      <c r="E5258">
        <v>6</v>
      </c>
      <c r="F5258">
        <v>1.5707963267949001</v>
      </c>
      <c r="G5258" t="s">
        <v>89</v>
      </c>
      <c r="H5258" t="s">
        <v>89</v>
      </c>
      <c r="I5258">
        <v>0</v>
      </c>
      <c r="J5258">
        <v>0</v>
      </c>
      <c r="K5258">
        <v>0</v>
      </c>
    </row>
    <row r="5259" spans="1:11" x14ac:dyDescent="0.25">
      <c r="A5259" t="s">
        <v>86</v>
      </c>
    </row>
    <row r="5260" spans="1:11" x14ac:dyDescent="0.25">
      <c r="A5260">
        <v>107.130017507416</v>
      </c>
      <c r="B5260">
        <v>46.255832955360297</v>
      </c>
      <c r="C5260">
        <v>2000</v>
      </c>
    </row>
    <row r="5261" spans="1:11" x14ac:dyDescent="0.25">
      <c r="A5261">
        <v>106.456646681924</v>
      </c>
      <c r="B5261">
        <v>45.582462129868503</v>
      </c>
      <c r="C5261">
        <v>2000</v>
      </c>
    </row>
    <row r="5262" spans="1:11" x14ac:dyDescent="0.25">
      <c r="A5262">
        <v>106.456646681924</v>
      </c>
      <c r="B5262">
        <v>45.582462129868503</v>
      </c>
      <c r="C5262">
        <v>2001</v>
      </c>
    </row>
    <row r="5263" spans="1:11" x14ac:dyDescent="0.25">
      <c r="A5263">
        <v>107.130017507416</v>
      </c>
      <c r="B5263">
        <v>46.255832955360297</v>
      </c>
      <c r="C5263">
        <v>2001</v>
      </c>
    </row>
    <row r="5264" spans="1:11" x14ac:dyDescent="0.25">
      <c r="A5264">
        <v>107.803388332908</v>
      </c>
      <c r="B5264">
        <v>46.929203780852198</v>
      </c>
      <c r="C5264">
        <v>2001</v>
      </c>
    </row>
    <row r="5265" spans="1:11" x14ac:dyDescent="0.25">
      <c r="A5265">
        <v>107.803388332908</v>
      </c>
      <c r="B5265">
        <v>46.929203780852198</v>
      </c>
      <c r="C5265">
        <v>2000</v>
      </c>
    </row>
    <row r="5266" spans="1:11" x14ac:dyDescent="0.25">
      <c r="A5266" t="s">
        <v>87</v>
      </c>
    </row>
    <row r="5267" spans="1:11" x14ac:dyDescent="0.25">
      <c r="A5267">
        <v>247</v>
      </c>
      <c r="B5267">
        <v>0</v>
      </c>
      <c r="C5267">
        <v>0.95229015391693395</v>
      </c>
      <c r="D5267">
        <v>0.95229015391693395</v>
      </c>
      <c r="E5267">
        <v>6</v>
      </c>
      <c r="F5267">
        <v>1.5707963267949001</v>
      </c>
      <c r="G5267" t="s">
        <v>89</v>
      </c>
      <c r="H5267" t="s">
        <v>89</v>
      </c>
      <c r="I5267">
        <v>0</v>
      </c>
      <c r="J5267">
        <v>0</v>
      </c>
      <c r="K5267">
        <v>0</v>
      </c>
    </row>
    <row r="5268" spans="1:11" x14ac:dyDescent="0.25">
      <c r="A5268" t="s">
        <v>86</v>
      </c>
    </row>
    <row r="5269" spans="1:11" x14ac:dyDescent="0.25">
      <c r="A5269">
        <v>79.348659622179596</v>
      </c>
      <c r="B5269">
        <v>19.927697358619302</v>
      </c>
      <c r="C5269">
        <v>2000</v>
      </c>
    </row>
    <row r="5270" spans="1:11" x14ac:dyDescent="0.25">
      <c r="A5270">
        <v>78.675288796687795</v>
      </c>
      <c r="B5270">
        <v>19.254326533127401</v>
      </c>
      <c r="C5270">
        <v>2000</v>
      </c>
    </row>
    <row r="5271" spans="1:11" x14ac:dyDescent="0.25">
      <c r="A5271">
        <v>78.675288796687795</v>
      </c>
      <c r="B5271">
        <v>19.254326533127401</v>
      </c>
      <c r="C5271">
        <v>2001</v>
      </c>
    </row>
    <row r="5272" spans="1:11" x14ac:dyDescent="0.25">
      <c r="A5272">
        <v>79.348659622179596</v>
      </c>
      <c r="B5272">
        <v>19.927697358619302</v>
      </c>
      <c r="C5272">
        <v>2001</v>
      </c>
    </row>
    <row r="5273" spans="1:11" x14ac:dyDescent="0.25">
      <c r="A5273">
        <v>80.022030447671497</v>
      </c>
      <c r="B5273">
        <v>20.601068184111099</v>
      </c>
      <c r="C5273">
        <v>2001</v>
      </c>
    </row>
    <row r="5274" spans="1:11" x14ac:dyDescent="0.25">
      <c r="A5274">
        <v>80.022030447671497</v>
      </c>
      <c r="B5274">
        <v>20.601068184111099</v>
      </c>
      <c r="C5274">
        <v>2000</v>
      </c>
    </row>
    <row r="5275" spans="1:11" x14ac:dyDescent="0.25">
      <c r="A5275" t="s">
        <v>87</v>
      </c>
    </row>
    <row r="5276" spans="1:11" x14ac:dyDescent="0.25">
      <c r="A5276">
        <v>94</v>
      </c>
      <c r="B5276">
        <v>0</v>
      </c>
      <c r="C5276">
        <v>0.95229015391693395</v>
      </c>
      <c r="D5276">
        <v>0.95229015391693395</v>
      </c>
      <c r="E5276">
        <v>6</v>
      </c>
      <c r="F5276">
        <v>1.5707963267949001</v>
      </c>
      <c r="G5276" t="s">
        <v>89</v>
      </c>
      <c r="H5276" t="s">
        <v>89</v>
      </c>
      <c r="I5276">
        <v>0</v>
      </c>
      <c r="J5276">
        <v>0</v>
      </c>
      <c r="K5276">
        <v>0</v>
      </c>
    </row>
    <row r="5277" spans="1:11" x14ac:dyDescent="0.25">
      <c r="A5277" t="s">
        <v>86</v>
      </c>
    </row>
    <row r="5278" spans="1:11" x14ac:dyDescent="0.25">
      <c r="A5278">
        <v>75.1693112892887</v>
      </c>
      <c r="B5278">
        <v>83.839036423638007</v>
      </c>
      <c r="C5278">
        <v>2000</v>
      </c>
    </row>
    <row r="5279" spans="1:11" x14ac:dyDescent="0.25">
      <c r="A5279">
        <v>74.495940463796899</v>
      </c>
      <c r="B5279">
        <v>83.165665598146205</v>
      </c>
      <c r="C5279">
        <v>2000</v>
      </c>
    </row>
    <row r="5280" spans="1:11" x14ac:dyDescent="0.25">
      <c r="A5280">
        <v>74.495940463796899</v>
      </c>
      <c r="B5280">
        <v>83.165665598146205</v>
      </c>
      <c r="C5280">
        <v>2001</v>
      </c>
    </row>
    <row r="5281" spans="1:11" x14ac:dyDescent="0.25">
      <c r="A5281">
        <v>75.1693112892887</v>
      </c>
      <c r="B5281">
        <v>83.839036423638007</v>
      </c>
      <c r="C5281">
        <v>2001</v>
      </c>
    </row>
    <row r="5282" spans="1:11" x14ac:dyDescent="0.25">
      <c r="A5282">
        <v>75.842682114780601</v>
      </c>
      <c r="B5282">
        <v>84.512407249129893</v>
      </c>
      <c r="C5282">
        <v>2001</v>
      </c>
    </row>
    <row r="5283" spans="1:11" x14ac:dyDescent="0.25">
      <c r="A5283">
        <v>75.842682114780601</v>
      </c>
      <c r="B5283">
        <v>84.512407249129893</v>
      </c>
      <c r="C5283">
        <v>2000</v>
      </c>
    </row>
    <row r="5284" spans="1:11" x14ac:dyDescent="0.25">
      <c r="A5284" t="s">
        <v>87</v>
      </c>
    </row>
    <row r="5285" spans="1:11" x14ac:dyDescent="0.25">
      <c r="A5285">
        <v>570</v>
      </c>
      <c r="B5285">
        <v>0</v>
      </c>
      <c r="C5285">
        <v>0.95229015391693395</v>
      </c>
      <c r="D5285">
        <v>0.95229015391693395</v>
      </c>
      <c r="E5285">
        <v>6</v>
      </c>
      <c r="F5285">
        <v>1.5707963267949001</v>
      </c>
      <c r="G5285" t="s">
        <v>89</v>
      </c>
      <c r="H5285" t="s">
        <v>89</v>
      </c>
      <c r="I5285">
        <v>0</v>
      </c>
      <c r="J5285">
        <v>0</v>
      </c>
      <c r="K5285">
        <v>0</v>
      </c>
    </row>
    <row r="5286" spans="1:11" x14ac:dyDescent="0.25">
      <c r="A5286" t="s">
        <v>86</v>
      </c>
    </row>
    <row r="5287" spans="1:11" x14ac:dyDescent="0.25">
      <c r="A5287">
        <v>18.830829797699501</v>
      </c>
      <c r="B5287">
        <v>102.25822485622901</v>
      </c>
      <c r="C5287">
        <v>2000</v>
      </c>
    </row>
    <row r="5288" spans="1:11" x14ac:dyDescent="0.25">
      <c r="A5288">
        <v>18.157458972207699</v>
      </c>
      <c r="B5288">
        <v>101.58485403073701</v>
      </c>
      <c r="C5288">
        <v>2000</v>
      </c>
    </row>
    <row r="5289" spans="1:11" x14ac:dyDescent="0.25">
      <c r="A5289">
        <v>18.157458972207699</v>
      </c>
      <c r="B5289">
        <v>101.58485403073701</v>
      </c>
      <c r="C5289">
        <v>2001</v>
      </c>
    </row>
    <row r="5290" spans="1:11" x14ac:dyDescent="0.25">
      <c r="A5290">
        <v>18.830829797699501</v>
      </c>
      <c r="B5290">
        <v>102.25822485622901</v>
      </c>
      <c r="C5290">
        <v>2001</v>
      </c>
    </row>
    <row r="5291" spans="1:11" x14ac:dyDescent="0.25">
      <c r="A5291">
        <v>19.504200623191402</v>
      </c>
      <c r="B5291">
        <v>102.93159568172101</v>
      </c>
      <c r="C5291">
        <v>2001</v>
      </c>
    </row>
    <row r="5292" spans="1:11" x14ac:dyDescent="0.25">
      <c r="A5292">
        <v>19.504200623191402</v>
      </c>
      <c r="B5292">
        <v>102.93159568172101</v>
      </c>
      <c r="C5292">
        <v>2000</v>
      </c>
    </row>
    <row r="5293" spans="1:11" x14ac:dyDescent="0.25">
      <c r="A5293" t="s">
        <v>87</v>
      </c>
    </row>
    <row r="5294" spans="1:11" x14ac:dyDescent="0.25">
      <c r="A5294">
        <v>572</v>
      </c>
      <c r="B5294">
        <v>0</v>
      </c>
      <c r="C5294">
        <v>0.95229015391693395</v>
      </c>
      <c r="D5294">
        <v>0.95229015391693395</v>
      </c>
      <c r="E5294">
        <v>6</v>
      </c>
      <c r="F5294">
        <v>1.5707963267949001</v>
      </c>
      <c r="G5294" t="s">
        <v>89</v>
      </c>
      <c r="H5294" t="s">
        <v>89</v>
      </c>
      <c r="I5294">
        <v>0</v>
      </c>
      <c r="J5294">
        <v>0</v>
      </c>
      <c r="K5294">
        <v>0</v>
      </c>
    </row>
    <row r="5295" spans="1:11" x14ac:dyDescent="0.25">
      <c r="A5295" t="s">
        <v>86</v>
      </c>
    </row>
    <row r="5296" spans="1:11" x14ac:dyDescent="0.25">
      <c r="A5296">
        <v>35.588623623172097</v>
      </c>
      <c r="B5296">
        <v>110.853885864305</v>
      </c>
      <c r="C5296">
        <v>2000</v>
      </c>
    </row>
    <row r="5297" spans="1:11" x14ac:dyDescent="0.25">
      <c r="A5297">
        <v>34.915252797680303</v>
      </c>
      <c r="B5297">
        <v>110.180515038813</v>
      </c>
      <c r="C5297">
        <v>2000</v>
      </c>
    </row>
    <row r="5298" spans="1:11" x14ac:dyDescent="0.25">
      <c r="A5298">
        <v>34.915252797680303</v>
      </c>
      <c r="B5298">
        <v>110.180515038813</v>
      </c>
      <c r="C5298">
        <v>2001</v>
      </c>
    </row>
    <row r="5299" spans="1:11" x14ac:dyDescent="0.25">
      <c r="A5299">
        <v>35.588623623172097</v>
      </c>
      <c r="B5299">
        <v>110.853885864305</v>
      </c>
      <c r="C5299">
        <v>2001</v>
      </c>
    </row>
    <row r="5300" spans="1:11" x14ac:dyDescent="0.25">
      <c r="A5300">
        <v>36.261994448663998</v>
      </c>
      <c r="B5300">
        <v>111.527256689797</v>
      </c>
      <c r="C5300">
        <v>2001</v>
      </c>
    </row>
    <row r="5301" spans="1:11" x14ac:dyDescent="0.25">
      <c r="A5301">
        <v>36.261994448663998</v>
      </c>
      <c r="B5301">
        <v>111.527256689797</v>
      </c>
      <c r="C5301">
        <v>2000</v>
      </c>
    </row>
    <row r="5302" spans="1:11" x14ac:dyDescent="0.25">
      <c r="A5302" t="s">
        <v>87</v>
      </c>
    </row>
    <row r="5303" spans="1:11" x14ac:dyDescent="0.25">
      <c r="A5303">
        <v>580</v>
      </c>
      <c r="B5303">
        <v>0</v>
      </c>
      <c r="C5303">
        <v>0.95229015391693395</v>
      </c>
      <c r="D5303">
        <v>0.95229015391693395</v>
      </c>
      <c r="E5303">
        <v>6</v>
      </c>
      <c r="F5303">
        <v>1.5707963267949001</v>
      </c>
      <c r="G5303" t="s">
        <v>89</v>
      </c>
      <c r="H5303" t="s">
        <v>89</v>
      </c>
      <c r="I5303">
        <v>0</v>
      </c>
      <c r="J5303">
        <v>0</v>
      </c>
      <c r="K5303">
        <v>0</v>
      </c>
    </row>
    <row r="5304" spans="1:11" x14ac:dyDescent="0.25">
      <c r="A5304" t="s">
        <v>86</v>
      </c>
    </row>
    <row r="5305" spans="1:11" x14ac:dyDescent="0.25">
      <c r="A5305">
        <v>11.8112348307908</v>
      </c>
      <c r="B5305">
        <v>147.28208358738701</v>
      </c>
      <c r="C5305">
        <v>2000</v>
      </c>
    </row>
    <row r="5306" spans="1:11" x14ac:dyDescent="0.25">
      <c r="A5306">
        <v>11.1378640052989</v>
      </c>
      <c r="B5306">
        <v>146.60871276189499</v>
      </c>
      <c r="C5306">
        <v>2000</v>
      </c>
    </row>
    <row r="5307" spans="1:11" x14ac:dyDescent="0.25">
      <c r="A5307">
        <v>11.1378640052989</v>
      </c>
      <c r="B5307">
        <v>146.60871276189499</v>
      </c>
      <c r="C5307">
        <v>2001</v>
      </c>
    </row>
    <row r="5308" spans="1:11" x14ac:dyDescent="0.25">
      <c r="A5308">
        <v>11.8112348307908</v>
      </c>
      <c r="B5308">
        <v>147.28208358738701</v>
      </c>
      <c r="C5308">
        <v>2001</v>
      </c>
    </row>
    <row r="5309" spans="1:11" x14ac:dyDescent="0.25">
      <c r="A5309">
        <v>12.4846056562826</v>
      </c>
      <c r="B5309">
        <v>147.95545441287899</v>
      </c>
      <c r="C5309">
        <v>2001</v>
      </c>
    </row>
    <row r="5310" spans="1:11" x14ac:dyDescent="0.25">
      <c r="A5310">
        <v>12.4846056562826</v>
      </c>
      <c r="B5310">
        <v>147.95545441287899</v>
      </c>
      <c r="C5310">
        <v>2000</v>
      </c>
    </row>
    <row r="5311" spans="1:11" x14ac:dyDescent="0.25">
      <c r="A5311" t="s">
        <v>87</v>
      </c>
    </row>
    <row r="5312" spans="1:11" x14ac:dyDescent="0.25">
      <c r="A5312">
        <v>93</v>
      </c>
      <c r="B5312">
        <v>0</v>
      </c>
      <c r="C5312">
        <v>0.95229015391693395</v>
      </c>
      <c r="D5312">
        <v>0.95229015391693395</v>
      </c>
      <c r="E5312">
        <v>6</v>
      </c>
      <c r="F5312">
        <v>1.5707963267949001</v>
      </c>
      <c r="G5312" t="s">
        <v>89</v>
      </c>
      <c r="H5312" t="s">
        <v>89</v>
      </c>
      <c r="I5312">
        <v>0</v>
      </c>
      <c r="J5312">
        <v>0</v>
      </c>
      <c r="K5312">
        <v>0</v>
      </c>
    </row>
    <row r="5313" spans="1:11" x14ac:dyDescent="0.25">
      <c r="A5313" t="s">
        <v>86</v>
      </c>
    </row>
    <row r="5314" spans="1:11" x14ac:dyDescent="0.25">
      <c r="A5314">
        <v>70.246913666020603</v>
      </c>
      <c r="B5314">
        <v>53.047472123544402</v>
      </c>
      <c r="C5314">
        <v>2000</v>
      </c>
    </row>
    <row r="5315" spans="1:11" x14ac:dyDescent="0.25">
      <c r="A5315">
        <v>69.573542840528702</v>
      </c>
      <c r="B5315">
        <v>52.374101298052601</v>
      </c>
      <c r="C5315">
        <v>2000</v>
      </c>
    </row>
    <row r="5316" spans="1:11" x14ac:dyDescent="0.25">
      <c r="A5316">
        <v>69.573542840528702</v>
      </c>
      <c r="B5316">
        <v>52.374101298052601</v>
      </c>
      <c r="C5316">
        <v>2001</v>
      </c>
    </row>
    <row r="5317" spans="1:11" x14ac:dyDescent="0.25">
      <c r="A5317">
        <v>70.246913666020603</v>
      </c>
      <c r="B5317">
        <v>53.047472123544402</v>
      </c>
      <c r="C5317">
        <v>2001</v>
      </c>
    </row>
    <row r="5318" spans="1:11" x14ac:dyDescent="0.25">
      <c r="A5318">
        <v>70.920284491512405</v>
      </c>
      <c r="B5318">
        <v>53.720842949036197</v>
      </c>
      <c r="C5318">
        <v>2001</v>
      </c>
    </row>
    <row r="5319" spans="1:11" x14ac:dyDescent="0.25">
      <c r="A5319">
        <v>70.920284491512405</v>
      </c>
      <c r="B5319">
        <v>53.720842949036197</v>
      </c>
      <c r="C5319">
        <v>2000</v>
      </c>
    </row>
    <row r="5320" spans="1:11" x14ac:dyDescent="0.25">
      <c r="A5320" t="s">
        <v>87</v>
      </c>
    </row>
    <row r="5321" spans="1:11" x14ac:dyDescent="0.25">
      <c r="A5321">
        <v>579</v>
      </c>
      <c r="B5321">
        <v>0</v>
      </c>
      <c r="C5321">
        <v>0.95229015391693395</v>
      </c>
      <c r="D5321">
        <v>0.95229015391693395</v>
      </c>
      <c r="E5321">
        <v>6</v>
      </c>
      <c r="F5321">
        <v>1.5707963267949001</v>
      </c>
      <c r="G5321" t="s">
        <v>89</v>
      </c>
      <c r="H5321" t="s">
        <v>89</v>
      </c>
      <c r="I5321">
        <v>0</v>
      </c>
      <c r="J5321">
        <v>0</v>
      </c>
      <c r="K5321">
        <v>0</v>
      </c>
    </row>
    <row r="5322" spans="1:11" x14ac:dyDescent="0.25">
      <c r="A5322" t="s">
        <v>86</v>
      </c>
    </row>
    <row r="5323" spans="1:11" x14ac:dyDescent="0.25">
      <c r="A5323">
        <v>10.019482979559999</v>
      </c>
      <c r="B5323">
        <v>108.724602688441</v>
      </c>
      <c r="C5323">
        <v>2000</v>
      </c>
    </row>
    <row r="5324" spans="1:11" x14ac:dyDescent="0.25">
      <c r="A5324">
        <v>9.3461121540681908</v>
      </c>
      <c r="B5324">
        <v>108.051231862949</v>
      </c>
      <c r="C5324">
        <v>2000</v>
      </c>
    </row>
    <row r="5325" spans="1:11" x14ac:dyDescent="0.25">
      <c r="A5325">
        <v>9.3461121540681908</v>
      </c>
      <c r="B5325">
        <v>108.051231862949</v>
      </c>
      <c r="C5325">
        <v>2001</v>
      </c>
    </row>
    <row r="5326" spans="1:11" x14ac:dyDescent="0.25">
      <c r="A5326">
        <v>10.019482979559999</v>
      </c>
      <c r="B5326">
        <v>108.724602688441</v>
      </c>
      <c r="C5326">
        <v>2001</v>
      </c>
    </row>
    <row r="5327" spans="1:11" x14ac:dyDescent="0.25">
      <c r="A5327">
        <v>10.6928538050519</v>
      </c>
      <c r="B5327">
        <v>109.397973513933</v>
      </c>
      <c r="C5327">
        <v>2001</v>
      </c>
    </row>
    <row r="5328" spans="1:11" x14ac:dyDescent="0.25">
      <c r="A5328">
        <v>10.6928538050519</v>
      </c>
      <c r="B5328">
        <v>109.397973513933</v>
      </c>
      <c r="C5328">
        <v>2000</v>
      </c>
    </row>
    <row r="5329" spans="1:11" x14ac:dyDescent="0.25">
      <c r="A5329" t="s">
        <v>87</v>
      </c>
    </row>
    <row r="5330" spans="1:11" x14ac:dyDescent="0.25">
      <c r="A5330">
        <v>493</v>
      </c>
      <c r="B5330">
        <v>0</v>
      </c>
      <c r="C5330">
        <v>0.95229015391693395</v>
      </c>
      <c r="D5330">
        <v>0.95229015391693395</v>
      </c>
      <c r="E5330">
        <v>6</v>
      </c>
      <c r="F5330">
        <v>1.5707963267949001</v>
      </c>
      <c r="G5330" t="s">
        <v>89</v>
      </c>
      <c r="H5330" t="s">
        <v>89</v>
      </c>
      <c r="I5330">
        <v>0</v>
      </c>
      <c r="J5330">
        <v>0</v>
      </c>
      <c r="K5330">
        <v>0</v>
      </c>
    </row>
    <row r="5331" spans="1:11" x14ac:dyDescent="0.25">
      <c r="A5331" t="s">
        <v>86</v>
      </c>
    </row>
    <row r="5332" spans="1:11" x14ac:dyDescent="0.25">
      <c r="A5332">
        <v>3.5113690204505801</v>
      </c>
      <c r="B5332">
        <v>92.947191765041694</v>
      </c>
      <c r="C5332">
        <v>2000</v>
      </c>
    </row>
    <row r="5333" spans="1:11" x14ac:dyDescent="0.25">
      <c r="A5333">
        <v>2.8379981949587298</v>
      </c>
      <c r="B5333">
        <v>92.273820939549793</v>
      </c>
      <c r="C5333">
        <v>2000</v>
      </c>
    </row>
    <row r="5334" spans="1:11" x14ac:dyDescent="0.25">
      <c r="A5334">
        <v>2.8379981949587298</v>
      </c>
      <c r="B5334">
        <v>92.273820939549793</v>
      </c>
      <c r="C5334">
        <v>2001</v>
      </c>
    </row>
    <row r="5335" spans="1:11" x14ac:dyDescent="0.25">
      <c r="A5335">
        <v>3.5113690204505801</v>
      </c>
      <c r="B5335">
        <v>92.947191765041694</v>
      </c>
      <c r="C5335">
        <v>2001</v>
      </c>
    </row>
    <row r="5336" spans="1:11" x14ac:dyDescent="0.25">
      <c r="A5336">
        <v>4.1847398459424197</v>
      </c>
      <c r="B5336">
        <v>93.620562590533495</v>
      </c>
      <c r="C5336">
        <v>2001</v>
      </c>
    </row>
    <row r="5337" spans="1:11" x14ac:dyDescent="0.25">
      <c r="A5337">
        <v>4.1847398459424197</v>
      </c>
      <c r="B5337">
        <v>93.620562590533495</v>
      </c>
      <c r="C5337">
        <v>2000</v>
      </c>
    </row>
    <row r="5338" spans="1:11" x14ac:dyDescent="0.25">
      <c r="A5338" t="s">
        <v>87</v>
      </c>
    </row>
    <row r="5339" spans="1:11" x14ac:dyDescent="0.25">
      <c r="A5339">
        <v>569</v>
      </c>
      <c r="B5339">
        <v>0</v>
      </c>
      <c r="C5339">
        <v>0.95229015391693395</v>
      </c>
      <c r="D5339">
        <v>0.95229015391693395</v>
      </c>
      <c r="E5339">
        <v>6</v>
      </c>
      <c r="F5339">
        <v>1.5707963267949001</v>
      </c>
      <c r="G5339" t="s">
        <v>89</v>
      </c>
      <c r="H5339" t="s">
        <v>89</v>
      </c>
      <c r="I5339">
        <v>0</v>
      </c>
      <c r="J5339">
        <v>0</v>
      </c>
      <c r="K5339">
        <v>0</v>
      </c>
    </row>
    <row r="5340" spans="1:11" x14ac:dyDescent="0.25">
      <c r="A5340" t="s">
        <v>86</v>
      </c>
    </row>
    <row r="5341" spans="1:11" x14ac:dyDescent="0.25">
      <c r="A5341">
        <v>2.6295495464604199</v>
      </c>
      <c r="B5341">
        <v>139.357395325488</v>
      </c>
      <c r="C5341">
        <v>2000</v>
      </c>
    </row>
    <row r="5342" spans="1:11" x14ac:dyDescent="0.25">
      <c r="A5342">
        <v>1.9561787209685799</v>
      </c>
      <c r="B5342">
        <v>138.68402449999601</v>
      </c>
      <c r="C5342">
        <v>2000</v>
      </c>
    </row>
    <row r="5343" spans="1:11" x14ac:dyDescent="0.25">
      <c r="A5343">
        <v>1.9561787209685799</v>
      </c>
      <c r="B5343">
        <v>138.68402449999601</v>
      </c>
      <c r="C5343">
        <v>2001</v>
      </c>
    </row>
    <row r="5344" spans="1:11" x14ac:dyDescent="0.25">
      <c r="A5344">
        <v>2.6295495464604199</v>
      </c>
      <c r="B5344">
        <v>139.357395325488</v>
      </c>
      <c r="C5344">
        <v>2001</v>
      </c>
    </row>
    <row r="5345" spans="1:11" x14ac:dyDescent="0.25">
      <c r="A5345">
        <v>3.3029203719522702</v>
      </c>
      <c r="B5345">
        <v>140.03076615098001</v>
      </c>
      <c r="C5345">
        <v>2001</v>
      </c>
    </row>
    <row r="5346" spans="1:11" x14ac:dyDescent="0.25">
      <c r="A5346">
        <v>3.3029203719522702</v>
      </c>
      <c r="B5346">
        <v>140.03076615098001</v>
      </c>
      <c r="C5346">
        <v>2000</v>
      </c>
    </row>
    <row r="5347" spans="1:11" x14ac:dyDescent="0.25">
      <c r="A5347" t="s">
        <v>87</v>
      </c>
    </row>
    <row r="5348" spans="1:11" x14ac:dyDescent="0.25">
      <c r="A5348">
        <v>163</v>
      </c>
      <c r="B5348">
        <v>0</v>
      </c>
      <c r="C5348">
        <v>0.95229015391693395</v>
      </c>
      <c r="D5348">
        <v>0.95229015391693395</v>
      </c>
      <c r="E5348">
        <v>6</v>
      </c>
      <c r="F5348">
        <v>1.5707963267949001</v>
      </c>
      <c r="G5348" t="s">
        <v>89</v>
      </c>
      <c r="H5348" t="s">
        <v>89</v>
      </c>
      <c r="I5348">
        <v>0</v>
      </c>
      <c r="J5348">
        <v>0</v>
      </c>
      <c r="K5348">
        <v>0</v>
      </c>
    </row>
    <row r="5349" spans="1:11" x14ac:dyDescent="0.25">
      <c r="A5349" t="s">
        <v>86</v>
      </c>
    </row>
    <row r="5350" spans="1:11" x14ac:dyDescent="0.25">
      <c r="A5350">
        <v>120.173426587215</v>
      </c>
      <c r="B5350">
        <v>51.493242965775202</v>
      </c>
      <c r="C5350">
        <v>2000</v>
      </c>
    </row>
    <row r="5351" spans="1:11" x14ac:dyDescent="0.25">
      <c r="A5351">
        <v>119.500055761724</v>
      </c>
      <c r="B5351">
        <v>50.819872140283302</v>
      </c>
      <c r="C5351">
        <v>2000</v>
      </c>
    </row>
    <row r="5352" spans="1:11" x14ac:dyDescent="0.25">
      <c r="A5352">
        <v>119.500055761724</v>
      </c>
      <c r="B5352">
        <v>50.819872140283302</v>
      </c>
      <c r="C5352">
        <v>2001</v>
      </c>
    </row>
    <row r="5353" spans="1:11" x14ac:dyDescent="0.25">
      <c r="A5353">
        <v>120.173426587215</v>
      </c>
      <c r="B5353">
        <v>51.493242965775202</v>
      </c>
      <c r="C5353">
        <v>2001</v>
      </c>
    </row>
    <row r="5354" spans="1:11" x14ac:dyDescent="0.25">
      <c r="A5354">
        <v>120.84679741270701</v>
      </c>
      <c r="B5354">
        <v>52.166613791266997</v>
      </c>
      <c r="C5354">
        <v>2001</v>
      </c>
    </row>
    <row r="5355" spans="1:11" x14ac:dyDescent="0.25">
      <c r="A5355">
        <v>120.84679741270701</v>
      </c>
      <c r="B5355">
        <v>52.166613791266997</v>
      </c>
      <c r="C5355">
        <v>2000</v>
      </c>
    </row>
    <row r="5356" spans="1:11" x14ac:dyDescent="0.25">
      <c r="A5356" t="s">
        <v>87</v>
      </c>
    </row>
    <row r="5357" spans="1:11" x14ac:dyDescent="0.25">
      <c r="A5357">
        <v>340</v>
      </c>
      <c r="B5357">
        <v>0</v>
      </c>
      <c r="C5357">
        <v>0.95229015391693395</v>
      </c>
      <c r="D5357">
        <v>0.95229015391693395</v>
      </c>
      <c r="E5357">
        <v>6</v>
      </c>
      <c r="F5357">
        <v>1.5707963267949001</v>
      </c>
      <c r="G5357" t="s">
        <v>89</v>
      </c>
      <c r="H5357" t="s">
        <v>89</v>
      </c>
      <c r="I5357">
        <v>0</v>
      </c>
      <c r="J5357">
        <v>0</v>
      </c>
      <c r="K5357">
        <v>0</v>
      </c>
    </row>
    <row r="5358" spans="1:11" x14ac:dyDescent="0.25">
      <c r="A5358" t="s">
        <v>86</v>
      </c>
    </row>
    <row r="5359" spans="1:11" x14ac:dyDescent="0.25">
      <c r="A5359">
        <v>52.3056047280811</v>
      </c>
      <c r="B5359">
        <v>122.75446710305</v>
      </c>
      <c r="C5359">
        <v>2000</v>
      </c>
    </row>
    <row r="5360" spans="1:11" x14ac:dyDescent="0.25">
      <c r="A5360">
        <v>51.632233902589199</v>
      </c>
      <c r="B5360">
        <v>122.081096277558</v>
      </c>
      <c r="C5360">
        <v>2000</v>
      </c>
    </row>
    <row r="5361" spans="1:11" x14ac:dyDescent="0.25">
      <c r="A5361">
        <v>51.632233902589199</v>
      </c>
      <c r="B5361">
        <v>122.081096277558</v>
      </c>
      <c r="C5361">
        <v>2001</v>
      </c>
    </row>
    <row r="5362" spans="1:11" x14ac:dyDescent="0.25">
      <c r="A5362">
        <v>52.3056047280811</v>
      </c>
      <c r="B5362">
        <v>122.75446710305</v>
      </c>
      <c r="C5362">
        <v>2001</v>
      </c>
    </row>
    <row r="5363" spans="1:11" x14ac:dyDescent="0.25">
      <c r="A5363">
        <v>52.978975553572901</v>
      </c>
      <c r="B5363">
        <v>123.427837928542</v>
      </c>
      <c r="C5363">
        <v>2001</v>
      </c>
    </row>
    <row r="5364" spans="1:11" x14ac:dyDescent="0.25">
      <c r="A5364">
        <v>52.978975553572901</v>
      </c>
      <c r="B5364">
        <v>123.427837928542</v>
      </c>
      <c r="C5364">
        <v>2000</v>
      </c>
    </row>
    <row r="5365" spans="1:11" x14ac:dyDescent="0.25">
      <c r="A5365" t="s">
        <v>87</v>
      </c>
    </row>
    <row r="5366" spans="1:11" x14ac:dyDescent="0.25">
      <c r="A5366">
        <v>258</v>
      </c>
      <c r="B5366">
        <v>0</v>
      </c>
      <c r="C5366">
        <v>0.95229015391693395</v>
      </c>
      <c r="D5366">
        <v>0.95229015391693395</v>
      </c>
      <c r="E5366">
        <v>6</v>
      </c>
      <c r="F5366">
        <v>1.5707963267949001</v>
      </c>
      <c r="G5366" t="s">
        <v>89</v>
      </c>
      <c r="H5366" t="s">
        <v>89</v>
      </c>
      <c r="I5366">
        <v>0</v>
      </c>
      <c r="J5366">
        <v>0</v>
      </c>
      <c r="K5366">
        <v>0</v>
      </c>
    </row>
    <row r="5367" spans="1:11" x14ac:dyDescent="0.25">
      <c r="A5367" t="s">
        <v>86</v>
      </c>
    </row>
    <row r="5368" spans="1:11" x14ac:dyDescent="0.25">
      <c r="A5368">
        <v>75.015992799315597</v>
      </c>
      <c r="B5368">
        <v>40.5140290691117</v>
      </c>
      <c r="C5368">
        <v>2000</v>
      </c>
    </row>
    <row r="5369" spans="1:11" x14ac:dyDescent="0.25">
      <c r="A5369">
        <v>74.342621973823796</v>
      </c>
      <c r="B5369">
        <v>39.840658243619799</v>
      </c>
      <c r="C5369">
        <v>2000</v>
      </c>
    </row>
    <row r="5370" spans="1:11" x14ac:dyDescent="0.25">
      <c r="A5370">
        <v>74.342621973823796</v>
      </c>
      <c r="B5370">
        <v>39.840658243619799</v>
      </c>
      <c r="C5370">
        <v>2001</v>
      </c>
    </row>
    <row r="5371" spans="1:11" x14ac:dyDescent="0.25">
      <c r="A5371">
        <v>75.015992799315597</v>
      </c>
      <c r="B5371">
        <v>40.5140290691117</v>
      </c>
      <c r="C5371">
        <v>2001</v>
      </c>
    </row>
    <row r="5372" spans="1:11" x14ac:dyDescent="0.25">
      <c r="A5372">
        <v>75.689363624807399</v>
      </c>
      <c r="B5372">
        <v>41.187399894603502</v>
      </c>
      <c r="C5372">
        <v>2001</v>
      </c>
    </row>
    <row r="5373" spans="1:11" x14ac:dyDescent="0.25">
      <c r="A5373">
        <v>75.689363624807399</v>
      </c>
      <c r="B5373">
        <v>41.187399894603502</v>
      </c>
      <c r="C5373">
        <v>2000</v>
      </c>
    </row>
    <row r="5374" spans="1:11" x14ac:dyDescent="0.25">
      <c r="A5374" t="s">
        <v>87</v>
      </c>
    </row>
    <row r="5375" spans="1:11" x14ac:dyDescent="0.25">
      <c r="A5375">
        <v>165</v>
      </c>
      <c r="B5375">
        <v>0</v>
      </c>
      <c r="C5375">
        <v>0.95229015391693395</v>
      </c>
      <c r="D5375">
        <v>0.95229015391693395</v>
      </c>
      <c r="E5375">
        <v>6</v>
      </c>
      <c r="F5375">
        <v>1.5707963267949001</v>
      </c>
      <c r="G5375" t="s">
        <v>89</v>
      </c>
      <c r="H5375" t="s">
        <v>89</v>
      </c>
      <c r="I5375">
        <v>0</v>
      </c>
      <c r="J5375">
        <v>0</v>
      </c>
      <c r="K5375">
        <v>0</v>
      </c>
    </row>
    <row r="5376" spans="1:11" x14ac:dyDescent="0.25">
      <c r="A5376" t="s">
        <v>86</v>
      </c>
    </row>
    <row r="5377" spans="1:11" x14ac:dyDescent="0.25">
      <c r="A5377">
        <v>107.894668289411</v>
      </c>
      <c r="B5377">
        <v>56.597731894160503</v>
      </c>
      <c r="C5377">
        <v>2000</v>
      </c>
    </row>
    <row r="5378" spans="1:11" x14ac:dyDescent="0.25">
      <c r="A5378">
        <v>107.221297463919</v>
      </c>
      <c r="B5378">
        <v>55.924361068668702</v>
      </c>
      <c r="C5378">
        <v>2000</v>
      </c>
    </row>
    <row r="5379" spans="1:11" x14ac:dyDescent="0.25">
      <c r="A5379">
        <v>107.221297463919</v>
      </c>
      <c r="B5379">
        <v>55.924361068668702</v>
      </c>
      <c r="C5379">
        <v>2001</v>
      </c>
    </row>
    <row r="5380" spans="1:11" x14ac:dyDescent="0.25">
      <c r="A5380">
        <v>107.894668289411</v>
      </c>
      <c r="B5380">
        <v>56.597731894160503</v>
      </c>
      <c r="C5380">
        <v>2001</v>
      </c>
    </row>
    <row r="5381" spans="1:11" x14ac:dyDescent="0.25">
      <c r="A5381">
        <v>108.568039114903</v>
      </c>
      <c r="B5381">
        <v>57.271102719652298</v>
      </c>
      <c r="C5381">
        <v>2001</v>
      </c>
    </row>
    <row r="5382" spans="1:11" x14ac:dyDescent="0.25">
      <c r="A5382">
        <v>108.568039114903</v>
      </c>
      <c r="B5382">
        <v>57.271102719652298</v>
      </c>
      <c r="C5382">
        <v>2000</v>
      </c>
    </row>
    <row r="5383" spans="1:11" x14ac:dyDescent="0.25">
      <c r="A5383" t="s">
        <v>87</v>
      </c>
    </row>
    <row r="5384" spans="1:11" x14ac:dyDescent="0.25">
      <c r="A5384">
        <v>260</v>
      </c>
      <c r="B5384">
        <v>0</v>
      </c>
      <c r="C5384">
        <v>0.95229015391693395</v>
      </c>
      <c r="D5384">
        <v>0.95229015391693395</v>
      </c>
      <c r="E5384">
        <v>6</v>
      </c>
      <c r="F5384">
        <v>1.5707963267949001</v>
      </c>
      <c r="G5384" t="s">
        <v>89</v>
      </c>
      <c r="H5384" t="s">
        <v>89</v>
      </c>
      <c r="I5384">
        <v>0</v>
      </c>
      <c r="J5384">
        <v>0</v>
      </c>
      <c r="K5384">
        <v>0</v>
      </c>
    </row>
    <row r="5385" spans="1:11" x14ac:dyDescent="0.25">
      <c r="A5385" t="s">
        <v>86</v>
      </c>
    </row>
    <row r="5386" spans="1:11" x14ac:dyDescent="0.25">
      <c r="A5386">
        <v>61.388758156164002</v>
      </c>
      <c r="B5386">
        <v>42.5677604240215</v>
      </c>
      <c r="C5386">
        <v>2000</v>
      </c>
    </row>
    <row r="5387" spans="1:11" x14ac:dyDescent="0.25">
      <c r="A5387">
        <v>60.715387330672101</v>
      </c>
      <c r="B5387">
        <v>41.894389598529699</v>
      </c>
      <c r="C5387">
        <v>2000</v>
      </c>
    </row>
    <row r="5388" spans="1:11" x14ac:dyDescent="0.25">
      <c r="A5388">
        <v>60.715387330672101</v>
      </c>
      <c r="B5388">
        <v>41.894389598529699</v>
      </c>
      <c r="C5388">
        <v>2001</v>
      </c>
    </row>
    <row r="5389" spans="1:11" x14ac:dyDescent="0.25">
      <c r="A5389">
        <v>61.388758156164002</v>
      </c>
      <c r="B5389">
        <v>42.5677604240215</v>
      </c>
      <c r="C5389">
        <v>2001</v>
      </c>
    </row>
    <row r="5390" spans="1:11" x14ac:dyDescent="0.25">
      <c r="A5390">
        <v>62.062128981655803</v>
      </c>
      <c r="B5390">
        <v>43.241131249513401</v>
      </c>
      <c r="C5390">
        <v>2001</v>
      </c>
    </row>
    <row r="5391" spans="1:11" x14ac:dyDescent="0.25">
      <c r="A5391">
        <v>62.062128981655803</v>
      </c>
      <c r="B5391">
        <v>43.241131249513401</v>
      </c>
      <c r="C5391">
        <v>2000</v>
      </c>
    </row>
    <row r="5392" spans="1:11" x14ac:dyDescent="0.25">
      <c r="A5392" t="s">
        <v>87</v>
      </c>
    </row>
    <row r="5393" spans="1:11" x14ac:dyDescent="0.25">
      <c r="A5393">
        <v>411</v>
      </c>
      <c r="B5393">
        <v>0</v>
      </c>
      <c r="C5393">
        <v>0.95229015391693395</v>
      </c>
      <c r="D5393">
        <v>0.95229015391693395</v>
      </c>
      <c r="E5393">
        <v>6</v>
      </c>
      <c r="F5393">
        <v>1.5707963267949001</v>
      </c>
      <c r="G5393" t="s">
        <v>89</v>
      </c>
      <c r="H5393" t="s">
        <v>89</v>
      </c>
      <c r="I5393">
        <v>0</v>
      </c>
      <c r="J5393">
        <v>0</v>
      </c>
      <c r="K5393">
        <v>0</v>
      </c>
    </row>
    <row r="5394" spans="1:11" x14ac:dyDescent="0.25">
      <c r="A5394" t="s">
        <v>86</v>
      </c>
    </row>
    <row r="5395" spans="1:11" x14ac:dyDescent="0.25">
      <c r="A5395">
        <v>141.301850691113</v>
      </c>
      <c r="B5395">
        <v>5.69815708123991</v>
      </c>
      <c r="C5395">
        <v>2000</v>
      </c>
    </row>
    <row r="5396" spans="1:11" x14ac:dyDescent="0.25">
      <c r="A5396">
        <v>140.62847986562099</v>
      </c>
      <c r="B5396">
        <v>5.0247862557480696</v>
      </c>
      <c r="C5396">
        <v>2000</v>
      </c>
    </row>
    <row r="5397" spans="1:11" x14ac:dyDescent="0.25">
      <c r="A5397">
        <v>140.62847986562099</v>
      </c>
      <c r="B5397">
        <v>5.0247862557480696</v>
      </c>
      <c r="C5397">
        <v>2001</v>
      </c>
    </row>
    <row r="5398" spans="1:11" x14ac:dyDescent="0.25">
      <c r="A5398">
        <v>141.301850691113</v>
      </c>
      <c r="B5398">
        <v>5.69815708123991</v>
      </c>
      <c r="C5398">
        <v>2001</v>
      </c>
    </row>
    <row r="5399" spans="1:11" x14ac:dyDescent="0.25">
      <c r="A5399">
        <v>141.97522151660499</v>
      </c>
      <c r="B5399">
        <v>6.3715279067317603</v>
      </c>
      <c r="C5399">
        <v>2001</v>
      </c>
    </row>
    <row r="5400" spans="1:11" x14ac:dyDescent="0.25">
      <c r="A5400">
        <v>141.97522151660499</v>
      </c>
      <c r="B5400">
        <v>6.3715279067317603</v>
      </c>
      <c r="C5400">
        <v>2000</v>
      </c>
    </row>
    <row r="5401" spans="1:11" x14ac:dyDescent="0.25">
      <c r="A5401" t="s">
        <v>87</v>
      </c>
    </row>
    <row r="5402" spans="1:11" x14ac:dyDescent="0.25">
      <c r="A5402">
        <v>562</v>
      </c>
      <c r="B5402">
        <v>0</v>
      </c>
      <c r="C5402">
        <v>0.95229015391693395</v>
      </c>
      <c r="D5402">
        <v>0.95229015391693395</v>
      </c>
      <c r="E5402">
        <v>6</v>
      </c>
      <c r="F5402">
        <v>1.5707963267949001</v>
      </c>
      <c r="G5402" t="s">
        <v>89</v>
      </c>
      <c r="H5402" t="s">
        <v>89</v>
      </c>
      <c r="I5402">
        <v>0</v>
      </c>
      <c r="J5402">
        <v>0</v>
      </c>
      <c r="K5402">
        <v>0</v>
      </c>
    </row>
    <row r="5403" spans="1:11" x14ac:dyDescent="0.25">
      <c r="A5403" t="s">
        <v>86</v>
      </c>
    </row>
    <row r="5404" spans="1:11" x14ac:dyDescent="0.25">
      <c r="A5404">
        <v>7.1048296788264196</v>
      </c>
      <c r="B5404">
        <v>123.40819161544</v>
      </c>
      <c r="C5404">
        <v>2000</v>
      </c>
    </row>
    <row r="5405" spans="1:11" x14ac:dyDescent="0.25">
      <c r="A5405">
        <v>6.4314588533345702</v>
      </c>
      <c r="B5405">
        <v>122.734820789948</v>
      </c>
      <c r="C5405">
        <v>2000</v>
      </c>
    </row>
    <row r="5406" spans="1:11" x14ac:dyDescent="0.25">
      <c r="A5406">
        <v>6.4314588533345702</v>
      </c>
      <c r="B5406">
        <v>122.734820789948</v>
      </c>
      <c r="C5406">
        <v>2001</v>
      </c>
    </row>
    <row r="5407" spans="1:11" x14ac:dyDescent="0.25">
      <c r="A5407">
        <v>7.1048296788264196</v>
      </c>
      <c r="B5407">
        <v>123.40819161544</v>
      </c>
      <c r="C5407">
        <v>2001</v>
      </c>
    </row>
    <row r="5408" spans="1:11" x14ac:dyDescent="0.25">
      <c r="A5408">
        <v>7.7782005043182698</v>
      </c>
      <c r="B5408">
        <v>124.081562440932</v>
      </c>
      <c r="C5408">
        <v>2001</v>
      </c>
    </row>
    <row r="5409" spans="1:11" x14ac:dyDescent="0.25">
      <c r="A5409">
        <v>7.7782005043182698</v>
      </c>
      <c r="B5409">
        <v>124.081562440932</v>
      </c>
      <c r="C5409">
        <v>2000</v>
      </c>
    </row>
    <row r="5410" spans="1:11" x14ac:dyDescent="0.25">
      <c r="A5410" t="s">
        <v>87</v>
      </c>
    </row>
    <row r="5411" spans="1:11" x14ac:dyDescent="0.25">
      <c r="A5411">
        <v>561</v>
      </c>
      <c r="B5411">
        <v>0</v>
      </c>
      <c r="C5411">
        <v>0.95229015391693395</v>
      </c>
      <c r="D5411">
        <v>0.95229015391693395</v>
      </c>
      <c r="E5411">
        <v>6</v>
      </c>
      <c r="F5411">
        <v>1.5707963267949001</v>
      </c>
      <c r="G5411" t="s">
        <v>89</v>
      </c>
      <c r="H5411" t="s">
        <v>89</v>
      </c>
      <c r="I5411">
        <v>0</v>
      </c>
      <c r="J5411">
        <v>0</v>
      </c>
      <c r="K5411">
        <v>0</v>
      </c>
    </row>
    <row r="5412" spans="1:11" x14ac:dyDescent="0.25">
      <c r="A5412" t="s">
        <v>86</v>
      </c>
    </row>
    <row r="5413" spans="1:11" x14ac:dyDescent="0.25">
      <c r="A5413">
        <v>1.0418862342098101</v>
      </c>
      <c r="B5413">
        <v>135.18889419976099</v>
      </c>
      <c r="C5413">
        <v>2000</v>
      </c>
    </row>
    <row r="5414" spans="1:11" x14ac:dyDescent="0.25">
      <c r="A5414">
        <v>0.36851540871796801</v>
      </c>
      <c r="B5414">
        <v>134.51552337426901</v>
      </c>
      <c r="C5414">
        <v>2000</v>
      </c>
    </row>
    <row r="5415" spans="1:11" x14ac:dyDescent="0.25">
      <c r="A5415">
        <v>0.36851540871796801</v>
      </c>
      <c r="B5415">
        <v>134.51552337426901</v>
      </c>
      <c r="C5415">
        <v>2001</v>
      </c>
    </row>
    <row r="5416" spans="1:11" x14ac:dyDescent="0.25">
      <c r="A5416">
        <v>1.0418862342098101</v>
      </c>
      <c r="B5416">
        <v>135.18889419976099</v>
      </c>
      <c r="C5416">
        <v>2001</v>
      </c>
    </row>
    <row r="5417" spans="1:11" x14ac:dyDescent="0.25">
      <c r="A5417">
        <v>1.7152570597016601</v>
      </c>
      <c r="B5417">
        <v>135.86226502525301</v>
      </c>
      <c r="C5417">
        <v>2001</v>
      </c>
    </row>
    <row r="5418" spans="1:11" x14ac:dyDescent="0.25">
      <c r="A5418">
        <v>1.7152570597016601</v>
      </c>
      <c r="B5418">
        <v>135.86226502525301</v>
      </c>
      <c r="C5418">
        <v>2000</v>
      </c>
    </row>
    <row r="5419" spans="1:11" x14ac:dyDescent="0.25">
      <c r="A5419" t="s">
        <v>87</v>
      </c>
    </row>
    <row r="5420" spans="1:11" x14ac:dyDescent="0.25">
      <c r="A5420">
        <v>484</v>
      </c>
      <c r="B5420">
        <v>0</v>
      </c>
      <c r="C5420">
        <v>0.95229015391693395</v>
      </c>
      <c r="D5420">
        <v>0.95229015391693395</v>
      </c>
      <c r="E5420">
        <v>6</v>
      </c>
      <c r="F5420">
        <v>1.5707963267949001</v>
      </c>
      <c r="G5420" t="s">
        <v>89</v>
      </c>
      <c r="H5420" t="s">
        <v>89</v>
      </c>
      <c r="I5420">
        <v>0</v>
      </c>
      <c r="J5420">
        <v>0</v>
      </c>
      <c r="K5420">
        <v>0</v>
      </c>
    </row>
    <row r="5421" spans="1:11" x14ac:dyDescent="0.25">
      <c r="A5421" t="s">
        <v>86</v>
      </c>
    </row>
    <row r="5422" spans="1:11" x14ac:dyDescent="0.25">
      <c r="A5422">
        <v>32.051519854949603</v>
      </c>
      <c r="B5422">
        <v>82.963381513470495</v>
      </c>
      <c r="C5422">
        <v>2000</v>
      </c>
    </row>
    <row r="5423" spans="1:11" x14ac:dyDescent="0.25">
      <c r="A5423">
        <v>31.378149029457699</v>
      </c>
      <c r="B5423">
        <v>82.290010687978693</v>
      </c>
      <c r="C5423">
        <v>2000</v>
      </c>
    </row>
    <row r="5424" spans="1:11" x14ac:dyDescent="0.25">
      <c r="A5424">
        <v>31.378149029457699</v>
      </c>
      <c r="B5424">
        <v>82.290010687978693</v>
      </c>
      <c r="C5424">
        <v>2001</v>
      </c>
    </row>
    <row r="5425" spans="1:11" x14ac:dyDescent="0.25">
      <c r="A5425">
        <v>32.051519854949603</v>
      </c>
      <c r="B5425">
        <v>82.963381513470495</v>
      </c>
      <c r="C5425">
        <v>2001</v>
      </c>
    </row>
    <row r="5426" spans="1:11" x14ac:dyDescent="0.25">
      <c r="A5426">
        <v>32.724890680441398</v>
      </c>
      <c r="B5426">
        <v>83.636752338962296</v>
      </c>
      <c r="C5426">
        <v>2001</v>
      </c>
    </row>
    <row r="5427" spans="1:11" x14ac:dyDescent="0.25">
      <c r="A5427">
        <v>32.724890680441398</v>
      </c>
      <c r="B5427">
        <v>83.636752338962296</v>
      </c>
      <c r="C5427">
        <v>2000</v>
      </c>
    </row>
    <row r="5428" spans="1:11" x14ac:dyDescent="0.25">
      <c r="A5428" t="s">
        <v>87</v>
      </c>
    </row>
    <row r="5429" spans="1:11" x14ac:dyDescent="0.25">
      <c r="A5429">
        <v>244</v>
      </c>
      <c r="B5429">
        <v>0</v>
      </c>
      <c r="C5429">
        <v>0.95229015391693395</v>
      </c>
      <c r="D5429">
        <v>0.95229015391693395</v>
      </c>
      <c r="E5429">
        <v>6</v>
      </c>
      <c r="F5429">
        <v>1.5707963267949001</v>
      </c>
      <c r="G5429" t="s">
        <v>89</v>
      </c>
      <c r="H5429" t="s">
        <v>89</v>
      </c>
      <c r="I5429">
        <v>0</v>
      </c>
      <c r="J5429">
        <v>0</v>
      </c>
      <c r="K5429">
        <v>0</v>
      </c>
    </row>
    <row r="5430" spans="1:11" x14ac:dyDescent="0.25">
      <c r="A5430" t="s">
        <v>86</v>
      </c>
    </row>
    <row r="5431" spans="1:11" x14ac:dyDescent="0.25">
      <c r="A5431">
        <v>98.4976292115159</v>
      </c>
      <c r="B5431">
        <v>19.876589984575599</v>
      </c>
      <c r="C5431">
        <v>2000</v>
      </c>
    </row>
    <row r="5432" spans="1:11" x14ac:dyDescent="0.25">
      <c r="A5432">
        <v>97.824258386024098</v>
      </c>
      <c r="B5432">
        <v>19.203219159083702</v>
      </c>
      <c r="C5432">
        <v>2000</v>
      </c>
    </row>
    <row r="5433" spans="1:11" x14ac:dyDescent="0.25">
      <c r="A5433">
        <v>97.824258386024098</v>
      </c>
      <c r="B5433">
        <v>19.203219159083702</v>
      </c>
      <c r="C5433">
        <v>2001</v>
      </c>
    </row>
    <row r="5434" spans="1:11" x14ac:dyDescent="0.25">
      <c r="A5434">
        <v>98.4976292115159</v>
      </c>
      <c r="B5434">
        <v>19.876589984575599</v>
      </c>
      <c r="C5434">
        <v>2001</v>
      </c>
    </row>
    <row r="5435" spans="1:11" x14ac:dyDescent="0.25">
      <c r="A5435">
        <v>99.171000037007801</v>
      </c>
      <c r="B5435">
        <v>20.5499608100674</v>
      </c>
      <c r="C5435">
        <v>2001</v>
      </c>
    </row>
    <row r="5436" spans="1:11" x14ac:dyDescent="0.25">
      <c r="A5436">
        <v>99.171000037007801</v>
      </c>
      <c r="B5436">
        <v>20.5499608100674</v>
      </c>
      <c r="C5436">
        <v>2000</v>
      </c>
    </row>
    <row r="5437" spans="1:11" x14ac:dyDescent="0.25">
      <c r="A5437" t="s">
        <v>87</v>
      </c>
    </row>
    <row r="5438" spans="1:11" x14ac:dyDescent="0.25">
      <c r="A5438">
        <v>564</v>
      </c>
      <c r="B5438">
        <v>0</v>
      </c>
      <c r="C5438">
        <v>0.95229015391693395</v>
      </c>
      <c r="D5438">
        <v>0.95229015391693395</v>
      </c>
      <c r="E5438">
        <v>6</v>
      </c>
      <c r="F5438">
        <v>1.5707963267949001</v>
      </c>
      <c r="G5438" t="s">
        <v>89</v>
      </c>
      <c r="H5438" t="s">
        <v>89</v>
      </c>
      <c r="I5438">
        <v>0</v>
      </c>
      <c r="J5438">
        <v>0</v>
      </c>
      <c r="K5438">
        <v>0</v>
      </c>
    </row>
    <row r="5439" spans="1:11" x14ac:dyDescent="0.25">
      <c r="A5439" t="s">
        <v>86</v>
      </c>
    </row>
    <row r="5440" spans="1:11" x14ac:dyDescent="0.25">
      <c r="A5440">
        <v>28.291966104084601</v>
      </c>
      <c r="B5440">
        <v>145.332850048008</v>
      </c>
      <c r="C5440">
        <v>2000</v>
      </c>
    </row>
    <row r="5441" spans="1:11" x14ac:dyDescent="0.25">
      <c r="A5441">
        <v>27.6185952785928</v>
      </c>
      <c r="B5441">
        <v>144.65947922251601</v>
      </c>
      <c r="C5441">
        <v>2000</v>
      </c>
    </row>
    <row r="5442" spans="1:11" x14ac:dyDescent="0.25">
      <c r="A5442">
        <v>27.6185952785928</v>
      </c>
      <c r="B5442">
        <v>144.65947922251601</v>
      </c>
      <c r="C5442">
        <v>2001</v>
      </c>
    </row>
    <row r="5443" spans="1:11" x14ac:dyDescent="0.25">
      <c r="A5443">
        <v>28.291966104084601</v>
      </c>
      <c r="B5443">
        <v>145.332850048008</v>
      </c>
      <c r="C5443">
        <v>2001</v>
      </c>
    </row>
    <row r="5444" spans="1:11" x14ac:dyDescent="0.25">
      <c r="A5444">
        <v>28.965336929576502</v>
      </c>
      <c r="B5444">
        <v>146.00622087350001</v>
      </c>
      <c r="C5444">
        <v>2001</v>
      </c>
    </row>
    <row r="5445" spans="1:11" x14ac:dyDescent="0.25">
      <c r="A5445">
        <v>28.965336929576502</v>
      </c>
      <c r="B5445">
        <v>146.00622087350001</v>
      </c>
      <c r="C5445">
        <v>2000</v>
      </c>
    </row>
    <row r="5446" spans="1:11" x14ac:dyDescent="0.25">
      <c r="A5446" t="s">
        <v>87</v>
      </c>
    </row>
    <row r="5447" spans="1:11" x14ac:dyDescent="0.25">
      <c r="A5447">
        <v>566</v>
      </c>
      <c r="B5447">
        <v>0</v>
      </c>
      <c r="C5447">
        <v>0.95229015391693395</v>
      </c>
      <c r="D5447">
        <v>0.95229015391693395</v>
      </c>
      <c r="E5447">
        <v>6</v>
      </c>
      <c r="F5447">
        <v>1.5707963267949001</v>
      </c>
      <c r="G5447" t="s">
        <v>89</v>
      </c>
      <c r="H5447" t="s">
        <v>89</v>
      </c>
      <c r="I5447">
        <v>0</v>
      </c>
      <c r="J5447">
        <v>0</v>
      </c>
      <c r="K5447">
        <v>0</v>
      </c>
    </row>
    <row r="5448" spans="1:11" x14ac:dyDescent="0.25">
      <c r="A5448" t="s">
        <v>86</v>
      </c>
    </row>
    <row r="5449" spans="1:11" x14ac:dyDescent="0.25">
      <c r="A5449">
        <v>42.309321412960699</v>
      </c>
      <c r="B5449">
        <v>101.611621166399</v>
      </c>
      <c r="C5449">
        <v>2000</v>
      </c>
    </row>
    <row r="5450" spans="1:11" x14ac:dyDescent="0.25">
      <c r="A5450">
        <v>41.635950587468798</v>
      </c>
      <c r="B5450">
        <v>100.938250340907</v>
      </c>
      <c r="C5450">
        <v>2000</v>
      </c>
    </row>
    <row r="5451" spans="1:11" x14ac:dyDescent="0.25">
      <c r="A5451">
        <v>41.635950587468798</v>
      </c>
      <c r="B5451">
        <v>100.938250340907</v>
      </c>
      <c r="C5451">
        <v>2001</v>
      </c>
    </row>
    <row r="5452" spans="1:11" x14ac:dyDescent="0.25">
      <c r="A5452">
        <v>42.309321412960699</v>
      </c>
      <c r="B5452">
        <v>101.611621166399</v>
      </c>
      <c r="C5452">
        <v>2001</v>
      </c>
    </row>
    <row r="5453" spans="1:11" x14ac:dyDescent="0.25">
      <c r="A5453">
        <v>42.982692238452501</v>
      </c>
      <c r="B5453">
        <v>102.28499199189</v>
      </c>
      <c r="C5453">
        <v>2001</v>
      </c>
    </row>
    <row r="5454" spans="1:11" x14ac:dyDescent="0.25">
      <c r="A5454">
        <v>42.982692238452501</v>
      </c>
      <c r="B5454">
        <v>102.28499199189</v>
      </c>
      <c r="C5454">
        <v>2000</v>
      </c>
    </row>
    <row r="5455" spans="1:11" x14ac:dyDescent="0.25">
      <c r="A5455" t="s">
        <v>87</v>
      </c>
    </row>
    <row r="5456" spans="1:11" x14ac:dyDescent="0.25">
      <c r="A5456">
        <v>499</v>
      </c>
      <c r="B5456">
        <v>0</v>
      </c>
      <c r="C5456">
        <v>0.95229015391693395</v>
      </c>
      <c r="D5456">
        <v>0.95229015391693395</v>
      </c>
      <c r="E5456">
        <v>6</v>
      </c>
      <c r="F5456">
        <v>1.5707963267949001</v>
      </c>
      <c r="G5456" t="s">
        <v>89</v>
      </c>
      <c r="H5456" t="s">
        <v>89</v>
      </c>
      <c r="I5456">
        <v>0</v>
      </c>
      <c r="J5456">
        <v>0</v>
      </c>
      <c r="K5456">
        <v>0</v>
      </c>
    </row>
    <row r="5457" spans="1:11" x14ac:dyDescent="0.25">
      <c r="A5457" t="s">
        <v>86</v>
      </c>
    </row>
    <row r="5458" spans="1:11" x14ac:dyDescent="0.25">
      <c r="A5458">
        <v>19.536086926020701</v>
      </c>
      <c r="B5458">
        <v>75.894656905855399</v>
      </c>
      <c r="C5458">
        <v>2000</v>
      </c>
    </row>
    <row r="5459" spans="1:11" x14ac:dyDescent="0.25">
      <c r="A5459">
        <v>18.8627161005289</v>
      </c>
      <c r="B5459">
        <v>75.221286080363498</v>
      </c>
      <c r="C5459">
        <v>2000</v>
      </c>
    </row>
    <row r="5460" spans="1:11" x14ac:dyDescent="0.25">
      <c r="A5460">
        <v>18.8627161005289</v>
      </c>
      <c r="B5460">
        <v>75.221286080363498</v>
      </c>
      <c r="C5460">
        <v>2001</v>
      </c>
    </row>
    <row r="5461" spans="1:11" x14ac:dyDescent="0.25">
      <c r="A5461">
        <v>19.536086926020701</v>
      </c>
      <c r="B5461">
        <v>75.894656905855399</v>
      </c>
      <c r="C5461">
        <v>2001</v>
      </c>
    </row>
    <row r="5462" spans="1:11" x14ac:dyDescent="0.25">
      <c r="A5462">
        <v>20.209457751512598</v>
      </c>
      <c r="B5462">
        <v>76.5680277313472</v>
      </c>
      <c r="C5462">
        <v>2001</v>
      </c>
    </row>
    <row r="5463" spans="1:11" x14ac:dyDescent="0.25">
      <c r="A5463">
        <v>20.209457751512598</v>
      </c>
      <c r="B5463">
        <v>76.5680277313472</v>
      </c>
      <c r="C5463">
        <v>2000</v>
      </c>
    </row>
    <row r="5464" spans="1:11" x14ac:dyDescent="0.25">
      <c r="A5464" t="s">
        <v>87</v>
      </c>
    </row>
    <row r="5465" spans="1:11" x14ac:dyDescent="0.25">
      <c r="A5465">
        <v>242</v>
      </c>
      <c r="B5465">
        <v>0</v>
      </c>
      <c r="C5465">
        <v>0.95229015391693395</v>
      </c>
      <c r="D5465">
        <v>0.95229015391693395</v>
      </c>
      <c r="E5465">
        <v>6</v>
      </c>
      <c r="F5465">
        <v>1.5707963267949001</v>
      </c>
      <c r="G5465" t="s">
        <v>89</v>
      </c>
      <c r="H5465" t="s">
        <v>89</v>
      </c>
      <c r="I5465">
        <v>0</v>
      </c>
      <c r="J5465">
        <v>0</v>
      </c>
      <c r="K5465">
        <v>0</v>
      </c>
    </row>
    <row r="5466" spans="1:11" x14ac:dyDescent="0.25">
      <c r="A5466" t="s">
        <v>86</v>
      </c>
    </row>
    <row r="5467" spans="1:11" x14ac:dyDescent="0.25">
      <c r="A5467">
        <v>60.577874984861303</v>
      </c>
      <c r="B5467">
        <v>44.0203194944283</v>
      </c>
      <c r="C5467">
        <v>2000</v>
      </c>
    </row>
    <row r="5468" spans="1:11" x14ac:dyDescent="0.25">
      <c r="A5468">
        <v>59.904504159369502</v>
      </c>
      <c r="B5468">
        <v>43.346948668936399</v>
      </c>
      <c r="C5468">
        <v>2000</v>
      </c>
    </row>
    <row r="5469" spans="1:11" x14ac:dyDescent="0.25">
      <c r="A5469">
        <v>59.904504159369502</v>
      </c>
      <c r="B5469">
        <v>43.346948668936399</v>
      </c>
      <c r="C5469">
        <v>2001</v>
      </c>
    </row>
    <row r="5470" spans="1:11" x14ac:dyDescent="0.25">
      <c r="A5470">
        <v>60.577874984861303</v>
      </c>
      <c r="B5470">
        <v>44.0203194944283</v>
      </c>
      <c r="C5470">
        <v>2001</v>
      </c>
    </row>
    <row r="5471" spans="1:11" x14ac:dyDescent="0.25">
      <c r="A5471">
        <v>61.251245810353097</v>
      </c>
      <c r="B5471">
        <v>44.693690319920101</v>
      </c>
      <c r="C5471">
        <v>2001</v>
      </c>
    </row>
    <row r="5472" spans="1:11" x14ac:dyDescent="0.25">
      <c r="A5472">
        <v>61.251245810353097</v>
      </c>
      <c r="B5472">
        <v>44.693690319920101</v>
      </c>
      <c r="C5472">
        <v>2000</v>
      </c>
    </row>
    <row r="5473" spans="1:11" x14ac:dyDescent="0.25">
      <c r="A5473" t="s">
        <v>87</v>
      </c>
    </row>
    <row r="5474" spans="1:11" x14ac:dyDescent="0.25">
      <c r="A5474">
        <v>497</v>
      </c>
      <c r="B5474">
        <v>0</v>
      </c>
      <c r="C5474">
        <v>0.95229015391693395</v>
      </c>
      <c r="D5474">
        <v>0.95229015391693395</v>
      </c>
      <c r="E5474">
        <v>6</v>
      </c>
      <c r="F5474">
        <v>1.5707963267949001</v>
      </c>
      <c r="G5474" t="s">
        <v>89</v>
      </c>
      <c r="H5474" t="s">
        <v>89</v>
      </c>
      <c r="I5474">
        <v>0</v>
      </c>
      <c r="J5474">
        <v>0</v>
      </c>
      <c r="K5474">
        <v>0</v>
      </c>
    </row>
    <row r="5475" spans="1:11" x14ac:dyDescent="0.25">
      <c r="A5475" t="s">
        <v>86</v>
      </c>
    </row>
    <row r="5476" spans="1:11" x14ac:dyDescent="0.25">
      <c r="A5476">
        <v>12.781419285005599</v>
      </c>
      <c r="B5476">
        <v>88.770765968957306</v>
      </c>
      <c r="C5476">
        <v>2000</v>
      </c>
    </row>
    <row r="5477" spans="1:11" x14ac:dyDescent="0.25">
      <c r="A5477">
        <v>12.1080484595138</v>
      </c>
      <c r="B5477">
        <v>88.097395143465505</v>
      </c>
      <c r="C5477">
        <v>2000</v>
      </c>
    </row>
    <row r="5478" spans="1:11" x14ac:dyDescent="0.25">
      <c r="A5478">
        <v>12.1080484595138</v>
      </c>
      <c r="B5478">
        <v>88.097395143465505</v>
      </c>
      <c r="C5478">
        <v>2001</v>
      </c>
    </row>
    <row r="5479" spans="1:11" x14ac:dyDescent="0.25">
      <c r="A5479">
        <v>12.781419285005599</v>
      </c>
      <c r="B5479">
        <v>88.770765968957306</v>
      </c>
      <c r="C5479">
        <v>2001</v>
      </c>
    </row>
    <row r="5480" spans="1:11" x14ac:dyDescent="0.25">
      <c r="A5480">
        <v>13.4547901104975</v>
      </c>
      <c r="B5480">
        <v>89.444136794449193</v>
      </c>
      <c r="C5480">
        <v>2001</v>
      </c>
    </row>
    <row r="5481" spans="1:11" x14ac:dyDescent="0.25">
      <c r="A5481">
        <v>13.4547901104975</v>
      </c>
      <c r="B5481">
        <v>89.444136794449193</v>
      </c>
      <c r="C5481">
        <v>2000</v>
      </c>
    </row>
    <row r="5482" spans="1:11" x14ac:dyDescent="0.25">
      <c r="A5482" t="s">
        <v>87</v>
      </c>
    </row>
    <row r="5483" spans="1:11" x14ac:dyDescent="0.25">
      <c r="A5483">
        <v>495</v>
      </c>
      <c r="B5483">
        <v>0</v>
      </c>
      <c r="C5483">
        <v>0.95229015391693395</v>
      </c>
      <c r="D5483">
        <v>0.95229015391693395</v>
      </c>
      <c r="E5483">
        <v>6</v>
      </c>
      <c r="F5483">
        <v>1.5707963267949001</v>
      </c>
      <c r="G5483" t="s">
        <v>89</v>
      </c>
      <c r="H5483" t="s">
        <v>89</v>
      </c>
      <c r="I5483">
        <v>0</v>
      </c>
      <c r="J5483">
        <v>0</v>
      </c>
      <c r="K5483">
        <v>0</v>
      </c>
    </row>
    <row r="5484" spans="1:11" x14ac:dyDescent="0.25">
      <c r="A5484" t="s">
        <v>86</v>
      </c>
    </row>
    <row r="5485" spans="1:11" x14ac:dyDescent="0.25">
      <c r="A5485">
        <v>11.228086199251999</v>
      </c>
      <c r="B5485">
        <v>91.2821657216559</v>
      </c>
      <c r="C5485">
        <v>2000</v>
      </c>
    </row>
    <row r="5486" spans="1:11" x14ac:dyDescent="0.25">
      <c r="A5486">
        <v>10.5547153737601</v>
      </c>
      <c r="B5486">
        <v>90.608794896164099</v>
      </c>
      <c r="C5486">
        <v>2000</v>
      </c>
    </row>
    <row r="5487" spans="1:11" x14ac:dyDescent="0.25">
      <c r="A5487">
        <v>10.5547153737601</v>
      </c>
      <c r="B5487">
        <v>90.608794896164099</v>
      </c>
      <c r="C5487">
        <v>2001</v>
      </c>
    </row>
    <row r="5488" spans="1:11" x14ac:dyDescent="0.25">
      <c r="A5488">
        <v>11.228086199251999</v>
      </c>
      <c r="B5488">
        <v>91.2821657216559</v>
      </c>
      <c r="C5488">
        <v>2001</v>
      </c>
    </row>
    <row r="5489" spans="1:11" x14ac:dyDescent="0.25">
      <c r="A5489">
        <v>11.901457024743801</v>
      </c>
      <c r="B5489">
        <v>91.955536547147702</v>
      </c>
      <c r="C5489">
        <v>2001</v>
      </c>
    </row>
    <row r="5490" spans="1:11" x14ac:dyDescent="0.25">
      <c r="A5490">
        <v>11.901457024743801</v>
      </c>
      <c r="B5490">
        <v>91.955536547147702</v>
      </c>
      <c r="C5490">
        <v>2000</v>
      </c>
    </row>
    <row r="5491" spans="1:11" x14ac:dyDescent="0.25">
      <c r="A5491" t="s">
        <v>87</v>
      </c>
    </row>
    <row r="5492" spans="1:11" x14ac:dyDescent="0.25">
      <c r="A5492">
        <v>420</v>
      </c>
      <c r="B5492">
        <v>0</v>
      </c>
      <c r="C5492">
        <v>0.95229015391693395</v>
      </c>
      <c r="D5492">
        <v>0.95229015391693395</v>
      </c>
      <c r="E5492">
        <v>6</v>
      </c>
      <c r="F5492">
        <v>1.5707963267949001</v>
      </c>
      <c r="G5492" t="s">
        <v>89</v>
      </c>
      <c r="H5492" t="s">
        <v>89</v>
      </c>
      <c r="I5492">
        <v>0</v>
      </c>
      <c r="J5492">
        <v>0</v>
      </c>
      <c r="K5492">
        <v>0</v>
      </c>
    </row>
    <row r="5493" spans="1:11" x14ac:dyDescent="0.25">
      <c r="A5493" t="s">
        <v>86</v>
      </c>
    </row>
    <row r="5494" spans="1:11" x14ac:dyDescent="0.25">
      <c r="A5494">
        <v>126.03836782557801</v>
      </c>
      <c r="B5494">
        <v>32.155856714656501</v>
      </c>
      <c r="C5494">
        <v>2000</v>
      </c>
    </row>
    <row r="5495" spans="1:11" x14ac:dyDescent="0.25">
      <c r="A5495">
        <v>125.36499700008601</v>
      </c>
      <c r="B5495">
        <v>31.4824858891647</v>
      </c>
      <c r="C5495">
        <v>2000</v>
      </c>
    </row>
    <row r="5496" spans="1:11" x14ac:dyDescent="0.25">
      <c r="A5496">
        <v>125.36499700008601</v>
      </c>
      <c r="B5496">
        <v>31.4824858891647</v>
      </c>
      <c r="C5496">
        <v>2001</v>
      </c>
    </row>
    <row r="5497" spans="1:11" x14ac:dyDescent="0.25">
      <c r="A5497">
        <v>126.03836782557801</v>
      </c>
      <c r="B5497">
        <v>32.155856714656501</v>
      </c>
      <c r="C5497">
        <v>2001</v>
      </c>
    </row>
    <row r="5498" spans="1:11" x14ac:dyDescent="0.25">
      <c r="A5498">
        <v>126.71173865106999</v>
      </c>
      <c r="B5498">
        <v>32.829227540148402</v>
      </c>
      <c r="C5498">
        <v>2001</v>
      </c>
    </row>
    <row r="5499" spans="1:11" x14ac:dyDescent="0.25">
      <c r="A5499">
        <v>126.71173865106999</v>
      </c>
      <c r="B5499">
        <v>32.829227540148402</v>
      </c>
      <c r="C5499">
        <v>2000</v>
      </c>
    </row>
    <row r="5500" spans="1:11" x14ac:dyDescent="0.25">
      <c r="A5500" t="s">
        <v>87</v>
      </c>
    </row>
    <row r="5501" spans="1:11" x14ac:dyDescent="0.25">
      <c r="A5501">
        <v>18</v>
      </c>
      <c r="B5501">
        <v>0</v>
      </c>
      <c r="C5501">
        <v>0.95229015391691996</v>
      </c>
      <c r="D5501">
        <v>0.95229015391691996</v>
      </c>
      <c r="E5501">
        <v>6</v>
      </c>
      <c r="F5501">
        <v>1.5707963267949001</v>
      </c>
      <c r="G5501" t="s">
        <v>89</v>
      </c>
      <c r="H5501" t="s">
        <v>89</v>
      </c>
      <c r="I5501">
        <v>0</v>
      </c>
      <c r="J5501">
        <v>0</v>
      </c>
      <c r="K5501">
        <v>0</v>
      </c>
    </row>
    <row r="5502" spans="1:11" x14ac:dyDescent="0.25">
      <c r="A5502" t="s">
        <v>86</v>
      </c>
    </row>
    <row r="5503" spans="1:11" x14ac:dyDescent="0.25">
      <c r="A5503">
        <v>36.972866480691799</v>
      </c>
      <c r="B5503">
        <v>5.0592054170832101</v>
      </c>
      <c r="C5503">
        <v>2000</v>
      </c>
    </row>
    <row r="5504" spans="1:11" x14ac:dyDescent="0.25">
      <c r="A5504">
        <v>36.299495655199898</v>
      </c>
      <c r="B5504">
        <v>4.3858345915913697</v>
      </c>
      <c r="C5504">
        <v>2000</v>
      </c>
    </row>
    <row r="5505" spans="1:11" x14ac:dyDescent="0.25">
      <c r="A5505">
        <v>36.299495655199898</v>
      </c>
      <c r="B5505">
        <v>4.3858345915913697</v>
      </c>
      <c r="C5505">
        <v>2001</v>
      </c>
    </row>
    <row r="5506" spans="1:11" x14ac:dyDescent="0.25">
      <c r="A5506">
        <v>36.972866480691799</v>
      </c>
      <c r="B5506">
        <v>5.0592054170832101</v>
      </c>
      <c r="C5506">
        <v>2001</v>
      </c>
    </row>
    <row r="5507" spans="1:11" x14ac:dyDescent="0.25">
      <c r="A5507">
        <v>37.6462373061836</v>
      </c>
      <c r="B5507">
        <v>5.7325762425750399</v>
      </c>
      <c r="C5507">
        <v>2001</v>
      </c>
    </row>
    <row r="5508" spans="1:11" x14ac:dyDescent="0.25">
      <c r="A5508">
        <v>37.6462373061836</v>
      </c>
      <c r="B5508">
        <v>5.7325762425750399</v>
      </c>
      <c r="C5508">
        <v>2000</v>
      </c>
    </row>
    <row r="5509" spans="1:11" x14ac:dyDescent="0.25">
      <c r="A5509" t="s">
        <v>87</v>
      </c>
    </row>
    <row r="5510" spans="1:11" x14ac:dyDescent="0.25">
      <c r="A5510">
        <v>20</v>
      </c>
      <c r="B5510">
        <v>0</v>
      </c>
      <c r="C5510">
        <v>0.95229015391691996</v>
      </c>
      <c r="D5510">
        <v>0.95229015391691996</v>
      </c>
      <c r="E5510">
        <v>6</v>
      </c>
      <c r="F5510">
        <v>1.5707963267949001</v>
      </c>
      <c r="G5510" t="s">
        <v>89</v>
      </c>
      <c r="H5510" t="s">
        <v>89</v>
      </c>
      <c r="I5510">
        <v>0</v>
      </c>
      <c r="J5510">
        <v>0</v>
      </c>
      <c r="K5510">
        <v>0</v>
      </c>
    </row>
    <row r="5511" spans="1:11" x14ac:dyDescent="0.25">
      <c r="A5511" t="s">
        <v>86</v>
      </c>
    </row>
    <row r="5512" spans="1:11" x14ac:dyDescent="0.25">
      <c r="A5512">
        <v>5.8054900988030704</v>
      </c>
      <c r="B5512">
        <v>35.091564448127301</v>
      </c>
      <c r="C5512">
        <v>2000</v>
      </c>
    </row>
    <row r="5513" spans="1:11" x14ac:dyDescent="0.25">
      <c r="A5513">
        <v>5.13211927331123</v>
      </c>
      <c r="B5513">
        <v>34.418193622635499</v>
      </c>
      <c r="C5513">
        <v>2000</v>
      </c>
    </row>
    <row r="5514" spans="1:11" x14ac:dyDescent="0.25">
      <c r="A5514">
        <v>5.13211927331123</v>
      </c>
      <c r="B5514">
        <v>34.418193622635499</v>
      </c>
      <c r="C5514">
        <v>2001</v>
      </c>
    </row>
    <row r="5515" spans="1:11" x14ac:dyDescent="0.25">
      <c r="A5515">
        <v>5.8054900988030704</v>
      </c>
      <c r="B5515">
        <v>35.091564448127301</v>
      </c>
      <c r="C5515">
        <v>2001</v>
      </c>
    </row>
    <row r="5516" spans="1:11" x14ac:dyDescent="0.25">
      <c r="A5516">
        <v>6.4788609242949002</v>
      </c>
      <c r="B5516">
        <v>35.764935273619201</v>
      </c>
      <c r="C5516">
        <v>2001</v>
      </c>
    </row>
    <row r="5517" spans="1:11" x14ac:dyDescent="0.25">
      <c r="A5517">
        <v>6.4788609242949002</v>
      </c>
      <c r="B5517">
        <v>35.764935273619201</v>
      </c>
      <c r="C5517">
        <v>2000</v>
      </c>
    </row>
    <row r="5518" spans="1:11" x14ac:dyDescent="0.25">
      <c r="A5518" t="s">
        <v>87</v>
      </c>
    </row>
    <row r="5519" spans="1:11" x14ac:dyDescent="0.25">
      <c r="A5519">
        <v>10</v>
      </c>
      <c r="B5519">
        <v>0</v>
      </c>
      <c r="C5519">
        <v>0.95229015391691996</v>
      </c>
      <c r="D5519">
        <v>0.95229015391691996</v>
      </c>
      <c r="E5519">
        <v>6</v>
      </c>
      <c r="F5519">
        <v>1.5707963267949001</v>
      </c>
      <c r="G5519" t="s">
        <v>89</v>
      </c>
      <c r="H5519" t="s">
        <v>89</v>
      </c>
      <c r="I5519">
        <v>0</v>
      </c>
      <c r="J5519">
        <v>0</v>
      </c>
      <c r="K5519">
        <v>0</v>
      </c>
    </row>
    <row r="5520" spans="1:11" x14ac:dyDescent="0.25">
      <c r="A5520" t="s">
        <v>86</v>
      </c>
    </row>
    <row r="5521" spans="1:11" x14ac:dyDescent="0.25">
      <c r="A5521">
        <v>5.8168014305722</v>
      </c>
      <c r="B5521">
        <v>23.9614909393534</v>
      </c>
      <c r="C5521">
        <v>2000</v>
      </c>
    </row>
    <row r="5522" spans="1:11" x14ac:dyDescent="0.25">
      <c r="A5522">
        <v>5.1434306050803604</v>
      </c>
      <c r="B5522">
        <v>23.288120113861499</v>
      </c>
      <c r="C5522">
        <v>2000</v>
      </c>
    </row>
    <row r="5523" spans="1:11" x14ac:dyDescent="0.25">
      <c r="A5523">
        <v>5.1434306050803604</v>
      </c>
      <c r="B5523">
        <v>23.288120113861499</v>
      </c>
      <c r="C5523">
        <v>2001</v>
      </c>
    </row>
    <row r="5524" spans="1:11" x14ac:dyDescent="0.25">
      <c r="A5524">
        <v>5.8168014305722</v>
      </c>
      <c r="B5524">
        <v>23.9614909393534</v>
      </c>
      <c r="C5524">
        <v>2001</v>
      </c>
    </row>
    <row r="5525" spans="1:11" x14ac:dyDescent="0.25">
      <c r="A5525">
        <v>6.4901722560640298</v>
      </c>
      <c r="B5525">
        <v>24.634861764845201</v>
      </c>
      <c r="C5525">
        <v>2001</v>
      </c>
    </row>
    <row r="5526" spans="1:11" x14ac:dyDescent="0.25">
      <c r="A5526">
        <v>6.4901722560640298</v>
      </c>
      <c r="B5526">
        <v>24.634861764845201</v>
      </c>
      <c r="C5526">
        <v>2000</v>
      </c>
    </row>
    <row r="5527" spans="1:11" x14ac:dyDescent="0.25">
      <c r="A5527" t="s">
        <v>87</v>
      </c>
    </row>
    <row r="5528" spans="1:11" x14ac:dyDescent="0.25">
      <c r="A5528">
        <v>6</v>
      </c>
      <c r="B5528">
        <v>0</v>
      </c>
      <c r="C5528">
        <v>0.95229015391691996</v>
      </c>
      <c r="D5528">
        <v>0.95229015391691996</v>
      </c>
      <c r="E5528">
        <v>6</v>
      </c>
      <c r="F5528">
        <v>1.5707963267949001</v>
      </c>
      <c r="G5528" t="s">
        <v>89</v>
      </c>
      <c r="H5528" t="s">
        <v>89</v>
      </c>
      <c r="I5528">
        <v>0</v>
      </c>
      <c r="J5528">
        <v>0</v>
      </c>
      <c r="K5528">
        <v>0</v>
      </c>
    </row>
    <row r="5529" spans="1:11" x14ac:dyDescent="0.25">
      <c r="A5529" t="s">
        <v>86</v>
      </c>
    </row>
    <row r="5530" spans="1:11" x14ac:dyDescent="0.25">
      <c r="A5530">
        <v>28.057671770480301</v>
      </c>
      <c r="B5530">
        <v>48.5531938255547</v>
      </c>
      <c r="C5530">
        <v>2000</v>
      </c>
    </row>
    <row r="5531" spans="1:11" x14ac:dyDescent="0.25">
      <c r="A5531">
        <v>27.3843009449885</v>
      </c>
      <c r="B5531">
        <v>47.8798230000628</v>
      </c>
      <c r="C5531">
        <v>2000</v>
      </c>
    </row>
    <row r="5532" spans="1:11" x14ac:dyDescent="0.25">
      <c r="A5532">
        <v>27.3843009449885</v>
      </c>
      <c r="B5532">
        <v>47.8798230000628</v>
      </c>
      <c r="C5532">
        <v>2001</v>
      </c>
    </row>
    <row r="5533" spans="1:11" x14ac:dyDescent="0.25">
      <c r="A5533">
        <v>28.057671770480301</v>
      </c>
      <c r="B5533">
        <v>48.5531938255547</v>
      </c>
      <c r="C5533">
        <v>2001</v>
      </c>
    </row>
    <row r="5534" spans="1:11" x14ac:dyDescent="0.25">
      <c r="A5534">
        <v>28.731042595972099</v>
      </c>
      <c r="B5534">
        <v>49.226564651046502</v>
      </c>
      <c r="C5534">
        <v>2001</v>
      </c>
    </row>
    <row r="5535" spans="1:11" x14ac:dyDescent="0.25">
      <c r="A5535">
        <v>28.731042595972099</v>
      </c>
      <c r="B5535">
        <v>49.226564651046502</v>
      </c>
      <c r="C5535">
        <v>2000</v>
      </c>
    </row>
    <row r="5536" spans="1:11" x14ac:dyDescent="0.25">
      <c r="A5536" t="s">
        <v>87</v>
      </c>
    </row>
    <row r="5537" spans="1:11" x14ac:dyDescent="0.25">
      <c r="A5537">
        <v>256</v>
      </c>
      <c r="B5537">
        <v>0</v>
      </c>
      <c r="C5537">
        <v>0.95229015391691996</v>
      </c>
      <c r="D5537">
        <v>0.95229015391691996</v>
      </c>
      <c r="E5537">
        <v>6</v>
      </c>
      <c r="F5537">
        <v>1.5707963267949001</v>
      </c>
      <c r="G5537" t="s">
        <v>89</v>
      </c>
      <c r="H5537" t="s">
        <v>89</v>
      </c>
      <c r="I5537">
        <v>0</v>
      </c>
      <c r="J5537">
        <v>0</v>
      </c>
      <c r="K5537">
        <v>0</v>
      </c>
    </row>
    <row r="5538" spans="1:11" x14ac:dyDescent="0.25">
      <c r="A5538" t="s">
        <v>86</v>
      </c>
    </row>
    <row r="5539" spans="1:11" x14ac:dyDescent="0.25">
      <c r="A5539">
        <v>53.332587705614301</v>
      </c>
      <c r="B5539">
        <v>31.025229432166199</v>
      </c>
      <c r="C5539">
        <v>2000</v>
      </c>
    </row>
    <row r="5540" spans="1:11" x14ac:dyDescent="0.25">
      <c r="A5540">
        <v>52.6592168801225</v>
      </c>
      <c r="B5540">
        <v>30.351858606674401</v>
      </c>
      <c r="C5540">
        <v>2000</v>
      </c>
    </row>
    <row r="5541" spans="1:11" x14ac:dyDescent="0.25">
      <c r="A5541">
        <v>52.6592168801225</v>
      </c>
      <c r="B5541">
        <v>30.351858606674401</v>
      </c>
      <c r="C5541">
        <v>2001</v>
      </c>
    </row>
    <row r="5542" spans="1:11" x14ac:dyDescent="0.25">
      <c r="A5542">
        <v>53.332587705614301</v>
      </c>
      <c r="B5542">
        <v>31.025229432166199</v>
      </c>
      <c r="C5542">
        <v>2001</v>
      </c>
    </row>
    <row r="5543" spans="1:11" x14ac:dyDescent="0.25">
      <c r="A5543">
        <v>54.005958531106202</v>
      </c>
      <c r="B5543">
        <v>31.698600257658001</v>
      </c>
      <c r="C5543">
        <v>2001</v>
      </c>
    </row>
    <row r="5544" spans="1:11" x14ac:dyDescent="0.25">
      <c r="A5544">
        <v>54.005958531106202</v>
      </c>
      <c r="B5544">
        <v>31.698600257658001</v>
      </c>
      <c r="C5544">
        <v>2000</v>
      </c>
    </row>
    <row r="5545" spans="1:11" x14ac:dyDescent="0.25">
      <c r="A5545" t="s">
        <v>87</v>
      </c>
    </row>
    <row r="5546" spans="1:11" x14ac:dyDescent="0.25">
      <c r="A5546">
        <v>2</v>
      </c>
      <c r="B5546">
        <v>0</v>
      </c>
      <c r="C5546">
        <v>0.95229015391691996</v>
      </c>
      <c r="D5546">
        <v>0.95229015391691996</v>
      </c>
      <c r="E5546">
        <v>6</v>
      </c>
      <c r="F5546">
        <v>1.5707963267949001</v>
      </c>
      <c r="G5546" t="s">
        <v>89</v>
      </c>
      <c r="H5546" t="s">
        <v>89</v>
      </c>
      <c r="I5546">
        <v>0</v>
      </c>
      <c r="J5546">
        <v>0</v>
      </c>
      <c r="K5546">
        <v>0</v>
      </c>
    </row>
    <row r="5547" spans="1:11" x14ac:dyDescent="0.25">
      <c r="A5547" t="s">
        <v>86</v>
      </c>
    </row>
    <row r="5548" spans="1:11" x14ac:dyDescent="0.25">
      <c r="A5548">
        <v>31.123602102102499</v>
      </c>
      <c r="B5548">
        <v>3.1875140281336001</v>
      </c>
      <c r="C5548">
        <v>2000</v>
      </c>
    </row>
    <row r="5549" spans="1:11" x14ac:dyDescent="0.25">
      <c r="A5549">
        <v>30.450231276610701</v>
      </c>
      <c r="B5549">
        <v>2.5141432026417601</v>
      </c>
      <c r="C5549">
        <v>2000</v>
      </c>
    </row>
    <row r="5550" spans="1:11" x14ac:dyDescent="0.25">
      <c r="A5550">
        <v>30.450231276610701</v>
      </c>
      <c r="B5550">
        <v>2.5141432026417601</v>
      </c>
      <c r="C5550">
        <v>2001</v>
      </c>
    </row>
    <row r="5551" spans="1:11" x14ac:dyDescent="0.25">
      <c r="A5551">
        <v>31.123602102102499</v>
      </c>
      <c r="B5551">
        <v>3.1875140281336001</v>
      </c>
      <c r="C5551">
        <v>2001</v>
      </c>
    </row>
    <row r="5552" spans="1:11" x14ac:dyDescent="0.25">
      <c r="A5552">
        <v>31.7969729275944</v>
      </c>
      <c r="B5552">
        <v>3.8608848536254299</v>
      </c>
      <c r="C5552">
        <v>2001</v>
      </c>
    </row>
    <row r="5553" spans="1:11" x14ac:dyDescent="0.25">
      <c r="A5553">
        <v>31.7969729275944</v>
      </c>
      <c r="B5553">
        <v>3.8608848536254299</v>
      </c>
      <c r="C5553">
        <v>2000</v>
      </c>
    </row>
    <row r="5554" spans="1:11" x14ac:dyDescent="0.25">
      <c r="A5554" t="s">
        <v>87</v>
      </c>
    </row>
    <row r="5555" spans="1:11" x14ac:dyDescent="0.25">
      <c r="A5555">
        <v>250</v>
      </c>
      <c r="B5555">
        <v>0</v>
      </c>
      <c r="C5555">
        <v>0.95229015391691996</v>
      </c>
      <c r="D5555">
        <v>0.95229015391691996</v>
      </c>
      <c r="E5555">
        <v>6</v>
      </c>
      <c r="F5555">
        <v>1.5707963267949001</v>
      </c>
      <c r="G5555" t="s">
        <v>89</v>
      </c>
      <c r="H5555" t="s">
        <v>89</v>
      </c>
      <c r="I5555">
        <v>0</v>
      </c>
      <c r="J5555">
        <v>0</v>
      </c>
      <c r="K5555">
        <v>0</v>
      </c>
    </row>
    <row r="5556" spans="1:11" x14ac:dyDescent="0.25">
      <c r="A5556" t="s">
        <v>86</v>
      </c>
    </row>
    <row r="5557" spans="1:11" x14ac:dyDescent="0.25">
      <c r="A5557">
        <v>57.012787324847999</v>
      </c>
      <c r="B5557">
        <v>14.4043723654022</v>
      </c>
      <c r="C5557">
        <v>2000</v>
      </c>
    </row>
    <row r="5558" spans="1:11" x14ac:dyDescent="0.25">
      <c r="A5558">
        <v>56.339416499356197</v>
      </c>
      <c r="B5558">
        <v>13.7310015399104</v>
      </c>
      <c r="C5558">
        <v>2000</v>
      </c>
    </row>
    <row r="5559" spans="1:11" x14ac:dyDescent="0.25">
      <c r="A5559">
        <v>56.339416499356197</v>
      </c>
      <c r="B5559">
        <v>13.7310015399104</v>
      </c>
      <c r="C5559">
        <v>2001</v>
      </c>
    </row>
    <row r="5560" spans="1:11" x14ac:dyDescent="0.25">
      <c r="A5560">
        <v>57.012787324847999</v>
      </c>
      <c r="B5560">
        <v>14.4043723654022</v>
      </c>
      <c r="C5560">
        <v>2001</v>
      </c>
    </row>
    <row r="5561" spans="1:11" x14ac:dyDescent="0.25">
      <c r="A5561">
        <v>57.686158150339899</v>
      </c>
      <c r="B5561">
        <v>15.0777431908941</v>
      </c>
      <c r="C5561">
        <v>2001</v>
      </c>
    </row>
    <row r="5562" spans="1:11" x14ac:dyDescent="0.25">
      <c r="A5562">
        <v>57.686158150339899</v>
      </c>
      <c r="B5562">
        <v>15.0777431908941</v>
      </c>
      <c r="C5562">
        <v>2000</v>
      </c>
    </row>
    <row r="5563" spans="1:11" x14ac:dyDescent="0.25">
      <c r="A5563" t="s">
        <v>87</v>
      </c>
    </row>
    <row r="5564" spans="1:11" x14ac:dyDescent="0.25">
      <c r="A5564">
        <v>490</v>
      </c>
      <c r="B5564">
        <v>0</v>
      </c>
      <c r="C5564">
        <v>0.95229015391691296</v>
      </c>
      <c r="D5564">
        <v>0.95229015391692695</v>
      </c>
      <c r="E5564">
        <v>6</v>
      </c>
      <c r="F5564">
        <v>1.5707963267949001</v>
      </c>
      <c r="G5564" t="s">
        <v>89</v>
      </c>
      <c r="H5564" t="s">
        <v>89</v>
      </c>
      <c r="I5564">
        <v>0</v>
      </c>
      <c r="J5564">
        <v>0</v>
      </c>
      <c r="K5564">
        <v>0</v>
      </c>
    </row>
    <row r="5565" spans="1:11" x14ac:dyDescent="0.25">
      <c r="A5565" t="s">
        <v>86</v>
      </c>
    </row>
    <row r="5566" spans="1:11" x14ac:dyDescent="0.25">
      <c r="A5566">
        <v>1.2548554694535501</v>
      </c>
      <c r="B5566">
        <v>88.524332846758995</v>
      </c>
      <c r="C5566">
        <v>2000</v>
      </c>
    </row>
    <row r="5567" spans="1:11" x14ac:dyDescent="0.25">
      <c r="A5567">
        <v>0.58148464396172295</v>
      </c>
      <c r="B5567">
        <v>87.850962021267193</v>
      </c>
      <c r="C5567">
        <v>2000</v>
      </c>
    </row>
    <row r="5568" spans="1:11" x14ac:dyDescent="0.25">
      <c r="A5568">
        <v>0.58148464396172295</v>
      </c>
      <c r="B5568">
        <v>87.850962021267193</v>
      </c>
      <c r="C5568">
        <v>2001</v>
      </c>
    </row>
    <row r="5569" spans="1:11" x14ac:dyDescent="0.25">
      <c r="A5569">
        <v>1.2548554694535501</v>
      </c>
      <c r="B5569">
        <v>88.524332846758995</v>
      </c>
      <c r="C5569">
        <v>2001</v>
      </c>
    </row>
    <row r="5570" spans="1:11" x14ac:dyDescent="0.25">
      <c r="A5570">
        <v>1.9282262949454001</v>
      </c>
      <c r="B5570">
        <v>89.197703672250896</v>
      </c>
      <c r="C5570">
        <v>2001</v>
      </c>
    </row>
    <row r="5571" spans="1:11" x14ac:dyDescent="0.25">
      <c r="A5571">
        <v>1.9282262949454001</v>
      </c>
      <c r="B5571">
        <v>89.197703672250896</v>
      </c>
      <c r="C5571">
        <v>2000</v>
      </c>
    </row>
    <row r="5572" spans="1:11" x14ac:dyDescent="0.25">
      <c r="A5572" t="s">
        <v>87</v>
      </c>
    </row>
    <row r="5573" spans="1:11" x14ac:dyDescent="0.25">
      <c r="A5573">
        <v>255</v>
      </c>
      <c r="B5573">
        <v>0</v>
      </c>
      <c r="C5573">
        <v>0.95229015391691296</v>
      </c>
      <c r="D5573">
        <v>0.95229015391691296</v>
      </c>
      <c r="E5573">
        <v>6</v>
      </c>
      <c r="F5573">
        <v>1.5707963267949001</v>
      </c>
      <c r="G5573" t="s">
        <v>89</v>
      </c>
      <c r="H5573" t="s">
        <v>89</v>
      </c>
      <c r="I5573">
        <v>0</v>
      </c>
      <c r="J5573">
        <v>0</v>
      </c>
      <c r="K5573">
        <v>0</v>
      </c>
    </row>
    <row r="5574" spans="1:11" x14ac:dyDescent="0.25">
      <c r="A5574" t="s">
        <v>86</v>
      </c>
    </row>
    <row r="5575" spans="1:11" x14ac:dyDescent="0.25">
      <c r="A5575">
        <v>80.3915816035083</v>
      </c>
      <c r="B5575">
        <v>2.8139566317265698</v>
      </c>
      <c r="C5575">
        <v>2000</v>
      </c>
    </row>
    <row r="5576" spans="1:11" x14ac:dyDescent="0.25">
      <c r="A5576">
        <v>79.718210778016399</v>
      </c>
      <c r="B5576">
        <v>2.14058580623474</v>
      </c>
      <c r="C5576">
        <v>2000</v>
      </c>
    </row>
    <row r="5577" spans="1:11" x14ac:dyDescent="0.25">
      <c r="A5577">
        <v>79.718210778016399</v>
      </c>
      <c r="B5577">
        <v>2.14058580623474</v>
      </c>
      <c r="C5577">
        <v>2001</v>
      </c>
    </row>
    <row r="5578" spans="1:11" x14ac:dyDescent="0.25">
      <c r="A5578">
        <v>80.3915816035083</v>
      </c>
      <c r="B5578">
        <v>2.8139566317265698</v>
      </c>
      <c r="C5578">
        <v>2001</v>
      </c>
    </row>
    <row r="5579" spans="1:11" x14ac:dyDescent="0.25">
      <c r="A5579">
        <v>81.064952429000101</v>
      </c>
      <c r="B5579">
        <v>3.4873274572184001</v>
      </c>
      <c r="C5579">
        <v>2001</v>
      </c>
    </row>
    <row r="5580" spans="1:11" x14ac:dyDescent="0.25">
      <c r="A5580">
        <v>81.064952429000101</v>
      </c>
      <c r="B5580">
        <v>3.4873274572184001</v>
      </c>
      <c r="C5580">
        <v>2000</v>
      </c>
    </row>
    <row r="5581" spans="1:11" x14ac:dyDescent="0.25">
      <c r="A5581" t="s">
        <v>87</v>
      </c>
    </row>
    <row r="5582" spans="1:11" x14ac:dyDescent="0.25">
      <c r="A5582">
        <v>650</v>
      </c>
      <c r="B5582">
        <v>0</v>
      </c>
      <c r="C5582">
        <v>0.95229015391689098</v>
      </c>
      <c r="D5582">
        <v>0.95229015391689098</v>
      </c>
      <c r="E5582">
        <v>6</v>
      </c>
      <c r="F5582">
        <v>1.5707963267949001</v>
      </c>
      <c r="G5582" t="s">
        <v>89</v>
      </c>
      <c r="H5582" t="s">
        <v>89</v>
      </c>
      <c r="I5582">
        <v>0</v>
      </c>
      <c r="J5582">
        <v>0</v>
      </c>
      <c r="K5582">
        <v>0</v>
      </c>
    </row>
    <row r="5583" spans="1:11" x14ac:dyDescent="0.25">
      <c r="A5583" t="s">
        <v>86</v>
      </c>
    </row>
    <row r="5584" spans="1:11" x14ac:dyDescent="0.25">
      <c r="A5584">
        <v>108.600336550083</v>
      </c>
      <c r="B5584">
        <v>125.26424970722999</v>
      </c>
      <c r="C5584">
        <v>2000</v>
      </c>
    </row>
    <row r="5585" spans="1:11" x14ac:dyDescent="0.25">
      <c r="A5585">
        <v>107.926965724591</v>
      </c>
      <c r="B5585">
        <v>124.59087888173801</v>
      </c>
      <c r="C5585">
        <v>2000</v>
      </c>
    </row>
    <row r="5586" spans="1:11" x14ac:dyDescent="0.25">
      <c r="A5586">
        <v>107.926965724591</v>
      </c>
      <c r="B5586">
        <v>124.59087888173801</v>
      </c>
      <c r="C5586">
        <v>2001</v>
      </c>
    </row>
    <row r="5587" spans="1:11" x14ac:dyDescent="0.25">
      <c r="A5587">
        <v>108.600336550083</v>
      </c>
      <c r="B5587">
        <v>125.26424970722999</v>
      </c>
      <c r="C5587">
        <v>2001</v>
      </c>
    </row>
    <row r="5588" spans="1:11" x14ac:dyDescent="0.25">
      <c r="A5588">
        <v>109.273707375575</v>
      </c>
      <c r="B5588">
        <v>125.937620532721</v>
      </c>
      <c r="C5588">
        <v>2001</v>
      </c>
    </row>
    <row r="5589" spans="1:11" x14ac:dyDescent="0.25">
      <c r="A5589">
        <v>109.273707375575</v>
      </c>
      <c r="B5589">
        <v>125.937620532721</v>
      </c>
      <c r="C5589">
        <v>2000</v>
      </c>
    </row>
    <row r="5590" spans="1:11" x14ac:dyDescent="0.25">
      <c r="A5590" t="s">
        <v>87</v>
      </c>
    </row>
    <row r="5591" spans="1:11" x14ac:dyDescent="0.25">
      <c r="A5591">
        <v>649</v>
      </c>
      <c r="B5591">
        <v>0</v>
      </c>
      <c r="C5591">
        <v>0.95229015391689098</v>
      </c>
      <c r="D5591">
        <v>0.95229015391689098</v>
      </c>
      <c r="E5591">
        <v>6</v>
      </c>
      <c r="F5591">
        <v>1.5707963267949001</v>
      </c>
      <c r="G5591" t="s">
        <v>89</v>
      </c>
      <c r="H5591" t="s">
        <v>89</v>
      </c>
      <c r="I5591">
        <v>0</v>
      </c>
      <c r="J5591">
        <v>0</v>
      </c>
      <c r="K5591">
        <v>0</v>
      </c>
    </row>
    <row r="5592" spans="1:11" x14ac:dyDescent="0.25">
      <c r="A5592" t="s">
        <v>86</v>
      </c>
    </row>
    <row r="5593" spans="1:11" x14ac:dyDescent="0.25">
      <c r="A5593">
        <v>127.15302925890001</v>
      </c>
      <c r="B5593">
        <v>113.88918881485699</v>
      </c>
      <c r="C5593">
        <v>2000</v>
      </c>
    </row>
    <row r="5594" spans="1:11" x14ac:dyDescent="0.25">
      <c r="A5594">
        <v>126.47965843340801</v>
      </c>
      <c r="B5594">
        <v>113.21581798936499</v>
      </c>
      <c r="C5594">
        <v>2000</v>
      </c>
    </row>
    <row r="5595" spans="1:11" x14ac:dyDescent="0.25">
      <c r="A5595">
        <v>126.47965843340801</v>
      </c>
      <c r="B5595">
        <v>113.21581798936499</v>
      </c>
      <c r="C5595">
        <v>2001</v>
      </c>
    </row>
    <row r="5596" spans="1:11" x14ac:dyDescent="0.25">
      <c r="A5596">
        <v>127.15302925890001</v>
      </c>
      <c r="B5596">
        <v>113.88918881485699</v>
      </c>
      <c r="C5596">
        <v>2001</v>
      </c>
    </row>
    <row r="5597" spans="1:11" x14ac:dyDescent="0.25">
      <c r="A5597">
        <v>127.82640008439201</v>
      </c>
      <c r="B5597">
        <v>114.562559640348</v>
      </c>
      <c r="C5597">
        <v>2001</v>
      </c>
    </row>
    <row r="5598" spans="1:11" x14ac:dyDescent="0.25">
      <c r="A5598">
        <v>127.82640008439201</v>
      </c>
      <c r="B5598">
        <v>114.562559640348</v>
      </c>
      <c r="C5598">
        <v>2000</v>
      </c>
    </row>
    <row r="5599" spans="1:11" x14ac:dyDescent="0.25">
      <c r="A5599" t="s">
        <v>87</v>
      </c>
    </row>
    <row r="5600" spans="1:11" x14ac:dyDescent="0.25">
      <c r="A5600">
        <v>648</v>
      </c>
      <c r="B5600">
        <v>0</v>
      </c>
      <c r="C5600">
        <v>0.95229015391689098</v>
      </c>
      <c r="D5600">
        <v>0.95229015391689098</v>
      </c>
      <c r="E5600">
        <v>6</v>
      </c>
      <c r="F5600">
        <v>1.5707963267949001</v>
      </c>
      <c r="G5600" t="s">
        <v>89</v>
      </c>
      <c r="H5600" t="s">
        <v>89</v>
      </c>
      <c r="I5600">
        <v>0</v>
      </c>
      <c r="J5600">
        <v>0</v>
      </c>
      <c r="K5600">
        <v>0</v>
      </c>
    </row>
    <row r="5601" spans="1:11" x14ac:dyDescent="0.25">
      <c r="A5601" t="s">
        <v>86</v>
      </c>
    </row>
    <row r="5602" spans="1:11" x14ac:dyDescent="0.25">
      <c r="A5602">
        <v>108.976238108695</v>
      </c>
      <c r="B5602">
        <v>105.289783284669</v>
      </c>
      <c r="C5602">
        <v>2000</v>
      </c>
    </row>
    <row r="5603" spans="1:11" x14ac:dyDescent="0.25">
      <c r="A5603">
        <v>108.302867283203</v>
      </c>
      <c r="B5603">
        <v>104.616412459177</v>
      </c>
      <c r="C5603">
        <v>2000</v>
      </c>
    </row>
    <row r="5604" spans="1:11" x14ac:dyDescent="0.25">
      <c r="A5604">
        <v>108.302867283203</v>
      </c>
      <c r="B5604">
        <v>104.616412459177</v>
      </c>
      <c r="C5604">
        <v>2001</v>
      </c>
    </row>
    <row r="5605" spans="1:11" x14ac:dyDescent="0.25">
      <c r="A5605">
        <v>108.976238108695</v>
      </c>
      <c r="B5605">
        <v>105.289783284669</v>
      </c>
      <c r="C5605">
        <v>2001</v>
      </c>
    </row>
    <row r="5606" spans="1:11" x14ac:dyDescent="0.25">
      <c r="A5606">
        <v>109.64960893418601</v>
      </c>
      <c r="B5606">
        <v>105.963154110161</v>
      </c>
      <c r="C5606">
        <v>2001</v>
      </c>
    </row>
    <row r="5607" spans="1:11" x14ac:dyDescent="0.25">
      <c r="A5607">
        <v>109.64960893418601</v>
      </c>
      <c r="B5607">
        <v>105.963154110161</v>
      </c>
      <c r="C5607">
        <v>2000</v>
      </c>
    </row>
    <row r="5608" spans="1:11" x14ac:dyDescent="0.25">
      <c r="A5608" t="s">
        <v>87</v>
      </c>
    </row>
    <row r="5609" spans="1:11" x14ac:dyDescent="0.25">
      <c r="A5609">
        <v>338</v>
      </c>
      <c r="B5609">
        <v>0</v>
      </c>
      <c r="C5609">
        <v>0.95229015391689098</v>
      </c>
      <c r="D5609">
        <v>0.95229015391689098</v>
      </c>
      <c r="E5609">
        <v>6</v>
      </c>
      <c r="F5609">
        <v>1.5707963267949001</v>
      </c>
      <c r="G5609" t="s">
        <v>89</v>
      </c>
      <c r="H5609" t="s">
        <v>89</v>
      </c>
      <c r="I5609">
        <v>0</v>
      </c>
      <c r="J5609">
        <v>0</v>
      </c>
      <c r="K5609">
        <v>0</v>
      </c>
    </row>
    <row r="5610" spans="1:11" x14ac:dyDescent="0.25">
      <c r="A5610" t="s">
        <v>86</v>
      </c>
    </row>
    <row r="5611" spans="1:11" x14ac:dyDescent="0.25">
      <c r="A5611">
        <v>79.513148837496104</v>
      </c>
      <c r="B5611">
        <v>121.694084709368</v>
      </c>
      <c r="C5611">
        <v>2000</v>
      </c>
    </row>
    <row r="5612" spans="1:11" x14ac:dyDescent="0.25">
      <c r="A5612">
        <v>78.839778012004302</v>
      </c>
      <c r="B5612">
        <v>121.020713883876</v>
      </c>
      <c r="C5612">
        <v>2000</v>
      </c>
    </row>
    <row r="5613" spans="1:11" x14ac:dyDescent="0.25">
      <c r="A5613">
        <v>78.839778012004302</v>
      </c>
      <c r="B5613">
        <v>121.020713883876</v>
      </c>
      <c r="C5613">
        <v>2001</v>
      </c>
    </row>
    <row r="5614" spans="1:11" x14ac:dyDescent="0.25">
      <c r="A5614">
        <v>79.513148837496104</v>
      </c>
      <c r="B5614">
        <v>121.694084709368</v>
      </c>
      <c r="C5614">
        <v>2001</v>
      </c>
    </row>
    <row r="5615" spans="1:11" x14ac:dyDescent="0.25">
      <c r="A5615">
        <v>80.186519662987905</v>
      </c>
      <c r="B5615">
        <v>122.36745553486</v>
      </c>
      <c r="C5615">
        <v>2001</v>
      </c>
    </row>
    <row r="5616" spans="1:11" x14ac:dyDescent="0.25">
      <c r="A5616">
        <v>80.186519662987905</v>
      </c>
      <c r="B5616">
        <v>122.36745553486</v>
      </c>
      <c r="C5616">
        <v>2000</v>
      </c>
    </row>
    <row r="5617" spans="1:11" x14ac:dyDescent="0.25">
      <c r="A5617" t="s">
        <v>87</v>
      </c>
    </row>
    <row r="5618" spans="1:11" x14ac:dyDescent="0.25">
      <c r="A5618">
        <v>176</v>
      </c>
      <c r="B5618">
        <v>0</v>
      </c>
      <c r="C5618">
        <v>0.95229015391689098</v>
      </c>
      <c r="D5618">
        <v>0.95229015391689098</v>
      </c>
      <c r="E5618">
        <v>6</v>
      </c>
      <c r="F5618">
        <v>1.5707963267949001</v>
      </c>
      <c r="G5618" t="s">
        <v>89</v>
      </c>
      <c r="H5618" t="s">
        <v>89</v>
      </c>
      <c r="I5618">
        <v>0</v>
      </c>
      <c r="J5618">
        <v>0</v>
      </c>
      <c r="K5618">
        <v>0</v>
      </c>
    </row>
    <row r="5619" spans="1:11" x14ac:dyDescent="0.25">
      <c r="A5619" t="s">
        <v>86</v>
      </c>
    </row>
    <row r="5620" spans="1:11" x14ac:dyDescent="0.25">
      <c r="A5620">
        <v>138.966706552993</v>
      </c>
      <c r="B5620">
        <v>64.548843826422896</v>
      </c>
      <c r="C5620">
        <v>2000</v>
      </c>
    </row>
    <row r="5621" spans="1:11" x14ac:dyDescent="0.25">
      <c r="A5621">
        <v>138.29333572750099</v>
      </c>
      <c r="B5621">
        <v>63.875473000931002</v>
      </c>
      <c r="C5621">
        <v>2000</v>
      </c>
    </row>
    <row r="5622" spans="1:11" x14ac:dyDescent="0.25">
      <c r="A5622">
        <v>138.29333572750099</v>
      </c>
      <c r="B5622">
        <v>63.875473000931002</v>
      </c>
      <c r="C5622">
        <v>2001</v>
      </c>
    </row>
    <row r="5623" spans="1:11" x14ac:dyDescent="0.25">
      <c r="A5623">
        <v>138.966706552993</v>
      </c>
      <c r="B5623">
        <v>64.548843826422896</v>
      </c>
      <c r="C5623">
        <v>2001</v>
      </c>
    </row>
    <row r="5624" spans="1:11" x14ac:dyDescent="0.25">
      <c r="A5624">
        <v>139.64007737848499</v>
      </c>
      <c r="B5624">
        <v>65.222214651914697</v>
      </c>
      <c r="C5624">
        <v>2001</v>
      </c>
    </row>
    <row r="5625" spans="1:11" x14ac:dyDescent="0.25">
      <c r="A5625">
        <v>139.64007737848499</v>
      </c>
      <c r="B5625">
        <v>65.222214651914697</v>
      </c>
      <c r="C5625">
        <v>2000</v>
      </c>
    </row>
    <row r="5626" spans="1:11" x14ac:dyDescent="0.25">
      <c r="A5626" t="s">
        <v>87</v>
      </c>
    </row>
    <row r="5627" spans="1:11" x14ac:dyDescent="0.25">
      <c r="A5627">
        <v>334</v>
      </c>
      <c r="B5627">
        <v>0</v>
      </c>
      <c r="C5627">
        <v>0.95229015391689098</v>
      </c>
      <c r="D5627">
        <v>0.95229015391689098</v>
      </c>
      <c r="E5627">
        <v>6</v>
      </c>
      <c r="F5627">
        <v>1.5707963267949001</v>
      </c>
      <c r="G5627" t="s">
        <v>89</v>
      </c>
      <c r="H5627" t="s">
        <v>89</v>
      </c>
      <c r="I5627">
        <v>0</v>
      </c>
      <c r="J5627">
        <v>0</v>
      </c>
      <c r="K5627">
        <v>0</v>
      </c>
    </row>
    <row r="5628" spans="1:11" x14ac:dyDescent="0.25">
      <c r="A5628" t="s">
        <v>86</v>
      </c>
    </row>
    <row r="5629" spans="1:11" x14ac:dyDescent="0.25">
      <c r="A5629">
        <v>96.745379547004305</v>
      </c>
      <c r="B5629">
        <v>136.48362075280599</v>
      </c>
      <c r="C5629">
        <v>2000</v>
      </c>
    </row>
    <row r="5630" spans="1:11" x14ac:dyDescent="0.25">
      <c r="A5630">
        <v>96.072008721512503</v>
      </c>
      <c r="B5630">
        <v>135.810249927314</v>
      </c>
      <c r="C5630">
        <v>2000</v>
      </c>
    </row>
    <row r="5631" spans="1:11" x14ac:dyDescent="0.25">
      <c r="A5631">
        <v>96.072008721512503</v>
      </c>
      <c r="B5631">
        <v>135.810249927314</v>
      </c>
      <c r="C5631">
        <v>2001</v>
      </c>
    </row>
    <row r="5632" spans="1:11" x14ac:dyDescent="0.25">
      <c r="A5632">
        <v>96.745379547004305</v>
      </c>
      <c r="B5632">
        <v>136.48362075280599</v>
      </c>
      <c r="C5632">
        <v>2001</v>
      </c>
    </row>
    <row r="5633" spans="1:11" x14ac:dyDescent="0.25">
      <c r="A5633">
        <v>97.418750372496106</v>
      </c>
      <c r="B5633">
        <v>137.15699157829701</v>
      </c>
      <c r="C5633">
        <v>2001</v>
      </c>
    </row>
    <row r="5634" spans="1:11" x14ac:dyDescent="0.25">
      <c r="A5634">
        <v>97.418750372496106</v>
      </c>
      <c r="B5634">
        <v>137.15699157829701</v>
      </c>
      <c r="C5634">
        <v>2000</v>
      </c>
    </row>
    <row r="5635" spans="1:11" x14ac:dyDescent="0.25">
      <c r="A5635" t="s">
        <v>87</v>
      </c>
    </row>
    <row r="5636" spans="1:11" x14ac:dyDescent="0.25">
      <c r="A5636">
        <v>173</v>
      </c>
      <c r="B5636">
        <v>0</v>
      </c>
      <c r="C5636">
        <v>0.95229015391689098</v>
      </c>
      <c r="D5636">
        <v>0.95229015391689098</v>
      </c>
      <c r="E5636">
        <v>6</v>
      </c>
      <c r="F5636">
        <v>1.5707963267949001</v>
      </c>
      <c r="G5636" t="s">
        <v>89</v>
      </c>
      <c r="H5636" t="s">
        <v>89</v>
      </c>
      <c r="I5636">
        <v>0</v>
      </c>
      <c r="J5636">
        <v>0</v>
      </c>
      <c r="K5636">
        <v>0</v>
      </c>
    </row>
    <row r="5637" spans="1:11" x14ac:dyDescent="0.25">
      <c r="A5637" t="s">
        <v>86</v>
      </c>
    </row>
    <row r="5638" spans="1:11" x14ac:dyDescent="0.25">
      <c r="A5638">
        <v>110.069967415216</v>
      </c>
      <c r="B5638">
        <v>88.979953755149594</v>
      </c>
      <c r="C5638">
        <v>2000</v>
      </c>
    </row>
    <row r="5639" spans="1:11" x14ac:dyDescent="0.25">
      <c r="A5639">
        <v>109.39659658972499</v>
      </c>
      <c r="B5639">
        <v>88.306582929657793</v>
      </c>
      <c r="C5639">
        <v>2000</v>
      </c>
    </row>
    <row r="5640" spans="1:11" x14ac:dyDescent="0.25">
      <c r="A5640">
        <v>109.39659658972499</v>
      </c>
      <c r="B5640">
        <v>88.306582929657793</v>
      </c>
      <c r="C5640">
        <v>2001</v>
      </c>
    </row>
    <row r="5641" spans="1:11" x14ac:dyDescent="0.25">
      <c r="A5641">
        <v>110.069967415216</v>
      </c>
      <c r="B5641">
        <v>88.979953755149594</v>
      </c>
      <c r="C5641">
        <v>2001</v>
      </c>
    </row>
    <row r="5642" spans="1:11" x14ac:dyDescent="0.25">
      <c r="A5642">
        <v>110.743338240708</v>
      </c>
      <c r="B5642">
        <v>89.653324580641396</v>
      </c>
      <c r="C5642">
        <v>2001</v>
      </c>
    </row>
    <row r="5643" spans="1:11" x14ac:dyDescent="0.25">
      <c r="A5643">
        <v>110.743338240708</v>
      </c>
      <c r="B5643">
        <v>89.653324580641396</v>
      </c>
      <c r="C5643">
        <v>2000</v>
      </c>
    </row>
    <row r="5644" spans="1:11" x14ac:dyDescent="0.25">
      <c r="A5644" t="s">
        <v>87</v>
      </c>
    </row>
    <row r="5645" spans="1:11" x14ac:dyDescent="0.25">
      <c r="A5645">
        <v>175</v>
      </c>
      <c r="B5645">
        <v>0</v>
      </c>
      <c r="C5645">
        <v>0.95229015391689098</v>
      </c>
      <c r="D5645">
        <v>0.95229015391689098</v>
      </c>
      <c r="E5645">
        <v>6</v>
      </c>
      <c r="F5645">
        <v>1.5707963267949001</v>
      </c>
      <c r="G5645" t="s">
        <v>89</v>
      </c>
      <c r="H5645" t="s">
        <v>89</v>
      </c>
      <c r="I5645">
        <v>0</v>
      </c>
      <c r="J5645">
        <v>0</v>
      </c>
      <c r="K5645">
        <v>0</v>
      </c>
    </row>
    <row r="5646" spans="1:11" x14ac:dyDescent="0.25">
      <c r="A5646" t="s">
        <v>86</v>
      </c>
    </row>
    <row r="5647" spans="1:11" x14ac:dyDescent="0.25">
      <c r="A5647">
        <v>120.81984322090599</v>
      </c>
      <c r="B5647">
        <v>79.698046450362597</v>
      </c>
      <c r="C5647">
        <v>2000</v>
      </c>
    </row>
    <row r="5648" spans="1:11" x14ac:dyDescent="0.25">
      <c r="A5648">
        <v>120.14647239541399</v>
      </c>
      <c r="B5648">
        <v>79.024675624870795</v>
      </c>
      <c r="C5648">
        <v>2000</v>
      </c>
    </row>
    <row r="5649" spans="1:11" x14ac:dyDescent="0.25">
      <c r="A5649">
        <v>120.14647239541399</v>
      </c>
      <c r="B5649">
        <v>79.024675624870795</v>
      </c>
      <c r="C5649">
        <v>2001</v>
      </c>
    </row>
    <row r="5650" spans="1:11" x14ac:dyDescent="0.25">
      <c r="A5650">
        <v>120.81984322090599</v>
      </c>
      <c r="B5650">
        <v>79.698046450362597</v>
      </c>
      <c r="C5650">
        <v>2001</v>
      </c>
    </row>
    <row r="5651" spans="1:11" x14ac:dyDescent="0.25">
      <c r="A5651">
        <v>121.49321404639799</v>
      </c>
      <c r="B5651">
        <v>80.371417275854398</v>
      </c>
      <c r="C5651">
        <v>2001</v>
      </c>
    </row>
    <row r="5652" spans="1:11" x14ac:dyDescent="0.25">
      <c r="A5652">
        <v>121.49321404639799</v>
      </c>
      <c r="B5652">
        <v>80.371417275854398</v>
      </c>
      <c r="C5652">
        <v>2000</v>
      </c>
    </row>
    <row r="5653" spans="1:11" x14ac:dyDescent="0.25">
      <c r="A5653" t="s">
        <v>87</v>
      </c>
    </row>
    <row r="5654" spans="1:11" x14ac:dyDescent="0.25">
      <c r="A5654">
        <v>330</v>
      </c>
      <c r="B5654">
        <v>0</v>
      </c>
      <c r="C5654">
        <v>0.95229015391689098</v>
      </c>
      <c r="D5654">
        <v>0.95229015391689098</v>
      </c>
      <c r="E5654">
        <v>6</v>
      </c>
      <c r="F5654">
        <v>1.5707963267949001</v>
      </c>
      <c r="G5654" t="s">
        <v>89</v>
      </c>
      <c r="H5654" t="s">
        <v>89</v>
      </c>
      <c r="I5654">
        <v>0</v>
      </c>
      <c r="J5654">
        <v>0</v>
      </c>
      <c r="K5654">
        <v>0</v>
      </c>
    </row>
    <row r="5655" spans="1:11" x14ac:dyDescent="0.25">
      <c r="A5655" t="s">
        <v>86</v>
      </c>
    </row>
    <row r="5656" spans="1:11" x14ac:dyDescent="0.25">
      <c r="A5656">
        <v>69.424275271326394</v>
      </c>
      <c r="B5656">
        <v>135.08168383738101</v>
      </c>
      <c r="C5656">
        <v>2000</v>
      </c>
    </row>
    <row r="5657" spans="1:11" x14ac:dyDescent="0.25">
      <c r="A5657">
        <v>68.750904445834607</v>
      </c>
      <c r="B5657">
        <v>134.40831301188899</v>
      </c>
      <c r="C5657">
        <v>2000</v>
      </c>
    </row>
    <row r="5658" spans="1:11" x14ac:dyDescent="0.25">
      <c r="A5658">
        <v>68.750904445834607</v>
      </c>
      <c r="B5658">
        <v>134.40831301188899</v>
      </c>
      <c r="C5658">
        <v>2001</v>
      </c>
    </row>
    <row r="5659" spans="1:11" x14ac:dyDescent="0.25">
      <c r="A5659">
        <v>69.424275271326394</v>
      </c>
      <c r="B5659">
        <v>135.08168383738101</v>
      </c>
      <c r="C5659">
        <v>2001</v>
      </c>
    </row>
    <row r="5660" spans="1:11" x14ac:dyDescent="0.25">
      <c r="A5660">
        <v>70.097646096818195</v>
      </c>
      <c r="B5660">
        <v>135.75505466287299</v>
      </c>
      <c r="C5660">
        <v>2001</v>
      </c>
    </row>
    <row r="5661" spans="1:11" x14ac:dyDescent="0.25">
      <c r="A5661">
        <v>70.097646096818195</v>
      </c>
      <c r="B5661">
        <v>135.75505466287299</v>
      </c>
      <c r="C5661">
        <v>2000</v>
      </c>
    </row>
    <row r="5662" spans="1:11" x14ac:dyDescent="0.25">
      <c r="A5662" t="s">
        <v>87</v>
      </c>
    </row>
    <row r="5663" spans="1:11" x14ac:dyDescent="0.25">
      <c r="A5663">
        <v>90</v>
      </c>
      <c r="B5663">
        <v>0</v>
      </c>
      <c r="C5663">
        <v>0.95229015391689098</v>
      </c>
      <c r="D5663">
        <v>0.95229015391689098</v>
      </c>
      <c r="E5663">
        <v>6</v>
      </c>
      <c r="F5663">
        <v>1.5707963267949001</v>
      </c>
      <c r="G5663" t="s">
        <v>89</v>
      </c>
      <c r="H5663" t="s">
        <v>89</v>
      </c>
      <c r="I5663">
        <v>0</v>
      </c>
      <c r="J5663">
        <v>0</v>
      </c>
      <c r="K5663">
        <v>0</v>
      </c>
    </row>
    <row r="5664" spans="1:11" x14ac:dyDescent="0.25">
      <c r="A5664" t="s">
        <v>86</v>
      </c>
    </row>
    <row r="5665" spans="1:11" x14ac:dyDescent="0.25">
      <c r="A5665">
        <v>99.077157489525703</v>
      </c>
      <c r="B5665">
        <v>86.791564750853695</v>
      </c>
      <c r="C5665">
        <v>2000</v>
      </c>
    </row>
    <row r="5666" spans="1:11" x14ac:dyDescent="0.25">
      <c r="A5666">
        <v>98.403786664033902</v>
      </c>
      <c r="B5666">
        <v>86.118193925361894</v>
      </c>
      <c r="C5666">
        <v>2000</v>
      </c>
    </row>
    <row r="5667" spans="1:11" x14ac:dyDescent="0.25">
      <c r="A5667">
        <v>98.403786664033902</v>
      </c>
      <c r="B5667">
        <v>86.118193925361894</v>
      </c>
      <c r="C5667">
        <v>2001</v>
      </c>
    </row>
    <row r="5668" spans="1:11" x14ac:dyDescent="0.25">
      <c r="A5668">
        <v>99.077157489525703</v>
      </c>
      <c r="B5668">
        <v>86.791564750853695</v>
      </c>
      <c r="C5668">
        <v>2001</v>
      </c>
    </row>
    <row r="5669" spans="1:11" x14ac:dyDescent="0.25">
      <c r="A5669">
        <v>99.750528315017505</v>
      </c>
      <c r="B5669">
        <v>87.464935576345596</v>
      </c>
      <c r="C5669">
        <v>2001</v>
      </c>
    </row>
    <row r="5670" spans="1:11" x14ac:dyDescent="0.25">
      <c r="A5670">
        <v>99.750528315017505</v>
      </c>
      <c r="B5670">
        <v>87.464935576345596</v>
      </c>
      <c r="C5670">
        <v>2000</v>
      </c>
    </row>
    <row r="5671" spans="1:11" x14ac:dyDescent="0.25">
      <c r="A5671" t="s">
        <v>87</v>
      </c>
    </row>
    <row r="5672" spans="1:11" x14ac:dyDescent="0.25">
      <c r="A5672">
        <v>167</v>
      </c>
      <c r="B5672">
        <v>0</v>
      </c>
      <c r="C5672">
        <v>0.95229015391689098</v>
      </c>
      <c r="D5672">
        <v>0.95229015391689098</v>
      </c>
      <c r="E5672">
        <v>6</v>
      </c>
      <c r="F5672">
        <v>1.5707963267949001</v>
      </c>
      <c r="G5672" t="s">
        <v>89</v>
      </c>
      <c r="H5672" t="s">
        <v>89</v>
      </c>
      <c r="I5672">
        <v>0</v>
      </c>
      <c r="J5672">
        <v>0</v>
      </c>
      <c r="K5672">
        <v>0</v>
      </c>
    </row>
    <row r="5673" spans="1:11" x14ac:dyDescent="0.25">
      <c r="A5673" t="s">
        <v>86</v>
      </c>
    </row>
    <row r="5674" spans="1:11" x14ac:dyDescent="0.25">
      <c r="A5674">
        <v>111.79818281056301</v>
      </c>
      <c r="B5674">
        <v>86.964263015875702</v>
      </c>
      <c r="C5674">
        <v>2000</v>
      </c>
    </row>
    <row r="5675" spans="1:11" x14ac:dyDescent="0.25">
      <c r="A5675">
        <v>111.12481198507101</v>
      </c>
      <c r="B5675">
        <v>86.2908921903839</v>
      </c>
      <c r="C5675">
        <v>2000</v>
      </c>
    </row>
    <row r="5676" spans="1:11" x14ac:dyDescent="0.25">
      <c r="A5676">
        <v>111.12481198507101</v>
      </c>
      <c r="B5676">
        <v>86.2908921903839</v>
      </c>
      <c r="C5676">
        <v>2001</v>
      </c>
    </row>
    <row r="5677" spans="1:11" x14ac:dyDescent="0.25">
      <c r="A5677">
        <v>111.79818281056301</v>
      </c>
      <c r="B5677">
        <v>86.964263015875702</v>
      </c>
      <c r="C5677">
        <v>2001</v>
      </c>
    </row>
    <row r="5678" spans="1:11" x14ac:dyDescent="0.25">
      <c r="A5678">
        <v>112.47155363605501</v>
      </c>
      <c r="B5678">
        <v>87.637633841367503</v>
      </c>
      <c r="C5678">
        <v>2001</v>
      </c>
    </row>
    <row r="5679" spans="1:11" x14ac:dyDescent="0.25">
      <c r="A5679">
        <v>112.47155363605501</v>
      </c>
      <c r="B5679">
        <v>87.637633841367503</v>
      </c>
      <c r="C5679">
        <v>2000</v>
      </c>
    </row>
    <row r="5680" spans="1:11" x14ac:dyDescent="0.25">
      <c r="A5680" t="s">
        <v>87</v>
      </c>
    </row>
    <row r="5681" spans="1:11" x14ac:dyDescent="0.25">
      <c r="A5681">
        <v>178</v>
      </c>
      <c r="B5681">
        <v>0</v>
      </c>
      <c r="C5681">
        <v>0.95229015391689098</v>
      </c>
      <c r="D5681">
        <v>0.95229015391689098</v>
      </c>
      <c r="E5681">
        <v>6</v>
      </c>
      <c r="F5681">
        <v>1.5707963267949001</v>
      </c>
      <c r="G5681" t="s">
        <v>89</v>
      </c>
      <c r="H5681" t="s">
        <v>89</v>
      </c>
      <c r="I5681">
        <v>0</v>
      </c>
      <c r="J5681">
        <v>0</v>
      </c>
      <c r="K5681">
        <v>0</v>
      </c>
    </row>
    <row r="5682" spans="1:11" x14ac:dyDescent="0.25">
      <c r="A5682" t="s">
        <v>86</v>
      </c>
    </row>
    <row r="5683" spans="1:11" x14ac:dyDescent="0.25">
      <c r="A5683">
        <v>127.540344012687</v>
      </c>
      <c r="B5683">
        <v>85.466065088038405</v>
      </c>
      <c r="C5683">
        <v>2000</v>
      </c>
    </row>
    <row r="5684" spans="1:11" x14ac:dyDescent="0.25">
      <c r="A5684">
        <v>126.866973187195</v>
      </c>
      <c r="B5684">
        <v>84.792694262546505</v>
      </c>
      <c r="C5684">
        <v>2000</v>
      </c>
    </row>
    <row r="5685" spans="1:11" x14ac:dyDescent="0.25">
      <c r="A5685">
        <v>126.866973187195</v>
      </c>
      <c r="B5685">
        <v>84.792694262546505</v>
      </c>
      <c r="C5685">
        <v>2001</v>
      </c>
    </row>
    <row r="5686" spans="1:11" x14ac:dyDescent="0.25">
      <c r="A5686">
        <v>127.540344012687</v>
      </c>
      <c r="B5686">
        <v>85.466065088038405</v>
      </c>
      <c r="C5686">
        <v>2001</v>
      </c>
    </row>
    <row r="5687" spans="1:11" x14ac:dyDescent="0.25">
      <c r="A5687">
        <v>128.21371483817899</v>
      </c>
      <c r="B5687">
        <v>86.139435913530207</v>
      </c>
      <c r="C5687">
        <v>2001</v>
      </c>
    </row>
    <row r="5688" spans="1:11" x14ac:dyDescent="0.25">
      <c r="A5688">
        <v>128.21371483817899</v>
      </c>
      <c r="B5688">
        <v>86.139435913530207</v>
      </c>
      <c r="C5688">
        <v>2000</v>
      </c>
    </row>
    <row r="5689" spans="1:11" x14ac:dyDescent="0.25">
      <c r="A5689" t="s">
        <v>87</v>
      </c>
    </row>
    <row r="5690" spans="1:11" x14ac:dyDescent="0.25">
      <c r="A5690">
        <v>324</v>
      </c>
      <c r="B5690">
        <v>0</v>
      </c>
      <c r="C5690">
        <v>0.95229015391689098</v>
      </c>
      <c r="D5690">
        <v>0.95229015391689098</v>
      </c>
      <c r="E5690">
        <v>6</v>
      </c>
      <c r="F5690">
        <v>1.5707963267949001</v>
      </c>
      <c r="G5690" t="s">
        <v>89</v>
      </c>
      <c r="H5690" t="s">
        <v>89</v>
      </c>
      <c r="I5690">
        <v>0</v>
      </c>
      <c r="J5690">
        <v>0</v>
      </c>
      <c r="K5690">
        <v>0</v>
      </c>
    </row>
    <row r="5691" spans="1:11" x14ac:dyDescent="0.25">
      <c r="A5691" t="s">
        <v>86</v>
      </c>
    </row>
    <row r="5692" spans="1:11" x14ac:dyDescent="0.25">
      <c r="A5692">
        <v>67.418996159648103</v>
      </c>
      <c r="B5692">
        <v>115.350515705231</v>
      </c>
      <c r="C5692">
        <v>2000</v>
      </c>
    </row>
    <row r="5693" spans="1:11" x14ac:dyDescent="0.25">
      <c r="A5693">
        <v>66.745625334156202</v>
      </c>
      <c r="B5693">
        <v>114.677144879739</v>
      </c>
      <c r="C5693">
        <v>2000</v>
      </c>
    </row>
    <row r="5694" spans="1:11" x14ac:dyDescent="0.25">
      <c r="A5694">
        <v>66.745625334156202</v>
      </c>
      <c r="B5694">
        <v>114.677144879739</v>
      </c>
      <c r="C5694">
        <v>2001</v>
      </c>
    </row>
    <row r="5695" spans="1:11" x14ac:dyDescent="0.25">
      <c r="A5695">
        <v>67.418996159648103</v>
      </c>
      <c r="B5695">
        <v>115.350515705231</v>
      </c>
      <c r="C5695">
        <v>2001</v>
      </c>
    </row>
    <row r="5696" spans="1:11" x14ac:dyDescent="0.25">
      <c r="A5696">
        <v>68.092366985139904</v>
      </c>
      <c r="B5696">
        <v>116.023886530723</v>
      </c>
      <c r="C5696">
        <v>2001</v>
      </c>
    </row>
    <row r="5697" spans="1:11" x14ac:dyDescent="0.25">
      <c r="A5697">
        <v>68.092366985139904</v>
      </c>
      <c r="B5697">
        <v>116.023886530723</v>
      </c>
      <c r="C5697">
        <v>2000</v>
      </c>
    </row>
    <row r="5698" spans="1:11" x14ac:dyDescent="0.25">
      <c r="A5698" t="s">
        <v>87</v>
      </c>
    </row>
    <row r="5699" spans="1:11" x14ac:dyDescent="0.25">
      <c r="A5699">
        <v>323</v>
      </c>
      <c r="B5699">
        <v>0</v>
      </c>
      <c r="C5699">
        <v>0.95229015391689098</v>
      </c>
      <c r="D5699">
        <v>0.95229015391689098</v>
      </c>
      <c r="E5699">
        <v>6</v>
      </c>
      <c r="F5699">
        <v>1.5707963267949001</v>
      </c>
      <c r="G5699" t="s">
        <v>89</v>
      </c>
      <c r="H5699" t="s">
        <v>89</v>
      </c>
      <c r="I5699">
        <v>0</v>
      </c>
      <c r="J5699">
        <v>0</v>
      </c>
      <c r="K5699">
        <v>0</v>
      </c>
    </row>
    <row r="5700" spans="1:11" x14ac:dyDescent="0.25">
      <c r="A5700" t="s">
        <v>86</v>
      </c>
    </row>
    <row r="5701" spans="1:11" x14ac:dyDescent="0.25">
      <c r="A5701">
        <v>68.723998320626094</v>
      </c>
      <c r="B5701">
        <v>147.974588674481</v>
      </c>
      <c r="C5701">
        <v>2000</v>
      </c>
    </row>
    <row r="5702" spans="1:11" x14ac:dyDescent="0.25">
      <c r="A5702">
        <v>68.050627495134293</v>
      </c>
      <c r="B5702">
        <v>147.30121784898901</v>
      </c>
      <c r="C5702">
        <v>2000</v>
      </c>
    </row>
    <row r="5703" spans="1:11" x14ac:dyDescent="0.25">
      <c r="A5703">
        <v>68.050627495134293</v>
      </c>
      <c r="B5703">
        <v>147.30121784898901</v>
      </c>
      <c r="C5703">
        <v>2001</v>
      </c>
    </row>
    <row r="5704" spans="1:11" x14ac:dyDescent="0.25">
      <c r="A5704">
        <v>68.723998320626094</v>
      </c>
      <c r="B5704">
        <v>147.974588674481</v>
      </c>
      <c r="C5704">
        <v>2001</v>
      </c>
    </row>
    <row r="5705" spans="1:11" x14ac:dyDescent="0.25">
      <c r="A5705">
        <v>69.397369146117896</v>
      </c>
      <c r="B5705">
        <v>148.64795949997301</v>
      </c>
      <c r="C5705">
        <v>2001</v>
      </c>
    </row>
    <row r="5706" spans="1:11" x14ac:dyDescent="0.25">
      <c r="A5706">
        <v>69.397369146117896</v>
      </c>
      <c r="B5706">
        <v>148.64795949997301</v>
      </c>
      <c r="C5706">
        <v>2000</v>
      </c>
    </row>
    <row r="5707" spans="1:11" x14ac:dyDescent="0.25">
      <c r="A5707" t="s">
        <v>87</v>
      </c>
    </row>
    <row r="5708" spans="1:11" x14ac:dyDescent="0.25">
      <c r="A5708">
        <v>336</v>
      </c>
      <c r="B5708">
        <v>0</v>
      </c>
      <c r="C5708">
        <v>0.95229015391689098</v>
      </c>
      <c r="D5708">
        <v>0.95229015391689098</v>
      </c>
      <c r="E5708">
        <v>6</v>
      </c>
      <c r="F5708">
        <v>1.5707963267949001</v>
      </c>
      <c r="G5708" t="s">
        <v>89</v>
      </c>
      <c r="H5708" t="s">
        <v>89</v>
      </c>
      <c r="I5708">
        <v>0</v>
      </c>
      <c r="J5708">
        <v>0</v>
      </c>
      <c r="K5708">
        <v>0</v>
      </c>
    </row>
    <row r="5709" spans="1:11" x14ac:dyDescent="0.25">
      <c r="A5709" t="s">
        <v>86</v>
      </c>
    </row>
    <row r="5710" spans="1:11" x14ac:dyDescent="0.25">
      <c r="A5710">
        <v>64.365911211057494</v>
      </c>
      <c r="B5710">
        <v>146.25198230904201</v>
      </c>
      <c r="C5710">
        <v>2000</v>
      </c>
    </row>
    <row r="5711" spans="1:11" x14ac:dyDescent="0.25">
      <c r="A5711">
        <v>63.6925403855657</v>
      </c>
      <c r="B5711">
        <v>145.57861148354999</v>
      </c>
      <c r="C5711">
        <v>2000</v>
      </c>
    </row>
    <row r="5712" spans="1:11" x14ac:dyDescent="0.25">
      <c r="A5712">
        <v>63.6925403855657</v>
      </c>
      <c r="B5712">
        <v>145.57861148354999</v>
      </c>
      <c r="C5712">
        <v>2001</v>
      </c>
    </row>
    <row r="5713" spans="1:11" x14ac:dyDescent="0.25">
      <c r="A5713">
        <v>64.365911211057494</v>
      </c>
      <c r="B5713">
        <v>146.25198230904201</v>
      </c>
      <c r="C5713">
        <v>2001</v>
      </c>
    </row>
    <row r="5714" spans="1:11" x14ac:dyDescent="0.25">
      <c r="A5714">
        <v>65.039282036549295</v>
      </c>
      <c r="B5714">
        <v>146.925353134533</v>
      </c>
      <c r="C5714">
        <v>2001</v>
      </c>
    </row>
    <row r="5715" spans="1:11" x14ac:dyDescent="0.25">
      <c r="A5715">
        <v>65.039282036549295</v>
      </c>
      <c r="B5715">
        <v>146.925353134533</v>
      </c>
      <c r="C5715">
        <v>2000</v>
      </c>
    </row>
    <row r="5716" spans="1:11" x14ac:dyDescent="0.25">
      <c r="A5716" t="s">
        <v>87</v>
      </c>
    </row>
    <row r="5717" spans="1:11" x14ac:dyDescent="0.25">
      <c r="A5717">
        <v>573</v>
      </c>
      <c r="B5717">
        <v>0</v>
      </c>
      <c r="C5717">
        <v>0.95229015391689098</v>
      </c>
      <c r="D5717">
        <v>0.95229015391689098</v>
      </c>
      <c r="E5717">
        <v>6</v>
      </c>
      <c r="F5717">
        <v>1.5707963267949001</v>
      </c>
      <c r="G5717" t="s">
        <v>89</v>
      </c>
      <c r="H5717" t="s">
        <v>89</v>
      </c>
      <c r="I5717">
        <v>0</v>
      </c>
      <c r="J5717">
        <v>0</v>
      </c>
      <c r="K5717">
        <v>0</v>
      </c>
    </row>
    <row r="5718" spans="1:11" x14ac:dyDescent="0.25">
      <c r="A5718" t="s">
        <v>86</v>
      </c>
    </row>
    <row r="5719" spans="1:11" x14ac:dyDescent="0.25">
      <c r="A5719">
        <v>37.973948515939497</v>
      </c>
      <c r="B5719">
        <v>144.78419197014699</v>
      </c>
      <c r="C5719">
        <v>2000</v>
      </c>
    </row>
    <row r="5720" spans="1:11" x14ac:dyDescent="0.25">
      <c r="A5720">
        <v>37.300577690447703</v>
      </c>
      <c r="B5720">
        <v>144.11082114465501</v>
      </c>
      <c r="C5720">
        <v>2000</v>
      </c>
    </row>
    <row r="5721" spans="1:11" x14ac:dyDescent="0.25">
      <c r="A5721">
        <v>37.300577690447703</v>
      </c>
      <c r="B5721">
        <v>144.11082114465501</v>
      </c>
      <c r="C5721">
        <v>2001</v>
      </c>
    </row>
    <row r="5722" spans="1:11" x14ac:dyDescent="0.25">
      <c r="A5722">
        <v>37.973948515939497</v>
      </c>
      <c r="B5722">
        <v>144.78419197014699</v>
      </c>
      <c r="C5722">
        <v>2001</v>
      </c>
    </row>
    <row r="5723" spans="1:11" x14ac:dyDescent="0.25">
      <c r="A5723">
        <v>38.647319341431299</v>
      </c>
      <c r="B5723">
        <v>145.45756279563901</v>
      </c>
      <c r="C5723">
        <v>2001</v>
      </c>
    </row>
    <row r="5724" spans="1:11" x14ac:dyDescent="0.25">
      <c r="A5724">
        <v>38.647319341431299</v>
      </c>
      <c r="B5724">
        <v>145.45756279563901</v>
      </c>
      <c r="C5724">
        <v>2000</v>
      </c>
    </row>
    <row r="5725" spans="1:11" x14ac:dyDescent="0.25">
      <c r="A5725" t="s">
        <v>87</v>
      </c>
    </row>
    <row r="5726" spans="1:11" x14ac:dyDescent="0.25">
      <c r="A5726">
        <v>646</v>
      </c>
      <c r="B5726">
        <v>0</v>
      </c>
      <c r="C5726">
        <v>0.95229015391689098</v>
      </c>
      <c r="D5726">
        <v>0.95229015391689098</v>
      </c>
      <c r="E5726">
        <v>6</v>
      </c>
      <c r="F5726">
        <v>1.5707963267949001</v>
      </c>
      <c r="G5726" t="s">
        <v>89</v>
      </c>
      <c r="H5726" t="s">
        <v>89</v>
      </c>
      <c r="I5726">
        <v>0</v>
      </c>
      <c r="J5726">
        <v>0</v>
      </c>
      <c r="K5726">
        <v>0</v>
      </c>
    </row>
    <row r="5727" spans="1:11" x14ac:dyDescent="0.25">
      <c r="A5727" t="s">
        <v>86</v>
      </c>
    </row>
    <row r="5728" spans="1:11" x14ac:dyDescent="0.25">
      <c r="A5728">
        <v>146.85883351921001</v>
      </c>
      <c r="B5728">
        <v>124.609026743383</v>
      </c>
      <c r="C5728">
        <v>2000</v>
      </c>
    </row>
    <row r="5729" spans="1:11" x14ac:dyDescent="0.25">
      <c r="A5729">
        <v>146.18546269371899</v>
      </c>
      <c r="B5729">
        <v>123.935655917891</v>
      </c>
      <c r="C5729">
        <v>2000</v>
      </c>
    </row>
    <row r="5730" spans="1:11" x14ac:dyDescent="0.25">
      <c r="A5730">
        <v>146.18546269371899</v>
      </c>
      <c r="B5730">
        <v>123.935655917891</v>
      </c>
      <c r="C5730">
        <v>2001</v>
      </c>
    </row>
    <row r="5731" spans="1:11" x14ac:dyDescent="0.25">
      <c r="A5731">
        <v>146.85883351921001</v>
      </c>
      <c r="B5731">
        <v>124.609026743383</v>
      </c>
      <c r="C5731">
        <v>2001</v>
      </c>
    </row>
    <row r="5732" spans="1:11" x14ac:dyDescent="0.25">
      <c r="A5732">
        <v>147.532204344702</v>
      </c>
      <c r="B5732">
        <v>125.282397568875</v>
      </c>
      <c r="C5732">
        <v>2001</v>
      </c>
    </row>
    <row r="5733" spans="1:11" x14ac:dyDescent="0.25">
      <c r="A5733">
        <v>147.532204344702</v>
      </c>
      <c r="B5733">
        <v>125.282397568875</v>
      </c>
      <c r="C5733">
        <v>2000</v>
      </c>
    </row>
    <row r="5734" spans="1:11" x14ac:dyDescent="0.25">
      <c r="A5734" t="s">
        <v>87</v>
      </c>
    </row>
    <row r="5735" spans="1:11" x14ac:dyDescent="0.25">
      <c r="A5735">
        <v>179</v>
      </c>
      <c r="B5735">
        <v>0</v>
      </c>
      <c r="C5735">
        <v>0.95229015391689098</v>
      </c>
      <c r="D5735">
        <v>0.95229015391689098</v>
      </c>
      <c r="E5735">
        <v>6</v>
      </c>
      <c r="F5735">
        <v>1.5707963267949001</v>
      </c>
      <c r="G5735" t="s">
        <v>89</v>
      </c>
      <c r="H5735" t="s">
        <v>89</v>
      </c>
      <c r="I5735">
        <v>0</v>
      </c>
      <c r="J5735">
        <v>0</v>
      </c>
      <c r="K5735">
        <v>0</v>
      </c>
    </row>
    <row r="5736" spans="1:11" x14ac:dyDescent="0.25">
      <c r="A5736" t="s">
        <v>86</v>
      </c>
    </row>
    <row r="5737" spans="1:11" x14ac:dyDescent="0.25">
      <c r="A5737">
        <v>147.16977442017301</v>
      </c>
      <c r="B5737">
        <v>68.7827665213415</v>
      </c>
      <c r="C5737">
        <v>2000</v>
      </c>
    </row>
    <row r="5738" spans="1:11" x14ac:dyDescent="0.25">
      <c r="A5738">
        <v>146.496403594681</v>
      </c>
      <c r="B5738">
        <v>68.109395695849699</v>
      </c>
      <c r="C5738">
        <v>2000</v>
      </c>
    </row>
    <row r="5739" spans="1:11" x14ac:dyDescent="0.25">
      <c r="A5739">
        <v>146.496403594681</v>
      </c>
      <c r="B5739">
        <v>68.109395695849699</v>
      </c>
      <c r="C5739">
        <v>2001</v>
      </c>
    </row>
    <row r="5740" spans="1:11" x14ac:dyDescent="0.25">
      <c r="A5740">
        <v>147.16977442017301</v>
      </c>
      <c r="B5740">
        <v>68.7827665213415</v>
      </c>
      <c r="C5740">
        <v>2001</v>
      </c>
    </row>
    <row r="5741" spans="1:11" x14ac:dyDescent="0.25">
      <c r="A5741">
        <v>147.843145245665</v>
      </c>
      <c r="B5741">
        <v>69.456137346833302</v>
      </c>
      <c r="C5741">
        <v>2001</v>
      </c>
    </row>
    <row r="5742" spans="1:11" x14ac:dyDescent="0.25">
      <c r="A5742">
        <v>147.843145245665</v>
      </c>
      <c r="B5742">
        <v>69.456137346833302</v>
      </c>
      <c r="C5742">
        <v>2000</v>
      </c>
    </row>
    <row r="5743" spans="1:11" x14ac:dyDescent="0.25">
      <c r="A5743" t="s">
        <v>87</v>
      </c>
    </row>
    <row r="5744" spans="1:11" x14ac:dyDescent="0.25">
      <c r="A5744">
        <v>339</v>
      </c>
      <c r="B5744">
        <v>0</v>
      </c>
      <c r="C5744">
        <v>0.95229015391689098</v>
      </c>
      <c r="D5744">
        <v>0.95229015391689098</v>
      </c>
      <c r="E5744">
        <v>6</v>
      </c>
      <c r="F5744">
        <v>1.5707963267949001</v>
      </c>
      <c r="G5744" t="s">
        <v>89</v>
      </c>
      <c r="H5744" t="s">
        <v>89</v>
      </c>
      <c r="I5744">
        <v>0</v>
      </c>
      <c r="J5744">
        <v>0</v>
      </c>
      <c r="K5744">
        <v>0</v>
      </c>
    </row>
    <row r="5745" spans="1:11" x14ac:dyDescent="0.25">
      <c r="A5745" t="s">
        <v>86</v>
      </c>
    </row>
    <row r="5746" spans="1:11" x14ac:dyDescent="0.25">
      <c r="A5746">
        <v>85.854510257884201</v>
      </c>
      <c r="B5746">
        <v>124.23227342042701</v>
      </c>
      <c r="C5746">
        <v>2000</v>
      </c>
    </row>
    <row r="5747" spans="1:11" x14ac:dyDescent="0.25">
      <c r="A5747">
        <v>85.1811394323923</v>
      </c>
      <c r="B5747">
        <v>123.55890259493501</v>
      </c>
      <c r="C5747">
        <v>2000</v>
      </c>
    </row>
    <row r="5748" spans="1:11" x14ac:dyDescent="0.25">
      <c r="A5748">
        <v>85.1811394323923</v>
      </c>
      <c r="B5748">
        <v>123.55890259493501</v>
      </c>
      <c r="C5748">
        <v>2001</v>
      </c>
    </row>
    <row r="5749" spans="1:11" x14ac:dyDescent="0.25">
      <c r="A5749">
        <v>85.854510257884201</v>
      </c>
      <c r="B5749">
        <v>124.23227342042701</v>
      </c>
      <c r="C5749">
        <v>2001</v>
      </c>
    </row>
    <row r="5750" spans="1:11" x14ac:dyDescent="0.25">
      <c r="A5750">
        <v>86.527881083376002</v>
      </c>
      <c r="B5750">
        <v>124.90564424591901</v>
      </c>
      <c r="C5750">
        <v>2001</v>
      </c>
    </row>
    <row r="5751" spans="1:11" x14ac:dyDescent="0.25">
      <c r="A5751">
        <v>86.527881083376002</v>
      </c>
      <c r="B5751">
        <v>124.90564424591901</v>
      </c>
      <c r="C5751">
        <v>2000</v>
      </c>
    </row>
    <row r="5752" spans="1:11" x14ac:dyDescent="0.25">
      <c r="A5752" t="s">
        <v>87</v>
      </c>
    </row>
    <row r="5753" spans="1:11" x14ac:dyDescent="0.25">
      <c r="A5753">
        <v>1048</v>
      </c>
      <c r="B5753">
        <v>0</v>
      </c>
      <c r="C5753">
        <v>0.94234316550466701</v>
      </c>
      <c r="D5753">
        <v>0.94234316550470998</v>
      </c>
      <c r="E5753">
        <v>8</v>
      </c>
      <c r="F5753">
        <v>1.5707963267949001</v>
      </c>
      <c r="G5753" t="s">
        <v>89</v>
      </c>
      <c r="H5753" t="s">
        <v>89</v>
      </c>
      <c r="I5753">
        <v>0</v>
      </c>
      <c r="J5753">
        <v>0</v>
      </c>
      <c r="K5753">
        <v>0.302919941276803</v>
      </c>
    </row>
    <row r="5754" spans="1:11" x14ac:dyDescent="0.25">
      <c r="A5754" t="s">
        <v>86</v>
      </c>
    </row>
    <row r="5755" spans="1:11" x14ac:dyDescent="0.25">
      <c r="A5755">
        <v>49.351547122630997</v>
      </c>
      <c r="B5755">
        <v>46.256475428238701</v>
      </c>
      <c r="C5755">
        <v>2000</v>
      </c>
    </row>
    <row r="5756" spans="1:11" x14ac:dyDescent="0.25">
      <c r="A5756">
        <v>48.685209880097901</v>
      </c>
      <c r="B5756">
        <v>45.590138185705598</v>
      </c>
      <c r="C5756">
        <v>2000</v>
      </c>
    </row>
    <row r="5757" spans="1:11" x14ac:dyDescent="0.25">
      <c r="A5757">
        <v>48.685209880097901</v>
      </c>
      <c r="B5757">
        <v>45.590138185705598</v>
      </c>
      <c r="C5757">
        <v>2001</v>
      </c>
    </row>
    <row r="5758" spans="1:11" x14ac:dyDescent="0.25">
      <c r="A5758">
        <v>49.351547122630997</v>
      </c>
      <c r="B5758">
        <v>46.256475428238701</v>
      </c>
      <c r="C5758">
        <v>2001</v>
      </c>
    </row>
    <row r="5759" spans="1:11" x14ac:dyDescent="0.25">
      <c r="A5759">
        <v>50</v>
      </c>
      <c r="B5759">
        <v>46.904928305607697</v>
      </c>
      <c r="C5759">
        <v>2001</v>
      </c>
    </row>
    <row r="5760" spans="1:11" x14ac:dyDescent="0.25">
      <c r="A5760">
        <v>50.0178843651642</v>
      </c>
      <c r="B5760">
        <v>46.922812670771897</v>
      </c>
      <c r="C5760">
        <v>2001</v>
      </c>
    </row>
    <row r="5761" spans="1:11" x14ac:dyDescent="0.25">
      <c r="A5761">
        <v>50.0178843651642</v>
      </c>
      <c r="B5761">
        <v>46.922812670771897</v>
      </c>
      <c r="C5761">
        <v>2000</v>
      </c>
    </row>
    <row r="5762" spans="1:11" x14ac:dyDescent="0.25">
      <c r="A5762">
        <v>50</v>
      </c>
      <c r="B5762">
        <v>46.904928305607697</v>
      </c>
      <c r="C5762">
        <v>2000</v>
      </c>
    </row>
    <row r="5763" spans="1:11" x14ac:dyDescent="0.25">
      <c r="A5763" t="s">
        <v>87</v>
      </c>
    </row>
    <row r="5764" spans="1:11" x14ac:dyDescent="0.25">
      <c r="A5764">
        <v>1036</v>
      </c>
      <c r="B5764">
        <v>0</v>
      </c>
      <c r="C5764">
        <v>0.942343165504681</v>
      </c>
      <c r="D5764">
        <v>0.94234316550465302</v>
      </c>
      <c r="E5764">
        <v>8</v>
      </c>
      <c r="F5764">
        <v>1.5707963267949001</v>
      </c>
      <c r="G5764" t="s">
        <v>89</v>
      </c>
      <c r="H5764" t="s">
        <v>89</v>
      </c>
      <c r="I5764">
        <v>0</v>
      </c>
      <c r="J5764">
        <v>0</v>
      </c>
      <c r="K5764">
        <v>0.302919941276803</v>
      </c>
    </row>
    <row r="5765" spans="1:11" x14ac:dyDescent="0.25">
      <c r="A5765" t="s">
        <v>86</v>
      </c>
    </row>
    <row r="5766" spans="1:11" x14ac:dyDescent="0.25">
      <c r="A5766">
        <v>25.012627418624501</v>
      </c>
      <c r="B5766">
        <v>50.565523072409199</v>
      </c>
      <c r="C5766">
        <v>2000</v>
      </c>
    </row>
    <row r="5767" spans="1:11" x14ac:dyDescent="0.25">
      <c r="A5767">
        <v>24.447104346215301</v>
      </c>
      <c r="B5767">
        <v>50</v>
      </c>
      <c r="C5767">
        <v>2000</v>
      </c>
    </row>
    <row r="5768" spans="1:11" x14ac:dyDescent="0.25">
      <c r="A5768">
        <v>24.346290176091401</v>
      </c>
      <c r="B5768">
        <v>49.899185829876103</v>
      </c>
      <c r="C5768">
        <v>2000</v>
      </c>
    </row>
    <row r="5769" spans="1:11" x14ac:dyDescent="0.25">
      <c r="A5769">
        <v>24.346290176091401</v>
      </c>
      <c r="B5769">
        <v>49.899185829876103</v>
      </c>
      <c r="C5769">
        <v>2001</v>
      </c>
    </row>
    <row r="5770" spans="1:11" x14ac:dyDescent="0.25">
      <c r="A5770">
        <v>24.447104346215301</v>
      </c>
      <c r="B5770">
        <v>50</v>
      </c>
      <c r="C5770">
        <v>2001</v>
      </c>
    </row>
    <row r="5771" spans="1:11" x14ac:dyDescent="0.25">
      <c r="A5771">
        <v>25.012627418624501</v>
      </c>
      <c r="B5771">
        <v>50.565523072409199</v>
      </c>
      <c r="C5771">
        <v>2001</v>
      </c>
    </row>
    <row r="5772" spans="1:11" x14ac:dyDescent="0.25">
      <c r="A5772">
        <v>25.6789646611577</v>
      </c>
      <c r="B5772">
        <v>51.231860314942402</v>
      </c>
      <c r="C5772">
        <v>2001</v>
      </c>
    </row>
    <row r="5773" spans="1:11" x14ac:dyDescent="0.25">
      <c r="A5773">
        <v>25.6789646611577</v>
      </c>
      <c r="B5773">
        <v>51.231860314942402</v>
      </c>
      <c r="C5773">
        <v>2000</v>
      </c>
    </row>
    <row r="5774" spans="1:11" x14ac:dyDescent="0.25">
      <c r="A5774" t="s">
        <v>87</v>
      </c>
    </row>
    <row r="5775" spans="1:11" x14ac:dyDescent="0.25">
      <c r="A5775">
        <v>1046</v>
      </c>
      <c r="B5775">
        <v>0</v>
      </c>
      <c r="C5775">
        <v>0.94234316550460995</v>
      </c>
      <c r="D5775">
        <v>0.94234316550460995</v>
      </c>
      <c r="E5775">
        <v>6</v>
      </c>
      <c r="F5775">
        <v>1.5707963267949001</v>
      </c>
      <c r="G5775" t="s">
        <v>89</v>
      </c>
      <c r="H5775" t="s">
        <v>89</v>
      </c>
      <c r="I5775">
        <v>0</v>
      </c>
      <c r="J5775">
        <v>0</v>
      </c>
      <c r="K5775">
        <v>0.302919941276803</v>
      </c>
    </row>
    <row r="5776" spans="1:11" x14ac:dyDescent="0.25">
      <c r="A5776" t="s">
        <v>86</v>
      </c>
    </row>
    <row r="5777" spans="1:11" x14ac:dyDescent="0.25">
      <c r="A5777">
        <v>114.709335572417</v>
      </c>
      <c r="B5777">
        <v>79.430037936861694</v>
      </c>
      <c r="C5777">
        <v>2000</v>
      </c>
    </row>
    <row r="5778" spans="1:11" x14ac:dyDescent="0.25">
      <c r="A5778">
        <v>114.04299832988301</v>
      </c>
      <c r="B5778">
        <v>78.763700694328506</v>
      </c>
      <c r="C5778">
        <v>2000</v>
      </c>
    </row>
    <row r="5779" spans="1:11" x14ac:dyDescent="0.25">
      <c r="A5779">
        <v>114.04299832988301</v>
      </c>
      <c r="B5779">
        <v>78.763700694328506</v>
      </c>
      <c r="C5779">
        <v>2001</v>
      </c>
    </row>
    <row r="5780" spans="1:11" x14ac:dyDescent="0.25">
      <c r="A5780">
        <v>114.709335572417</v>
      </c>
      <c r="B5780">
        <v>79.430037936861694</v>
      </c>
      <c r="C5780">
        <v>2001</v>
      </c>
    </row>
    <row r="5781" spans="1:11" x14ac:dyDescent="0.25">
      <c r="A5781">
        <v>115.37567281494999</v>
      </c>
      <c r="B5781">
        <v>80.096375179394798</v>
      </c>
      <c r="C5781">
        <v>2001</v>
      </c>
    </row>
    <row r="5782" spans="1:11" x14ac:dyDescent="0.25">
      <c r="A5782">
        <v>115.37567281494999</v>
      </c>
      <c r="B5782">
        <v>80.096375179394798</v>
      </c>
      <c r="C5782">
        <v>2000</v>
      </c>
    </row>
    <row r="5783" spans="1:11" x14ac:dyDescent="0.25">
      <c r="A5783" t="s">
        <v>87</v>
      </c>
    </row>
    <row r="5784" spans="1:11" x14ac:dyDescent="0.25">
      <c r="A5784">
        <v>1041</v>
      </c>
      <c r="B5784">
        <v>0</v>
      </c>
      <c r="C5784">
        <v>0.92846538704193904</v>
      </c>
      <c r="D5784">
        <v>0.92846538704193904</v>
      </c>
      <c r="E5784">
        <v>6</v>
      </c>
      <c r="F5784">
        <v>1.5707963267949001</v>
      </c>
      <c r="G5784" t="s">
        <v>89</v>
      </c>
      <c r="H5784" t="s">
        <v>89</v>
      </c>
      <c r="I5784">
        <v>0</v>
      </c>
      <c r="J5784">
        <v>0</v>
      </c>
      <c r="K5784">
        <v>0.30427877574865397</v>
      </c>
    </row>
    <row r="5785" spans="1:11" x14ac:dyDescent="0.25">
      <c r="A5785" t="s">
        <v>86</v>
      </c>
    </row>
    <row r="5786" spans="1:11" x14ac:dyDescent="0.25">
      <c r="A5786">
        <v>52.665327234503501</v>
      </c>
      <c r="B5786">
        <v>115.93543247596099</v>
      </c>
      <c r="C5786">
        <v>2000</v>
      </c>
    </row>
    <row r="5787" spans="1:11" x14ac:dyDescent="0.25">
      <c r="A5787">
        <v>52.008803063229202</v>
      </c>
      <c r="B5787">
        <v>115.27890830468699</v>
      </c>
      <c r="C5787">
        <v>2000</v>
      </c>
    </row>
    <row r="5788" spans="1:11" x14ac:dyDescent="0.25">
      <c r="A5788">
        <v>52.008803063229202</v>
      </c>
      <c r="B5788">
        <v>115.27890830468699</v>
      </c>
      <c r="C5788">
        <v>2001</v>
      </c>
    </row>
    <row r="5789" spans="1:11" x14ac:dyDescent="0.25">
      <c r="A5789">
        <v>52.665327234503501</v>
      </c>
      <c r="B5789">
        <v>115.93543247596099</v>
      </c>
      <c r="C5789">
        <v>2001</v>
      </c>
    </row>
    <row r="5790" spans="1:11" x14ac:dyDescent="0.25">
      <c r="A5790">
        <v>53.321851405777899</v>
      </c>
      <c r="B5790">
        <v>116.591956647236</v>
      </c>
      <c r="C5790">
        <v>2001</v>
      </c>
    </row>
    <row r="5791" spans="1:11" x14ac:dyDescent="0.25">
      <c r="A5791">
        <v>53.321851405777899</v>
      </c>
      <c r="B5791">
        <v>116.591956647236</v>
      </c>
      <c r="C5791">
        <v>2000</v>
      </c>
    </row>
    <row r="5792" spans="1:11" x14ac:dyDescent="0.25">
      <c r="A5792" t="s">
        <v>87</v>
      </c>
    </row>
    <row r="5793" spans="1:11" x14ac:dyDescent="0.25">
      <c r="A5793">
        <v>1039</v>
      </c>
      <c r="B5793">
        <v>0</v>
      </c>
      <c r="C5793">
        <v>0.92846538704193904</v>
      </c>
      <c r="D5793">
        <v>0.92846538704193904</v>
      </c>
      <c r="E5793">
        <v>6</v>
      </c>
      <c r="F5793">
        <v>1.5707963267949001</v>
      </c>
      <c r="G5793" t="s">
        <v>89</v>
      </c>
      <c r="H5793" t="s">
        <v>89</v>
      </c>
      <c r="I5793">
        <v>0</v>
      </c>
      <c r="J5793">
        <v>0</v>
      </c>
      <c r="K5793">
        <v>0.30427877574865397</v>
      </c>
    </row>
    <row r="5794" spans="1:11" x14ac:dyDescent="0.25">
      <c r="A5794" t="s">
        <v>86</v>
      </c>
    </row>
    <row r="5795" spans="1:11" x14ac:dyDescent="0.25">
      <c r="A5795">
        <v>79.691121741054204</v>
      </c>
      <c r="B5795">
        <v>31.0066856588268</v>
      </c>
      <c r="C5795">
        <v>2000</v>
      </c>
    </row>
    <row r="5796" spans="1:11" x14ac:dyDescent="0.25">
      <c r="A5796">
        <v>79.034597569779805</v>
      </c>
      <c r="B5796">
        <v>30.350161487552501</v>
      </c>
      <c r="C5796">
        <v>2000</v>
      </c>
    </row>
    <row r="5797" spans="1:11" x14ac:dyDescent="0.25">
      <c r="A5797">
        <v>79.034597569779805</v>
      </c>
      <c r="B5797">
        <v>30.350161487552501</v>
      </c>
      <c r="C5797">
        <v>2001</v>
      </c>
    </row>
    <row r="5798" spans="1:11" x14ac:dyDescent="0.25">
      <c r="A5798">
        <v>79.691121741054204</v>
      </c>
      <c r="B5798">
        <v>31.0066856588268</v>
      </c>
      <c r="C5798">
        <v>2001</v>
      </c>
    </row>
    <row r="5799" spans="1:11" x14ac:dyDescent="0.25">
      <c r="A5799">
        <v>80.347645912328503</v>
      </c>
      <c r="B5799">
        <v>31.663209830101199</v>
      </c>
      <c r="C5799">
        <v>2001</v>
      </c>
    </row>
    <row r="5800" spans="1:11" x14ac:dyDescent="0.25">
      <c r="A5800">
        <v>80.347645912328503</v>
      </c>
      <c r="B5800">
        <v>31.663209830101199</v>
      </c>
      <c r="C5800">
        <v>2000</v>
      </c>
    </row>
    <row r="5801" spans="1:11" x14ac:dyDescent="0.25">
      <c r="A5801" t="s">
        <v>87</v>
      </c>
    </row>
    <row r="5802" spans="1:11" x14ac:dyDescent="0.25">
      <c r="A5802">
        <v>1049</v>
      </c>
      <c r="B5802">
        <v>0</v>
      </c>
      <c r="C5802">
        <v>0.90939384428068604</v>
      </c>
      <c r="D5802">
        <v>0.90939384428068604</v>
      </c>
      <c r="E5802">
        <v>6</v>
      </c>
      <c r="F5802">
        <v>1.5707963267949001</v>
      </c>
      <c r="G5802" t="s">
        <v>89</v>
      </c>
      <c r="H5802" t="s">
        <v>89</v>
      </c>
      <c r="I5802">
        <v>0</v>
      </c>
      <c r="J5802">
        <v>0</v>
      </c>
      <c r="K5802">
        <v>0.30520681697942398</v>
      </c>
    </row>
    <row r="5803" spans="1:11" x14ac:dyDescent="0.25">
      <c r="A5803" t="s">
        <v>86</v>
      </c>
    </row>
    <row r="5804" spans="1:11" x14ac:dyDescent="0.25">
      <c r="A5804">
        <v>42.139144214866299</v>
      </c>
      <c r="B5804">
        <v>26.984080009620701</v>
      </c>
      <c r="C5804">
        <v>2000</v>
      </c>
    </row>
    <row r="5805" spans="1:11" x14ac:dyDescent="0.25">
      <c r="A5805">
        <v>41.496105660806101</v>
      </c>
      <c r="B5805">
        <v>26.3410414555605</v>
      </c>
      <c r="C5805">
        <v>2000</v>
      </c>
    </row>
    <row r="5806" spans="1:11" x14ac:dyDescent="0.25">
      <c r="A5806">
        <v>41.496105660806101</v>
      </c>
      <c r="B5806">
        <v>26.3410414555605</v>
      </c>
      <c r="C5806">
        <v>2001</v>
      </c>
    </row>
    <row r="5807" spans="1:11" x14ac:dyDescent="0.25">
      <c r="A5807">
        <v>42.139144214866299</v>
      </c>
      <c r="B5807">
        <v>26.984080009620701</v>
      </c>
      <c r="C5807">
        <v>2001</v>
      </c>
    </row>
    <row r="5808" spans="1:11" x14ac:dyDescent="0.25">
      <c r="A5808">
        <v>42.782182768926504</v>
      </c>
      <c r="B5808">
        <v>27.627118563680899</v>
      </c>
      <c r="C5808">
        <v>2001</v>
      </c>
    </row>
    <row r="5809" spans="1:11" x14ac:dyDescent="0.25">
      <c r="A5809">
        <v>42.782182768926504</v>
      </c>
      <c r="B5809">
        <v>27.627118563680899</v>
      </c>
      <c r="C5809">
        <v>2000</v>
      </c>
    </row>
    <row r="5810" spans="1:11" x14ac:dyDescent="0.25">
      <c r="A5810" t="s">
        <v>87</v>
      </c>
    </row>
    <row r="5811" spans="1:11" x14ac:dyDescent="0.25">
      <c r="A5811">
        <v>1040</v>
      </c>
      <c r="B5811">
        <v>0</v>
      </c>
      <c r="C5811">
        <v>0.90939384428068604</v>
      </c>
      <c r="D5811">
        <v>0.90939384428068604</v>
      </c>
      <c r="E5811">
        <v>6</v>
      </c>
      <c r="F5811">
        <v>1.5707963267949001</v>
      </c>
      <c r="G5811" t="s">
        <v>89</v>
      </c>
      <c r="H5811" t="s">
        <v>89</v>
      </c>
      <c r="I5811">
        <v>0</v>
      </c>
      <c r="J5811">
        <v>0</v>
      </c>
      <c r="K5811">
        <v>0.30520681697942398</v>
      </c>
    </row>
    <row r="5812" spans="1:11" x14ac:dyDescent="0.25">
      <c r="A5812" t="s">
        <v>86</v>
      </c>
    </row>
    <row r="5813" spans="1:11" x14ac:dyDescent="0.25">
      <c r="A5813">
        <v>53.449599725869298</v>
      </c>
      <c r="B5813">
        <v>2.0753983883538298</v>
      </c>
      <c r="C5813">
        <v>2000</v>
      </c>
    </row>
    <row r="5814" spans="1:11" x14ac:dyDescent="0.25">
      <c r="A5814">
        <v>52.806561171809101</v>
      </c>
      <c r="B5814">
        <v>1.4323598342936501</v>
      </c>
      <c r="C5814">
        <v>2000</v>
      </c>
    </row>
    <row r="5815" spans="1:11" x14ac:dyDescent="0.25">
      <c r="A5815">
        <v>52.806561171809101</v>
      </c>
      <c r="B5815">
        <v>1.4323598342936501</v>
      </c>
      <c r="C5815">
        <v>2001</v>
      </c>
    </row>
    <row r="5816" spans="1:11" x14ac:dyDescent="0.25">
      <c r="A5816">
        <v>53.449599725869298</v>
      </c>
      <c r="B5816">
        <v>2.0753983883538298</v>
      </c>
      <c r="C5816">
        <v>2001</v>
      </c>
    </row>
    <row r="5817" spans="1:11" x14ac:dyDescent="0.25">
      <c r="A5817">
        <v>54.092638279929503</v>
      </c>
      <c r="B5817">
        <v>2.7184369424139998</v>
      </c>
      <c r="C5817">
        <v>2001</v>
      </c>
    </row>
    <row r="5818" spans="1:11" x14ac:dyDescent="0.25">
      <c r="A5818">
        <v>54.092638279929503</v>
      </c>
      <c r="B5818">
        <v>2.7184369424139998</v>
      </c>
      <c r="C5818">
        <v>2000</v>
      </c>
    </row>
    <row r="5819" spans="1:11" x14ac:dyDescent="0.25">
      <c r="A5819" t="s">
        <v>87</v>
      </c>
    </row>
    <row r="5820" spans="1:11" x14ac:dyDescent="0.25">
      <c r="A5820">
        <v>1037</v>
      </c>
      <c r="B5820">
        <v>0</v>
      </c>
      <c r="C5820">
        <v>0.88354396725027595</v>
      </c>
      <c r="D5820">
        <v>0.88354396725027595</v>
      </c>
      <c r="E5820">
        <v>6</v>
      </c>
      <c r="F5820">
        <v>1.5707963267949001</v>
      </c>
      <c r="G5820" t="s">
        <v>89</v>
      </c>
      <c r="H5820" t="s">
        <v>89</v>
      </c>
      <c r="I5820">
        <v>0</v>
      </c>
      <c r="J5820">
        <v>0</v>
      </c>
      <c r="K5820">
        <v>0.30595889533832898</v>
      </c>
    </row>
    <row r="5821" spans="1:11" x14ac:dyDescent="0.25">
      <c r="A5821" t="s">
        <v>86</v>
      </c>
    </row>
    <row r="5822" spans="1:11" x14ac:dyDescent="0.25">
      <c r="A5822">
        <v>44.636100434994397</v>
      </c>
      <c r="B5822">
        <v>98.001598635689106</v>
      </c>
      <c r="C5822">
        <v>2000</v>
      </c>
    </row>
    <row r="5823" spans="1:11" x14ac:dyDescent="0.25">
      <c r="A5823">
        <v>44.011340504275204</v>
      </c>
      <c r="B5823">
        <v>97.376838704969998</v>
      </c>
      <c r="C5823">
        <v>2000</v>
      </c>
    </row>
    <row r="5824" spans="1:11" x14ac:dyDescent="0.25">
      <c r="A5824">
        <v>44.011340504275204</v>
      </c>
      <c r="B5824">
        <v>97.376838704969998</v>
      </c>
      <c r="C5824">
        <v>2001</v>
      </c>
    </row>
    <row r="5825" spans="1:11" x14ac:dyDescent="0.25">
      <c r="A5825">
        <v>44.636100434994397</v>
      </c>
      <c r="B5825">
        <v>98.001598635689106</v>
      </c>
      <c r="C5825">
        <v>2001</v>
      </c>
    </row>
    <row r="5826" spans="1:11" x14ac:dyDescent="0.25">
      <c r="A5826">
        <v>45.260860365713498</v>
      </c>
      <c r="B5826">
        <v>98.6263585664083</v>
      </c>
      <c r="C5826">
        <v>2001</v>
      </c>
    </row>
    <row r="5827" spans="1:11" x14ac:dyDescent="0.25">
      <c r="A5827">
        <v>45.260860365713498</v>
      </c>
      <c r="B5827">
        <v>98.6263585664083</v>
      </c>
      <c r="C5827">
        <v>2000</v>
      </c>
    </row>
    <row r="5828" spans="1:11" x14ac:dyDescent="0.25">
      <c r="A5828" t="s">
        <v>87</v>
      </c>
    </row>
    <row r="5829" spans="1:11" x14ac:dyDescent="0.25">
      <c r="A5829">
        <v>1044</v>
      </c>
      <c r="B5829">
        <v>0</v>
      </c>
      <c r="C5829">
        <v>0.88354396725027595</v>
      </c>
      <c r="D5829">
        <v>0.88354396725027595</v>
      </c>
      <c r="E5829">
        <v>6</v>
      </c>
      <c r="F5829">
        <v>1.5707963267949001</v>
      </c>
      <c r="G5829" t="s">
        <v>89</v>
      </c>
      <c r="H5829" t="s">
        <v>89</v>
      </c>
      <c r="I5829">
        <v>0</v>
      </c>
      <c r="J5829">
        <v>0</v>
      </c>
      <c r="K5829">
        <v>0.30595889533832898</v>
      </c>
    </row>
    <row r="5830" spans="1:11" x14ac:dyDescent="0.25">
      <c r="A5830" t="s">
        <v>86</v>
      </c>
    </row>
    <row r="5831" spans="1:11" x14ac:dyDescent="0.25">
      <c r="A5831">
        <v>10.5019067230178</v>
      </c>
      <c r="B5831">
        <v>105.179100392935</v>
      </c>
      <c r="C5831">
        <v>2000</v>
      </c>
    </row>
    <row r="5832" spans="1:11" x14ac:dyDescent="0.25">
      <c r="A5832">
        <v>9.8771467922986194</v>
      </c>
      <c r="B5832">
        <v>104.554340462216</v>
      </c>
      <c r="C5832">
        <v>2000</v>
      </c>
    </row>
    <row r="5833" spans="1:11" x14ac:dyDescent="0.25">
      <c r="A5833">
        <v>9.8771467922986194</v>
      </c>
      <c r="B5833">
        <v>104.554340462216</v>
      </c>
      <c r="C5833">
        <v>2001</v>
      </c>
    </row>
    <row r="5834" spans="1:11" x14ac:dyDescent="0.25">
      <c r="A5834">
        <v>10.5019067230178</v>
      </c>
      <c r="B5834">
        <v>105.179100392935</v>
      </c>
      <c r="C5834">
        <v>2001</v>
      </c>
    </row>
    <row r="5835" spans="1:11" x14ac:dyDescent="0.25">
      <c r="A5835">
        <v>11.126666653736899</v>
      </c>
      <c r="B5835">
        <v>105.803860323655</v>
      </c>
      <c r="C5835">
        <v>2001</v>
      </c>
    </row>
    <row r="5836" spans="1:11" x14ac:dyDescent="0.25">
      <c r="A5836">
        <v>11.126666653736899</v>
      </c>
      <c r="B5836">
        <v>105.803860323655</v>
      </c>
      <c r="C5836">
        <v>2000</v>
      </c>
    </row>
    <row r="5837" spans="1:11" x14ac:dyDescent="0.25">
      <c r="A5837" t="s">
        <v>87</v>
      </c>
    </row>
    <row r="5838" spans="1:11" x14ac:dyDescent="0.25">
      <c r="A5838">
        <v>1047</v>
      </c>
      <c r="B5838">
        <v>0</v>
      </c>
      <c r="C5838">
        <v>0.88354396725023299</v>
      </c>
      <c r="D5838">
        <v>0.88354396725023299</v>
      </c>
      <c r="E5838">
        <v>6</v>
      </c>
      <c r="F5838">
        <v>1.5707963267949001</v>
      </c>
      <c r="G5838" t="s">
        <v>89</v>
      </c>
      <c r="H5838" t="s">
        <v>89</v>
      </c>
      <c r="I5838">
        <v>0</v>
      </c>
      <c r="J5838">
        <v>0</v>
      </c>
      <c r="K5838">
        <v>0.30595889533832898</v>
      </c>
    </row>
    <row r="5839" spans="1:11" x14ac:dyDescent="0.25">
      <c r="A5839" t="s">
        <v>86</v>
      </c>
    </row>
    <row r="5840" spans="1:11" x14ac:dyDescent="0.25">
      <c r="A5840">
        <v>131.83176758784401</v>
      </c>
      <c r="B5840">
        <v>90.016924072996204</v>
      </c>
      <c r="C5840">
        <v>2000</v>
      </c>
    </row>
    <row r="5841" spans="1:11" x14ac:dyDescent="0.25">
      <c r="A5841">
        <v>131.20700765712499</v>
      </c>
      <c r="B5841">
        <v>89.392164142277096</v>
      </c>
      <c r="C5841">
        <v>2000</v>
      </c>
    </row>
    <row r="5842" spans="1:11" x14ac:dyDescent="0.25">
      <c r="A5842">
        <v>131.20700765712499</v>
      </c>
      <c r="B5842">
        <v>89.392164142277096</v>
      </c>
      <c r="C5842">
        <v>2001</v>
      </c>
    </row>
    <row r="5843" spans="1:11" x14ac:dyDescent="0.25">
      <c r="A5843">
        <v>131.83176758784401</v>
      </c>
      <c r="B5843">
        <v>90.016924072996204</v>
      </c>
      <c r="C5843">
        <v>2001</v>
      </c>
    </row>
    <row r="5844" spans="1:11" x14ac:dyDescent="0.25">
      <c r="A5844">
        <v>132.45652751856301</v>
      </c>
      <c r="B5844">
        <v>90.641684003715298</v>
      </c>
      <c r="C5844">
        <v>2001</v>
      </c>
    </row>
    <row r="5845" spans="1:11" x14ac:dyDescent="0.25">
      <c r="A5845">
        <v>132.45652751856301</v>
      </c>
      <c r="B5845">
        <v>90.641684003715298</v>
      </c>
      <c r="C5845">
        <v>2000</v>
      </c>
    </row>
    <row r="5846" spans="1:11" x14ac:dyDescent="0.25">
      <c r="A5846" t="s">
        <v>87</v>
      </c>
    </row>
    <row r="5847" spans="1:11" x14ac:dyDescent="0.25">
      <c r="A5847">
        <v>1045</v>
      </c>
      <c r="B5847">
        <v>0</v>
      </c>
      <c r="C5847">
        <v>0.84894714396820303</v>
      </c>
      <c r="D5847">
        <v>0.84894714396820303</v>
      </c>
      <c r="E5847">
        <v>6</v>
      </c>
      <c r="F5847">
        <v>1.5707963267949001</v>
      </c>
      <c r="G5847" t="s">
        <v>89</v>
      </c>
      <c r="H5847" t="s">
        <v>89</v>
      </c>
      <c r="I5847">
        <v>0</v>
      </c>
      <c r="J5847">
        <v>0</v>
      </c>
      <c r="K5847">
        <v>0.30661454018923401</v>
      </c>
    </row>
    <row r="5848" spans="1:11" x14ac:dyDescent="0.25">
      <c r="A5848" t="s">
        <v>86</v>
      </c>
    </row>
    <row r="5849" spans="1:11" x14ac:dyDescent="0.25">
      <c r="A5849">
        <v>13.6319553775862</v>
      </c>
      <c r="B5849">
        <v>106.13217815111</v>
      </c>
      <c r="C5849">
        <v>2000</v>
      </c>
    </row>
    <row r="5850" spans="1:11" x14ac:dyDescent="0.25">
      <c r="A5850">
        <v>13.0316590952173</v>
      </c>
      <c r="B5850">
        <v>105.531881868741</v>
      </c>
      <c r="C5850">
        <v>2000</v>
      </c>
    </row>
    <row r="5851" spans="1:11" x14ac:dyDescent="0.25">
      <c r="A5851">
        <v>13.0316590952173</v>
      </c>
      <c r="B5851">
        <v>105.531881868741</v>
      </c>
      <c r="C5851">
        <v>2001</v>
      </c>
    </row>
    <row r="5852" spans="1:11" x14ac:dyDescent="0.25">
      <c r="A5852">
        <v>13.6319553775862</v>
      </c>
      <c r="B5852">
        <v>106.13217815111</v>
      </c>
      <c r="C5852">
        <v>2001</v>
      </c>
    </row>
    <row r="5853" spans="1:11" x14ac:dyDescent="0.25">
      <c r="A5853">
        <v>14.232251659955001</v>
      </c>
      <c r="B5853">
        <v>106.732474433479</v>
      </c>
      <c r="C5853">
        <v>2001</v>
      </c>
    </row>
    <row r="5854" spans="1:11" x14ac:dyDescent="0.25">
      <c r="A5854">
        <v>14.232251659955001</v>
      </c>
      <c r="B5854">
        <v>106.732474433479</v>
      </c>
      <c r="C5854">
        <v>2000</v>
      </c>
    </row>
    <row r="5855" spans="1:11" x14ac:dyDescent="0.25">
      <c r="A5855" t="s">
        <v>87</v>
      </c>
    </row>
    <row r="5856" spans="1:11" x14ac:dyDescent="0.25">
      <c r="A5856">
        <v>1038</v>
      </c>
      <c r="B5856">
        <v>0</v>
      </c>
      <c r="C5856">
        <v>0.84894714396818205</v>
      </c>
      <c r="D5856">
        <v>0.84894714396818205</v>
      </c>
      <c r="E5856">
        <v>6</v>
      </c>
      <c r="F5856">
        <v>1.5707963267949001</v>
      </c>
      <c r="G5856" t="s">
        <v>89</v>
      </c>
      <c r="H5856" t="s">
        <v>89</v>
      </c>
      <c r="I5856">
        <v>0</v>
      </c>
      <c r="J5856">
        <v>0</v>
      </c>
      <c r="K5856">
        <v>0.30661454018923401</v>
      </c>
    </row>
    <row r="5857" spans="1:11" x14ac:dyDescent="0.25">
      <c r="A5857" t="s">
        <v>86</v>
      </c>
    </row>
    <row r="5858" spans="1:11" x14ac:dyDescent="0.25">
      <c r="A5858">
        <v>23.106174530976499</v>
      </c>
      <c r="B5858">
        <v>59.544506836470497</v>
      </c>
      <c r="C5858">
        <v>2000</v>
      </c>
    </row>
    <row r="5859" spans="1:11" x14ac:dyDescent="0.25">
      <c r="A5859">
        <v>22.505878248607701</v>
      </c>
      <c r="B5859">
        <v>58.944210554101602</v>
      </c>
      <c r="C5859">
        <v>2000</v>
      </c>
    </row>
    <row r="5860" spans="1:11" x14ac:dyDescent="0.25">
      <c r="A5860">
        <v>22.505878248607701</v>
      </c>
      <c r="B5860">
        <v>58.944210554101602</v>
      </c>
      <c r="C5860">
        <v>2001</v>
      </c>
    </row>
    <row r="5861" spans="1:11" x14ac:dyDescent="0.25">
      <c r="A5861">
        <v>23.106174530976499</v>
      </c>
      <c r="B5861">
        <v>59.544506836470497</v>
      </c>
      <c r="C5861">
        <v>2001</v>
      </c>
    </row>
    <row r="5862" spans="1:11" x14ac:dyDescent="0.25">
      <c r="A5862">
        <v>23.706470813345401</v>
      </c>
      <c r="B5862">
        <v>60.144803118839299</v>
      </c>
      <c r="C5862">
        <v>2001</v>
      </c>
    </row>
    <row r="5863" spans="1:11" x14ac:dyDescent="0.25">
      <c r="A5863">
        <v>23.706470813345401</v>
      </c>
      <c r="B5863">
        <v>60.144803118839299</v>
      </c>
      <c r="C5863">
        <v>2000</v>
      </c>
    </row>
    <row r="5864" spans="1:11" x14ac:dyDescent="0.25">
      <c r="A5864" t="s">
        <v>87</v>
      </c>
    </row>
    <row r="5865" spans="1:11" x14ac:dyDescent="0.25">
      <c r="A5865">
        <v>171</v>
      </c>
      <c r="B5865">
        <v>0</v>
      </c>
      <c r="C5865">
        <v>0.95229015391689098</v>
      </c>
      <c r="D5865">
        <v>0.70548871337268804</v>
      </c>
      <c r="E5865">
        <v>6</v>
      </c>
      <c r="F5865">
        <v>1.5707963267949001</v>
      </c>
      <c r="G5865" t="s">
        <v>89</v>
      </c>
      <c r="H5865" t="s">
        <v>88</v>
      </c>
      <c r="I5865">
        <v>0</v>
      </c>
      <c r="J5865">
        <v>192</v>
      </c>
      <c r="K5865">
        <v>0</v>
      </c>
    </row>
    <row r="5866" spans="1:11" x14ac:dyDescent="0.25">
      <c r="A5866" t="s">
        <v>86</v>
      </c>
    </row>
    <row r="5867" spans="1:11" x14ac:dyDescent="0.25">
      <c r="A5867">
        <v>120.351938074619</v>
      </c>
      <c r="B5867">
        <v>86.485086747671104</v>
      </c>
      <c r="C5867">
        <v>2000</v>
      </c>
    </row>
    <row r="5868" spans="1:11" x14ac:dyDescent="0.25">
      <c r="A5868">
        <v>119.678567249127</v>
      </c>
      <c r="B5868">
        <v>85.811715922179204</v>
      </c>
      <c r="C5868">
        <v>2000</v>
      </c>
    </row>
    <row r="5869" spans="1:11" x14ac:dyDescent="0.25">
      <c r="A5869">
        <v>119.678567249127</v>
      </c>
      <c r="B5869">
        <v>85.811715922179204</v>
      </c>
      <c r="C5869">
        <v>2001</v>
      </c>
    </row>
    <row r="5870" spans="1:11" x14ac:dyDescent="0.25">
      <c r="A5870">
        <v>120.351938074619</v>
      </c>
      <c r="B5870">
        <v>86.485086747671104</v>
      </c>
      <c r="C5870">
        <v>2001</v>
      </c>
    </row>
    <row r="5871" spans="1:11" x14ac:dyDescent="0.25">
      <c r="A5871">
        <v>120.850793927895</v>
      </c>
      <c r="B5871">
        <v>86.983942600947501</v>
      </c>
      <c r="C5871">
        <v>2001</v>
      </c>
    </row>
    <row r="5872" spans="1:11" x14ac:dyDescent="0.25">
      <c r="A5872">
        <v>120.850793927895</v>
      </c>
      <c r="B5872">
        <v>86.983942600947501</v>
      </c>
      <c r="C5872">
        <v>2000</v>
      </c>
    </row>
    <row r="5873" spans="1:11" x14ac:dyDescent="0.25">
      <c r="A5873" t="s">
        <v>87</v>
      </c>
    </row>
    <row r="5874" spans="1:11" x14ac:dyDescent="0.25">
      <c r="A5874">
        <v>161</v>
      </c>
      <c r="B5874">
        <v>0</v>
      </c>
      <c r="C5874">
        <v>0.68741388122543901</v>
      </c>
      <c r="D5874">
        <v>0.95229015391689098</v>
      </c>
      <c r="E5874">
        <v>6</v>
      </c>
      <c r="F5874">
        <v>1.5707963267949001</v>
      </c>
      <c r="G5874" t="s">
        <v>88</v>
      </c>
      <c r="H5874" t="s">
        <v>89</v>
      </c>
      <c r="I5874">
        <v>174</v>
      </c>
      <c r="J5874">
        <v>0</v>
      </c>
      <c r="K5874">
        <v>0</v>
      </c>
    </row>
    <row r="5875" spans="1:11" x14ac:dyDescent="0.25">
      <c r="A5875" t="s">
        <v>86</v>
      </c>
    </row>
    <row r="5876" spans="1:11" x14ac:dyDescent="0.25">
      <c r="A5876">
        <v>108.9826292633</v>
      </c>
      <c r="B5876">
        <v>73.400622407626599</v>
      </c>
      <c r="C5876">
        <v>2000</v>
      </c>
    </row>
    <row r="5877" spans="1:11" x14ac:dyDescent="0.25">
      <c r="A5877">
        <v>108.496554246404</v>
      </c>
      <c r="B5877">
        <v>72.914547390730405</v>
      </c>
      <c r="C5877">
        <v>2000</v>
      </c>
    </row>
    <row r="5878" spans="1:11" x14ac:dyDescent="0.25">
      <c r="A5878">
        <v>108.496554246404</v>
      </c>
      <c r="B5878">
        <v>72.914547390730405</v>
      </c>
      <c r="C5878">
        <v>2001</v>
      </c>
    </row>
    <row r="5879" spans="1:11" x14ac:dyDescent="0.25">
      <c r="A5879">
        <v>108.9826292633</v>
      </c>
      <c r="B5879">
        <v>73.400622407626599</v>
      </c>
      <c r="C5879">
        <v>2001</v>
      </c>
    </row>
    <row r="5880" spans="1:11" x14ac:dyDescent="0.25">
      <c r="A5880">
        <v>109.656000088792</v>
      </c>
      <c r="B5880">
        <v>74.0739932331185</v>
      </c>
      <c r="C5880">
        <v>2001</v>
      </c>
    </row>
    <row r="5881" spans="1:11" x14ac:dyDescent="0.25">
      <c r="A5881">
        <v>109.656000088792</v>
      </c>
      <c r="B5881">
        <v>74.0739932331185</v>
      </c>
      <c r="C5881">
        <v>2000</v>
      </c>
    </row>
    <row r="5882" spans="1:11" x14ac:dyDescent="0.25">
      <c r="A5882" t="s">
        <v>87</v>
      </c>
    </row>
    <row r="5883" spans="1:11" x14ac:dyDescent="0.25">
      <c r="A5883">
        <v>87</v>
      </c>
      <c r="B5883">
        <v>0</v>
      </c>
      <c r="C5883">
        <v>0.95229015391693395</v>
      </c>
      <c r="D5883">
        <v>0.67926530188766798</v>
      </c>
      <c r="E5883">
        <v>6</v>
      </c>
      <c r="F5883">
        <v>1.5707963267949001</v>
      </c>
      <c r="G5883" t="s">
        <v>89</v>
      </c>
      <c r="H5883" t="s">
        <v>88</v>
      </c>
      <c r="I5883">
        <v>0</v>
      </c>
      <c r="J5883">
        <v>86</v>
      </c>
      <c r="K5883">
        <v>0</v>
      </c>
    </row>
    <row r="5884" spans="1:11" x14ac:dyDescent="0.25">
      <c r="A5884" t="s">
        <v>86</v>
      </c>
    </row>
    <row r="5885" spans="1:11" x14ac:dyDescent="0.25">
      <c r="A5885">
        <v>90.422713705535401</v>
      </c>
      <c r="B5885">
        <v>57.514689586830698</v>
      </c>
      <c r="C5885">
        <v>2000</v>
      </c>
    </row>
    <row r="5886" spans="1:11" x14ac:dyDescent="0.25">
      <c r="A5886">
        <v>89.7493428800435</v>
      </c>
      <c r="B5886">
        <v>56.841318761338798</v>
      </c>
      <c r="C5886">
        <v>2000</v>
      </c>
    </row>
    <row r="5887" spans="1:11" x14ac:dyDescent="0.25">
      <c r="A5887">
        <v>89.7493428800435</v>
      </c>
      <c r="B5887">
        <v>56.841318761338798</v>
      </c>
      <c r="C5887">
        <v>2001</v>
      </c>
    </row>
    <row r="5888" spans="1:11" x14ac:dyDescent="0.25">
      <c r="A5888">
        <v>90.422713705535401</v>
      </c>
      <c r="B5888">
        <v>57.514689586830698</v>
      </c>
      <c r="C5888">
        <v>2001</v>
      </c>
    </row>
    <row r="5889" spans="1:11" x14ac:dyDescent="0.25">
      <c r="A5889">
        <v>90.903026806724895</v>
      </c>
      <c r="B5889">
        <v>57.9950026880202</v>
      </c>
      <c r="C5889">
        <v>2001</v>
      </c>
    </row>
    <row r="5890" spans="1:11" x14ac:dyDescent="0.25">
      <c r="A5890">
        <v>90.903026806724895</v>
      </c>
      <c r="B5890">
        <v>57.9950026880202</v>
      </c>
      <c r="C5890">
        <v>2000</v>
      </c>
    </row>
    <row r="5891" spans="1:11" x14ac:dyDescent="0.25">
      <c r="A5891" t="s">
        <v>87</v>
      </c>
    </row>
    <row r="5892" spans="1:11" x14ac:dyDescent="0.25">
      <c r="A5892">
        <v>5</v>
      </c>
      <c r="B5892">
        <v>0</v>
      </c>
      <c r="C5892">
        <v>0.64820272878481</v>
      </c>
      <c r="D5892">
        <v>0.95229015391691296</v>
      </c>
      <c r="E5892">
        <v>6</v>
      </c>
      <c r="F5892">
        <v>1.5707963267949001</v>
      </c>
      <c r="G5892" t="s">
        <v>88</v>
      </c>
      <c r="H5892" t="s">
        <v>89</v>
      </c>
      <c r="I5892">
        <v>14</v>
      </c>
      <c r="J5892">
        <v>0</v>
      </c>
      <c r="K5892">
        <v>0</v>
      </c>
    </row>
    <row r="5893" spans="1:11" x14ac:dyDescent="0.25">
      <c r="A5893" t="s">
        <v>86</v>
      </c>
    </row>
    <row r="5894" spans="1:11" x14ac:dyDescent="0.25">
      <c r="A5894">
        <v>45.669929541493701</v>
      </c>
      <c r="B5894">
        <v>28.438787594641902</v>
      </c>
      <c r="C5894">
        <v>2000</v>
      </c>
    </row>
    <row r="5895" spans="1:11" x14ac:dyDescent="0.25">
      <c r="A5895">
        <v>45.211580996386402</v>
      </c>
      <c r="B5895">
        <v>27.980439049534599</v>
      </c>
      <c r="C5895">
        <v>2000</v>
      </c>
    </row>
    <row r="5896" spans="1:11" x14ac:dyDescent="0.25">
      <c r="A5896">
        <v>45.211580996386402</v>
      </c>
      <c r="B5896">
        <v>27.980439049534599</v>
      </c>
      <c r="C5896">
        <v>2001</v>
      </c>
    </row>
    <row r="5897" spans="1:11" x14ac:dyDescent="0.25">
      <c r="A5897">
        <v>45.669929541493701</v>
      </c>
      <c r="B5897">
        <v>28.438787594641902</v>
      </c>
      <c r="C5897">
        <v>2001</v>
      </c>
    </row>
    <row r="5898" spans="1:11" x14ac:dyDescent="0.25">
      <c r="A5898">
        <v>46.343300366985602</v>
      </c>
      <c r="B5898">
        <v>29.112158420133699</v>
      </c>
      <c r="C5898">
        <v>2001</v>
      </c>
    </row>
    <row r="5899" spans="1:11" x14ac:dyDescent="0.25">
      <c r="A5899">
        <v>46.343300366985602</v>
      </c>
      <c r="B5899">
        <v>29.112158420133699</v>
      </c>
      <c r="C5899">
        <v>2000</v>
      </c>
    </row>
    <row r="5900" spans="1:11" x14ac:dyDescent="0.25">
      <c r="A5900" t="s">
        <v>87</v>
      </c>
    </row>
    <row r="5901" spans="1:11" x14ac:dyDescent="0.25">
      <c r="A5901">
        <v>83</v>
      </c>
      <c r="B5901">
        <v>0</v>
      </c>
      <c r="C5901">
        <v>0.62377158018151102</v>
      </c>
      <c r="D5901">
        <v>0.95229015391689098</v>
      </c>
      <c r="E5901">
        <v>8</v>
      </c>
      <c r="F5901">
        <v>1.5707963267949001</v>
      </c>
      <c r="G5901" t="s">
        <v>88</v>
      </c>
      <c r="H5901" t="s">
        <v>89</v>
      </c>
      <c r="I5901">
        <v>891</v>
      </c>
      <c r="J5901">
        <v>0</v>
      </c>
      <c r="K5901">
        <v>0</v>
      </c>
    </row>
    <row r="5902" spans="1:11" x14ac:dyDescent="0.25">
      <c r="A5902" t="s">
        <v>86</v>
      </c>
    </row>
    <row r="5903" spans="1:11" x14ac:dyDescent="0.25">
      <c r="A5903">
        <v>81.609196509983903</v>
      </c>
      <c r="B5903">
        <v>99.925204785505898</v>
      </c>
      <c r="C5903">
        <v>2000</v>
      </c>
    </row>
    <row r="5904" spans="1:11" x14ac:dyDescent="0.25">
      <c r="A5904">
        <v>81.168123395726198</v>
      </c>
      <c r="B5904">
        <v>99.484131671248093</v>
      </c>
      <c r="C5904">
        <v>2000</v>
      </c>
    </row>
    <row r="5905" spans="1:11" x14ac:dyDescent="0.25">
      <c r="A5905">
        <v>81.168123395726198</v>
      </c>
      <c r="B5905">
        <v>99.484131671248093</v>
      </c>
      <c r="C5905">
        <v>2001</v>
      </c>
    </row>
    <row r="5906" spans="1:11" x14ac:dyDescent="0.25">
      <c r="A5906">
        <v>81.609196509983903</v>
      </c>
      <c r="B5906">
        <v>99.925204785505898</v>
      </c>
      <c r="C5906">
        <v>2001</v>
      </c>
    </row>
    <row r="5907" spans="1:11" x14ac:dyDescent="0.25">
      <c r="A5907">
        <v>81.683991724478105</v>
      </c>
      <c r="B5907">
        <v>100</v>
      </c>
      <c r="C5907">
        <v>2001</v>
      </c>
    </row>
    <row r="5908" spans="1:11" x14ac:dyDescent="0.25">
      <c r="A5908">
        <v>82.282567335475704</v>
      </c>
      <c r="B5908">
        <v>100.598575610998</v>
      </c>
      <c r="C5908">
        <v>2001</v>
      </c>
    </row>
    <row r="5909" spans="1:11" x14ac:dyDescent="0.25">
      <c r="A5909">
        <v>82.282567335475704</v>
      </c>
      <c r="B5909">
        <v>100.598575610998</v>
      </c>
      <c r="C5909">
        <v>2000</v>
      </c>
    </row>
    <row r="5910" spans="1:11" x14ac:dyDescent="0.25">
      <c r="A5910">
        <v>81.683991724478105</v>
      </c>
      <c r="B5910">
        <v>100</v>
      </c>
      <c r="C5910">
        <v>2000</v>
      </c>
    </row>
    <row r="5911" spans="1:11" x14ac:dyDescent="0.25">
      <c r="A5911" t="s">
        <v>87</v>
      </c>
    </row>
    <row r="5912" spans="1:11" x14ac:dyDescent="0.25">
      <c r="A5912">
        <v>86</v>
      </c>
      <c r="B5912">
        <v>0</v>
      </c>
      <c r="C5912">
        <v>0.60695277804013903</v>
      </c>
      <c r="D5912">
        <v>0.95229015391693395</v>
      </c>
      <c r="E5912">
        <v>6</v>
      </c>
      <c r="F5912">
        <v>1.5707963267949001</v>
      </c>
      <c r="G5912" t="s">
        <v>88</v>
      </c>
      <c r="H5912" t="s">
        <v>89</v>
      </c>
      <c r="I5912">
        <v>87</v>
      </c>
      <c r="J5912">
        <v>0</v>
      </c>
      <c r="K5912">
        <v>0</v>
      </c>
    </row>
    <row r="5913" spans="1:11" x14ac:dyDescent="0.25">
      <c r="A5913" t="s">
        <v>86</v>
      </c>
    </row>
    <row r="5914" spans="1:11" x14ac:dyDescent="0.25">
      <c r="A5914">
        <v>91.599608790874299</v>
      </c>
      <c r="B5914">
        <v>58.156781554295101</v>
      </c>
      <c r="C5914">
        <v>2000</v>
      </c>
    </row>
    <row r="5915" spans="1:11" x14ac:dyDescent="0.25">
      <c r="A5915">
        <v>91.170428365662104</v>
      </c>
      <c r="B5915">
        <v>57.727601129082899</v>
      </c>
      <c r="C5915">
        <v>2000</v>
      </c>
    </row>
    <row r="5916" spans="1:11" x14ac:dyDescent="0.25">
      <c r="A5916">
        <v>91.170428365662104</v>
      </c>
      <c r="B5916">
        <v>57.727601129082899</v>
      </c>
      <c r="C5916">
        <v>2001</v>
      </c>
    </row>
    <row r="5917" spans="1:11" x14ac:dyDescent="0.25">
      <c r="A5917">
        <v>91.599608790874299</v>
      </c>
      <c r="B5917">
        <v>58.156781554295101</v>
      </c>
      <c r="C5917">
        <v>2001</v>
      </c>
    </row>
    <row r="5918" spans="1:11" x14ac:dyDescent="0.25">
      <c r="A5918">
        <v>92.272979616366101</v>
      </c>
      <c r="B5918">
        <v>58.830152379787002</v>
      </c>
      <c r="C5918">
        <v>2001</v>
      </c>
    </row>
    <row r="5919" spans="1:11" x14ac:dyDescent="0.25">
      <c r="A5919">
        <v>92.272979616366101</v>
      </c>
      <c r="B5919">
        <v>58.830152379787002</v>
      </c>
      <c r="C5919">
        <v>2000</v>
      </c>
    </row>
    <row r="5920" spans="1:11" x14ac:dyDescent="0.25">
      <c r="A5920" t="s">
        <v>87</v>
      </c>
    </row>
    <row r="5921" spans="1:11" x14ac:dyDescent="0.25">
      <c r="A5921">
        <v>14</v>
      </c>
      <c r="B5921">
        <v>0</v>
      </c>
      <c r="C5921">
        <v>0.95229015391691296</v>
      </c>
      <c r="D5921">
        <v>0.60695277804012404</v>
      </c>
      <c r="E5921">
        <v>6</v>
      </c>
      <c r="F5921">
        <v>1.5707963267949001</v>
      </c>
      <c r="G5921" t="s">
        <v>89</v>
      </c>
      <c r="H5921" t="s">
        <v>88</v>
      </c>
      <c r="I5921">
        <v>0</v>
      </c>
      <c r="J5921">
        <v>5</v>
      </c>
      <c r="K5921">
        <v>0</v>
      </c>
    </row>
    <row r="5922" spans="1:11" x14ac:dyDescent="0.25">
      <c r="A5922" t="s">
        <v>86</v>
      </c>
    </row>
    <row r="5923" spans="1:11" x14ac:dyDescent="0.25">
      <c r="A5923">
        <v>44.614751471492802</v>
      </c>
      <c r="B5923">
        <v>27.718907724003699</v>
      </c>
      <c r="C5923">
        <v>2000</v>
      </c>
    </row>
    <row r="5924" spans="1:11" x14ac:dyDescent="0.25">
      <c r="A5924">
        <v>43.941380646001001</v>
      </c>
      <c r="B5924">
        <v>27.045536898511902</v>
      </c>
      <c r="C5924">
        <v>2000</v>
      </c>
    </row>
    <row r="5925" spans="1:11" x14ac:dyDescent="0.25">
      <c r="A5925">
        <v>43.941380646001001</v>
      </c>
      <c r="B5925">
        <v>27.045536898511902</v>
      </c>
      <c r="C5925">
        <v>2001</v>
      </c>
    </row>
    <row r="5926" spans="1:11" x14ac:dyDescent="0.25">
      <c r="A5926">
        <v>44.614751471492802</v>
      </c>
      <c r="B5926">
        <v>27.718907724003699</v>
      </c>
      <c r="C5926">
        <v>2001</v>
      </c>
    </row>
    <row r="5927" spans="1:11" x14ac:dyDescent="0.25">
      <c r="A5927">
        <v>45.043931896704997</v>
      </c>
      <c r="B5927">
        <v>28.148088149215901</v>
      </c>
      <c r="C5927">
        <v>2001</v>
      </c>
    </row>
    <row r="5928" spans="1:11" x14ac:dyDescent="0.25">
      <c r="A5928">
        <v>45.043931896704997</v>
      </c>
      <c r="B5928">
        <v>28.148088149215901</v>
      </c>
      <c r="C5928">
        <v>2000</v>
      </c>
    </row>
    <row r="5929" spans="1:11" x14ac:dyDescent="0.25">
      <c r="A5929" t="s">
        <v>87</v>
      </c>
    </row>
    <row r="5930" spans="1:11" x14ac:dyDescent="0.25">
      <c r="A5930">
        <v>7</v>
      </c>
      <c r="B5930">
        <v>0</v>
      </c>
      <c r="C5930">
        <v>0.95229015391692295</v>
      </c>
      <c r="D5930">
        <v>0.508643956670909</v>
      </c>
      <c r="E5930">
        <v>6</v>
      </c>
      <c r="F5930">
        <v>1.5707963267949001</v>
      </c>
      <c r="G5930" t="s">
        <v>89</v>
      </c>
      <c r="H5930" t="s">
        <v>88</v>
      </c>
      <c r="I5930">
        <v>0</v>
      </c>
      <c r="J5930">
        <v>3</v>
      </c>
      <c r="K5930">
        <v>0</v>
      </c>
    </row>
    <row r="5931" spans="1:11" x14ac:dyDescent="0.25">
      <c r="A5931" t="s">
        <v>86</v>
      </c>
    </row>
    <row r="5932" spans="1:11" x14ac:dyDescent="0.25">
      <c r="A5932">
        <v>22.968127007115701</v>
      </c>
      <c r="B5932">
        <v>23.5651420539083</v>
      </c>
      <c r="C5932">
        <v>2000</v>
      </c>
    </row>
    <row r="5933" spans="1:11" x14ac:dyDescent="0.25">
      <c r="A5933">
        <v>22.294756181623899</v>
      </c>
      <c r="B5933">
        <v>22.891771228416399</v>
      </c>
      <c r="C5933">
        <v>2000</v>
      </c>
    </row>
    <row r="5934" spans="1:11" x14ac:dyDescent="0.25">
      <c r="A5934">
        <v>22.294756181623899</v>
      </c>
      <c r="B5934">
        <v>22.891771228416399</v>
      </c>
      <c r="C5934">
        <v>2001</v>
      </c>
    </row>
    <row r="5935" spans="1:11" x14ac:dyDescent="0.25">
      <c r="A5935">
        <v>22.968127007115701</v>
      </c>
      <c r="B5935">
        <v>23.5651420539083</v>
      </c>
      <c r="C5935">
        <v>2001</v>
      </c>
    </row>
    <row r="5936" spans="1:11" x14ac:dyDescent="0.25">
      <c r="A5936">
        <v>23.3277925980872</v>
      </c>
      <c r="B5936">
        <v>23.924807644879799</v>
      </c>
      <c r="C5936">
        <v>2001</v>
      </c>
    </row>
    <row r="5937" spans="1:11" x14ac:dyDescent="0.25">
      <c r="A5937">
        <v>23.3277925980872</v>
      </c>
      <c r="B5937">
        <v>23.924807644879799</v>
      </c>
      <c r="C5937">
        <v>2000</v>
      </c>
    </row>
    <row r="5938" spans="1:11" x14ac:dyDescent="0.25">
      <c r="A5938" t="s">
        <v>87</v>
      </c>
    </row>
    <row r="5939" spans="1:11" x14ac:dyDescent="0.25">
      <c r="A5939">
        <v>270</v>
      </c>
      <c r="B5939">
        <v>0</v>
      </c>
      <c r="C5939">
        <v>1.18910803794511</v>
      </c>
      <c r="D5939">
        <v>0.257486400216898</v>
      </c>
      <c r="E5939">
        <v>6</v>
      </c>
      <c r="F5939">
        <v>1.01722196789785</v>
      </c>
      <c r="G5939" t="s">
        <v>88</v>
      </c>
      <c r="H5939" t="s">
        <v>88</v>
      </c>
      <c r="I5939">
        <v>268</v>
      </c>
      <c r="J5939">
        <v>265</v>
      </c>
      <c r="K5939">
        <v>0</v>
      </c>
    </row>
    <row r="5940" spans="1:11" x14ac:dyDescent="0.25">
      <c r="A5940" t="s">
        <v>86</v>
      </c>
    </row>
    <row r="5941" spans="1:11" x14ac:dyDescent="0.25">
      <c r="A5941">
        <v>56.6441196127114</v>
      </c>
      <c r="B5941">
        <v>7.26393903151821</v>
      </c>
      <c r="C5941">
        <v>2000</v>
      </c>
    </row>
    <row r="5942" spans="1:11" x14ac:dyDescent="0.25">
      <c r="A5942">
        <v>55.803293255516898</v>
      </c>
      <c r="B5942">
        <v>6.4231126743238001</v>
      </c>
      <c r="C5942">
        <v>2000</v>
      </c>
    </row>
    <row r="5943" spans="1:11" x14ac:dyDescent="0.25">
      <c r="A5943">
        <v>56.2403092799658</v>
      </c>
      <c r="B5943">
        <v>5.9860966498749697</v>
      </c>
      <c r="C5943">
        <v>2001</v>
      </c>
    </row>
    <row r="5944" spans="1:11" x14ac:dyDescent="0.25">
      <c r="A5944">
        <v>57.081135637160202</v>
      </c>
      <c r="B5944">
        <v>6.8269230070693903</v>
      </c>
      <c r="C5944">
        <v>2001</v>
      </c>
    </row>
    <row r="5945" spans="1:11" x14ac:dyDescent="0.25">
      <c r="A5945">
        <v>57.263206016816902</v>
      </c>
      <c r="B5945">
        <v>7.0089933867260701</v>
      </c>
      <c r="C5945">
        <v>2001</v>
      </c>
    </row>
    <row r="5946" spans="1:11" x14ac:dyDescent="0.25">
      <c r="A5946">
        <v>56.826189992368001</v>
      </c>
      <c r="B5946">
        <v>7.4460094111748898</v>
      </c>
      <c r="C5946">
        <v>2000</v>
      </c>
    </row>
    <row r="5947" spans="1:11" x14ac:dyDescent="0.25">
      <c r="A5947" t="s">
        <v>87</v>
      </c>
    </row>
    <row r="5948" spans="1:11" x14ac:dyDescent="0.25">
      <c r="A5948">
        <v>16</v>
      </c>
      <c r="B5948">
        <v>0</v>
      </c>
      <c r="C5948">
        <v>0.95229015391691996</v>
      </c>
      <c r="D5948">
        <v>0.459188061602951</v>
      </c>
      <c r="E5948">
        <v>6</v>
      </c>
      <c r="F5948">
        <v>1.5707963267949001</v>
      </c>
      <c r="G5948" t="s">
        <v>89</v>
      </c>
      <c r="H5948" t="s">
        <v>88</v>
      </c>
      <c r="I5948">
        <v>0</v>
      </c>
      <c r="J5948">
        <v>744</v>
      </c>
      <c r="K5948">
        <v>0</v>
      </c>
    </row>
    <row r="5949" spans="1:11" x14ac:dyDescent="0.25">
      <c r="A5949" t="s">
        <v>86</v>
      </c>
    </row>
    <row r="5950" spans="1:11" x14ac:dyDescent="0.25">
      <c r="A5950">
        <v>24.190251214518302</v>
      </c>
      <c r="B5950">
        <v>25.8988411752036</v>
      </c>
      <c r="C5950">
        <v>2000</v>
      </c>
    </row>
    <row r="5951" spans="1:11" x14ac:dyDescent="0.25">
      <c r="A5951">
        <v>23.5168803890265</v>
      </c>
      <c r="B5951">
        <v>25.225470349711799</v>
      </c>
      <c r="C5951">
        <v>2000</v>
      </c>
    </row>
    <row r="5952" spans="1:11" x14ac:dyDescent="0.25">
      <c r="A5952">
        <v>23.5168803890265</v>
      </c>
      <c r="B5952">
        <v>25.225470349711799</v>
      </c>
      <c r="C5952">
        <v>2001</v>
      </c>
    </row>
    <row r="5953" spans="1:11" x14ac:dyDescent="0.25">
      <c r="A5953">
        <v>24.190251214518302</v>
      </c>
      <c r="B5953">
        <v>25.8988411752036</v>
      </c>
      <c r="C5953">
        <v>2001</v>
      </c>
    </row>
    <row r="5954" spans="1:11" x14ac:dyDescent="0.25">
      <c r="A5954">
        <v>24.514946206717699</v>
      </c>
      <c r="B5954">
        <v>26.223536167403001</v>
      </c>
      <c r="C5954">
        <v>2001</v>
      </c>
    </row>
    <row r="5955" spans="1:11" x14ac:dyDescent="0.25">
      <c r="A5955">
        <v>24.514946206717699</v>
      </c>
      <c r="B5955">
        <v>26.223536167403001</v>
      </c>
      <c r="C5955">
        <v>2000</v>
      </c>
    </row>
    <row r="5956" spans="1:11" x14ac:dyDescent="0.25">
      <c r="A5956" t="s">
        <v>87</v>
      </c>
    </row>
    <row r="5957" spans="1:11" x14ac:dyDescent="0.25">
      <c r="A5957">
        <v>1043</v>
      </c>
      <c r="B5957">
        <v>0</v>
      </c>
      <c r="C5957">
        <v>0.92846538704188197</v>
      </c>
      <c r="D5957">
        <v>0.48230651803649499</v>
      </c>
      <c r="E5957">
        <v>6</v>
      </c>
      <c r="F5957">
        <v>1.5707963267949001</v>
      </c>
      <c r="G5957" t="s">
        <v>89</v>
      </c>
      <c r="H5957" t="s">
        <v>88</v>
      </c>
      <c r="I5957">
        <v>0</v>
      </c>
      <c r="J5957">
        <v>760</v>
      </c>
      <c r="K5957">
        <v>0.30427877574865397</v>
      </c>
    </row>
    <row r="5958" spans="1:11" x14ac:dyDescent="0.25">
      <c r="A5958" t="s">
        <v>86</v>
      </c>
    </row>
    <row r="5959" spans="1:11" x14ac:dyDescent="0.25">
      <c r="A5959">
        <v>112.751400220558</v>
      </c>
      <c r="B5959">
        <v>122.413548814325</v>
      </c>
      <c r="C5959">
        <v>2000</v>
      </c>
    </row>
    <row r="5960" spans="1:11" x14ac:dyDescent="0.25">
      <c r="A5960">
        <v>112.094876049283</v>
      </c>
      <c r="B5960">
        <v>121.757024643051</v>
      </c>
      <c r="C5960">
        <v>2000</v>
      </c>
    </row>
    <row r="5961" spans="1:11" x14ac:dyDescent="0.25">
      <c r="A5961">
        <v>112.094876049283</v>
      </c>
      <c r="B5961">
        <v>121.757024643051</v>
      </c>
      <c r="C5961">
        <v>2001</v>
      </c>
    </row>
    <row r="5962" spans="1:11" x14ac:dyDescent="0.25">
      <c r="A5962">
        <v>112.751400220558</v>
      </c>
      <c r="B5962">
        <v>122.413548814325</v>
      </c>
      <c r="C5962">
        <v>2001</v>
      </c>
    </row>
    <row r="5963" spans="1:11" x14ac:dyDescent="0.25">
      <c r="A5963">
        <v>113.092442430072</v>
      </c>
      <c r="B5963">
        <v>122.754591023839</v>
      </c>
      <c r="C5963">
        <v>2001</v>
      </c>
    </row>
    <row r="5964" spans="1:11" x14ac:dyDescent="0.25">
      <c r="A5964">
        <v>113.092442430072</v>
      </c>
      <c r="B5964">
        <v>122.754591023839</v>
      </c>
      <c r="C5964">
        <v>2000</v>
      </c>
    </row>
    <row r="5965" spans="1:11" x14ac:dyDescent="0.25">
      <c r="A5965" t="s">
        <v>87</v>
      </c>
    </row>
    <row r="5966" spans="1:11" x14ac:dyDescent="0.25">
      <c r="A5966">
        <v>8</v>
      </c>
      <c r="B5966">
        <v>0</v>
      </c>
      <c r="C5966">
        <v>0.40519814871461102</v>
      </c>
      <c r="D5966">
        <v>0.95229015391691296</v>
      </c>
      <c r="E5966">
        <v>6</v>
      </c>
      <c r="F5966">
        <v>1.5707963267949001</v>
      </c>
      <c r="G5966" t="s">
        <v>88</v>
      </c>
      <c r="H5966" t="s">
        <v>89</v>
      </c>
      <c r="I5966">
        <v>12</v>
      </c>
      <c r="J5966">
        <v>0</v>
      </c>
      <c r="K5966">
        <v>0</v>
      </c>
    </row>
    <row r="5967" spans="1:11" x14ac:dyDescent="0.25">
      <c r="A5967" t="s">
        <v>86</v>
      </c>
    </row>
    <row r="5968" spans="1:11" x14ac:dyDescent="0.25">
      <c r="A5968">
        <v>31.596603724917699</v>
      </c>
      <c r="B5968">
        <v>36.054454597669903</v>
      </c>
      <c r="C5968">
        <v>2000</v>
      </c>
    </row>
    <row r="5969" spans="1:11" x14ac:dyDescent="0.25">
      <c r="A5969">
        <v>31.310085366237299</v>
      </c>
      <c r="B5969">
        <v>35.767936238989499</v>
      </c>
      <c r="C5969">
        <v>2000</v>
      </c>
    </row>
    <row r="5970" spans="1:11" x14ac:dyDescent="0.25">
      <c r="A5970">
        <v>31.310085366237299</v>
      </c>
      <c r="B5970">
        <v>35.767936238989499</v>
      </c>
      <c r="C5970">
        <v>2001</v>
      </c>
    </row>
    <row r="5971" spans="1:11" x14ac:dyDescent="0.25">
      <c r="A5971">
        <v>31.596603724917699</v>
      </c>
      <c r="B5971">
        <v>36.054454597669903</v>
      </c>
      <c r="C5971">
        <v>2001</v>
      </c>
    </row>
    <row r="5972" spans="1:11" x14ac:dyDescent="0.25">
      <c r="A5972">
        <v>32.269974550409501</v>
      </c>
      <c r="B5972">
        <v>36.727825423161697</v>
      </c>
      <c r="C5972">
        <v>2001</v>
      </c>
    </row>
    <row r="5973" spans="1:11" x14ac:dyDescent="0.25">
      <c r="A5973">
        <v>32.269974550409501</v>
      </c>
      <c r="B5973">
        <v>36.727825423161697</v>
      </c>
      <c r="C5973">
        <v>2000</v>
      </c>
    </row>
    <row r="5974" spans="1:11" x14ac:dyDescent="0.25">
      <c r="A5974" t="s">
        <v>87</v>
      </c>
    </row>
    <row r="5975" spans="1:11" x14ac:dyDescent="0.25">
      <c r="A5975">
        <v>571</v>
      </c>
      <c r="B5975">
        <v>0</v>
      </c>
      <c r="C5975">
        <v>0.38421495174352999</v>
      </c>
      <c r="D5975">
        <v>0.95229015391693395</v>
      </c>
      <c r="E5975">
        <v>6</v>
      </c>
      <c r="F5975">
        <v>1.5707963267949001</v>
      </c>
      <c r="G5975" t="s">
        <v>85</v>
      </c>
      <c r="H5975" t="s">
        <v>89</v>
      </c>
      <c r="I5975">
        <v>0</v>
      </c>
      <c r="J5975">
        <v>0</v>
      </c>
      <c r="K5975">
        <v>0</v>
      </c>
    </row>
    <row r="5976" spans="1:11" x14ac:dyDescent="0.25">
      <c r="A5976" t="s">
        <v>86</v>
      </c>
    </row>
    <row r="5977" spans="1:11" x14ac:dyDescent="0.25">
      <c r="A5977">
        <v>0.27168099781111099</v>
      </c>
      <c r="B5977">
        <v>104.57706176889</v>
      </c>
      <c r="C5977">
        <v>2000</v>
      </c>
    </row>
    <row r="5978" spans="1:11" x14ac:dyDescent="0.25">
      <c r="A5978">
        <v>0</v>
      </c>
      <c r="B5978">
        <v>104.305380771079</v>
      </c>
      <c r="C5978">
        <v>2000</v>
      </c>
    </row>
    <row r="5979" spans="1:11" x14ac:dyDescent="0.25">
      <c r="A5979">
        <v>0</v>
      </c>
      <c r="B5979">
        <v>104.305380771079</v>
      </c>
      <c r="C5979">
        <v>2001</v>
      </c>
    </row>
    <row r="5980" spans="1:11" x14ac:dyDescent="0.25">
      <c r="A5980">
        <v>0.27168099781111099</v>
      </c>
      <c r="B5980">
        <v>104.57706176889</v>
      </c>
      <c r="C5980">
        <v>2001</v>
      </c>
    </row>
    <row r="5981" spans="1:11" x14ac:dyDescent="0.25">
      <c r="A5981">
        <v>0.94505182330295401</v>
      </c>
      <c r="B5981">
        <v>105.250432594382</v>
      </c>
      <c r="C5981">
        <v>2001</v>
      </c>
    </row>
    <row r="5982" spans="1:11" x14ac:dyDescent="0.25">
      <c r="A5982">
        <v>0.94505182330295401</v>
      </c>
      <c r="B5982">
        <v>105.250432594382</v>
      </c>
      <c r="C5982">
        <v>2000</v>
      </c>
    </row>
    <row r="5983" spans="1:11" x14ac:dyDescent="0.25">
      <c r="A5983" t="s">
        <v>87</v>
      </c>
    </row>
    <row r="5984" spans="1:11" x14ac:dyDescent="0.25">
      <c r="A5984">
        <v>647</v>
      </c>
      <c r="B5984">
        <v>0</v>
      </c>
      <c r="C5984">
        <v>0.95229015391689098</v>
      </c>
      <c r="D5984">
        <v>0.36362827418798799</v>
      </c>
      <c r="E5984">
        <v>6</v>
      </c>
      <c r="F5984">
        <v>1.5707963267949001</v>
      </c>
      <c r="G5984" t="s">
        <v>89</v>
      </c>
      <c r="H5984" t="s">
        <v>88</v>
      </c>
      <c r="I5984">
        <v>0</v>
      </c>
      <c r="J5984">
        <v>658</v>
      </c>
      <c r="K5984">
        <v>0</v>
      </c>
    </row>
    <row r="5985" spans="1:11" x14ac:dyDescent="0.25">
      <c r="A5985" t="s">
        <v>86</v>
      </c>
    </row>
    <row r="5986" spans="1:11" x14ac:dyDescent="0.25">
      <c r="A5986">
        <v>107.661694384954</v>
      </c>
      <c r="B5986">
        <v>146.691425981322</v>
      </c>
      <c r="C5986">
        <v>2000</v>
      </c>
    </row>
    <row r="5987" spans="1:11" x14ac:dyDescent="0.25">
      <c r="A5987">
        <v>106.988323559462</v>
      </c>
      <c r="B5987">
        <v>146.01805515583001</v>
      </c>
      <c r="C5987">
        <v>2000</v>
      </c>
    </row>
    <row r="5988" spans="1:11" x14ac:dyDescent="0.25">
      <c r="A5988">
        <v>106.988323559462</v>
      </c>
      <c r="B5988">
        <v>146.01805515583001</v>
      </c>
      <c r="C5988">
        <v>2001</v>
      </c>
    </row>
    <row r="5989" spans="1:11" x14ac:dyDescent="0.25">
      <c r="A5989">
        <v>107.661694384954</v>
      </c>
      <c r="B5989">
        <v>146.691425981322</v>
      </c>
      <c r="C5989">
        <v>2001</v>
      </c>
    </row>
    <row r="5990" spans="1:11" x14ac:dyDescent="0.25">
      <c r="A5990">
        <v>107.91881840346301</v>
      </c>
      <c r="B5990">
        <v>146.94854999983099</v>
      </c>
      <c r="C5990">
        <v>2001</v>
      </c>
    </row>
    <row r="5991" spans="1:11" x14ac:dyDescent="0.25">
      <c r="A5991">
        <v>107.91881840346301</v>
      </c>
      <c r="B5991">
        <v>146.94854999983099</v>
      </c>
      <c r="C5991">
        <v>2000</v>
      </c>
    </row>
    <row r="5992" spans="1:11" x14ac:dyDescent="0.25">
      <c r="A5992" t="s">
        <v>87</v>
      </c>
    </row>
    <row r="5993" spans="1:11" x14ac:dyDescent="0.25">
      <c r="A5993">
        <v>12</v>
      </c>
      <c r="B5993">
        <v>0</v>
      </c>
      <c r="C5993">
        <v>0.95229015391691996</v>
      </c>
      <c r="D5993">
        <v>0.30119248277060301</v>
      </c>
      <c r="E5993">
        <v>6</v>
      </c>
      <c r="F5993">
        <v>1.5707963267949001</v>
      </c>
      <c r="G5993" t="s">
        <v>89</v>
      </c>
      <c r="H5993" t="s">
        <v>88</v>
      </c>
      <c r="I5993">
        <v>0</v>
      </c>
      <c r="J5993">
        <v>8</v>
      </c>
      <c r="K5993">
        <v>0</v>
      </c>
    </row>
    <row r="5994" spans="1:11" x14ac:dyDescent="0.25">
      <c r="A5994" t="s">
        <v>86</v>
      </c>
    </row>
    <row r="5995" spans="1:11" x14ac:dyDescent="0.25">
      <c r="A5995">
        <v>31.202113992163</v>
      </c>
      <c r="B5995">
        <v>35.449957119044797</v>
      </c>
      <c r="C5995">
        <v>2000</v>
      </c>
    </row>
    <row r="5996" spans="1:11" x14ac:dyDescent="0.25">
      <c r="A5996">
        <v>30.528743166671202</v>
      </c>
      <c r="B5996">
        <v>34.776586293553002</v>
      </c>
      <c r="C5996">
        <v>2000</v>
      </c>
    </row>
    <row r="5997" spans="1:11" x14ac:dyDescent="0.25">
      <c r="A5997">
        <v>30.528743166671202</v>
      </c>
      <c r="B5997">
        <v>34.776586293553002</v>
      </c>
      <c r="C5997">
        <v>2001</v>
      </c>
    </row>
    <row r="5998" spans="1:11" x14ac:dyDescent="0.25">
      <c r="A5998">
        <v>31.202113992163</v>
      </c>
      <c r="B5998">
        <v>35.449957119044797</v>
      </c>
      <c r="C5998">
        <v>2001</v>
      </c>
    </row>
    <row r="5999" spans="1:11" x14ac:dyDescent="0.25">
      <c r="A5999">
        <v>31.415089239172499</v>
      </c>
      <c r="B5999">
        <v>35.662932366054299</v>
      </c>
      <c r="C5999">
        <v>2001</v>
      </c>
    </row>
    <row r="6000" spans="1:11" x14ac:dyDescent="0.25">
      <c r="A6000">
        <v>31.415089239172499</v>
      </c>
      <c r="B6000">
        <v>35.662932366054299</v>
      </c>
      <c r="C6000">
        <v>2000</v>
      </c>
    </row>
    <row r="6001" spans="1:11" x14ac:dyDescent="0.25">
      <c r="A6001" t="s">
        <v>87</v>
      </c>
    </row>
    <row r="6002" spans="1:11" x14ac:dyDescent="0.25">
      <c r="A6002">
        <v>249</v>
      </c>
      <c r="B6002">
        <v>0</v>
      </c>
      <c r="C6002">
        <v>0.95229015391691996</v>
      </c>
      <c r="D6002">
        <v>0.27120051359499098</v>
      </c>
      <c r="E6002">
        <v>6</v>
      </c>
      <c r="F6002">
        <v>1.5707963267949001</v>
      </c>
      <c r="G6002" t="s">
        <v>89</v>
      </c>
      <c r="H6002" t="s">
        <v>88</v>
      </c>
      <c r="I6002">
        <v>0</v>
      </c>
      <c r="J6002">
        <v>245</v>
      </c>
      <c r="K6002">
        <v>0</v>
      </c>
    </row>
    <row r="6003" spans="1:11" x14ac:dyDescent="0.25">
      <c r="A6003" t="s">
        <v>86</v>
      </c>
    </row>
    <row r="6004" spans="1:11" x14ac:dyDescent="0.25">
      <c r="A6004">
        <v>75.181223068004996</v>
      </c>
      <c r="B6004">
        <v>7.4272907839283802</v>
      </c>
      <c r="C6004">
        <v>2000</v>
      </c>
    </row>
    <row r="6005" spans="1:11" x14ac:dyDescent="0.25">
      <c r="A6005">
        <v>74.507852242513195</v>
      </c>
      <c r="B6005">
        <v>6.7539199584365504</v>
      </c>
      <c r="C6005">
        <v>2000</v>
      </c>
    </row>
    <row r="6006" spans="1:11" x14ac:dyDescent="0.25">
      <c r="A6006">
        <v>74.507852242513195</v>
      </c>
      <c r="B6006">
        <v>6.7539199584365504</v>
      </c>
      <c r="C6006">
        <v>2001</v>
      </c>
    </row>
    <row r="6007" spans="1:11" x14ac:dyDescent="0.25">
      <c r="A6007">
        <v>75.181223068004996</v>
      </c>
      <c r="B6007">
        <v>7.4272907839283802</v>
      </c>
      <c r="C6007">
        <v>2001</v>
      </c>
    </row>
    <row r="6008" spans="1:11" x14ac:dyDescent="0.25">
      <c r="A6008">
        <v>75.372990790229295</v>
      </c>
      <c r="B6008">
        <v>7.6190585061526797</v>
      </c>
      <c r="C6008">
        <v>2001</v>
      </c>
    </row>
    <row r="6009" spans="1:11" x14ac:dyDescent="0.25">
      <c r="A6009">
        <v>75.372990790229295</v>
      </c>
      <c r="B6009">
        <v>7.6190585061526797</v>
      </c>
      <c r="C6009">
        <v>2000</v>
      </c>
    </row>
    <row r="6010" spans="1:11" x14ac:dyDescent="0.25">
      <c r="A6010" t="s">
        <v>87</v>
      </c>
    </row>
    <row r="6011" spans="1:11" x14ac:dyDescent="0.25">
      <c r="A6011">
        <v>1042</v>
      </c>
      <c r="B6011">
        <v>0</v>
      </c>
      <c r="C6011">
        <v>0.31938479127570901</v>
      </c>
      <c r="D6011">
        <v>0.88354396725027595</v>
      </c>
      <c r="E6011">
        <v>6</v>
      </c>
      <c r="F6011">
        <v>1.5707963267949001</v>
      </c>
      <c r="G6011" t="s">
        <v>88</v>
      </c>
      <c r="H6011" t="s">
        <v>89</v>
      </c>
      <c r="I6011">
        <v>402</v>
      </c>
      <c r="J6011">
        <v>0</v>
      </c>
      <c r="K6011">
        <v>0.30595889533832898</v>
      </c>
    </row>
    <row r="6012" spans="1:11" x14ac:dyDescent="0.25">
      <c r="A6012" t="s">
        <v>86</v>
      </c>
    </row>
    <row r="6013" spans="1:11" x14ac:dyDescent="0.25">
      <c r="A6013">
        <v>119.75267274293699</v>
      </c>
      <c r="B6013">
        <v>18.656117640741201</v>
      </c>
      <c r="C6013">
        <v>2000</v>
      </c>
    </row>
    <row r="6014" spans="1:11" x14ac:dyDescent="0.25">
      <c r="A6014">
        <v>119.52683359121799</v>
      </c>
      <c r="B6014">
        <v>18.430278489022299</v>
      </c>
      <c r="C6014">
        <v>2000</v>
      </c>
    </row>
    <row r="6015" spans="1:11" x14ac:dyDescent="0.25">
      <c r="A6015">
        <v>119.52683359121799</v>
      </c>
      <c r="B6015">
        <v>18.430278489022299</v>
      </c>
      <c r="C6015">
        <v>2001</v>
      </c>
    </row>
    <row r="6016" spans="1:11" x14ac:dyDescent="0.25">
      <c r="A6016">
        <v>119.75267274293699</v>
      </c>
      <c r="B6016">
        <v>18.656117640741201</v>
      </c>
      <c r="C6016">
        <v>2001</v>
      </c>
    </row>
    <row r="6017" spans="1:11" x14ac:dyDescent="0.25">
      <c r="A6017">
        <v>120.377432673656</v>
      </c>
      <c r="B6017">
        <v>19.280877571460401</v>
      </c>
      <c r="C6017">
        <v>2001</v>
      </c>
    </row>
    <row r="6018" spans="1:11" x14ac:dyDescent="0.25">
      <c r="A6018">
        <v>120.377432673656</v>
      </c>
      <c r="B6018">
        <v>19.280877571460401</v>
      </c>
      <c r="C6018">
        <v>2000</v>
      </c>
    </row>
    <row r="6019" spans="1:11" x14ac:dyDescent="0.25">
      <c r="A6019" t="s">
        <v>87</v>
      </c>
    </row>
    <row r="6020" spans="1:11" x14ac:dyDescent="0.25">
      <c r="A6020">
        <v>645</v>
      </c>
      <c r="B6020">
        <v>0</v>
      </c>
      <c r="C6020">
        <v>0.95229015391689098</v>
      </c>
      <c r="D6020">
        <v>3.4757386457499699E-2</v>
      </c>
      <c r="E6020">
        <v>8</v>
      </c>
      <c r="F6020">
        <v>1.5707963267949001</v>
      </c>
      <c r="G6020" t="s">
        <v>89</v>
      </c>
      <c r="H6020" t="s">
        <v>88</v>
      </c>
      <c r="I6020">
        <v>0</v>
      </c>
      <c r="J6020">
        <v>680</v>
      </c>
      <c r="K6020">
        <v>0</v>
      </c>
    </row>
    <row r="6021" spans="1:11" x14ac:dyDescent="0.25">
      <c r="A6021" t="s">
        <v>86</v>
      </c>
    </row>
    <row r="6022" spans="1:11" x14ac:dyDescent="0.25">
      <c r="A6022">
        <v>100.100871268707</v>
      </c>
      <c r="B6022">
        <v>126.140329393624</v>
      </c>
      <c r="C6022">
        <v>2000</v>
      </c>
    </row>
    <row r="6023" spans="1:11" x14ac:dyDescent="0.25">
      <c r="A6023">
        <v>100</v>
      </c>
      <c r="B6023">
        <v>126.039458124917</v>
      </c>
      <c r="C6023">
        <v>2000</v>
      </c>
    </row>
    <row r="6024" spans="1:11" x14ac:dyDescent="0.25">
      <c r="A6024">
        <v>99.427500443214996</v>
      </c>
      <c r="B6024">
        <v>125.466958568132</v>
      </c>
      <c r="C6024">
        <v>2000</v>
      </c>
    </row>
    <row r="6025" spans="1:11" x14ac:dyDescent="0.25">
      <c r="A6025">
        <v>99.427500443214996</v>
      </c>
      <c r="B6025">
        <v>125.466958568132</v>
      </c>
      <c r="C6025">
        <v>2001</v>
      </c>
    </row>
    <row r="6026" spans="1:11" x14ac:dyDescent="0.25">
      <c r="A6026">
        <v>100</v>
      </c>
      <c r="B6026">
        <v>126.039458124917</v>
      </c>
      <c r="C6026">
        <v>2001</v>
      </c>
    </row>
    <row r="6027" spans="1:11" x14ac:dyDescent="0.25">
      <c r="A6027">
        <v>100.100871268707</v>
      </c>
      <c r="B6027">
        <v>126.140329393624</v>
      </c>
      <c r="C6027">
        <v>2001</v>
      </c>
    </row>
    <row r="6028" spans="1:11" x14ac:dyDescent="0.25">
      <c r="A6028">
        <v>100.125448452367</v>
      </c>
      <c r="B6028">
        <v>126.164906577284</v>
      </c>
      <c r="C6028">
        <v>2001</v>
      </c>
    </row>
    <row r="6029" spans="1:11" x14ac:dyDescent="0.25">
      <c r="A6029">
        <v>100.125448452367</v>
      </c>
      <c r="B6029">
        <v>126.164906577284</v>
      </c>
      <c r="C6029">
        <v>2000</v>
      </c>
    </row>
    <row r="6030" spans="1:11" x14ac:dyDescent="0.25">
      <c r="A6030" t="s">
        <v>87</v>
      </c>
    </row>
    <row r="6031" spans="1:11" x14ac:dyDescent="0.25">
      <c r="A6031">
        <v>82</v>
      </c>
      <c r="B6031">
        <v>0</v>
      </c>
      <c r="C6031">
        <v>0.95229015391693395</v>
      </c>
      <c r="D6031">
        <v>0</v>
      </c>
      <c r="E6031">
        <v>5</v>
      </c>
      <c r="F6031">
        <v>1.5707963267949001</v>
      </c>
      <c r="G6031" t="s">
        <v>89</v>
      </c>
      <c r="H6031" t="s">
        <v>88</v>
      </c>
      <c r="I6031">
        <v>0</v>
      </c>
      <c r="J6031">
        <v>1022</v>
      </c>
      <c r="K6031">
        <v>0</v>
      </c>
    </row>
    <row r="6032" spans="1:11" x14ac:dyDescent="0.25">
      <c r="A6032" t="s">
        <v>86</v>
      </c>
    </row>
    <row r="6033" spans="1:11" x14ac:dyDescent="0.25">
      <c r="A6033">
        <v>82.811852396843904</v>
      </c>
      <c r="B6033">
        <v>88.898516278201001</v>
      </c>
      <c r="C6033">
        <v>2000</v>
      </c>
    </row>
    <row r="6034" spans="1:11" x14ac:dyDescent="0.25">
      <c r="A6034">
        <v>82.138481571352102</v>
      </c>
      <c r="B6034">
        <v>88.225145452709199</v>
      </c>
      <c r="C6034">
        <v>2000</v>
      </c>
    </row>
    <row r="6035" spans="1:11" x14ac:dyDescent="0.25">
      <c r="A6035">
        <v>82.138481571352102</v>
      </c>
      <c r="B6035">
        <v>88.225145452709199</v>
      </c>
      <c r="C6035">
        <v>2001</v>
      </c>
    </row>
    <row r="6036" spans="1:11" x14ac:dyDescent="0.25">
      <c r="A6036">
        <v>82.811852396843904</v>
      </c>
      <c r="B6036">
        <v>88.898516278201001</v>
      </c>
      <c r="C6036">
        <v>2001</v>
      </c>
    </row>
    <row r="6037" spans="1:11" x14ac:dyDescent="0.25">
      <c r="A6037">
        <v>82.811852396843904</v>
      </c>
      <c r="B6037">
        <v>88.898516278201001</v>
      </c>
      <c r="C6037">
        <v>2000</v>
      </c>
    </row>
    <row r="6038" spans="1:11" x14ac:dyDescent="0.25">
      <c r="A6038" t="s">
        <v>87</v>
      </c>
    </row>
    <row r="6039" spans="1:11" x14ac:dyDescent="0.25">
      <c r="A6039">
        <v>89</v>
      </c>
      <c r="B6039">
        <v>0</v>
      </c>
      <c r="C6039">
        <v>0.95229015391693395</v>
      </c>
      <c r="D6039">
        <v>0</v>
      </c>
      <c r="E6039">
        <v>5</v>
      </c>
      <c r="F6039">
        <v>1.5707963267949001</v>
      </c>
      <c r="G6039" t="s">
        <v>89</v>
      </c>
      <c r="H6039" t="s">
        <v>88</v>
      </c>
      <c r="I6039">
        <v>0</v>
      </c>
      <c r="J6039">
        <v>667</v>
      </c>
      <c r="K6039">
        <v>0</v>
      </c>
    </row>
    <row r="6040" spans="1:11" x14ac:dyDescent="0.25">
      <c r="A6040" t="s">
        <v>86</v>
      </c>
    </row>
    <row r="6041" spans="1:11" x14ac:dyDescent="0.25">
      <c r="A6041">
        <v>80.763192954828597</v>
      </c>
      <c r="B6041">
        <v>60.051630511904001</v>
      </c>
      <c r="C6041">
        <v>2000</v>
      </c>
    </row>
    <row r="6042" spans="1:11" x14ac:dyDescent="0.25">
      <c r="A6042">
        <v>80.089822129336696</v>
      </c>
      <c r="B6042">
        <v>59.3782596864121</v>
      </c>
      <c r="C6042">
        <v>2000</v>
      </c>
    </row>
    <row r="6043" spans="1:11" x14ac:dyDescent="0.25">
      <c r="A6043">
        <v>80.089822129336696</v>
      </c>
      <c r="B6043">
        <v>59.3782596864121</v>
      </c>
      <c r="C6043">
        <v>2001</v>
      </c>
    </row>
    <row r="6044" spans="1:11" x14ac:dyDescent="0.25">
      <c r="A6044">
        <v>80.763192954828597</v>
      </c>
      <c r="B6044">
        <v>60.051630511904001</v>
      </c>
      <c r="C6044">
        <v>2001</v>
      </c>
    </row>
    <row r="6045" spans="1:11" x14ac:dyDescent="0.25">
      <c r="A6045">
        <v>80.763192954828597</v>
      </c>
      <c r="B6045">
        <v>60.051630511904001</v>
      </c>
      <c r="C6045">
        <v>2000</v>
      </c>
    </row>
    <row r="6046" spans="1:11" x14ac:dyDescent="0.25">
      <c r="A6046" t="s">
        <v>87</v>
      </c>
    </row>
    <row r="6047" spans="1:11" x14ac:dyDescent="0.25">
      <c r="A6047">
        <v>92</v>
      </c>
      <c r="B6047">
        <v>0</v>
      </c>
      <c r="C6047">
        <v>0.95229015391693395</v>
      </c>
      <c r="D6047">
        <v>0</v>
      </c>
      <c r="E6047">
        <v>5</v>
      </c>
      <c r="F6047">
        <v>1.5707963267949001</v>
      </c>
      <c r="G6047" t="s">
        <v>89</v>
      </c>
      <c r="H6047" t="s">
        <v>88</v>
      </c>
      <c r="I6047">
        <v>0</v>
      </c>
      <c r="J6047">
        <v>671</v>
      </c>
      <c r="K6047">
        <v>0</v>
      </c>
    </row>
    <row r="6048" spans="1:11" x14ac:dyDescent="0.25">
      <c r="A6048" t="s">
        <v>86</v>
      </c>
    </row>
    <row r="6049" spans="1:11" x14ac:dyDescent="0.25">
      <c r="A6049">
        <v>87.470991088762403</v>
      </c>
      <c r="B6049">
        <v>80.845080423562393</v>
      </c>
      <c r="C6049">
        <v>2000</v>
      </c>
    </row>
    <row r="6050" spans="1:11" x14ac:dyDescent="0.25">
      <c r="A6050">
        <v>86.797620263270602</v>
      </c>
      <c r="B6050">
        <v>80.171709598070507</v>
      </c>
      <c r="C6050">
        <v>2000</v>
      </c>
    </row>
    <row r="6051" spans="1:11" x14ac:dyDescent="0.25">
      <c r="A6051">
        <v>86.797620263270602</v>
      </c>
      <c r="B6051">
        <v>80.171709598070507</v>
      </c>
      <c r="C6051">
        <v>2001</v>
      </c>
    </row>
    <row r="6052" spans="1:11" x14ac:dyDescent="0.25">
      <c r="A6052">
        <v>87.470991088762403</v>
      </c>
      <c r="B6052">
        <v>80.845080423562393</v>
      </c>
      <c r="C6052">
        <v>2001</v>
      </c>
    </row>
    <row r="6053" spans="1:11" x14ac:dyDescent="0.25">
      <c r="A6053">
        <v>87.470991088762403</v>
      </c>
      <c r="B6053">
        <v>80.845080423562393</v>
      </c>
      <c r="C6053">
        <v>2000</v>
      </c>
    </row>
    <row r="6054" spans="1:11" x14ac:dyDescent="0.25">
      <c r="A6054" t="s">
        <v>87</v>
      </c>
    </row>
    <row r="6055" spans="1:11" x14ac:dyDescent="0.25">
      <c r="A6055">
        <v>81</v>
      </c>
      <c r="B6055">
        <v>0</v>
      </c>
      <c r="C6055">
        <v>0</v>
      </c>
      <c r="D6055">
        <v>0.95229015391693395</v>
      </c>
      <c r="E6055">
        <v>4</v>
      </c>
      <c r="F6055">
        <v>1.5707963267949001</v>
      </c>
      <c r="G6055" t="s">
        <v>88</v>
      </c>
      <c r="H6055" t="s">
        <v>89</v>
      </c>
      <c r="I6055">
        <v>769</v>
      </c>
      <c r="J6055">
        <v>0</v>
      </c>
      <c r="K6055">
        <v>0</v>
      </c>
    </row>
    <row r="6056" spans="1:11" x14ac:dyDescent="0.25">
      <c r="A6056" t="s">
        <v>86</v>
      </c>
    </row>
    <row r="6057" spans="1:11" x14ac:dyDescent="0.25">
      <c r="A6057">
        <v>52.196760104129503</v>
      </c>
      <c r="B6057">
        <v>78.930404586219396</v>
      </c>
      <c r="C6057">
        <v>2000</v>
      </c>
    </row>
    <row r="6058" spans="1:11" x14ac:dyDescent="0.25">
      <c r="A6058">
        <v>52.196760104129503</v>
      </c>
      <c r="B6058">
        <v>78.930404586219396</v>
      </c>
      <c r="C6058">
        <v>2001</v>
      </c>
    </row>
    <row r="6059" spans="1:11" x14ac:dyDescent="0.25">
      <c r="A6059">
        <v>52.870130929621297</v>
      </c>
      <c r="B6059">
        <v>79.603775411711297</v>
      </c>
      <c r="C6059">
        <v>2001</v>
      </c>
    </row>
    <row r="6060" spans="1:11" x14ac:dyDescent="0.25">
      <c r="A6060">
        <v>52.870130929621297</v>
      </c>
      <c r="B6060">
        <v>79.603775411711297</v>
      </c>
      <c r="C6060">
        <v>2000</v>
      </c>
    </row>
    <row r="6061" spans="1:11" x14ac:dyDescent="0.25">
      <c r="A6061" t="s">
        <v>87</v>
      </c>
    </row>
    <row r="6062" spans="1:11" x14ac:dyDescent="0.25">
      <c r="A6062">
        <v>96</v>
      </c>
      <c r="B6062">
        <v>0</v>
      </c>
      <c r="C6062">
        <v>0.95229015391693395</v>
      </c>
      <c r="D6062">
        <v>0</v>
      </c>
      <c r="E6062">
        <v>5</v>
      </c>
      <c r="F6062">
        <v>1.5707963267949001</v>
      </c>
      <c r="G6062" t="s">
        <v>89</v>
      </c>
      <c r="H6062" t="s">
        <v>88</v>
      </c>
      <c r="I6062">
        <v>0</v>
      </c>
      <c r="J6062">
        <v>1006</v>
      </c>
      <c r="K6062">
        <v>0</v>
      </c>
    </row>
    <row r="6063" spans="1:11" x14ac:dyDescent="0.25">
      <c r="A6063" t="s">
        <v>86</v>
      </c>
    </row>
    <row r="6064" spans="1:11" x14ac:dyDescent="0.25">
      <c r="A6064">
        <v>91.184276082173099</v>
      </c>
      <c r="B6064">
        <v>65.864349606383797</v>
      </c>
      <c r="C6064">
        <v>2000</v>
      </c>
    </row>
    <row r="6065" spans="1:11" x14ac:dyDescent="0.25">
      <c r="A6065">
        <v>90.510905256681298</v>
      </c>
      <c r="B6065">
        <v>65.190978780891896</v>
      </c>
      <c r="C6065">
        <v>2000</v>
      </c>
    </row>
    <row r="6066" spans="1:11" x14ac:dyDescent="0.25">
      <c r="A6066">
        <v>90.510905256681298</v>
      </c>
      <c r="B6066">
        <v>65.190978780891896</v>
      </c>
      <c r="C6066">
        <v>2001</v>
      </c>
    </row>
    <row r="6067" spans="1:11" x14ac:dyDescent="0.25">
      <c r="A6067">
        <v>91.184276082173099</v>
      </c>
      <c r="B6067">
        <v>65.864349606383797</v>
      </c>
      <c r="C6067">
        <v>2001</v>
      </c>
    </row>
    <row r="6068" spans="1:11" x14ac:dyDescent="0.25">
      <c r="A6068">
        <v>91.184276082173099</v>
      </c>
      <c r="B6068">
        <v>65.864349606383797</v>
      </c>
      <c r="C6068">
        <v>2000</v>
      </c>
    </row>
    <row r="6069" spans="1:11" x14ac:dyDescent="0.25">
      <c r="A6069" t="s">
        <v>87</v>
      </c>
    </row>
    <row r="6070" spans="1:11" x14ac:dyDescent="0.25">
      <c r="A6070">
        <v>85</v>
      </c>
      <c r="B6070">
        <v>0</v>
      </c>
      <c r="C6070">
        <v>0</v>
      </c>
      <c r="D6070">
        <v>0.95229015391693395</v>
      </c>
      <c r="E6070">
        <v>4</v>
      </c>
      <c r="F6070">
        <v>1.5707963267949001</v>
      </c>
      <c r="G6070" t="s">
        <v>88</v>
      </c>
      <c r="H6070" t="s">
        <v>89</v>
      </c>
      <c r="I6070">
        <v>977</v>
      </c>
      <c r="J6070">
        <v>0</v>
      </c>
      <c r="K6070">
        <v>0</v>
      </c>
    </row>
    <row r="6071" spans="1:11" x14ac:dyDescent="0.25">
      <c r="A6071" t="s">
        <v>86</v>
      </c>
    </row>
    <row r="6072" spans="1:11" x14ac:dyDescent="0.25">
      <c r="A6072">
        <v>85.783486317742401</v>
      </c>
      <c r="B6072">
        <v>50.655236072212098</v>
      </c>
      <c r="C6072">
        <v>2000</v>
      </c>
    </row>
    <row r="6073" spans="1:11" x14ac:dyDescent="0.25">
      <c r="A6073">
        <v>85.783486317742401</v>
      </c>
      <c r="B6073">
        <v>50.655236072212098</v>
      </c>
      <c r="C6073">
        <v>2001</v>
      </c>
    </row>
    <row r="6074" spans="1:11" x14ac:dyDescent="0.25">
      <c r="A6074">
        <v>86.456857143234203</v>
      </c>
      <c r="B6074">
        <v>51.328606897703899</v>
      </c>
      <c r="C6074">
        <v>2001</v>
      </c>
    </row>
    <row r="6075" spans="1:11" x14ac:dyDescent="0.25">
      <c r="A6075">
        <v>86.456857143234203</v>
      </c>
      <c r="B6075">
        <v>51.328606897703899</v>
      </c>
      <c r="C6075">
        <v>2000</v>
      </c>
    </row>
    <row r="6076" spans="1:11" x14ac:dyDescent="0.25">
      <c r="A6076" t="s">
        <v>87</v>
      </c>
    </row>
    <row r="6077" spans="1:11" x14ac:dyDescent="0.25">
      <c r="A6077">
        <v>97</v>
      </c>
      <c r="B6077">
        <v>0</v>
      </c>
      <c r="C6077">
        <v>0.95229015391693395</v>
      </c>
      <c r="D6077">
        <v>0</v>
      </c>
      <c r="E6077">
        <v>5</v>
      </c>
      <c r="F6077">
        <v>1.5707963267949001</v>
      </c>
      <c r="G6077" t="s">
        <v>89</v>
      </c>
      <c r="H6077" t="s">
        <v>88</v>
      </c>
      <c r="I6077">
        <v>0</v>
      </c>
      <c r="J6077">
        <v>836</v>
      </c>
      <c r="K6077">
        <v>0</v>
      </c>
    </row>
    <row r="6078" spans="1:11" x14ac:dyDescent="0.25">
      <c r="A6078" t="s">
        <v>86</v>
      </c>
    </row>
    <row r="6079" spans="1:11" x14ac:dyDescent="0.25">
      <c r="A6079">
        <v>84.661770628142094</v>
      </c>
      <c r="B6079">
        <v>94.794323386062999</v>
      </c>
      <c r="C6079">
        <v>2000</v>
      </c>
    </row>
    <row r="6080" spans="1:11" x14ac:dyDescent="0.25">
      <c r="A6080">
        <v>83.988399802650207</v>
      </c>
      <c r="B6080">
        <v>94.120952560571197</v>
      </c>
      <c r="C6080">
        <v>2000</v>
      </c>
    </row>
    <row r="6081" spans="1:11" x14ac:dyDescent="0.25">
      <c r="A6081">
        <v>83.988399802650207</v>
      </c>
      <c r="B6081">
        <v>94.120952560571197</v>
      </c>
      <c r="C6081">
        <v>2001</v>
      </c>
    </row>
    <row r="6082" spans="1:11" x14ac:dyDescent="0.25">
      <c r="A6082">
        <v>84.661770628142094</v>
      </c>
      <c r="B6082">
        <v>94.794323386062999</v>
      </c>
      <c r="C6082">
        <v>2001</v>
      </c>
    </row>
    <row r="6083" spans="1:11" x14ac:dyDescent="0.25">
      <c r="A6083">
        <v>84.661770628142094</v>
      </c>
      <c r="B6083">
        <v>94.794323386062999</v>
      </c>
      <c r="C6083">
        <v>2000</v>
      </c>
    </row>
    <row r="6084" spans="1:11" x14ac:dyDescent="0.25">
      <c r="A6084" t="s">
        <v>87</v>
      </c>
    </row>
    <row r="6085" spans="1:11" x14ac:dyDescent="0.25">
      <c r="A6085">
        <v>98</v>
      </c>
      <c r="B6085">
        <v>0</v>
      </c>
      <c r="C6085">
        <v>0</v>
      </c>
      <c r="D6085">
        <v>0.95229015391693395</v>
      </c>
      <c r="E6085">
        <v>4</v>
      </c>
      <c r="F6085">
        <v>1.5707963267949001</v>
      </c>
      <c r="G6085" t="s">
        <v>88</v>
      </c>
      <c r="H6085" t="s">
        <v>89</v>
      </c>
      <c r="I6085">
        <v>269</v>
      </c>
      <c r="J6085">
        <v>0</v>
      </c>
      <c r="K6085">
        <v>0</v>
      </c>
    </row>
    <row r="6086" spans="1:11" x14ac:dyDescent="0.25">
      <c r="A6086" t="s">
        <v>86</v>
      </c>
    </row>
    <row r="6087" spans="1:11" x14ac:dyDescent="0.25">
      <c r="A6087">
        <v>68.361351996828503</v>
      </c>
      <c r="B6087">
        <v>59.795816154124097</v>
      </c>
      <c r="C6087">
        <v>2000</v>
      </c>
    </row>
    <row r="6088" spans="1:11" x14ac:dyDescent="0.25">
      <c r="A6088">
        <v>68.361351996828503</v>
      </c>
      <c r="B6088">
        <v>59.795816154124097</v>
      </c>
      <c r="C6088">
        <v>2001</v>
      </c>
    </row>
    <row r="6089" spans="1:11" x14ac:dyDescent="0.25">
      <c r="A6089">
        <v>69.034722822320404</v>
      </c>
      <c r="B6089">
        <v>60.469186979615998</v>
      </c>
      <c r="C6089">
        <v>2001</v>
      </c>
    </row>
    <row r="6090" spans="1:11" x14ac:dyDescent="0.25">
      <c r="A6090">
        <v>69.034722822320404</v>
      </c>
      <c r="B6090">
        <v>60.469186979615998</v>
      </c>
      <c r="C6090">
        <v>2000</v>
      </c>
    </row>
    <row r="6091" spans="1:11" x14ac:dyDescent="0.25">
      <c r="A6091" t="s">
        <v>87</v>
      </c>
    </row>
    <row r="6092" spans="1:11" x14ac:dyDescent="0.25">
      <c r="A6092">
        <v>99</v>
      </c>
      <c r="B6092">
        <v>0</v>
      </c>
      <c r="C6092">
        <v>0.95229015391693395</v>
      </c>
      <c r="D6092">
        <v>0</v>
      </c>
      <c r="E6092">
        <v>5</v>
      </c>
      <c r="F6092">
        <v>1.5707963267949001</v>
      </c>
      <c r="G6092" t="s">
        <v>89</v>
      </c>
      <c r="H6092" t="s">
        <v>88</v>
      </c>
      <c r="I6092">
        <v>0</v>
      </c>
      <c r="J6092">
        <v>771</v>
      </c>
      <c r="K6092">
        <v>0</v>
      </c>
    </row>
    <row r="6093" spans="1:11" x14ac:dyDescent="0.25">
      <c r="A6093" t="s">
        <v>86</v>
      </c>
    </row>
    <row r="6094" spans="1:11" x14ac:dyDescent="0.25">
      <c r="A6094">
        <v>75.140672794143001</v>
      </c>
      <c r="B6094">
        <v>65.762572300509802</v>
      </c>
      <c r="C6094">
        <v>2000</v>
      </c>
    </row>
    <row r="6095" spans="1:11" x14ac:dyDescent="0.25">
      <c r="A6095">
        <v>74.467301968651199</v>
      </c>
      <c r="B6095">
        <v>65.089201475018001</v>
      </c>
      <c r="C6095">
        <v>2000</v>
      </c>
    </row>
    <row r="6096" spans="1:11" x14ac:dyDescent="0.25">
      <c r="A6096">
        <v>74.467301968651199</v>
      </c>
      <c r="B6096">
        <v>65.089201475018001</v>
      </c>
      <c r="C6096">
        <v>2001</v>
      </c>
    </row>
    <row r="6097" spans="1:11" x14ac:dyDescent="0.25">
      <c r="A6097">
        <v>75.140672794143001</v>
      </c>
      <c r="B6097">
        <v>65.762572300509802</v>
      </c>
      <c r="C6097">
        <v>2001</v>
      </c>
    </row>
    <row r="6098" spans="1:11" x14ac:dyDescent="0.25">
      <c r="A6098">
        <v>75.140672794143001</v>
      </c>
      <c r="B6098">
        <v>65.762572300509802</v>
      </c>
      <c r="C6098">
        <v>2000</v>
      </c>
    </row>
    <row r="6099" spans="1:11" x14ac:dyDescent="0.25">
      <c r="A6099" t="s">
        <v>87</v>
      </c>
    </row>
    <row r="6100" spans="1:11" x14ac:dyDescent="0.25">
      <c r="A6100">
        <v>488</v>
      </c>
      <c r="B6100">
        <v>0</v>
      </c>
      <c r="C6100">
        <v>0.95229015391693395</v>
      </c>
      <c r="D6100">
        <v>0</v>
      </c>
      <c r="E6100">
        <v>5</v>
      </c>
      <c r="F6100">
        <v>1.5707963267949001</v>
      </c>
      <c r="G6100" t="s">
        <v>89</v>
      </c>
      <c r="H6100" t="s">
        <v>88</v>
      </c>
      <c r="I6100">
        <v>0</v>
      </c>
      <c r="J6100">
        <v>949</v>
      </c>
      <c r="K6100">
        <v>0</v>
      </c>
    </row>
    <row r="6101" spans="1:11" x14ac:dyDescent="0.25">
      <c r="A6101" t="s">
        <v>86</v>
      </c>
    </row>
    <row r="6102" spans="1:11" x14ac:dyDescent="0.25">
      <c r="A6102">
        <v>41.137305968970701</v>
      </c>
      <c r="B6102">
        <v>95.802438885812904</v>
      </c>
      <c r="C6102">
        <v>2000</v>
      </c>
    </row>
    <row r="6103" spans="1:11" x14ac:dyDescent="0.25">
      <c r="A6103">
        <v>40.4639351434788</v>
      </c>
      <c r="B6103">
        <v>95.129068060321003</v>
      </c>
      <c r="C6103">
        <v>2000</v>
      </c>
    </row>
    <row r="6104" spans="1:11" x14ac:dyDescent="0.25">
      <c r="A6104">
        <v>40.4639351434788</v>
      </c>
      <c r="B6104">
        <v>95.129068060321003</v>
      </c>
      <c r="C6104">
        <v>2001</v>
      </c>
    </row>
    <row r="6105" spans="1:11" x14ac:dyDescent="0.25">
      <c r="A6105">
        <v>41.137305968970701</v>
      </c>
      <c r="B6105">
        <v>95.802438885812904</v>
      </c>
      <c r="C6105">
        <v>2001</v>
      </c>
    </row>
    <row r="6106" spans="1:11" x14ac:dyDescent="0.25">
      <c r="A6106">
        <v>41.137305968970701</v>
      </c>
      <c r="B6106">
        <v>95.802438885812904</v>
      </c>
      <c r="C6106">
        <v>2000</v>
      </c>
    </row>
    <row r="6107" spans="1:11" x14ac:dyDescent="0.25">
      <c r="A6107" t="s">
        <v>87</v>
      </c>
    </row>
    <row r="6108" spans="1:11" x14ac:dyDescent="0.25">
      <c r="A6108">
        <v>485</v>
      </c>
      <c r="B6108">
        <v>0</v>
      </c>
      <c r="C6108">
        <v>0.95229015391693395</v>
      </c>
      <c r="D6108">
        <v>0</v>
      </c>
      <c r="E6108">
        <v>5</v>
      </c>
      <c r="F6108">
        <v>1.5707963267949001</v>
      </c>
      <c r="G6108" t="s">
        <v>89</v>
      </c>
      <c r="H6108" t="s">
        <v>88</v>
      </c>
      <c r="I6108">
        <v>0</v>
      </c>
      <c r="J6108">
        <v>972</v>
      </c>
      <c r="K6108">
        <v>0</v>
      </c>
    </row>
    <row r="6109" spans="1:11" x14ac:dyDescent="0.25">
      <c r="A6109" t="s">
        <v>86</v>
      </c>
    </row>
    <row r="6110" spans="1:11" x14ac:dyDescent="0.25">
      <c r="A6110">
        <v>42.7925492836128</v>
      </c>
      <c r="B6110">
        <v>56.053841722222899</v>
      </c>
      <c r="C6110">
        <v>2000</v>
      </c>
    </row>
    <row r="6111" spans="1:11" x14ac:dyDescent="0.25">
      <c r="A6111">
        <v>42.119178458120899</v>
      </c>
      <c r="B6111">
        <v>55.380470896731097</v>
      </c>
      <c r="C6111">
        <v>2000</v>
      </c>
    </row>
    <row r="6112" spans="1:11" x14ac:dyDescent="0.25">
      <c r="A6112">
        <v>42.119178458120899</v>
      </c>
      <c r="B6112">
        <v>55.380470896731097</v>
      </c>
      <c r="C6112">
        <v>2001</v>
      </c>
    </row>
    <row r="6113" spans="1:11" x14ac:dyDescent="0.25">
      <c r="A6113">
        <v>42.7925492836128</v>
      </c>
      <c r="B6113">
        <v>56.053841722222899</v>
      </c>
      <c r="C6113">
        <v>2001</v>
      </c>
    </row>
    <row r="6114" spans="1:11" x14ac:dyDescent="0.25">
      <c r="A6114">
        <v>42.7925492836128</v>
      </c>
      <c r="B6114">
        <v>56.053841722222899</v>
      </c>
      <c r="C6114">
        <v>2000</v>
      </c>
    </row>
    <row r="6115" spans="1:11" x14ac:dyDescent="0.25">
      <c r="A6115" t="s">
        <v>87</v>
      </c>
    </row>
    <row r="6116" spans="1:11" x14ac:dyDescent="0.25">
      <c r="A6116">
        <v>483</v>
      </c>
      <c r="B6116">
        <v>0</v>
      </c>
      <c r="C6116">
        <v>0.95229015391693395</v>
      </c>
      <c r="D6116">
        <v>0</v>
      </c>
      <c r="E6116">
        <v>5</v>
      </c>
      <c r="F6116">
        <v>1.5707963267949001</v>
      </c>
      <c r="G6116" t="s">
        <v>89</v>
      </c>
      <c r="H6116" t="s">
        <v>88</v>
      </c>
      <c r="I6116">
        <v>0</v>
      </c>
      <c r="J6116">
        <v>726</v>
      </c>
      <c r="K6116">
        <v>0</v>
      </c>
    </row>
    <row r="6117" spans="1:11" x14ac:dyDescent="0.25">
      <c r="A6117" t="s">
        <v>86</v>
      </c>
    </row>
    <row r="6118" spans="1:11" x14ac:dyDescent="0.25">
      <c r="A6118">
        <v>16.959364464021899</v>
      </c>
      <c r="B6118">
        <v>82.335627094067505</v>
      </c>
      <c r="C6118">
        <v>2000</v>
      </c>
    </row>
    <row r="6119" spans="1:11" x14ac:dyDescent="0.25">
      <c r="A6119">
        <v>16.285993638530101</v>
      </c>
      <c r="B6119">
        <v>81.662256268575604</v>
      </c>
      <c r="C6119">
        <v>2000</v>
      </c>
    </row>
    <row r="6120" spans="1:11" x14ac:dyDescent="0.25">
      <c r="A6120">
        <v>16.285993638530101</v>
      </c>
      <c r="B6120">
        <v>81.662256268575604</v>
      </c>
      <c r="C6120">
        <v>2001</v>
      </c>
    </row>
    <row r="6121" spans="1:11" x14ac:dyDescent="0.25">
      <c r="A6121">
        <v>16.959364464021899</v>
      </c>
      <c r="B6121">
        <v>82.335627094067505</v>
      </c>
      <c r="C6121">
        <v>2001</v>
      </c>
    </row>
    <row r="6122" spans="1:11" x14ac:dyDescent="0.25">
      <c r="A6122">
        <v>16.959364464021899</v>
      </c>
      <c r="B6122">
        <v>82.335627094067505</v>
      </c>
      <c r="C6122">
        <v>2000</v>
      </c>
    </row>
    <row r="6123" spans="1:11" x14ac:dyDescent="0.25">
      <c r="A6123" t="s">
        <v>87</v>
      </c>
    </row>
    <row r="6124" spans="1:11" x14ac:dyDescent="0.25">
      <c r="A6124">
        <v>482</v>
      </c>
      <c r="B6124">
        <v>0</v>
      </c>
      <c r="C6124">
        <v>0.95229015391693395</v>
      </c>
      <c r="D6124">
        <v>0</v>
      </c>
      <c r="E6124">
        <v>5</v>
      </c>
      <c r="F6124">
        <v>1.5707963267949001</v>
      </c>
      <c r="G6124" t="s">
        <v>89</v>
      </c>
      <c r="H6124" t="s">
        <v>88</v>
      </c>
      <c r="I6124">
        <v>0</v>
      </c>
      <c r="J6124">
        <v>1012</v>
      </c>
      <c r="K6124">
        <v>0</v>
      </c>
    </row>
    <row r="6125" spans="1:11" x14ac:dyDescent="0.25">
      <c r="A6125" t="s">
        <v>86</v>
      </c>
    </row>
    <row r="6126" spans="1:11" x14ac:dyDescent="0.25">
      <c r="A6126">
        <v>41.836170452570599</v>
      </c>
      <c r="B6126">
        <v>75.365082768427698</v>
      </c>
      <c r="C6126">
        <v>2000</v>
      </c>
    </row>
    <row r="6127" spans="1:11" x14ac:dyDescent="0.25">
      <c r="A6127">
        <v>41.162799627078797</v>
      </c>
      <c r="B6127">
        <v>74.691711942935896</v>
      </c>
      <c r="C6127">
        <v>2000</v>
      </c>
    </row>
    <row r="6128" spans="1:11" x14ac:dyDescent="0.25">
      <c r="A6128">
        <v>41.162799627078797</v>
      </c>
      <c r="B6128">
        <v>74.691711942935896</v>
      </c>
      <c r="C6128">
        <v>2001</v>
      </c>
    </row>
    <row r="6129" spans="1:11" x14ac:dyDescent="0.25">
      <c r="A6129">
        <v>41.836170452570599</v>
      </c>
      <c r="B6129">
        <v>75.365082768427698</v>
      </c>
      <c r="C6129">
        <v>2001</v>
      </c>
    </row>
    <row r="6130" spans="1:11" x14ac:dyDescent="0.25">
      <c r="A6130">
        <v>41.836170452570599</v>
      </c>
      <c r="B6130">
        <v>75.365082768427698</v>
      </c>
      <c r="C6130">
        <v>2000</v>
      </c>
    </row>
    <row r="6131" spans="1:11" x14ac:dyDescent="0.25">
      <c r="A6131" t="s">
        <v>87</v>
      </c>
    </row>
    <row r="6132" spans="1:11" x14ac:dyDescent="0.25">
      <c r="A6132">
        <v>563</v>
      </c>
      <c r="B6132">
        <v>0</v>
      </c>
      <c r="C6132">
        <v>0</v>
      </c>
      <c r="D6132">
        <v>0.95229015391693395</v>
      </c>
      <c r="E6132">
        <v>4</v>
      </c>
      <c r="F6132">
        <v>1.5707963267949001</v>
      </c>
      <c r="G6132" t="s">
        <v>88</v>
      </c>
      <c r="H6132" t="s">
        <v>89</v>
      </c>
      <c r="I6132">
        <v>597</v>
      </c>
      <c r="J6132">
        <v>0</v>
      </c>
      <c r="K6132">
        <v>0</v>
      </c>
    </row>
    <row r="6133" spans="1:11" x14ac:dyDescent="0.25">
      <c r="A6133" t="s">
        <v>86</v>
      </c>
    </row>
    <row r="6134" spans="1:11" x14ac:dyDescent="0.25">
      <c r="A6134">
        <v>25.0812670099927</v>
      </c>
      <c r="B6134">
        <v>146.255658332378</v>
      </c>
      <c r="C6134">
        <v>2000</v>
      </c>
    </row>
    <row r="6135" spans="1:11" x14ac:dyDescent="0.25">
      <c r="A6135">
        <v>25.0812670099927</v>
      </c>
      <c r="B6135">
        <v>146.255658332378</v>
      </c>
      <c r="C6135">
        <v>2001</v>
      </c>
    </row>
    <row r="6136" spans="1:11" x14ac:dyDescent="0.25">
      <c r="A6136">
        <v>25.754637835484601</v>
      </c>
      <c r="B6136">
        <v>146.929029157869</v>
      </c>
      <c r="C6136">
        <v>2001</v>
      </c>
    </row>
    <row r="6137" spans="1:11" x14ac:dyDescent="0.25">
      <c r="A6137">
        <v>25.754637835484601</v>
      </c>
      <c r="B6137">
        <v>146.929029157869</v>
      </c>
      <c r="C6137">
        <v>2000</v>
      </c>
    </row>
    <row r="6138" spans="1:11" x14ac:dyDescent="0.25">
      <c r="A6138" t="s">
        <v>87</v>
      </c>
    </row>
    <row r="6139" spans="1:11" x14ac:dyDescent="0.25">
      <c r="A6139">
        <v>419</v>
      </c>
      <c r="B6139">
        <v>0</v>
      </c>
      <c r="C6139">
        <v>0</v>
      </c>
      <c r="D6139">
        <v>0.95229015391693395</v>
      </c>
      <c r="E6139">
        <v>4</v>
      </c>
      <c r="F6139">
        <v>1.5707963267949001</v>
      </c>
      <c r="G6139" t="s">
        <v>88</v>
      </c>
      <c r="H6139" t="s">
        <v>89</v>
      </c>
      <c r="I6139">
        <v>923</v>
      </c>
      <c r="J6139">
        <v>0</v>
      </c>
      <c r="K6139">
        <v>0</v>
      </c>
    </row>
    <row r="6140" spans="1:11" x14ac:dyDescent="0.25">
      <c r="A6140" t="s">
        <v>86</v>
      </c>
    </row>
    <row r="6141" spans="1:11" x14ac:dyDescent="0.25">
      <c r="A6141">
        <v>122.236595452873</v>
      </c>
      <c r="B6141">
        <v>17.407247036419498</v>
      </c>
      <c r="C6141">
        <v>2000</v>
      </c>
    </row>
    <row r="6142" spans="1:11" x14ac:dyDescent="0.25">
      <c r="A6142">
        <v>122.236595452873</v>
      </c>
      <c r="B6142">
        <v>17.407247036419498</v>
      </c>
      <c r="C6142">
        <v>2001</v>
      </c>
    </row>
    <row r="6143" spans="1:11" x14ac:dyDescent="0.25">
      <c r="A6143">
        <v>122.909966278365</v>
      </c>
      <c r="B6143">
        <v>18.0806178619113</v>
      </c>
      <c r="C6143">
        <v>2001</v>
      </c>
    </row>
    <row r="6144" spans="1:11" x14ac:dyDescent="0.25">
      <c r="A6144">
        <v>122.909966278365</v>
      </c>
      <c r="B6144">
        <v>18.0806178619113</v>
      </c>
      <c r="C6144">
        <v>2000</v>
      </c>
    </row>
    <row r="6145" spans="1:11" x14ac:dyDescent="0.25">
      <c r="A6145" t="s">
        <v>87</v>
      </c>
    </row>
    <row r="6146" spans="1:11" x14ac:dyDescent="0.25">
      <c r="A6146">
        <v>565</v>
      </c>
      <c r="B6146">
        <v>0</v>
      </c>
      <c r="C6146">
        <v>0</v>
      </c>
      <c r="D6146">
        <v>0.95229015391693395</v>
      </c>
      <c r="E6146">
        <v>4</v>
      </c>
      <c r="F6146">
        <v>1.5707963267949001</v>
      </c>
      <c r="G6146" t="s">
        <v>88</v>
      </c>
      <c r="H6146" t="s">
        <v>89</v>
      </c>
      <c r="I6146">
        <v>822</v>
      </c>
      <c r="J6146">
        <v>0</v>
      </c>
      <c r="K6146">
        <v>0</v>
      </c>
    </row>
    <row r="6147" spans="1:11" x14ac:dyDescent="0.25">
      <c r="A6147" t="s">
        <v>86</v>
      </c>
    </row>
    <row r="6148" spans="1:11" x14ac:dyDescent="0.25">
      <c r="A6148">
        <v>29.670851388792901</v>
      </c>
      <c r="B6148">
        <v>141.77870440379701</v>
      </c>
      <c r="C6148">
        <v>2000</v>
      </c>
    </row>
    <row r="6149" spans="1:11" x14ac:dyDescent="0.25">
      <c r="A6149">
        <v>29.670851388792901</v>
      </c>
      <c r="B6149">
        <v>141.77870440379701</v>
      </c>
      <c r="C6149">
        <v>2001</v>
      </c>
    </row>
    <row r="6150" spans="1:11" x14ac:dyDescent="0.25">
      <c r="A6150">
        <v>30.344222214284699</v>
      </c>
      <c r="B6150">
        <v>142.452075229288</v>
      </c>
      <c r="C6150">
        <v>2001</v>
      </c>
    </row>
    <row r="6151" spans="1:11" x14ac:dyDescent="0.25">
      <c r="A6151">
        <v>30.344222214284699</v>
      </c>
      <c r="B6151">
        <v>142.452075229288</v>
      </c>
      <c r="C6151">
        <v>2000</v>
      </c>
    </row>
    <row r="6152" spans="1:11" x14ac:dyDescent="0.25">
      <c r="A6152" t="s">
        <v>87</v>
      </c>
    </row>
    <row r="6153" spans="1:11" x14ac:dyDescent="0.25">
      <c r="A6153">
        <v>416</v>
      </c>
      <c r="B6153">
        <v>0</v>
      </c>
      <c r="C6153">
        <v>0.95229015391693395</v>
      </c>
      <c r="D6153">
        <v>0</v>
      </c>
      <c r="E6153">
        <v>5</v>
      </c>
      <c r="F6153">
        <v>1.5707963267949001</v>
      </c>
      <c r="G6153" t="s">
        <v>89</v>
      </c>
      <c r="H6153" t="s">
        <v>88</v>
      </c>
      <c r="I6153">
        <v>0</v>
      </c>
      <c r="J6153">
        <v>430</v>
      </c>
      <c r="K6153">
        <v>0</v>
      </c>
    </row>
    <row r="6154" spans="1:11" x14ac:dyDescent="0.25">
      <c r="A6154" t="s">
        <v>86</v>
      </c>
    </row>
    <row r="6155" spans="1:11" x14ac:dyDescent="0.25">
      <c r="A6155">
        <v>137.325392215199</v>
      </c>
      <c r="B6155">
        <v>35.824628028005698</v>
      </c>
      <c r="C6155">
        <v>2000</v>
      </c>
    </row>
    <row r="6156" spans="1:11" x14ac:dyDescent="0.25">
      <c r="A6156">
        <v>136.65202138970699</v>
      </c>
      <c r="B6156">
        <v>35.151257202513797</v>
      </c>
      <c r="C6156">
        <v>2000</v>
      </c>
    </row>
    <row r="6157" spans="1:11" x14ac:dyDescent="0.25">
      <c r="A6157">
        <v>136.65202138970699</v>
      </c>
      <c r="B6157">
        <v>35.151257202513797</v>
      </c>
      <c r="C6157">
        <v>2001</v>
      </c>
    </row>
    <row r="6158" spans="1:11" x14ac:dyDescent="0.25">
      <c r="A6158">
        <v>137.325392215199</v>
      </c>
      <c r="B6158">
        <v>35.824628028005698</v>
      </c>
      <c r="C6158">
        <v>2001</v>
      </c>
    </row>
    <row r="6159" spans="1:11" x14ac:dyDescent="0.25">
      <c r="A6159">
        <v>137.325392215199</v>
      </c>
      <c r="B6159">
        <v>35.824628028005698</v>
      </c>
      <c r="C6159">
        <v>2000</v>
      </c>
    </row>
    <row r="6160" spans="1:11" x14ac:dyDescent="0.25">
      <c r="A6160" t="s">
        <v>87</v>
      </c>
    </row>
    <row r="6161" spans="1:11" x14ac:dyDescent="0.25">
      <c r="A6161">
        <v>567</v>
      </c>
      <c r="B6161">
        <v>0</v>
      </c>
      <c r="C6161">
        <v>0</v>
      </c>
      <c r="D6161">
        <v>0.95229015391693395</v>
      </c>
      <c r="E6161">
        <v>4</v>
      </c>
      <c r="F6161">
        <v>1.5707963267949001</v>
      </c>
      <c r="G6161" t="s">
        <v>88</v>
      </c>
      <c r="H6161" t="s">
        <v>89</v>
      </c>
      <c r="I6161">
        <v>768</v>
      </c>
      <c r="J6161">
        <v>0</v>
      </c>
      <c r="K6161">
        <v>0</v>
      </c>
    </row>
    <row r="6162" spans="1:11" x14ac:dyDescent="0.25">
      <c r="A6162" t="s">
        <v>86</v>
      </c>
    </row>
    <row r="6163" spans="1:11" x14ac:dyDescent="0.25">
      <c r="A6163">
        <v>33.964040658419997</v>
      </c>
      <c r="B6163">
        <v>104.72790398855101</v>
      </c>
      <c r="C6163">
        <v>2000</v>
      </c>
    </row>
    <row r="6164" spans="1:11" x14ac:dyDescent="0.25">
      <c r="A6164">
        <v>33.964040658419997</v>
      </c>
      <c r="B6164">
        <v>104.72790398855101</v>
      </c>
      <c r="C6164">
        <v>2001</v>
      </c>
    </row>
    <row r="6165" spans="1:11" x14ac:dyDescent="0.25">
      <c r="A6165">
        <v>34.637411483911798</v>
      </c>
      <c r="B6165">
        <v>105.40127481404301</v>
      </c>
      <c r="C6165">
        <v>2001</v>
      </c>
    </row>
    <row r="6166" spans="1:11" x14ac:dyDescent="0.25">
      <c r="A6166">
        <v>34.637411483911798</v>
      </c>
      <c r="B6166">
        <v>105.40127481404301</v>
      </c>
      <c r="C6166">
        <v>2000</v>
      </c>
    </row>
    <row r="6167" spans="1:11" x14ac:dyDescent="0.25">
      <c r="A6167" t="s">
        <v>87</v>
      </c>
    </row>
    <row r="6168" spans="1:11" x14ac:dyDescent="0.25">
      <c r="A6168">
        <v>496</v>
      </c>
      <c r="B6168">
        <v>0</v>
      </c>
      <c r="C6168">
        <v>0.95229015391693395</v>
      </c>
      <c r="D6168">
        <v>0</v>
      </c>
      <c r="E6168">
        <v>5</v>
      </c>
      <c r="F6168">
        <v>1.5707963267949001</v>
      </c>
      <c r="G6168" t="s">
        <v>89</v>
      </c>
      <c r="H6168" t="s">
        <v>88</v>
      </c>
      <c r="I6168">
        <v>0</v>
      </c>
      <c r="J6168">
        <v>481</v>
      </c>
      <c r="K6168">
        <v>0</v>
      </c>
    </row>
    <row r="6169" spans="1:11" x14ac:dyDescent="0.25">
      <c r="A6169" t="s">
        <v>86</v>
      </c>
    </row>
    <row r="6170" spans="1:11" x14ac:dyDescent="0.25">
      <c r="A6170">
        <v>33.937300454796002</v>
      </c>
      <c r="B6170">
        <v>92.414778746857706</v>
      </c>
      <c r="C6170">
        <v>2000</v>
      </c>
    </row>
    <row r="6171" spans="1:11" x14ac:dyDescent="0.25">
      <c r="A6171">
        <v>33.263929629304101</v>
      </c>
      <c r="B6171">
        <v>91.741407921365806</v>
      </c>
      <c r="C6171">
        <v>2000</v>
      </c>
    </row>
    <row r="6172" spans="1:11" x14ac:dyDescent="0.25">
      <c r="A6172">
        <v>33.263929629304101</v>
      </c>
      <c r="B6172">
        <v>91.741407921365806</v>
      </c>
      <c r="C6172">
        <v>2001</v>
      </c>
    </row>
    <row r="6173" spans="1:11" x14ac:dyDescent="0.25">
      <c r="A6173">
        <v>33.937300454796002</v>
      </c>
      <c r="B6173">
        <v>92.414778746857706</v>
      </c>
      <c r="C6173">
        <v>2001</v>
      </c>
    </row>
    <row r="6174" spans="1:11" x14ac:dyDescent="0.25">
      <c r="A6174">
        <v>33.937300454796002</v>
      </c>
      <c r="B6174">
        <v>92.414778746857706</v>
      </c>
      <c r="C6174">
        <v>2000</v>
      </c>
    </row>
    <row r="6175" spans="1:11" x14ac:dyDescent="0.25">
      <c r="A6175" t="s">
        <v>87</v>
      </c>
    </row>
    <row r="6176" spans="1:11" x14ac:dyDescent="0.25">
      <c r="A6176">
        <v>413</v>
      </c>
      <c r="B6176">
        <v>0</v>
      </c>
      <c r="C6176">
        <v>0.95229015391693395</v>
      </c>
      <c r="D6176">
        <v>0</v>
      </c>
      <c r="E6176">
        <v>5</v>
      </c>
      <c r="F6176">
        <v>1.5707963267949001</v>
      </c>
      <c r="G6176" t="s">
        <v>89</v>
      </c>
      <c r="H6176" t="s">
        <v>88</v>
      </c>
      <c r="I6176">
        <v>0</v>
      </c>
      <c r="J6176">
        <v>1021</v>
      </c>
      <c r="K6176">
        <v>0</v>
      </c>
    </row>
    <row r="6177" spans="1:11" x14ac:dyDescent="0.25">
      <c r="A6177" t="s">
        <v>86</v>
      </c>
    </row>
    <row r="6178" spans="1:11" x14ac:dyDescent="0.25">
      <c r="A6178">
        <v>137.82028080328399</v>
      </c>
      <c r="B6178">
        <v>2.7607127571295398</v>
      </c>
      <c r="C6178">
        <v>2000</v>
      </c>
    </row>
    <row r="6179" spans="1:11" x14ac:dyDescent="0.25">
      <c r="A6179">
        <v>137.14690997779201</v>
      </c>
      <c r="B6179">
        <v>2.0873419316377002</v>
      </c>
      <c r="C6179">
        <v>2000</v>
      </c>
    </row>
    <row r="6180" spans="1:11" x14ac:dyDescent="0.25">
      <c r="A6180">
        <v>137.14690997779201</v>
      </c>
      <c r="B6180">
        <v>2.0873419316377002</v>
      </c>
      <c r="C6180">
        <v>2001</v>
      </c>
    </row>
    <row r="6181" spans="1:11" x14ac:dyDescent="0.25">
      <c r="A6181">
        <v>137.82028080328399</v>
      </c>
      <c r="B6181">
        <v>2.7607127571295398</v>
      </c>
      <c r="C6181">
        <v>2001</v>
      </c>
    </row>
    <row r="6182" spans="1:11" x14ac:dyDescent="0.25">
      <c r="A6182">
        <v>137.82028080328399</v>
      </c>
      <c r="B6182">
        <v>2.7607127571295398</v>
      </c>
      <c r="C6182">
        <v>2000</v>
      </c>
    </row>
    <row r="6183" spans="1:11" x14ac:dyDescent="0.25">
      <c r="A6183" t="s">
        <v>87</v>
      </c>
    </row>
    <row r="6184" spans="1:11" x14ac:dyDescent="0.25">
      <c r="A6184">
        <v>407</v>
      </c>
      <c r="B6184">
        <v>0</v>
      </c>
      <c r="C6184">
        <v>0.95229015391693395</v>
      </c>
      <c r="D6184">
        <v>0</v>
      </c>
      <c r="E6184">
        <v>5</v>
      </c>
      <c r="F6184">
        <v>1.5707963267949001</v>
      </c>
      <c r="G6184" t="s">
        <v>89</v>
      </c>
      <c r="H6184" t="s">
        <v>88</v>
      </c>
      <c r="I6184">
        <v>0</v>
      </c>
      <c r="J6184">
        <v>966</v>
      </c>
      <c r="K6184">
        <v>0</v>
      </c>
    </row>
    <row r="6185" spans="1:11" x14ac:dyDescent="0.25">
      <c r="A6185" t="s">
        <v>86</v>
      </c>
    </row>
    <row r="6186" spans="1:11" x14ac:dyDescent="0.25">
      <c r="A6186">
        <v>139.53285749979901</v>
      </c>
      <c r="B6186">
        <v>15.7503729060992</v>
      </c>
      <c r="C6186">
        <v>2000</v>
      </c>
    </row>
    <row r="6187" spans="1:11" x14ac:dyDescent="0.25">
      <c r="A6187">
        <v>138.85948667430699</v>
      </c>
      <c r="B6187">
        <v>15.0770020806074</v>
      </c>
      <c r="C6187">
        <v>2000</v>
      </c>
    </row>
    <row r="6188" spans="1:11" x14ac:dyDescent="0.25">
      <c r="A6188">
        <v>138.85948667430699</v>
      </c>
      <c r="B6188">
        <v>15.0770020806074</v>
      </c>
      <c r="C6188">
        <v>2001</v>
      </c>
    </row>
    <row r="6189" spans="1:11" x14ac:dyDescent="0.25">
      <c r="A6189">
        <v>139.53285749979901</v>
      </c>
      <c r="B6189">
        <v>15.7503729060992</v>
      </c>
      <c r="C6189">
        <v>2001</v>
      </c>
    </row>
    <row r="6190" spans="1:11" x14ac:dyDescent="0.25">
      <c r="A6190">
        <v>139.53285749979901</v>
      </c>
      <c r="B6190">
        <v>15.7503729060992</v>
      </c>
      <c r="C6190">
        <v>2000</v>
      </c>
    </row>
    <row r="6191" spans="1:11" x14ac:dyDescent="0.25">
      <c r="A6191" t="s">
        <v>87</v>
      </c>
    </row>
    <row r="6192" spans="1:11" x14ac:dyDescent="0.25">
      <c r="A6192">
        <v>568</v>
      </c>
      <c r="B6192">
        <v>0</v>
      </c>
      <c r="C6192">
        <v>0</v>
      </c>
      <c r="D6192">
        <v>0.95229015391693395</v>
      </c>
      <c r="E6192">
        <v>4</v>
      </c>
      <c r="F6192">
        <v>1.5707963267949001</v>
      </c>
      <c r="G6192" t="s">
        <v>88</v>
      </c>
      <c r="H6192" t="s">
        <v>89</v>
      </c>
      <c r="I6192">
        <v>599</v>
      </c>
      <c r="J6192">
        <v>0</v>
      </c>
      <c r="K6192">
        <v>0</v>
      </c>
    </row>
    <row r="6193" spans="1:11" x14ac:dyDescent="0.25">
      <c r="A6193" t="s">
        <v>86</v>
      </c>
    </row>
    <row r="6194" spans="1:11" x14ac:dyDescent="0.25">
      <c r="A6194">
        <v>35.327482659056599</v>
      </c>
      <c r="B6194">
        <v>120.953943706562</v>
      </c>
      <c r="C6194">
        <v>2000</v>
      </c>
    </row>
    <row r="6195" spans="1:11" x14ac:dyDescent="0.25">
      <c r="A6195">
        <v>35.327482659056599</v>
      </c>
      <c r="B6195">
        <v>120.953943706562</v>
      </c>
      <c r="C6195">
        <v>2001</v>
      </c>
    </row>
    <row r="6196" spans="1:11" x14ac:dyDescent="0.25">
      <c r="A6196">
        <v>36.000853484548401</v>
      </c>
      <c r="B6196">
        <v>121.627314532054</v>
      </c>
      <c r="C6196">
        <v>2001</v>
      </c>
    </row>
    <row r="6197" spans="1:11" x14ac:dyDescent="0.25">
      <c r="A6197">
        <v>36.000853484548401</v>
      </c>
      <c r="B6197">
        <v>121.627314532054</v>
      </c>
      <c r="C6197">
        <v>2000</v>
      </c>
    </row>
    <row r="6198" spans="1:11" x14ac:dyDescent="0.25">
      <c r="A6198" t="s">
        <v>87</v>
      </c>
    </row>
    <row r="6199" spans="1:11" x14ac:dyDescent="0.25">
      <c r="A6199">
        <v>405</v>
      </c>
      <c r="B6199">
        <v>0</v>
      </c>
      <c r="C6199">
        <v>0</v>
      </c>
      <c r="D6199">
        <v>0.95229015391693395</v>
      </c>
      <c r="E6199">
        <v>4</v>
      </c>
      <c r="F6199">
        <v>1.5707963267949001</v>
      </c>
      <c r="G6199" t="s">
        <v>88</v>
      </c>
      <c r="H6199" t="s">
        <v>89</v>
      </c>
      <c r="I6199">
        <v>440</v>
      </c>
      <c r="J6199">
        <v>0</v>
      </c>
      <c r="K6199">
        <v>0</v>
      </c>
    </row>
    <row r="6200" spans="1:11" x14ac:dyDescent="0.25">
      <c r="A6200" t="s">
        <v>86</v>
      </c>
    </row>
    <row r="6201" spans="1:11" x14ac:dyDescent="0.25">
      <c r="A6201">
        <v>139.33100786028899</v>
      </c>
      <c r="B6201">
        <v>28.406801809746199</v>
      </c>
      <c r="C6201">
        <v>2000</v>
      </c>
    </row>
    <row r="6202" spans="1:11" x14ac:dyDescent="0.25">
      <c r="A6202">
        <v>139.33100786028899</v>
      </c>
      <c r="B6202">
        <v>28.406801809746199</v>
      </c>
      <c r="C6202">
        <v>2001</v>
      </c>
    </row>
    <row r="6203" spans="1:11" x14ac:dyDescent="0.25">
      <c r="A6203">
        <v>140.00437868578101</v>
      </c>
      <c r="B6203">
        <v>29.0801726352381</v>
      </c>
      <c r="C6203">
        <v>2001</v>
      </c>
    </row>
    <row r="6204" spans="1:11" x14ac:dyDescent="0.25">
      <c r="A6204">
        <v>140.00437868578101</v>
      </c>
      <c r="B6204">
        <v>29.0801726352381</v>
      </c>
      <c r="C6204">
        <v>2000</v>
      </c>
    </row>
    <row r="6205" spans="1:11" x14ac:dyDescent="0.25">
      <c r="A6205" t="s">
        <v>87</v>
      </c>
    </row>
    <row r="6206" spans="1:11" x14ac:dyDescent="0.25">
      <c r="A6206">
        <v>166</v>
      </c>
      <c r="B6206">
        <v>0</v>
      </c>
      <c r="C6206">
        <v>0</v>
      </c>
      <c r="D6206">
        <v>0.95229015391693395</v>
      </c>
      <c r="E6206">
        <v>4</v>
      </c>
      <c r="F6206">
        <v>1.5707963267949001</v>
      </c>
      <c r="G6206" t="s">
        <v>88</v>
      </c>
      <c r="H6206" t="s">
        <v>89</v>
      </c>
      <c r="I6206">
        <v>752</v>
      </c>
      <c r="J6206">
        <v>0</v>
      </c>
      <c r="K6206">
        <v>0</v>
      </c>
    </row>
    <row r="6207" spans="1:11" x14ac:dyDescent="0.25">
      <c r="A6207" t="s">
        <v>86</v>
      </c>
    </row>
    <row r="6208" spans="1:11" x14ac:dyDescent="0.25">
      <c r="A6208">
        <v>106.856593376424</v>
      </c>
      <c r="B6208">
        <v>63.919985906183697</v>
      </c>
      <c r="C6208">
        <v>2000</v>
      </c>
    </row>
    <row r="6209" spans="1:11" x14ac:dyDescent="0.25">
      <c r="A6209">
        <v>106.856593376424</v>
      </c>
      <c r="B6209">
        <v>63.919985906183697</v>
      </c>
      <c r="C6209">
        <v>2001</v>
      </c>
    </row>
    <row r="6210" spans="1:11" x14ac:dyDescent="0.25">
      <c r="A6210">
        <v>107.529964201916</v>
      </c>
      <c r="B6210">
        <v>64.593356731675598</v>
      </c>
      <c r="C6210">
        <v>2001</v>
      </c>
    </row>
    <row r="6211" spans="1:11" x14ac:dyDescent="0.25">
      <c r="A6211">
        <v>107.529964201916</v>
      </c>
      <c r="B6211">
        <v>64.593356731675598</v>
      </c>
      <c r="C6211">
        <v>2000</v>
      </c>
    </row>
    <row r="6212" spans="1:11" x14ac:dyDescent="0.25">
      <c r="A6212" t="s">
        <v>87</v>
      </c>
    </row>
    <row r="6213" spans="1:11" x14ac:dyDescent="0.25">
      <c r="A6213">
        <v>241</v>
      </c>
      <c r="B6213">
        <v>0</v>
      </c>
      <c r="C6213">
        <v>0</v>
      </c>
      <c r="D6213">
        <v>0.95229015391693395</v>
      </c>
      <c r="E6213">
        <v>4</v>
      </c>
      <c r="F6213">
        <v>1.5707963267949001</v>
      </c>
      <c r="G6213" t="s">
        <v>88</v>
      </c>
      <c r="H6213" t="s">
        <v>89</v>
      </c>
      <c r="I6213">
        <v>825</v>
      </c>
      <c r="J6213">
        <v>0</v>
      </c>
      <c r="K6213">
        <v>0</v>
      </c>
    </row>
    <row r="6214" spans="1:11" x14ac:dyDescent="0.25">
      <c r="A6214" t="s">
        <v>86</v>
      </c>
    </row>
    <row r="6215" spans="1:11" x14ac:dyDescent="0.25">
      <c r="A6215">
        <v>62.013955536304898</v>
      </c>
      <c r="B6215">
        <v>36.220652277684103</v>
      </c>
      <c r="C6215">
        <v>2000</v>
      </c>
    </row>
    <row r="6216" spans="1:11" x14ac:dyDescent="0.25">
      <c r="A6216">
        <v>62.013955536304898</v>
      </c>
      <c r="B6216">
        <v>36.220652277684103</v>
      </c>
      <c r="C6216">
        <v>2001</v>
      </c>
    </row>
    <row r="6217" spans="1:11" x14ac:dyDescent="0.25">
      <c r="A6217">
        <v>62.687326361796799</v>
      </c>
      <c r="B6217">
        <v>36.894023103176004</v>
      </c>
      <c r="C6217">
        <v>2001</v>
      </c>
    </row>
    <row r="6218" spans="1:11" x14ac:dyDescent="0.25">
      <c r="A6218">
        <v>62.687326361796799</v>
      </c>
      <c r="B6218">
        <v>36.894023103176004</v>
      </c>
      <c r="C6218">
        <v>2000</v>
      </c>
    </row>
    <row r="6219" spans="1:11" x14ac:dyDescent="0.25">
      <c r="A6219" t="s">
        <v>87</v>
      </c>
    </row>
    <row r="6220" spans="1:11" x14ac:dyDescent="0.25">
      <c r="A6220">
        <v>257</v>
      </c>
      <c r="B6220">
        <v>0</v>
      </c>
      <c r="C6220">
        <v>0.95229015391693395</v>
      </c>
      <c r="D6220">
        <v>0</v>
      </c>
      <c r="E6220">
        <v>5</v>
      </c>
      <c r="F6220">
        <v>1.5707963267949001</v>
      </c>
      <c r="G6220" t="s">
        <v>89</v>
      </c>
      <c r="H6220" t="s">
        <v>88</v>
      </c>
      <c r="I6220">
        <v>0</v>
      </c>
      <c r="J6220">
        <v>922</v>
      </c>
      <c r="K6220">
        <v>0</v>
      </c>
    </row>
    <row r="6221" spans="1:11" x14ac:dyDescent="0.25">
      <c r="A6221" t="s">
        <v>86</v>
      </c>
    </row>
    <row r="6222" spans="1:11" x14ac:dyDescent="0.25">
      <c r="A6222">
        <v>87.102931429214294</v>
      </c>
      <c r="B6222">
        <v>26.525750163256099</v>
      </c>
      <c r="C6222">
        <v>2000</v>
      </c>
    </row>
    <row r="6223" spans="1:11" x14ac:dyDescent="0.25">
      <c r="A6223">
        <v>86.429560603722393</v>
      </c>
      <c r="B6223">
        <v>25.852379337764201</v>
      </c>
      <c r="C6223">
        <v>2000</v>
      </c>
    </row>
    <row r="6224" spans="1:11" x14ac:dyDescent="0.25">
      <c r="A6224">
        <v>86.429560603722393</v>
      </c>
      <c r="B6224">
        <v>25.852379337764201</v>
      </c>
      <c r="C6224">
        <v>2001</v>
      </c>
    </row>
    <row r="6225" spans="1:11" x14ac:dyDescent="0.25">
      <c r="A6225">
        <v>87.102931429214294</v>
      </c>
      <c r="B6225">
        <v>26.525750163256099</v>
      </c>
      <c r="C6225">
        <v>2001</v>
      </c>
    </row>
    <row r="6226" spans="1:11" x14ac:dyDescent="0.25">
      <c r="A6226">
        <v>87.102931429214294</v>
      </c>
      <c r="B6226">
        <v>26.525750163256099</v>
      </c>
      <c r="C6226">
        <v>2000</v>
      </c>
    </row>
    <row r="6227" spans="1:11" x14ac:dyDescent="0.25">
      <c r="A6227" t="s">
        <v>87</v>
      </c>
    </row>
    <row r="6228" spans="1:11" x14ac:dyDescent="0.25">
      <c r="A6228">
        <v>401</v>
      </c>
      <c r="B6228">
        <v>0</v>
      </c>
      <c r="C6228">
        <v>0</v>
      </c>
      <c r="D6228">
        <v>0.95229015391693395</v>
      </c>
      <c r="E6228">
        <v>4</v>
      </c>
      <c r="F6228">
        <v>1.5707963267949001</v>
      </c>
      <c r="G6228" t="s">
        <v>88</v>
      </c>
      <c r="H6228" t="s">
        <v>89</v>
      </c>
      <c r="I6228">
        <v>428</v>
      </c>
      <c r="J6228">
        <v>0</v>
      </c>
      <c r="K6228">
        <v>0</v>
      </c>
    </row>
    <row r="6229" spans="1:11" x14ac:dyDescent="0.25">
      <c r="A6229" t="s">
        <v>86</v>
      </c>
    </row>
    <row r="6230" spans="1:11" x14ac:dyDescent="0.25">
      <c r="A6230">
        <v>141.87187261035299</v>
      </c>
      <c r="B6230">
        <v>26.153335639346999</v>
      </c>
      <c r="C6230">
        <v>2000</v>
      </c>
    </row>
    <row r="6231" spans="1:11" x14ac:dyDescent="0.25">
      <c r="A6231">
        <v>141.87187261035299</v>
      </c>
      <c r="B6231">
        <v>26.153335639346999</v>
      </c>
      <c r="C6231">
        <v>2001</v>
      </c>
    </row>
    <row r="6232" spans="1:11" x14ac:dyDescent="0.25">
      <c r="A6232">
        <v>142.54524343584501</v>
      </c>
      <c r="B6232">
        <v>26.8267064648389</v>
      </c>
      <c r="C6232">
        <v>2001</v>
      </c>
    </row>
    <row r="6233" spans="1:11" x14ac:dyDescent="0.25">
      <c r="A6233">
        <v>142.54524343584501</v>
      </c>
      <c r="B6233">
        <v>26.8267064648389</v>
      </c>
      <c r="C6233">
        <v>2000</v>
      </c>
    </row>
    <row r="6234" spans="1:11" x14ac:dyDescent="0.25">
      <c r="A6234" t="s">
        <v>87</v>
      </c>
    </row>
    <row r="6235" spans="1:11" x14ac:dyDescent="0.25">
      <c r="A6235">
        <v>406</v>
      </c>
      <c r="B6235">
        <v>0</v>
      </c>
      <c r="C6235">
        <v>0.95229015391693395</v>
      </c>
      <c r="D6235">
        <v>0</v>
      </c>
      <c r="E6235">
        <v>5</v>
      </c>
      <c r="F6235">
        <v>1.5707963267949001</v>
      </c>
      <c r="G6235" t="s">
        <v>89</v>
      </c>
      <c r="H6235" t="s">
        <v>88</v>
      </c>
      <c r="I6235">
        <v>0</v>
      </c>
      <c r="J6235">
        <v>867</v>
      </c>
      <c r="K6235">
        <v>0</v>
      </c>
    </row>
    <row r="6236" spans="1:11" x14ac:dyDescent="0.25">
      <c r="A6236" t="s">
        <v>86</v>
      </c>
    </row>
    <row r="6237" spans="1:11" x14ac:dyDescent="0.25">
      <c r="A6237">
        <v>121.007277640052</v>
      </c>
      <c r="B6237">
        <v>28.0777226565768</v>
      </c>
      <c r="C6237">
        <v>2000</v>
      </c>
    </row>
    <row r="6238" spans="1:11" x14ac:dyDescent="0.25">
      <c r="A6238">
        <v>120.33390681456</v>
      </c>
      <c r="B6238">
        <v>27.404351831084899</v>
      </c>
      <c r="C6238">
        <v>2000</v>
      </c>
    </row>
    <row r="6239" spans="1:11" x14ac:dyDescent="0.25">
      <c r="A6239">
        <v>120.33390681456</v>
      </c>
      <c r="B6239">
        <v>27.404351831084899</v>
      </c>
      <c r="C6239">
        <v>2001</v>
      </c>
    </row>
    <row r="6240" spans="1:11" x14ac:dyDescent="0.25">
      <c r="A6240">
        <v>121.007277640052</v>
      </c>
      <c r="B6240">
        <v>28.0777226565768</v>
      </c>
      <c r="C6240">
        <v>2001</v>
      </c>
    </row>
    <row r="6241" spans="1:11" x14ac:dyDescent="0.25">
      <c r="A6241">
        <v>121.007277640052</v>
      </c>
      <c r="B6241">
        <v>28.0777226565768</v>
      </c>
      <c r="C6241">
        <v>2000</v>
      </c>
    </row>
    <row r="6242" spans="1:11" x14ac:dyDescent="0.25">
      <c r="A6242" t="s">
        <v>87</v>
      </c>
    </row>
    <row r="6243" spans="1:11" x14ac:dyDescent="0.25">
      <c r="A6243">
        <v>578</v>
      </c>
      <c r="B6243">
        <v>0</v>
      </c>
      <c r="C6243">
        <v>0.95229015391693395</v>
      </c>
      <c r="D6243">
        <v>0</v>
      </c>
      <c r="E6243">
        <v>5</v>
      </c>
      <c r="F6243">
        <v>1.5707963267949001</v>
      </c>
      <c r="G6243" t="s">
        <v>89</v>
      </c>
      <c r="H6243" t="s">
        <v>88</v>
      </c>
      <c r="I6243">
        <v>0</v>
      </c>
      <c r="J6243">
        <v>589</v>
      </c>
      <c r="K6243">
        <v>0</v>
      </c>
    </row>
    <row r="6244" spans="1:11" x14ac:dyDescent="0.25">
      <c r="A6244" t="s">
        <v>86</v>
      </c>
    </row>
    <row r="6245" spans="1:11" x14ac:dyDescent="0.25">
      <c r="A6245">
        <v>36.017118411146598</v>
      </c>
      <c r="B6245">
        <v>102.433211613648</v>
      </c>
      <c r="C6245">
        <v>2000</v>
      </c>
    </row>
    <row r="6246" spans="1:11" x14ac:dyDescent="0.25">
      <c r="A6246">
        <v>35.343747585654803</v>
      </c>
      <c r="B6246">
        <v>101.759840788156</v>
      </c>
      <c r="C6246">
        <v>2000</v>
      </c>
    </row>
    <row r="6247" spans="1:11" x14ac:dyDescent="0.25">
      <c r="A6247">
        <v>35.343747585654803</v>
      </c>
      <c r="B6247">
        <v>101.759840788156</v>
      </c>
      <c r="C6247">
        <v>2001</v>
      </c>
    </row>
    <row r="6248" spans="1:11" x14ac:dyDescent="0.25">
      <c r="A6248">
        <v>36.017118411146598</v>
      </c>
      <c r="B6248">
        <v>102.433211613648</v>
      </c>
      <c r="C6248">
        <v>2001</v>
      </c>
    </row>
    <row r="6249" spans="1:11" x14ac:dyDescent="0.25">
      <c r="A6249">
        <v>36.017118411146598</v>
      </c>
      <c r="B6249">
        <v>102.433211613648</v>
      </c>
      <c r="C6249">
        <v>2000</v>
      </c>
    </row>
    <row r="6250" spans="1:11" x14ac:dyDescent="0.25">
      <c r="A6250" t="s">
        <v>87</v>
      </c>
    </row>
    <row r="6251" spans="1:11" x14ac:dyDescent="0.25">
      <c r="A6251">
        <v>494</v>
      </c>
      <c r="B6251">
        <v>0</v>
      </c>
      <c r="C6251">
        <v>0.95229015391693395</v>
      </c>
      <c r="D6251">
        <v>0</v>
      </c>
      <c r="E6251">
        <v>5</v>
      </c>
      <c r="F6251">
        <v>1.5707963267949001</v>
      </c>
      <c r="G6251" t="s">
        <v>89</v>
      </c>
      <c r="H6251" t="s">
        <v>88</v>
      </c>
      <c r="I6251">
        <v>0</v>
      </c>
      <c r="J6251">
        <v>874</v>
      </c>
      <c r="K6251">
        <v>0</v>
      </c>
    </row>
    <row r="6252" spans="1:11" x14ac:dyDescent="0.25">
      <c r="A6252" t="s">
        <v>86</v>
      </c>
    </row>
    <row r="6253" spans="1:11" x14ac:dyDescent="0.25">
      <c r="A6253">
        <v>26.064079360134901</v>
      </c>
      <c r="B6253">
        <v>90.054111038359906</v>
      </c>
      <c r="C6253">
        <v>2000</v>
      </c>
    </row>
    <row r="6254" spans="1:11" x14ac:dyDescent="0.25">
      <c r="A6254">
        <v>25.3907085346431</v>
      </c>
      <c r="B6254">
        <v>89.380740212868005</v>
      </c>
      <c r="C6254">
        <v>2000</v>
      </c>
    </row>
    <row r="6255" spans="1:11" x14ac:dyDescent="0.25">
      <c r="A6255">
        <v>25.3907085346431</v>
      </c>
      <c r="B6255">
        <v>89.380740212868005</v>
      </c>
      <c r="C6255">
        <v>2001</v>
      </c>
    </row>
    <row r="6256" spans="1:11" x14ac:dyDescent="0.25">
      <c r="A6256">
        <v>26.064079360134901</v>
      </c>
      <c r="B6256">
        <v>90.054111038359906</v>
      </c>
      <c r="C6256">
        <v>2001</v>
      </c>
    </row>
    <row r="6257" spans="1:11" x14ac:dyDescent="0.25">
      <c r="A6257">
        <v>26.064079360134901</v>
      </c>
      <c r="B6257">
        <v>90.054111038359906</v>
      </c>
      <c r="C6257">
        <v>2000</v>
      </c>
    </row>
    <row r="6258" spans="1:11" x14ac:dyDescent="0.25">
      <c r="A6258" t="s">
        <v>87</v>
      </c>
    </row>
    <row r="6259" spans="1:11" x14ac:dyDescent="0.25">
      <c r="A6259">
        <v>403</v>
      </c>
      <c r="B6259">
        <v>0</v>
      </c>
      <c r="C6259">
        <v>0</v>
      </c>
      <c r="D6259">
        <v>0.95229015391693395</v>
      </c>
      <c r="E6259">
        <v>4</v>
      </c>
      <c r="F6259">
        <v>1.5707963267949001</v>
      </c>
      <c r="G6259" t="s">
        <v>88</v>
      </c>
      <c r="H6259" t="s">
        <v>89</v>
      </c>
      <c r="I6259">
        <v>905</v>
      </c>
      <c r="J6259">
        <v>0</v>
      </c>
      <c r="K6259">
        <v>0</v>
      </c>
    </row>
    <row r="6260" spans="1:11" x14ac:dyDescent="0.25">
      <c r="A6260" t="s">
        <v>86</v>
      </c>
    </row>
    <row r="6261" spans="1:11" x14ac:dyDescent="0.25">
      <c r="A6261">
        <v>113.177693292116</v>
      </c>
      <c r="B6261">
        <v>28.6944423237324</v>
      </c>
      <c r="C6261">
        <v>2000</v>
      </c>
    </row>
    <row r="6262" spans="1:11" x14ac:dyDescent="0.25">
      <c r="A6262">
        <v>113.177693292116</v>
      </c>
      <c r="B6262">
        <v>28.6944423237324</v>
      </c>
      <c r="C6262">
        <v>2001</v>
      </c>
    </row>
    <row r="6263" spans="1:11" x14ac:dyDescent="0.25">
      <c r="A6263">
        <v>113.851064117608</v>
      </c>
      <c r="B6263">
        <v>29.367813149224201</v>
      </c>
      <c r="C6263">
        <v>2001</v>
      </c>
    </row>
    <row r="6264" spans="1:11" x14ac:dyDescent="0.25">
      <c r="A6264">
        <v>113.851064117608</v>
      </c>
      <c r="B6264">
        <v>29.367813149224201</v>
      </c>
      <c r="C6264">
        <v>2000</v>
      </c>
    </row>
    <row r="6265" spans="1:11" x14ac:dyDescent="0.25">
      <c r="A6265" t="s">
        <v>87</v>
      </c>
    </row>
    <row r="6266" spans="1:11" x14ac:dyDescent="0.25">
      <c r="A6266">
        <v>576</v>
      </c>
      <c r="B6266">
        <v>0</v>
      </c>
      <c r="C6266">
        <v>0.95229015391693395</v>
      </c>
      <c r="D6266">
        <v>0</v>
      </c>
      <c r="E6266">
        <v>5</v>
      </c>
      <c r="F6266">
        <v>1.5707963267949001</v>
      </c>
      <c r="G6266" t="s">
        <v>89</v>
      </c>
      <c r="H6266" t="s">
        <v>88</v>
      </c>
      <c r="I6266">
        <v>0</v>
      </c>
      <c r="J6266">
        <v>587</v>
      </c>
      <c r="K6266">
        <v>0</v>
      </c>
    </row>
    <row r="6267" spans="1:11" x14ac:dyDescent="0.25">
      <c r="A6267" t="s">
        <v>86</v>
      </c>
    </row>
    <row r="6268" spans="1:11" x14ac:dyDescent="0.25">
      <c r="A6268">
        <v>2.9005109578838999</v>
      </c>
      <c r="B6268">
        <v>108.104417989079</v>
      </c>
      <c r="C6268">
        <v>2000</v>
      </c>
    </row>
    <row r="6269" spans="1:11" x14ac:dyDescent="0.25">
      <c r="A6269">
        <v>2.2271401323920599</v>
      </c>
      <c r="B6269">
        <v>107.431047163587</v>
      </c>
      <c r="C6269">
        <v>2000</v>
      </c>
    </row>
    <row r="6270" spans="1:11" x14ac:dyDescent="0.25">
      <c r="A6270">
        <v>2.2271401323920599</v>
      </c>
      <c r="B6270">
        <v>107.431047163587</v>
      </c>
      <c r="C6270">
        <v>2001</v>
      </c>
    </row>
    <row r="6271" spans="1:11" x14ac:dyDescent="0.25">
      <c r="A6271">
        <v>2.9005109578838999</v>
      </c>
      <c r="B6271">
        <v>108.104417989079</v>
      </c>
      <c r="C6271">
        <v>2001</v>
      </c>
    </row>
    <row r="6272" spans="1:11" x14ac:dyDescent="0.25">
      <c r="A6272">
        <v>2.9005109578838999</v>
      </c>
      <c r="B6272">
        <v>108.104417989079</v>
      </c>
      <c r="C6272">
        <v>2000</v>
      </c>
    </row>
    <row r="6273" spans="1:11" x14ac:dyDescent="0.25">
      <c r="A6273" t="s">
        <v>87</v>
      </c>
    </row>
    <row r="6274" spans="1:11" x14ac:dyDescent="0.25">
      <c r="A6274">
        <v>404</v>
      </c>
      <c r="B6274">
        <v>0</v>
      </c>
      <c r="C6274">
        <v>0.95229015391693395</v>
      </c>
      <c r="D6274">
        <v>0</v>
      </c>
      <c r="E6274">
        <v>5</v>
      </c>
      <c r="F6274">
        <v>1.5707963267949001</v>
      </c>
      <c r="G6274" t="s">
        <v>89</v>
      </c>
      <c r="H6274" t="s">
        <v>88</v>
      </c>
      <c r="I6274">
        <v>0</v>
      </c>
      <c r="J6274">
        <v>990</v>
      </c>
      <c r="K6274">
        <v>0</v>
      </c>
    </row>
    <row r="6275" spans="1:11" x14ac:dyDescent="0.25">
      <c r="A6275" t="s">
        <v>86</v>
      </c>
    </row>
    <row r="6276" spans="1:11" x14ac:dyDescent="0.25">
      <c r="A6276">
        <v>105.86604436667</v>
      </c>
      <c r="B6276">
        <v>10.2712639888149</v>
      </c>
      <c r="C6276">
        <v>2000</v>
      </c>
    </row>
    <row r="6277" spans="1:11" x14ac:dyDescent="0.25">
      <c r="A6277">
        <v>105.192673541178</v>
      </c>
      <c r="B6277">
        <v>9.5978931633230697</v>
      </c>
      <c r="C6277">
        <v>2000</v>
      </c>
    </row>
    <row r="6278" spans="1:11" x14ac:dyDescent="0.25">
      <c r="A6278">
        <v>105.192673541178</v>
      </c>
      <c r="B6278">
        <v>9.5978931633230697</v>
      </c>
      <c r="C6278">
        <v>2001</v>
      </c>
    </row>
    <row r="6279" spans="1:11" x14ac:dyDescent="0.25">
      <c r="A6279">
        <v>105.86604436667</v>
      </c>
      <c r="B6279">
        <v>10.2712639888149</v>
      </c>
      <c r="C6279">
        <v>2001</v>
      </c>
    </row>
    <row r="6280" spans="1:11" x14ac:dyDescent="0.25">
      <c r="A6280">
        <v>105.86604436667</v>
      </c>
      <c r="B6280">
        <v>10.2712639888149</v>
      </c>
      <c r="C6280">
        <v>2000</v>
      </c>
    </row>
    <row r="6281" spans="1:11" x14ac:dyDescent="0.25">
      <c r="A6281" t="s">
        <v>87</v>
      </c>
    </row>
    <row r="6282" spans="1:11" x14ac:dyDescent="0.25">
      <c r="A6282">
        <v>574</v>
      </c>
      <c r="B6282">
        <v>0</v>
      </c>
      <c r="C6282">
        <v>0</v>
      </c>
      <c r="D6282">
        <v>0.95229015391693395</v>
      </c>
      <c r="E6282">
        <v>4</v>
      </c>
      <c r="F6282">
        <v>1.5707963267949001</v>
      </c>
      <c r="G6282" t="s">
        <v>88</v>
      </c>
      <c r="H6282" t="s">
        <v>89</v>
      </c>
      <c r="I6282">
        <v>799</v>
      </c>
      <c r="J6282">
        <v>0</v>
      </c>
      <c r="K6282">
        <v>0</v>
      </c>
    </row>
    <row r="6283" spans="1:11" x14ac:dyDescent="0.25">
      <c r="A6283" t="s">
        <v>86</v>
      </c>
    </row>
    <row r="6284" spans="1:11" x14ac:dyDescent="0.25">
      <c r="A6284">
        <v>17.189299043821801</v>
      </c>
      <c r="B6284">
        <v>108.598132691625</v>
      </c>
      <c r="C6284">
        <v>2000</v>
      </c>
    </row>
    <row r="6285" spans="1:11" x14ac:dyDescent="0.25">
      <c r="A6285">
        <v>17.189299043821801</v>
      </c>
      <c r="B6285">
        <v>108.598132691625</v>
      </c>
      <c r="C6285">
        <v>2001</v>
      </c>
    </row>
    <row r="6286" spans="1:11" x14ac:dyDescent="0.25">
      <c r="A6286">
        <v>17.862669869313599</v>
      </c>
      <c r="B6286">
        <v>109.271503517116</v>
      </c>
      <c r="C6286">
        <v>2001</v>
      </c>
    </row>
    <row r="6287" spans="1:11" x14ac:dyDescent="0.25">
      <c r="A6287">
        <v>17.862669869313599</v>
      </c>
      <c r="B6287">
        <v>109.271503517116</v>
      </c>
      <c r="C6287">
        <v>2000</v>
      </c>
    </row>
    <row r="6288" spans="1:11" x14ac:dyDescent="0.25">
      <c r="A6288" t="s">
        <v>87</v>
      </c>
    </row>
    <row r="6289" spans="1:11" x14ac:dyDescent="0.25">
      <c r="A6289">
        <v>15</v>
      </c>
      <c r="B6289">
        <v>0</v>
      </c>
      <c r="C6289">
        <v>0</v>
      </c>
      <c r="D6289">
        <v>0.95229015391691996</v>
      </c>
      <c r="E6289">
        <v>4</v>
      </c>
      <c r="F6289">
        <v>1.5707963267949001</v>
      </c>
      <c r="G6289" t="s">
        <v>88</v>
      </c>
      <c r="H6289" t="s">
        <v>89</v>
      </c>
      <c r="I6289">
        <v>1029</v>
      </c>
      <c r="J6289">
        <v>0</v>
      </c>
      <c r="K6289">
        <v>0</v>
      </c>
    </row>
    <row r="6290" spans="1:11" x14ac:dyDescent="0.25">
      <c r="A6290" t="s">
        <v>86</v>
      </c>
    </row>
    <row r="6291" spans="1:11" x14ac:dyDescent="0.25">
      <c r="A6291">
        <v>44.015945747502101</v>
      </c>
      <c r="B6291">
        <v>41.315703276226202</v>
      </c>
      <c r="C6291">
        <v>2000</v>
      </c>
    </row>
    <row r="6292" spans="1:11" x14ac:dyDescent="0.25">
      <c r="A6292">
        <v>44.015945747502101</v>
      </c>
      <c r="B6292">
        <v>41.315703276226202</v>
      </c>
      <c r="C6292">
        <v>2001</v>
      </c>
    </row>
    <row r="6293" spans="1:11" x14ac:dyDescent="0.25">
      <c r="A6293">
        <v>44.689316572994002</v>
      </c>
      <c r="B6293">
        <v>41.989074101718003</v>
      </c>
      <c r="C6293">
        <v>2001</v>
      </c>
    </row>
    <row r="6294" spans="1:11" x14ac:dyDescent="0.25">
      <c r="A6294">
        <v>44.689316572994002</v>
      </c>
      <c r="B6294">
        <v>41.989074101718003</v>
      </c>
      <c r="C6294">
        <v>2000</v>
      </c>
    </row>
    <row r="6295" spans="1:11" x14ac:dyDescent="0.25">
      <c r="A6295" t="s">
        <v>87</v>
      </c>
    </row>
    <row r="6296" spans="1:11" x14ac:dyDescent="0.25">
      <c r="A6296">
        <v>243</v>
      </c>
      <c r="B6296">
        <v>0</v>
      </c>
      <c r="C6296">
        <v>0.95229015391691996</v>
      </c>
      <c r="D6296">
        <v>0</v>
      </c>
      <c r="E6296">
        <v>5</v>
      </c>
      <c r="F6296">
        <v>1.5707963267949001</v>
      </c>
      <c r="G6296" t="s">
        <v>89</v>
      </c>
      <c r="H6296" t="s">
        <v>88</v>
      </c>
      <c r="I6296">
        <v>0</v>
      </c>
      <c r="J6296">
        <v>274</v>
      </c>
      <c r="K6296">
        <v>0</v>
      </c>
    </row>
    <row r="6297" spans="1:11" x14ac:dyDescent="0.25">
      <c r="A6297" t="s">
        <v>86</v>
      </c>
    </row>
    <row r="6298" spans="1:11" x14ac:dyDescent="0.25">
      <c r="A6298">
        <v>60.462584933481502</v>
      </c>
      <c r="B6298">
        <v>13.974722481320899</v>
      </c>
      <c r="C6298">
        <v>2000</v>
      </c>
    </row>
    <row r="6299" spans="1:11" x14ac:dyDescent="0.25">
      <c r="A6299">
        <v>59.789214107989601</v>
      </c>
      <c r="B6299">
        <v>13.3013516558291</v>
      </c>
      <c r="C6299">
        <v>2000</v>
      </c>
    </row>
    <row r="6300" spans="1:11" x14ac:dyDescent="0.25">
      <c r="A6300">
        <v>59.789214107989601</v>
      </c>
      <c r="B6300">
        <v>13.3013516558291</v>
      </c>
      <c r="C6300">
        <v>2001</v>
      </c>
    </row>
    <row r="6301" spans="1:11" x14ac:dyDescent="0.25">
      <c r="A6301">
        <v>60.462584933481502</v>
      </c>
      <c r="B6301">
        <v>13.974722481320899</v>
      </c>
      <c r="C6301">
        <v>2001</v>
      </c>
    </row>
    <row r="6302" spans="1:11" x14ac:dyDescent="0.25">
      <c r="A6302">
        <v>60.462584933481502</v>
      </c>
      <c r="B6302">
        <v>13.974722481320899</v>
      </c>
      <c r="C6302">
        <v>2000</v>
      </c>
    </row>
    <row r="6303" spans="1:11" x14ac:dyDescent="0.25">
      <c r="A6303" t="s">
        <v>87</v>
      </c>
    </row>
    <row r="6304" spans="1:11" x14ac:dyDescent="0.25">
      <c r="A6304">
        <v>3</v>
      </c>
      <c r="B6304">
        <v>0</v>
      </c>
      <c r="C6304">
        <v>0</v>
      </c>
      <c r="D6304">
        <v>0.95229015391691996</v>
      </c>
      <c r="E6304">
        <v>4</v>
      </c>
      <c r="F6304">
        <v>1.5707963267949001</v>
      </c>
      <c r="G6304" t="s">
        <v>88</v>
      </c>
      <c r="H6304" t="s">
        <v>89</v>
      </c>
      <c r="I6304">
        <v>7</v>
      </c>
      <c r="J6304">
        <v>0</v>
      </c>
      <c r="K6304">
        <v>0</v>
      </c>
    </row>
    <row r="6305" spans="1:11" x14ac:dyDescent="0.25">
      <c r="A6305" t="s">
        <v>86</v>
      </c>
    </row>
    <row r="6306" spans="1:11" x14ac:dyDescent="0.25">
      <c r="A6306">
        <v>22.752227714635499</v>
      </c>
      <c r="B6306">
        <v>24.5003725283315</v>
      </c>
      <c r="C6306">
        <v>2000</v>
      </c>
    </row>
    <row r="6307" spans="1:11" x14ac:dyDescent="0.25">
      <c r="A6307">
        <v>22.752227714635499</v>
      </c>
      <c r="B6307">
        <v>24.5003725283315</v>
      </c>
      <c r="C6307">
        <v>2001</v>
      </c>
    </row>
    <row r="6308" spans="1:11" x14ac:dyDescent="0.25">
      <c r="A6308">
        <v>23.4255985401274</v>
      </c>
      <c r="B6308">
        <v>25.173743353823401</v>
      </c>
      <c r="C6308">
        <v>2001</v>
      </c>
    </row>
    <row r="6309" spans="1:11" x14ac:dyDescent="0.25">
      <c r="A6309">
        <v>23.4255985401274</v>
      </c>
      <c r="B6309">
        <v>25.173743353823401</v>
      </c>
      <c r="C6309">
        <v>2000</v>
      </c>
    </row>
    <row r="6310" spans="1:11" x14ac:dyDescent="0.25">
      <c r="A6310" t="s">
        <v>87</v>
      </c>
    </row>
    <row r="6311" spans="1:11" x14ac:dyDescent="0.25">
      <c r="A6311">
        <v>13</v>
      </c>
      <c r="B6311">
        <v>0</v>
      </c>
      <c r="C6311">
        <v>0.95229015391691996</v>
      </c>
      <c r="D6311">
        <v>0</v>
      </c>
      <c r="E6311">
        <v>5</v>
      </c>
      <c r="F6311">
        <v>1.5707963267949001</v>
      </c>
      <c r="G6311" t="s">
        <v>89</v>
      </c>
      <c r="H6311" t="s">
        <v>88</v>
      </c>
      <c r="I6311">
        <v>0</v>
      </c>
      <c r="J6311">
        <v>28</v>
      </c>
      <c r="K6311">
        <v>0</v>
      </c>
    </row>
    <row r="6312" spans="1:11" x14ac:dyDescent="0.25">
      <c r="A6312" t="s">
        <v>86</v>
      </c>
    </row>
    <row r="6313" spans="1:11" x14ac:dyDescent="0.25">
      <c r="A6313">
        <v>2.8953389743787001</v>
      </c>
      <c r="B6313">
        <v>38.006819127130697</v>
      </c>
      <c r="C6313">
        <v>2000</v>
      </c>
    </row>
    <row r="6314" spans="1:11" x14ac:dyDescent="0.25">
      <c r="A6314">
        <v>2.2219681488868601</v>
      </c>
      <c r="B6314">
        <v>37.333448301638903</v>
      </c>
      <c r="C6314">
        <v>2000</v>
      </c>
    </row>
    <row r="6315" spans="1:11" x14ac:dyDescent="0.25">
      <c r="A6315">
        <v>2.2219681488868601</v>
      </c>
      <c r="B6315">
        <v>37.333448301638903</v>
      </c>
      <c r="C6315">
        <v>2001</v>
      </c>
    </row>
    <row r="6316" spans="1:11" x14ac:dyDescent="0.25">
      <c r="A6316">
        <v>2.8953389743787001</v>
      </c>
      <c r="B6316">
        <v>38.006819127130697</v>
      </c>
      <c r="C6316">
        <v>2001</v>
      </c>
    </row>
    <row r="6317" spans="1:11" x14ac:dyDescent="0.25">
      <c r="A6317">
        <v>2.8953389743787001</v>
      </c>
      <c r="B6317">
        <v>38.006819127130697</v>
      </c>
      <c r="C6317">
        <v>2000</v>
      </c>
    </row>
    <row r="6318" spans="1:11" x14ac:dyDescent="0.25">
      <c r="A6318" t="s">
        <v>87</v>
      </c>
    </row>
    <row r="6319" spans="1:11" x14ac:dyDescent="0.25">
      <c r="A6319">
        <v>9</v>
      </c>
      <c r="B6319">
        <v>0</v>
      </c>
      <c r="C6319">
        <v>0.95229015391691996</v>
      </c>
      <c r="D6319">
        <v>0</v>
      </c>
      <c r="E6319">
        <v>5</v>
      </c>
      <c r="F6319">
        <v>1.5707963267949001</v>
      </c>
      <c r="G6319" t="s">
        <v>89</v>
      </c>
      <c r="H6319" t="s">
        <v>88</v>
      </c>
      <c r="I6319">
        <v>0</v>
      </c>
      <c r="J6319">
        <v>33</v>
      </c>
      <c r="K6319">
        <v>0</v>
      </c>
    </row>
    <row r="6320" spans="1:11" x14ac:dyDescent="0.25">
      <c r="A6320" t="s">
        <v>86</v>
      </c>
    </row>
    <row r="6321" spans="1:11" x14ac:dyDescent="0.25">
      <c r="A6321">
        <v>9.3899504325305791</v>
      </c>
      <c r="B6321">
        <v>28.546958290295201</v>
      </c>
      <c r="C6321">
        <v>2000</v>
      </c>
    </row>
    <row r="6322" spans="1:11" x14ac:dyDescent="0.25">
      <c r="A6322">
        <v>8.7165796070387493</v>
      </c>
      <c r="B6322">
        <v>27.8735874648034</v>
      </c>
      <c r="C6322">
        <v>2000</v>
      </c>
    </row>
    <row r="6323" spans="1:11" x14ac:dyDescent="0.25">
      <c r="A6323">
        <v>8.7165796070387493</v>
      </c>
      <c r="B6323">
        <v>27.8735874648034</v>
      </c>
      <c r="C6323">
        <v>2001</v>
      </c>
    </row>
    <row r="6324" spans="1:11" x14ac:dyDescent="0.25">
      <c r="A6324">
        <v>9.3899504325305791</v>
      </c>
      <c r="B6324">
        <v>28.546958290295201</v>
      </c>
      <c r="C6324">
        <v>2001</v>
      </c>
    </row>
    <row r="6325" spans="1:11" x14ac:dyDescent="0.25">
      <c r="A6325">
        <v>9.3899504325305791</v>
      </c>
      <c r="B6325">
        <v>28.546958290295201</v>
      </c>
      <c r="C6325">
        <v>2000</v>
      </c>
    </row>
    <row r="6326" spans="1:11" x14ac:dyDescent="0.25">
      <c r="A6326" t="s">
        <v>87</v>
      </c>
    </row>
    <row r="6327" spans="1:11" x14ac:dyDescent="0.25">
      <c r="A6327">
        <v>1</v>
      </c>
      <c r="B6327">
        <v>0</v>
      </c>
      <c r="C6327">
        <v>0.95229015391691296</v>
      </c>
      <c r="D6327">
        <v>0</v>
      </c>
      <c r="E6327">
        <v>5</v>
      </c>
      <c r="F6327">
        <v>1.5707963267949001</v>
      </c>
      <c r="G6327" t="s">
        <v>89</v>
      </c>
      <c r="H6327" t="s">
        <v>88</v>
      </c>
      <c r="I6327">
        <v>0</v>
      </c>
      <c r="J6327">
        <v>514</v>
      </c>
      <c r="K6327">
        <v>0</v>
      </c>
    </row>
    <row r="6328" spans="1:11" x14ac:dyDescent="0.25">
      <c r="A6328" t="s">
        <v>86</v>
      </c>
    </row>
    <row r="6329" spans="1:11" x14ac:dyDescent="0.25">
      <c r="A6329">
        <v>11.5477102862428</v>
      </c>
      <c r="B6329">
        <v>46.208975462340298</v>
      </c>
      <c r="C6329">
        <v>2000</v>
      </c>
    </row>
    <row r="6330" spans="1:11" x14ac:dyDescent="0.25">
      <c r="A6330">
        <v>10.8743394607509</v>
      </c>
      <c r="B6330">
        <v>45.535604636848397</v>
      </c>
      <c r="C6330">
        <v>2000</v>
      </c>
    </row>
    <row r="6331" spans="1:11" x14ac:dyDescent="0.25">
      <c r="A6331">
        <v>10.8743394607509</v>
      </c>
      <c r="B6331">
        <v>45.535604636848397</v>
      </c>
      <c r="C6331">
        <v>2001</v>
      </c>
    </row>
    <row r="6332" spans="1:11" x14ac:dyDescent="0.25">
      <c r="A6332">
        <v>11.5477102862428</v>
      </c>
      <c r="B6332">
        <v>46.208975462340298</v>
      </c>
      <c r="C6332">
        <v>2001</v>
      </c>
    </row>
    <row r="6333" spans="1:11" x14ac:dyDescent="0.25">
      <c r="A6333">
        <v>11.5477102862428</v>
      </c>
      <c r="B6333">
        <v>46.208975462340298</v>
      </c>
      <c r="C6333">
        <v>2000</v>
      </c>
    </row>
    <row r="6334" spans="1:11" x14ac:dyDescent="0.25">
      <c r="A6334" t="s">
        <v>87</v>
      </c>
    </row>
    <row r="6335" spans="1:11" x14ac:dyDescent="0.25">
      <c r="A6335">
        <v>259</v>
      </c>
      <c r="B6335">
        <v>0</v>
      </c>
      <c r="C6335">
        <v>0.95229015391691296</v>
      </c>
      <c r="D6335">
        <v>0</v>
      </c>
      <c r="E6335">
        <v>5</v>
      </c>
      <c r="F6335">
        <v>1.5707963267949001</v>
      </c>
      <c r="G6335" t="s">
        <v>89</v>
      </c>
      <c r="H6335" t="s">
        <v>88</v>
      </c>
      <c r="I6335">
        <v>0</v>
      </c>
      <c r="J6335">
        <v>740</v>
      </c>
      <c r="K6335">
        <v>0</v>
      </c>
    </row>
    <row r="6336" spans="1:11" x14ac:dyDescent="0.25">
      <c r="A6336" t="s">
        <v>86</v>
      </c>
    </row>
    <row r="6337" spans="1:11" x14ac:dyDescent="0.25">
      <c r="A6337">
        <v>69.432340641241694</v>
      </c>
      <c r="B6337">
        <v>14.971423249212799</v>
      </c>
      <c r="C6337">
        <v>2000</v>
      </c>
    </row>
    <row r="6338" spans="1:11" x14ac:dyDescent="0.25">
      <c r="A6338">
        <v>68.758969815749893</v>
      </c>
      <c r="B6338">
        <v>14.2980524237209</v>
      </c>
      <c r="C6338">
        <v>2000</v>
      </c>
    </row>
    <row r="6339" spans="1:11" x14ac:dyDescent="0.25">
      <c r="A6339">
        <v>68.758969815749893</v>
      </c>
      <c r="B6339">
        <v>14.2980524237209</v>
      </c>
      <c r="C6339">
        <v>2001</v>
      </c>
    </row>
    <row r="6340" spans="1:11" x14ac:dyDescent="0.25">
      <c r="A6340">
        <v>69.432340641241694</v>
      </c>
      <c r="B6340">
        <v>14.971423249212799</v>
      </c>
      <c r="C6340">
        <v>2001</v>
      </c>
    </row>
    <row r="6341" spans="1:11" x14ac:dyDescent="0.25">
      <c r="A6341">
        <v>69.432340641241694</v>
      </c>
      <c r="B6341">
        <v>14.971423249212799</v>
      </c>
      <c r="C6341">
        <v>2000</v>
      </c>
    </row>
    <row r="6342" spans="1:11" x14ac:dyDescent="0.25">
      <c r="A6342" t="s">
        <v>87</v>
      </c>
    </row>
    <row r="6343" spans="1:11" x14ac:dyDescent="0.25">
      <c r="A6343">
        <v>11</v>
      </c>
      <c r="B6343">
        <v>0</v>
      </c>
      <c r="C6343">
        <v>0.95229015391691296</v>
      </c>
      <c r="D6343">
        <v>0</v>
      </c>
      <c r="E6343">
        <v>5</v>
      </c>
      <c r="F6343">
        <v>1.5707963267949001</v>
      </c>
      <c r="G6343" t="s">
        <v>89</v>
      </c>
      <c r="H6343" t="s">
        <v>88</v>
      </c>
      <c r="I6343">
        <v>0</v>
      </c>
      <c r="J6343">
        <v>881</v>
      </c>
      <c r="K6343">
        <v>0</v>
      </c>
    </row>
    <row r="6344" spans="1:11" x14ac:dyDescent="0.25">
      <c r="A6344" t="s">
        <v>86</v>
      </c>
    </row>
    <row r="6345" spans="1:11" x14ac:dyDescent="0.25">
      <c r="A6345">
        <v>7.5313177227654098</v>
      </c>
      <c r="B6345">
        <v>41.6512021756038</v>
      </c>
      <c r="C6345">
        <v>2000</v>
      </c>
    </row>
    <row r="6346" spans="1:11" x14ac:dyDescent="0.25">
      <c r="A6346">
        <v>6.85794689727358</v>
      </c>
      <c r="B6346">
        <v>40.977831350111998</v>
      </c>
      <c r="C6346">
        <v>2000</v>
      </c>
    </row>
    <row r="6347" spans="1:11" x14ac:dyDescent="0.25">
      <c r="A6347">
        <v>6.85794689727358</v>
      </c>
      <c r="B6347">
        <v>40.977831350111998</v>
      </c>
      <c r="C6347">
        <v>2001</v>
      </c>
    </row>
    <row r="6348" spans="1:11" x14ac:dyDescent="0.25">
      <c r="A6348">
        <v>7.5313177227654098</v>
      </c>
      <c r="B6348">
        <v>41.6512021756038</v>
      </c>
      <c r="C6348">
        <v>2001</v>
      </c>
    </row>
    <row r="6349" spans="1:11" x14ac:dyDescent="0.25">
      <c r="A6349">
        <v>7.5313177227654098</v>
      </c>
      <c r="B6349">
        <v>41.6512021756038</v>
      </c>
      <c r="C6349">
        <v>2000</v>
      </c>
    </row>
    <row r="6350" spans="1:11" x14ac:dyDescent="0.25">
      <c r="A6350" t="s">
        <v>87</v>
      </c>
    </row>
    <row r="6351" spans="1:11" x14ac:dyDescent="0.25">
      <c r="A6351">
        <v>487</v>
      </c>
      <c r="B6351">
        <v>0</v>
      </c>
      <c r="C6351">
        <v>0</v>
      </c>
      <c r="D6351">
        <v>0.95229015391691296</v>
      </c>
      <c r="E6351">
        <v>4</v>
      </c>
      <c r="F6351">
        <v>1.5707963267949001</v>
      </c>
      <c r="G6351" t="s">
        <v>88</v>
      </c>
      <c r="H6351" t="s">
        <v>89</v>
      </c>
      <c r="I6351">
        <v>980</v>
      </c>
      <c r="J6351">
        <v>0</v>
      </c>
      <c r="K6351">
        <v>0</v>
      </c>
    </row>
    <row r="6352" spans="1:11" x14ac:dyDescent="0.25">
      <c r="A6352" t="s">
        <v>86</v>
      </c>
    </row>
    <row r="6353" spans="1:11" x14ac:dyDescent="0.25">
      <c r="A6353">
        <v>17.990616763937599</v>
      </c>
      <c r="B6353">
        <v>64.238856809325</v>
      </c>
      <c r="C6353">
        <v>2000</v>
      </c>
    </row>
    <row r="6354" spans="1:11" x14ac:dyDescent="0.25">
      <c r="A6354">
        <v>17.990616763937599</v>
      </c>
      <c r="B6354">
        <v>64.238856809325</v>
      </c>
      <c r="C6354">
        <v>2001</v>
      </c>
    </row>
    <row r="6355" spans="1:11" x14ac:dyDescent="0.25">
      <c r="A6355">
        <v>18.6639875894294</v>
      </c>
      <c r="B6355">
        <v>64.912227634816801</v>
      </c>
      <c r="C6355">
        <v>2001</v>
      </c>
    </row>
    <row r="6356" spans="1:11" x14ac:dyDescent="0.25">
      <c r="A6356">
        <v>18.6639875894294</v>
      </c>
      <c r="B6356">
        <v>64.912227634816801</v>
      </c>
      <c r="C6356">
        <v>2000</v>
      </c>
    </row>
    <row r="6357" spans="1:11" x14ac:dyDescent="0.25">
      <c r="A6357" t="s">
        <v>87</v>
      </c>
    </row>
    <row r="6358" spans="1:11" x14ac:dyDescent="0.25">
      <c r="A6358">
        <v>655</v>
      </c>
      <c r="B6358">
        <v>0</v>
      </c>
      <c r="C6358">
        <v>0</v>
      </c>
      <c r="D6358">
        <v>0.95229015391689098</v>
      </c>
      <c r="E6358">
        <v>4</v>
      </c>
      <c r="F6358">
        <v>1.5707963267949001</v>
      </c>
      <c r="G6358" t="s">
        <v>88</v>
      </c>
      <c r="H6358" t="s">
        <v>89</v>
      </c>
      <c r="I6358">
        <v>771</v>
      </c>
      <c r="J6358">
        <v>0</v>
      </c>
      <c r="K6358">
        <v>0</v>
      </c>
    </row>
    <row r="6359" spans="1:11" x14ac:dyDescent="0.25">
      <c r="A6359" t="s">
        <v>86</v>
      </c>
    </row>
    <row r="6360" spans="1:11" x14ac:dyDescent="0.25">
      <c r="A6360">
        <v>131.63346728851701</v>
      </c>
      <c r="B6360">
        <v>122.372564800257</v>
      </c>
      <c r="C6360">
        <v>2000</v>
      </c>
    </row>
    <row r="6361" spans="1:11" x14ac:dyDescent="0.25">
      <c r="A6361">
        <v>131.63346728851701</v>
      </c>
      <c r="B6361">
        <v>122.372564800257</v>
      </c>
      <c r="C6361">
        <v>2001</v>
      </c>
    </row>
    <row r="6362" spans="1:11" x14ac:dyDescent="0.25">
      <c r="A6362">
        <v>132.306838114009</v>
      </c>
      <c r="B6362">
        <v>123.045935625749</v>
      </c>
      <c r="C6362">
        <v>2001</v>
      </c>
    </row>
    <row r="6363" spans="1:11" x14ac:dyDescent="0.25">
      <c r="A6363">
        <v>132.306838114009</v>
      </c>
      <c r="B6363">
        <v>123.045935625749</v>
      </c>
      <c r="C6363">
        <v>2000</v>
      </c>
    </row>
    <row r="6364" spans="1:11" x14ac:dyDescent="0.25">
      <c r="A6364" t="s">
        <v>87</v>
      </c>
    </row>
    <row r="6365" spans="1:11" x14ac:dyDescent="0.25">
      <c r="A6365">
        <v>660</v>
      </c>
      <c r="B6365">
        <v>0</v>
      </c>
      <c r="C6365">
        <v>0.95229015391689098</v>
      </c>
      <c r="D6365">
        <v>0</v>
      </c>
      <c r="E6365">
        <v>5</v>
      </c>
      <c r="F6365">
        <v>1.5707963267949001</v>
      </c>
      <c r="G6365" t="s">
        <v>89</v>
      </c>
      <c r="H6365" t="s">
        <v>88</v>
      </c>
      <c r="I6365">
        <v>0</v>
      </c>
      <c r="J6365">
        <v>1011</v>
      </c>
      <c r="K6365">
        <v>0</v>
      </c>
    </row>
    <row r="6366" spans="1:11" x14ac:dyDescent="0.25">
      <c r="A6366" t="s">
        <v>86</v>
      </c>
    </row>
    <row r="6367" spans="1:11" x14ac:dyDescent="0.25">
      <c r="A6367">
        <v>134.65219339572499</v>
      </c>
      <c r="B6367">
        <v>102.39142372849901</v>
      </c>
      <c r="C6367">
        <v>2000</v>
      </c>
    </row>
    <row r="6368" spans="1:11" x14ac:dyDescent="0.25">
      <c r="A6368">
        <v>133.97882257023301</v>
      </c>
      <c r="B6368">
        <v>101.71805290300701</v>
      </c>
      <c r="C6368">
        <v>2000</v>
      </c>
    </row>
    <row r="6369" spans="1:11" x14ac:dyDescent="0.25">
      <c r="A6369">
        <v>133.97882257023301</v>
      </c>
      <c r="B6369">
        <v>101.71805290300701</v>
      </c>
      <c r="C6369">
        <v>2001</v>
      </c>
    </row>
    <row r="6370" spans="1:11" x14ac:dyDescent="0.25">
      <c r="A6370">
        <v>134.65219339572499</v>
      </c>
      <c r="B6370">
        <v>102.39142372849901</v>
      </c>
      <c r="C6370">
        <v>2001</v>
      </c>
    </row>
    <row r="6371" spans="1:11" x14ac:dyDescent="0.25">
      <c r="A6371">
        <v>134.65219339572499</v>
      </c>
      <c r="B6371">
        <v>102.39142372849901</v>
      </c>
      <c r="C6371">
        <v>2000</v>
      </c>
    </row>
    <row r="6372" spans="1:11" x14ac:dyDescent="0.25">
      <c r="A6372" t="s">
        <v>87</v>
      </c>
    </row>
    <row r="6373" spans="1:11" x14ac:dyDescent="0.25">
      <c r="A6373">
        <v>658</v>
      </c>
      <c r="B6373">
        <v>0</v>
      </c>
      <c r="C6373">
        <v>0</v>
      </c>
      <c r="D6373">
        <v>0.95229015391689098</v>
      </c>
      <c r="E6373">
        <v>4</v>
      </c>
      <c r="F6373">
        <v>1.5707963267949001</v>
      </c>
      <c r="G6373" t="s">
        <v>88</v>
      </c>
      <c r="H6373" t="s">
        <v>89</v>
      </c>
      <c r="I6373">
        <v>647</v>
      </c>
      <c r="J6373">
        <v>0</v>
      </c>
      <c r="K6373">
        <v>0</v>
      </c>
    </row>
    <row r="6374" spans="1:11" x14ac:dyDescent="0.25">
      <c r="A6374" t="s">
        <v>86</v>
      </c>
    </row>
    <row r="6375" spans="1:11" x14ac:dyDescent="0.25">
      <c r="A6375">
        <v>108.40164907667901</v>
      </c>
      <c r="B6375">
        <v>146.46571932661601</v>
      </c>
      <c r="C6375">
        <v>2000</v>
      </c>
    </row>
    <row r="6376" spans="1:11" x14ac:dyDescent="0.25">
      <c r="A6376">
        <v>108.40164907667901</v>
      </c>
      <c r="B6376">
        <v>146.46571932661601</v>
      </c>
      <c r="C6376">
        <v>2001</v>
      </c>
    </row>
    <row r="6377" spans="1:11" x14ac:dyDescent="0.25">
      <c r="A6377">
        <v>109.07501990217</v>
      </c>
      <c r="B6377">
        <v>147.139090152108</v>
      </c>
      <c r="C6377">
        <v>2001</v>
      </c>
    </row>
    <row r="6378" spans="1:11" x14ac:dyDescent="0.25">
      <c r="A6378">
        <v>109.07501990217</v>
      </c>
      <c r="B6378">
        <v>147.139090152108</v>
      </c>
      <c r="C6378">
        <v>2000</v>
      </c>
    </row>
    <row r="6379" spans="1:11" x14ac:dyDescent="0.25">
      <c r="A6379" t="s">
        <v>87</v>
      </c>
    </row>
    <row r="6380" spans="1:11" x14ac:dyDescent="0.25">
      <c r="A6380">
        <v>657</v>
      </c>
      <c r="B6380">
        <v>0</v>
      </c>
      <c r="C6380">
        <v>0</v>
      </c>
      <c r="D6380">
        <v>0.95229015391689098</v>
      </c>
      <c r="E6380">
        <v>4</v>
      </c>
      <c r="F6380">
        <v>1.5707963267949001</v>
      </c>
      <c r="G6380" t="s">
        <v>88</v>
      </c>
      <c r="H6380" t="s">
        <v>89</v>
      </c>
      <c r="I6380">
        <v>835</v>
      </c>
      <c r="J6380">
        <v>0</v>
      </c>
      <c r="K6380">
        <v>0</v>
      </c>
    </row>
    <row r="6381" spans="1:11" x14ac:dyDescent="0.25">
      <c r="A6381" t="s">
        <v>86</v>
      </c>
    </row>
    <row r="6382" spans="1:11" x14ac:dyDescent="0.25">
      <c r="A6382">
        <v>130.94974233813099</v>
      </c>
      <c r="B6382">
        <v>143.02040063451099</v>
      </c>
      <c r="C6382">
        <v>2000</v>
      </c>
    </row>
    <row r="6383" spans="1:11" x14ac:dyDescent="0.25">
      <c r="A6383">
        <v>130.94974233813099</v>
      </c>
      <c r="B6383">
        <v>143.02040063451099</v>
      </c>
      <c r="C6383">
        <v>2001</v>
      </c>
    </row>
    <row r="6384" spans="1:11" x14ac:dyDescent="0.25">
      <c r="A6384">
        <v>131.623113163623</v>
      </c>
      <c r="B6384">
        <v>143.69377146000201</v>
      </c>
      <c r="C6384">
        <v>2001</v>
      </c>
    </row>
    <row r="6385" spans="1:11" x14ac:dyDescent="0.25">
      <c r="A6385">
        <v>131.623113163623</v>
      </c>
      <c r="B6385">
        <v>143.69377146000201</v>
      </c>
      <c r="C6385">
        <v>2000</v>
      </c>
    </row>
    <row r="6386" spans="1:11" x14ac:dyDescent="0.25">
      <c r="A6386" t="s">
        <v>87</v>
      </c>
    </row>
    <row r="6387" spans="1:11" x14ac:dyDescent="0.25">
      <c r="A6387">
        <v>651</v>
      </c>
      <c r="B6387">
        <v>0</v>
      </c>
      <c r="C6387">
        <v>0</v>
      </c>
      <c r="D6387">
        <v>0.95229015391689098</v>
      </c>
      <c r="E6387">
        <v>4</v>
      </c>
      <c r="F6387">
        <v>1.5707963267949001</v>
      </c>
      <c r="G6387" t="s">
        <v>88</v>
      </c>
      <c r="H6387" t="s">
        <v>89</v>
      </c>
      <c r="I6387">
        <v>678</v>
      </c>
      <c r="J6387">
        <v>0</v>
      </c>
      <c r="K6387">
        <v>0</v>
      </c>
    </row>
    <row r="6388" spans="1:11" x14ac:dyDescent="0.25">
      <c r="A6388" t="s">
        <v>86</v>
      </c>
    </row>
    <row r="6389" spans="1:11" x14ac:dyDescent="0.25">
      <c r="A6389">
        <v>130.580857107686</v>
      </c>
      <c r="B6389">
        <v>145.910926929634</v>
      </c>
      <c r="C6389">
        <v>2000</v>
      </c>
    </row>
    <row r="6390" spans="1:11" x14ac:dyDescent="0.25">
      <c r="A6390">
        <v>130.580857107686</v>
      </c>
      <c r="B6390">
        <v>145.910926929634</v>
      </c>
      <c r="C6390">
        <v>2001</v>
      </c>
    </row>
    <row r="6391" spans="1:11" x14ac:dyDescent="0.25">
      <c r="A6391">
        <v>131.25422793317799</v>
      </c>
      <c r="B6391">
        <v>146.58429775512499</v>
      </c>
      <c r="C6391">
        <v>2001</v>
      </c>
    </row>
    <row r="6392" spans="1:11" x14ac:dyDescent="0.25">
      <c r="A6392">
        <v>131.25422793317799</v>
      </c>
      <c r="B6392">
        <v>146.58429775512499</v>
      </c>
      <c r="C6392">
        <v>2000</v>
      </c>
    </row>
    <row r="6393" spans="1:11" x14ac:dyDescent="0.25">
      <c r="A6393" t="s">
        <v>87</v>
      </c>
    </row>
    <row r="6394" spans="1:11" x14ac:dyDescent="0.25">
      <c r="A6394">
        <v>168</v>
      </c>
      <c r="B6394">
        <v>0</v>
      </c>
      <c r="C6394">
        <v>0.95229015391689098</v>
      </c>
      <c r="D6394">
        <v>0</v>
      </c>
      <c r="E6394">
        <v>5</v>
      </c>
      <c r="F6394">
        <v>1.5707963267949001</v>
      </c>
      <c r="G6394" t="s">
        <v>89</v>
      </c>
      <c r="H6394" t="s">
        <v>88</v>
      </c>
      <c r="I6394">
        <v>0</v>
      </c>
      <c r="J6394">
        <v>789</v>
      </c>
      <c r="K6394">
        <v>0</v>
      </c>
    </row>
    <row r="6395" spans="1:11" x14ac:dyDescent="0.25">
      <c r="A6395" t="s">
        <v>86</v>
      </c>
    </row>
    <row r="6396" spans="1:11" x14ac:dyDescent="0.25">
      <c r="A6396">
        <v>127.624927334313</v>
      </c>
      <c r="B6396">
        <v>81.626387351018593</v>
      </c>
      <c r="C6396">
        <v>2000</v>
      </c>
    </row>
    <row r="6397" spans="1:11" x14ac:dyDescent="0.25">
      <c r="A6397">
        <v>126.951556508821</v>
      </c>
      <c r="B6397">
        <v>80.953016525526706</v>
      </c>
      <c r="C6397">
        <v>2000</v>
      </c>
    </row>
    <row r="6398" spans="1:11" x14ac:dyDescent="0.25">
      <c r="A6398">
        <v>126.951556508821</v>
      </c>
      <c r="B6398">
        <v>80.953016525526706</v>
      </c>
      <c r="C6398">
        <v>2001</v>
      </c>
    </row>
    <row r="6399" spans="1:11" x14ac:dyDescent="0.25">
      <c r="A6399">
        <v>127.624927334313</v>
      </c>
      <c r="B6399">
        <v>81.626387351018593</v>
      </c>
      <c r="C6399">
        <v>2001</v>
      </c>
    </row>
    <row r="6400" spans="1:11" x14ac:dyDescent="0.25">
      <c r="A6400">
        <v>127.624927334313</v>
      </c>
      <c r="B6400">
        <v>81.626387351018593</v>
      </c>
      <c r="C6400">
        <v>2000</v>
      </c>
    </row>
    <row r="6401" spans="1:11" x14ac:dyDescent="0.25">
      <c r="A6401" t="s">
        <v>87</v>
      </c>
    </row>
    <row r="6402" spans="1:11" x14ac:dyDescent="0.25">
      <c r="A6402">
        <v>169</v>
      </c>
      <c r="B6402">
        <v>0</v>
      </c>
      <c r="C6402">
        <v>0</v>
      </c>
      <c r="D6402">
        <v>0.95229015391689098</v>
      </c>
      <c r="E6402">
        <v>4</v>
      </c>
      <c r="F6402">
        <v>1.5707963267949001</v>
      </c>
      <c r="G6402" t="s">
        <v>88</v>
      </c>
      <c r="H6402" t="s">
        <v>89</v>
      </c>
      <c r="I6402">
        <v>883</v>
      </c>
      <c r="J6402">
        <v>0</v>
      </c>
      <c r="K6402">
        <v>0</v>
      </c>
    </row>
    <row r="6403" spans="1:11" x14ac:dyDescent="0.25">
      <c r="A6403" t="s">
        <v>86</v>
      </c>
    </row>
    <row r="6404" spans="1:11" x14ac:dyDescent="0.25">
      <c r="A6404">
        <v>120.91089820997399</v>
      </c>
      <c r="B6404">
        <v>83.555205065549899</v>
      </c>
      <c r="C6404">
        <v>2000</v>
      </c>
    </row>
    <row r="6405" spans="1:11" x14ac:dyDescent="0.25">
      <c r="A6405">
        <v>120.91089820997399</v>
      </c>
      <c r="B6405">
        <v>83.555205065549899</v>
      </c>
      <c r="C6405">
        <v>2001</v>
      </c>
    </row>
    <row r="6406" spans="1:11" x14ac:dyDescent="0.25">
      <c r="A6406">
        <v>121.584269035465</v>
      </c>
      <c r="B6406">
        <v>84.2285758910417</v>
      </c>
      <c r="C6406">
        <v>2001</v>
      </c>
    </row>
    <row r="6407" spans="1:11" x14ac:dyDescent="0.25">
      <c r="A6407">
        <v>121.584269035465</v>
      </c>
      <c r="B6407">
        <v>84.2285758910417</v>
      </c>
      <c r="C6407">
        <v>2000</v>
      </c>
    </row>
    <row r="6408" spans="1:11" x14ac:dyDescent="0.25">
      <c r="A6408" t="s">
        <v>87</v>
      </c>
    </row>
    <row r="6409" spans="1:11" x14ac:dyDescent="0.25">
      <c r="A6409">
        <v>170</v>
      </c>
      <c r="B6409">
        <v>0</v>
      </c>
      <c r="C6409">
        <v>0</v>
      </c>
      <c r="D6409">
        <v>0.95229015391689098</v>
      </c>
      <c r="E6409">
        <v>4</v>
      </c>
      <c r="F6409">
        <v>1.5707963267949001</v>
      </c>
      <c r="G6409" t="s">
        <v>88</v>
      </c>
      <c r="H6409" t="s">
        <v>89</v>
      </c>
      <c r="I6409">
        <v>919</v>
      </c>
      <c r="J6409">
        <v>0</v>
      </c>
      <c r="K6409">
        <v>0</v>
      </c>
    </row>
    <row r="6410" spans="1:11" x14ac:dyDescent="0.25">
      <c r="A6410" t="s">
        <v>86</v>
      </c>
    </row>
    <row r="6411" spans="1:11" x14ac:dyDescent="0.25">
      <c r="A6411">
        <v>136.71832808140601</v>
      </c>
      <c r="B6411">
        <v>83.893613044123001</v>
      </c>
      <c r="C6411">
        <v>2000</v>
      </c>
    </row>
    <row r="6412" spans="1:11" x14ac:dyDescent="0.25">
      <c r="A6412">
        <v>136.71832808140601</v>
      </c>
      <c r="B6412">
        <v>83.893613044123001</v>
      </c>
      <c r="C6412">
        <v>2001</v>
      </c>
    </row>
    <row r="6413" spans="1:11" x14ac:dyDescent="0.25">
      <c r="A6413">
        <v>137.391698906898</v>
      </c>
      <c r="B6413">
        <v>84.566983869614802</v>
      </c>
      <c r="C6413">
        <v>2001</v>
      </c>
    </row>
    <row r="6414" spans="1:11" x14ac:dyDescent="0.25">
      <c r="A6414">
        <v>137.391698906898</v>
      </c>
      <c r="B6414">
        <v>84.566983869614802</v>
      </c>
      <c r="C6414">
        <v>2000</v>
      </c>
    </row>
    <row r="6415" spans="1:11" x14ac:dyDescent="0.25">
      <c r="A6415" t="s">
        <v>87</v>
      </c>
    </row>
    <row r="6416" spans="1:11" x14ac:dyDescent="0.25">
      <c r="A6416">
        <v>321</v>
      </c>
      <c r="B6416">
        <v>0</v>
      </c>
      <c r="C6416">
        <v>0</v>
      </c>
      <c r="D6416">
        <v>0.95229015391689098</v>
      </c>
      <c r="E6416">
        <v>4</v>
      </c>
      <c r="F6416">
        <v>1.5707963267949001</v>
      </c>
      <c r="G6416" t="s">
        <v>88</v>
      </c>
      <c r="H6416" t="s">
        <v>89</v>
      </c>
      <c r="I6416">
        <v>909</v>
      </c>
      <c r="J6416">
        <v>0</v>
      </c>
      <c r="K6416">
        <v>0</v>
      </c>
    </row>
    <row r="6417" spans="1:11" x14ac:dyDescent="0.25">
      <c r="A6417" t="s">
        <v>86</v>
      </c>
    </row>
    <row r="6418" spans="1:11" x14ac:dyDescent="0.25">
      <c r="A6418">
        <v>59.708759682117403</v>
      </c>
      <c r="B6418">
        <v>131.79972119713199</v>
      </c>
      <c r="C6418">
        <v>2000</v>
      </c>
    </row>
    <row r="6419" spans="1:11" x14ac:dyDescent="0.25">
      <c r="A6419">
        <v>59.708759682117403</v>
      </c>
      <c r="B6419">
        <v>131.79972119713199</v>
      </c>
      <c r="C6419">
        <v>2001</v>
      </c>
    </row>
    <row r="6420" spans="1:11" x14ac:dyDescent="0.25">
      <c r="A6420">
        <v>60.382130507609197</v>
      </c>
      <c r="B6420">
        <v>132.473092022624</v>
      </c>
      <c r="C6420">
        <v>2001</v>
      </c>
    </row>
    <row r="6421" spans="1:11" x14ac:dyDescent="0.25">
      <c r="A6421">
        <v>60.382130507609197</v>
      </c>
      <c r="B6421">
        <v>132.473092022624</v>
      </c>
      <c r="C6421">
        <v>2000</v>
      </c>
    </row>
    <row r="6422" spans="1:11" x14ac:dyDescent="0.25">
      <c r="A6422" t="s">
        <v>87</v>
      </c>
    </row>
    <row r="6423" spans="1:11" x14ac:dyDescent="0.25">
      <c r="A6423">
        <v>322</v>
      </c>
      <c r="B6423">
        <v>0</v>
      </c>
      <c r="C6423">
        <v>0</v>
      </c>
      <c r="D6423">
        <v>0.95229015391689098</v>
      </c>
      <c r="E6423">
        <v>4</v>
      </c>
      <c r="F6423">
        <v>1.5707963267949001</v>
      </c>
      <c r="G6423" t="s">
        <v>88</v>
      </c>
      <c r="H6423" t="s">
        <v>89</v>
      </c>
      <c r="I6423">
        <v>805</v>
      </c>
      <c r="J6423">
        <v>0</v>
      </c>
      <c r="K6423">
        <v>0</v>
      </c>
    </row>
    <row r="6424" spans="1:11" x14ac:dyDescent="0.25">
      <c r="A6424" t="s">
        <v>86</v>
      </c>
    </row>
    <row r="6425" spans="1:11" x14ac:dyDescent="0.25">
      <c r="A6425">
        <v>60.944160707734603</v>
      </c>
      <c r="B6425">
        <v>140.384494788192</v>
      </c>
      <c r="C6425">
        <v>2000</v>
      </c>
    </row>
    <row r="6426" spans="1:11" x14ac:dyDescent="0.25">
      <c r="A6426">
        <v>60.944160707734603</v>
      </c>
      <c r="B6426">
        <v>140.384494788192</v>
      </c>
      <c r="C6426">
        <v>2001</v>
      </c>
    </row>
    <row r="6427" spans="1:11" x14ac:dyDescent="0.25">
      <c r="A6427">
        <v>61.617531533226398</v>
      </c>
      <c r="B6427">
        <v>141.05786561368399</v>
      </c>
      <c r="C6427">
        <v>2001</v>
      </c>
    </row>
    <row r="6428" spans="1:11" x14ac:dyDescent="0.25">
      <c r="A6428">
        <v>61.617531533226398</v>
      </c>
      <c r="B6428">
        <v>141.05786561368399</v>
      </c>
      <c r="C6428">
        <v>2000</v>
      </c>
    </row>
    <row r="6429" spans="1:11" x14ac:dyDescent="0.25">
      <c r="A6429" t="s">
        <v>87</v>
      </c>
    </row>
    <row r="6430" spans="1:11" x14ac:dyDescent="0.25">
      <c r="A6430">
        <v>644</v>
      </c>
      <c r="B6430">
        <v>0</v>
      </c>
      <c r="C6430">
        <v>0.95229015391689098</v>
      </c>
      <c r="D6430">
        <v>0</v>
      </c>
      <c r="E6430">
        <v>5</v>
      </c>
      <c r="F6430">
        <v>1.5707963267949001</v>
      </c>
      <c r="G6430" t="s">
        <v>89</v>
      </c>
      <c r="H6430" t="s">
        <v>88</v>
      </c>
      <c r="I6430">
        <v>0</v>
      </c>
      <c r="J6430">
        <v>956</v>
      </c>
      <c r="K6430">
        <v>0</v>
      </c>
    </row>
    <row r="6431" spans="1:11" x14ac:dyDescent="0.25">
      <c r="A6431" t="s">
        <v>86</v>
      </c>
    </row>
    <row r="6432" spans="1:11" x14ac:dyDescent="0.25">
      <c r="A6432">
        <v>140.148883611033</v>
      </c>
      <c r="B6432">
        <v>121.478694081995</v>
      </c>
      <c r="C6432">
        <v>2000</v>
      </c>
    </row>
    <row r="6433" spans="1:11" x14ac:dyDescent="0.25">
      <c r="A6433">
        <v>139.47551278554101</v>
      </c>
      <c r="B6433">
        <v>120.805323256503</v>
      </c>
      <c r="C6433">
        <v>2000</v>
      </c>
    </row>
    <row r="6434" spans="1:11" x14ac:dyDescent="0.25">
      <c r="A6434">
        <v>139.47551278554101</v>
      </c>
      <c r="B6434">
        <v>120.805323256503</v>
      </c>
      <c r="C6434">
        <v>2001</v>
      </c>
    </row>
    <row r="6435" spans="1:11" x14ac:dyDescent="0.25">
      <c r="A6435">
        <v>140.148883611033</v>
      </c>
      <c r="B6435">
        <v>121.478694081995</v>
      </c>
      <c r="C6435">
        <v>2001</v>
      </c>
    </row>
    <row r="6436" spans="1:11" x14ac:dyDescent="0.25">
      <c r="A6436">
        <v>140.148883611033</v>
      </c>
      <c r="B6436">
        <v>121.478694081995</v>
      </c>
      <c r="C6436">
        <v>2000</v>
      </c>
    </row>
    <row r="6437" spans="1:11" x14ac:dyDescent="0.25">
      <c r="A6437" t="s">
        <v>87</v>
      </c>
    </row>
    <row r="6438" spans="1:11" x14ac:dyDescent="0.25">
      <c r="A6438">
        <v>177</v>
      </c>
      <c r="B6438">
        <v>0</v>
      </c>
      <c r="C6438">
        <v>0</v>
      </c>
      <c r="D6438">
        <v>0.95229015391689098</v>
      </c>
      <c r="E6438">
        <v>4</v>
      </c>
      <c r="F6438">
        <v>1.5707963267949001</v>
      </c>
      <c r="G6438" t="s">
        <v>88</v>
      </c>
      <c r="H6438" t="s">
        <v>89</v>
      </c>
      <c r="I6438">
        <v>820</v>
      </c>
      <c r="J6438">
        <v>0</v>
      </c>
      <c r="K6438">
        <v>0</v>
      </c>
    </row>
    <row r="6439" spans="1:11" x14ac:dyDescent="0.25">
      <c r="A6439" t="s">
        <v>86</v>
      </c>
    </row>
    <row r="6440" spans="1:11" x14ac:dyDescent="0.25">
      <c r="A6440">
        <v>139.019538713163</v>
      </c>
      <c r="B6440">
        <v>60.665936051246703</v>
      </c>
      <c r="C6440">
        <v>2000</v>
      </c>
    </row>
    <row r="6441" spans="1:11" x14ac:dyDescent="0.25">
      <c r="A6441">
        <v>139.019538713163</v>
      </c>
      <c r="B6441">
        <v>60.665936051246703</v>
      </c>
      <c r="C6441">
        <v>2001</v>
      </c>
    </row>
    <row r="6442" spans="1:11" x14ac:dyDescent="0.25">
      <c r="A6442">
        <v>139.69290953865399</v>
      </c>
      <c r="B6442">
        <v>61.339306876738497</v>
      </c>
      <c r="C6442">
        <v>2001</v>
      </c>
    </row>
    <row r="6443" spans="1:11" x14ac:dyDescent="0.25">
      <c r="A6443">
        <v>139.69290953865399</v>
      </c>
      <c r="B6443">
        <v>61.339306876738497</v>
      </c>
      <c r="C6443">
        <v>2000</v>
      </c>
    </row>
    <row r="6444" spans="1:11" x14ac:dyDescent="0.25">
      <c r="A6444" t="s">
        <v>87</v>
      </c>
    </row>
    <row r="6445" spans="1:11" x14ac:dyDescent="0.25">
      <c r="A6445">
        <v>180</v>
      </c>
      <c r="B6445">
        <v>0</v>
      </c>
      <c r="C6445">
        <v>0</v>
      </c>
      <c r="D6445">
        <v>0.95229015391689098</v>
      </c>
      <c r="E6445">
        <v>4</v>
      </c>
      <c r="F6445">
        <v>1.5707963267949001</v>
      </c>
      <c r="G6445" t="s">
        <v>88</v>
      </c>
      <c r="H6445" t="s">
        <v>89</v>
      </c>
      <c r="I6445">
        <v>117</v>
      </c>
      <c r="J6445">
        <v>0</v>
      </c>
      <c r="K6445">
        <v>0</v>
      </c>
    </row>
    <row r="6446" spans="1:11" x14ac:dyDescent="0.25">
      <c r="A6446" t="s">
        <v>86</v>
      </c>
    </row>
    <row r="6447" spans="1:11" x14ac:dyDescent="0.25">
      <c r="A6447">
        <v>111.672445229102</v>
      </c>
      <c r="B6447">
        <v>89.287381241697503</v>
      </c>
      <c r="C6447">
        <v>2000</v>
      </c>
    </row>
    <row r="6448" spans="1:11" x14ac:dyDescent="0.25">
      <c r="A6448">
        <v>111.672445229102</v>
      </c>
      <c r="B6448">
        <v>89.287381241697503</v>
      </c>
      <c r="C6448">
        <v>2001</v>
      </c>
    </row>
    <row r="6449" spans="1:11" x14ac:dyDescent="0.25">
      <c r="A6449">
        <v>112.345816054594</v>
      </c>
      <c r="B6449">
        <v>89.960752067189304</v>
      </c>
      <c r="C6449">
        <v>2001</v>
      </c>
    </row>
    <row r="6450" spans="1:11" x14ac:dyDescent="0.25">
      <c r="A6450">
        <v>112.345816054594</v>
      </c>
      <c r="B6450">
        <v>89.960752067189304</v>
      </c>
      <c r="C6450">
        <v>2000</v>
      </c>
    </row>
    <row r="6451" spans="1:11" x14ac:dyDescent="0.25">
      <c r="A6451" t="s">
        <v>87</v>
      </c>
    </row>
    <row r="6452" spans="1:11" x14ac:dyDescent="0.25">
      <c r="A6452">
        <v>331</v>
      </c>
      <c r="B6452">
        <v>0</v>
      </c>
      <c r="C6452">
        <v>0</v>
      </c>
      <c r="D6452">
        <v>0.95229015391689098</v>
      </c>
      <c r="E6452">
        <v>4</v>
      </c>
      <c r="F6452">
        <v>1.5707963267949001</v>
      </c>
      <c r="G6452" t="s">
        <v>88</v>
      </c>
      <c r="H6452" t="s">
        <v>89</v>
      </c>
      <c r="I6452">
        <v>788</v>
      </c>
      <c r="J6452">
        <v>0</v>
      </c>
      <c r="K6452">
        <v>0</v>
      </c>
    </row>
    <row r="6453" spans="1:11" x14ac:dyDescent="0.25">
      <c r="A6453" t="s">
        <v>86</v>
      </c>
    </row>
    <row r="6454" spans="1:11" x14ac:dyDescent="0.25">
      <c r="A6454">
        <v>50.099279009783302</v>
      </c>
      <c r="B6454">
        <v>139.563243225945</v>
      </c>
      <c r="C6454">
        <v>2000</v>
      </c>
    </row>
    <row r="6455" spans="1:11" x14ac:dyDescent="0.25">
      <c r="A6455">
        <v>50.099279009783302</v>
      </c>
      <c r="B6455">
        <v>139.563243225945</v>
      </c>
      <c r="C6455">
        <v>2001</v>
      </c>
    </row>
    <row r="6456" spans="1:11" x14ac:dyDescent="0.25">
      <c r="A6456">
        <v>50.772649835275097</v>
      </c>
      <c r="B6456">
        <v>140.23661405143699</v>
      </c>
      <c r="C6456">
        <v>2001</v>
      </c>
    </row>
    <row r="6457" spans="1:11" x14ac:dyDescent="0.25">
      <c r="A6457">
        <v>50.772649835275097</v>
      </c>
      <c r="B6457">
        <v>140.23661405143699</v>
      </c>
      <c r="C6457">
        <v>2000</v>
      </c>
    </row>
    <row r="6458" spans="1:11" x14ac:dyDescent="0.25">
      <c r="A6458" t="s">
        <v>87</v>
      </c>
    </row>
    <row r="6459" spans="1:11" x14ac:dyDescent="0.25">
      <c r="A6459">
        <v>332</v>
      </c>
      <c r="B6459">
        <v>0</v>
      </c>
      <c r="C6459">
        <v>0</v>
      </c>
      <c r="D6459">
        <v>0.95229015391689098</v>
      </c>
      <c r="E6459">
        <v>4</v>
      </c>
      <c r="F6459">
        <v>1.5707963267949001</v>
      </c>
      <c r="G6459" t="s">
        <v>88</v>
      </c>
      <c r="H6459" t="s">
        <v>89</v>
      </c>
      <c r="I6459">
        <v>344</v>
      </c>
      <c r="J6459">
        <v>0</v>
      </c>
      <c r="K6459">
        <v>0</v>
      </c>
    </row>
    <row r="6460" spans="1:11" x14ac:dyDescent="0.25">
      <c r="A6460" t="s">
        <v>86</v>
      </c>
    </row>
    <row r="6461" spans="1:11" x14ac:dyDescent="0.25">
      <c r="A6461">
        <v>86.948866367781903</v>
      </c>
      <c r="B6461">
        <v>147.15781558638301</v>
      </c>
      <c r="C6461">
        <v>2000</v>
      </c>
    </row>
    <row r="6462" spans="1:11" x14ac:dyDescent="0.25">
      <c r="A6462">
        <v>86.948866367781903</v>
      </c>
      <c r="B6462">
        <v>147.15781558638301</v>
      </c>
      <c r="C6462">
        <v>2001</v>
      </c>
    </row>
    <row r="6463" spans="1:11" x14ac:dyDescent="0.25">
      <c r="A6463">
        <v>87.622237193273705</v>
      </c>
      <c r="B6463">
        <v>147.831186411875</v>
      </c>
      <c r="C6463">
        <v>2001</v>
      </c>
    </row>
    <row r="6464" spans="1:11" x14ac:dyDescent="0.25">
      <c r="A6464">
        <v>87.622237193273705</v>
      </c>
      <c r="B6464">
        <v>147.831186411875</v>
      </c>
      <c r="C6464">
        <v>2000</v>
      </c>
    </row>
    <row r="6465" spans="1:11" x14ac:dyDescent="0.25">
      <c r="A6465" t="s">
        <v>87</v>
      </c>
    </row>
    <row r="6466" spans="1:11" x14ac:dyDescent="0.25">
      <c r="A6466">
        <v>327</v>
      </c>
      <c r="B6466">
        <v>0</v>
      </c>
      <c r="C6466">
        <v>0.95229015391689098</v>
      </c>
      <c r="D6466">
        <v>0</v>
      </c>
      <c r="E6466">
        <v>5</v>
      </c>
      <c r="F6466">
        <v>1.5707963267949001</v>
      </c>
      <c r="G6466" t="s">
        <v>89</v>
      </c>
      <c r="H6466" t="s">
        <v>88</v>
      </c>
      <c r="I6466">
        <v>0</v>
      </c>
      <c r="J6466">
        <v>350</v>
      </c>
      <c r="K6466">
        <v>0</v>
      </c>
    </row>
    <row r="6467" spans="1:11" x14ac:dyDescent="0.25">
      <c r="A6467" t="s">
        <v>86</v>
      </c>
    </row>
    <row r="6468" spans="1:11" x14ac:dyDescent="0.25">
      <c r="A6468">
        <v>85.078418341036198</v>
      </c>
      <c r="B6468">
        <v>101.753164502677</v>
      </c>
      <c r="C6468">
        <v>2000</v>
      </c>
    </row>
    <row r="6469" spans="1:11" x14ac:dyDescent="0.25">
      <c r="A6469">
        <v>84.405047515544297</v>
      </c>
      <c r="B6469">
        <v>101.07979367718499</v>
      </c>
      <c r="C6469">
        <v>2000</v>
      </c>
    </row>
    <row r="6470" spans="1:11" x14ac:dyDescent="0.25">
      <c r="A6470">
        <v>84.405047515544297</v>
      </c>
      <c r="B6470">
        <v>101.07979367718499</v>
      </c>
      <c r="C6470">
        <v>2001</v>
      </c>
    </row>
    <row r="6471" spans="1:11" x14ac:dyDescent="0.25">
      <c r="A6471">
        <v>85.078418341036198</v>
      </c>
      <c r="B6471">
        <v>101.753164502677</v>
      </c>
      <c r="C6471">
        <v>2001</v>
      </c>
    </row>
    <row r="6472" spans="1:11" x14ac:dyDescent="0.25">
      <c r="A6472">
        <v>85.078418341036198</v>
      </c>
      <c r="B6472">
        <v>101.753164502677</v>
      </c>
      <c r="C6472">
        <v>2000</v>
      </c>
    </row>
    <row r="6473" spans="1:11" x14ac:dyDescent="0.25">
      <c r="A6473" t="s">
        <v>87</v>
      </c>
    </row>
    <row r="6474" spans="1:11" x14ac:dyDescent="0.25">
      <c r="A6474">
        <v>652</v>
      </c>
      <c r="B6474">
        <v>0</v>
      </c>
      <c r="C6474">
        <v>0</v>
      </c>
      <c r="D6474">
        <v>0.71180238561819897</v>
      </c>
      <c r="E6474">
        <v>4</v>
      </c>
      <c r="F6474">
        <v>1.5707963267949001</v>
      </c>
      <c r="G6474" t="s">
        <v>88</v>
      </c>
      <c r="H6474" t="s">
        <v>85</v>
      </c>
      <c r="I6474">
        <v>672</v>
      </c>
      <c r="J6474">
        <v>0</v>
      </c>
      <c r="K6474">
        <v>0</v>
      </c>
    </row>
    <row r="6475" spans="1:11" x14ac:dyDescent="0.25">
      <c r="A6475" t="s">
        <v>86</v>
      </c>
    </row>
    <row r="6476" spans="1:11" x14ac:dyDescent="0.25">
      <c r="A6476">
        <v>145.96413271313699</v>
      </c>
      <c r="B6476">
        <v>149.49667970626501</v>
      </c>
      <c r="C6476">
        <v>2000</v>
      </c>
    </row>
    <row r="6477" spans="1:11" x14ac:dyDescent="0.25">
      <c r="A6477">
        <v>145.96413271313699</v>
      </c>
      <c r="B6477">
        <v>149.49667970626501</v>
      </c>
      <c r="C6477">
        <v>2001</v>
      </c>
    </row>
    <row r="6478" spans="1:11" x14ac:dyDescent="0.25">
      <c r="A6478">
        <v>146.467453006873</v>
      </c>
      <c r="B6478">
        <v>150</v>
      </c>
      <c r="C6478">
        <v>2001</v>
      </c>
    </row>
    <row r="6479" spans="1:11" x14ac:dyDescent="0.25">
      <c r="A6479">
        <v>146.467453006873</v>
      </c>
      <c r="B6479">
        <v>150</v>
      </c>
      <c r="C6479">
        <v>2000</v>
      </c>
    </row>
    <row r="6480" spans="1:11" x14ac:dyDescent="0.25">
      <c r="A6480" t="s">
        <v>87</v>
      </c>
    </row>
    <row r="6481" spans="1:11" x14ac:dyDescent="0.25">
      <c r="A6481">
        <v>172</v>
      </c>
      <c r="B6481">
        <v>0</v>
      </c>
      <c r="C6481">
        <v>0.686271536994155</v>
      </c>
      <c r="D6481">
        <v>1.8971465440074602E-2</v>
      </c>
      <c r="E6481">
        <v>8</v>
      </c>
      <c r="F6481">
        <v>1.5707963267949001</v>
      </c>
      <c r="G6481" t="s">
        <v>88</v>
      </c>
      <c r="H6481" t="s">
        <v>88</v>
      </c>
      <c r="I6481">
        <v>971</v>
      </c>
      <c r="J6481">
        <v>990</v>
      </c>
      <c r="K6481">
        <v>0</v>
      </c>
    </row>
    <row r="6482" spans="1:11" x14ac:dyDescent="0.25">
      <c r="A6482" t="s">
        <v>86</v>
      </c>
    </row>
    <row r="6483" spans="1:11" x14ac:dyDescent="0.25">
      <c r="A6483">
        <v>145.808057834305</v>
      </c>
      <c r="B6483">
        <v>50.131359673166301</v>
      </c>
      <c r="C6483">
        <v>2000</v>
      </c>
    </row>
    <row r="6484" spans="1:11" x14ac:dyDescent="0.25">
      <c r="A6484">
        <v>145.676698161139</v>
      </c>
      <c r="B6484">
        <v>50</v>
      </c>
      <c r="C6484">
        <v>2000</v>
      </c>
    </row>
    <row r="6485" spans="1:11" x14ac:dyDescent="0.25">
      <c r="A6485">
        <v>145.32279057676101</v>
      </c>
      <c r="B6485">
        <v>49.646092415622498</v>
      </c>
      <c r="C6485">
        <v>2000</v>
      </c>
    </row>
    <row r="6486" spans="1:11" x14ac:dyDescent="0.25">
      <c r="A6486">
        <v>145.32279057676101</v>
      </c>
      <c r="B6486">
        <v>49.646092415622498</v>
      </c>
      <c r="C6486">
        <v>2001</v>
      </c>
    </row>
    <row r="6487" spans="1:11" x14ac:dyDescent="0.25">
      <c r="A6487">
        <v>145.676698161139</v>
      </c>
      <c r="B6487">
        <v>50</v>
      </c>
      <c r="C6487">
        <v>2001</v>
      </c>
    </row>
    <row r="6488" spans="1:11" x14ac:dyDescent="0.25">
      <c r="A6488">
        <v>145.808057834305</v>
      </c>
      <c r="B6488">
        <v>50.131359673166301</v>
      </c>
      <c r="C6488">
        <v>2001</v>
      </c>
    </row>
    <row r="6489" spans="1:11" x14ac:dyDescent="0.25">
      <c r="A6489">
        <v>145.821472686167</v>
      </c>
      <c r="B6489">
        <v>50.144774525028097</v>
      </c>
      <c r="C6489">
        <v>2001</v>
      </c>
    </row>
    <row r="6490" spans="1:11" x14ac:dyDescent="0.25">
      <c r="A6490">
        <v>145.821472686167</v>
      </c>
      <c r="B6490">
        <v>50.144774525028097</v>
      </c>
      <c r="C6490">
        <v>2000</v>
      </c>
    </row>
    <row r="6491" spans="1:11" x14ac:dyDescent="0.25">
      <c r="A6491" t="s">
        <v>87</v>
      </c>
    </row>
    <row r="6492" spans="1:11" x14ac:dyDescent="0.25">
      <c r="A6492">
        <v>952</v>
      </c>
      <c r="B6492">
        <v>0</v>
      </c>
      <c r="C6492">
        <v>0.60791896506907495</v>
      </c>
      <c r="D6492">
        <v>5.7080892835557499E-2</v>
      </c>
      <c r="E6492">
        <v>6</v>
      </c>
      <c r="F6492">
        <v>1.01722196789785</v>
      </c>
      <c r="G6492" t="s">
        <v>88</v>
      </c>
      <c r="H6492" t="s">
        <v>85</v>
      </c>
      <c r="I6492">
        <v>807</v>
      </c>
      <c r="J6492">
        <v>0</v>
      </c>
      <c r="K6492">
        <v>0.10702589295230699</v>
      </c>
    </row>
    <row r="6493" spans="1:11" x14ac:dyDescent="0.25">
      <c r="A6493" t="s">
        <v>86</v>
      </c>
    </row>
    <row r="6494" spans="1:11" x14ac:dyDescent="0.25">
      <c r="A6494">
        <v>74.748035765353805</v>
      </c>
      <c r="B6494">
        <v>149.94088187135199</v>
      </c>
      <c r="C6494">
        <v>2000</v>
      </c>
    </row>
    <row r="6495" spans="1:11" x14ac:dyDescent="0.25">
      <c r="A6495">
        <v>74.118419972764698</v>
      </c>
      <c r="B6495">
        <v>149.311266078763</v>
      </c>
      <c r="C6495">
        <v>2000</v>
      </c>
    </row>
    <row r="6496" spans="1:11" x14ac:dyDescent="0.25">
      <c r="A6496">
        <v>73.681403948315904</v>
      </c>
      <c r="B6496">
        <v>149.74828210321201</v>
      </c>
      <c r="C6496">
        <v>2001</v>
      </c>
    </row>
    <row r="6497" spans="1:11" x14ac:dyDescent="0.25">
      <c r="A6497">
        <v>73.911515400951302</v>
      </c>
      <c r="B6497">
        <v>149.97839355584699</v>
      </c>
      <c r="C6497">
        <v>2001</v>
      </c>
    </row>
    <row r="6498" spans="1:11" x14ac:dyDescent="0.25">
      <c r="A6498">
        <v>73.933121845103898</v>
      </c>
      <c r="B6498">
        <v>150</v>
      </c>
      <c r="C6498">
        <v>2001</v>
      </c>
    </row>
    <row r="6499" spans="1:11" x14ac:dyDescent="0.25">
      <c r="A6499">
        <v>74.807153894001601</v>
      </c>
      <c r="B6499">
        <v>150</v>
      </c>
      <c r="C6499">
        <v>2000</v>
      </c>
    </row>
    <row r="6500" spans="1:11" x14ac:dyDescent="0.25">
      <c r="A6500" t="s">
        <v>87</v>
      </c>
    </row>
    <row r="6501" spans="1:11" x14ac:dyDescent="0.25">
      <c r="A6501">
        <v>641</v>
      </c>
      <c r="B6501">
        <v>0</v>
      </c>
      <c r="C6501">
        <v>0</v>
      </c>
      <c r="D6501">
        <v>0.64023529167042204</v>
      </c>
      <c r="E6501">
        <v>4</v>
      </c>
      <c r="F6501">
        <v>1.5707963267949001</v>
      </c>
      <c r="G6501" t="s">
        <v>88</v>
      </c>
      <c r="H6501" t="s">
        <v>85</v>
      </c>
      <c r="I6501">
        <v>759</v>
      </c>
      <c r="J6501">
        <v>0</v>
      </c>
      <c r="K6501">
        <v>0</v>
      </c>
    </row>
    <row r="6502" spans="1:11" x14ac:dyDescent="0.25">
      <c r="A6502" t="s">
        <v>86</v>
      </c>
    </row>
    <row r="6503" spans="1:11" x14ac:dyDescent="0.25">
      <c r="A6503">
        <v>149.54728528370501</v>
      </c>
      <c r="B6503">
        <v>130.36416924109901</v>
      </c>
      <c r="C6503">
        <v>2000</v>
      </c>
    </row>
    <row r="6504" spans="1:11" x14ac:dyDescent="0.25">
      <c r="A6504">
        <v>149.54728528370501</v>
      </c>
      <c r="B6504">
        <v>130.36416924109901</v>
      </c>
      <c r="C6504">
        <v>2001</v>
      </c>
    </row>
    <row r="6505" spans="1:11" x14ac:dyDescent="0.25">
      <c r="A6505">
        <v>150</v>
      </c>
      <c r="B6505">
        <v>130.816883957394</v>
      </c>
      <c r="C6505">
        <v>2001</v>
      </c>
    </row>
    <row r="6506" spans="1:11" x14ac:dyDescent="0.25">
      <c r="A6506">
        <v>150</v>
      </c>
      <c r="B6506">
        <v>130.816883957394</v>
      </c>
      <c r="C6506">
        <v>2000</v>
      </c>
    </row>
    <row r="6507" spans="1:11" x14ac:dyDescent="0.25">
      <c r="A6507" t="s">
        <v>87</v>
      </c>
    </row>
    <row r="6508" spans="1:11" x14ac:dyDescent="0.25">
      <c r="A6508">
        <v>491</v>
      </c>
      <c r="B6508">
        <v>0</v>
      </c>
      <c r="C6508">
        <v>0.57425155465965405</v>
      </c>
      <c r="D6508">
        <v>0</v>
      </c>
      <c r="E6508">
        <v>5</v>
      </c>
      <c r="F6508">
        <v>1.5707963267949001</v>
      </c>
      <c r="G6508" t="s">
        <v>88</v>
      </c>
      <c r="H6508" t="s">
        <v>88</v>
      </c>
      <c r="I6508">
        <v>504</v>
      </c>
      <c r="J6508">
        <v>519</v>
      </c>
      <c r="K6508">
        <v>0</v>
      </c>
    </row>
    <row r="6509" spans="1:11" x14ac:dyDescent="0.25">
      <c r="A6509" t="s">
        <v>86</v>
      </c>
    </row>
    <row r="6510" spans="1:11" x14ac:dyDescent="0.25">
      <c r="A6510">
        <v>22.023935416724498</v>
      </c>
      <c r="B6510">
        <v>69.438835335634096</v>
      </c>
      <c r="C6510">
        <v>2000</v>
      </c>
    </row>
    <row r="6511" spans="1:11" x14ac:dyDescent="0.25">
      <c r="A6511">
        <v>21.617878248317702</v>
      </c>
      <c r="B6511">
        <v>69.032778167227406</v>
      </c>
      <c r="C6511">
        <v>2000</v>
      </c>
    </row>
    <row r="6512" spans="1:11" x14ac:dyDescent="0.25">
      <c r="A6512">
        <v>21.617878248317702</v>
      </c>
      <c r="B6512">
        <v>69.032778167227406</v>
      </c>
      <c r="C6512">
        <v>2001</v>
      </c>
    </row>
    <row r="6513" spans="1:11" x14ac:dyDescent="0.25">
      <c r="A6513">
        <v>22.023935416724498</v>
      </c>
      <c r="B6513">
        <v>69.438835335634096</v>
      </c>
      <c r="C6513">
        <v>2001</v>
      </c>
    </row>
    <row r="6514" spans="1:11" x14ac:dyDescent="0.25">
      <c r="A6514">
        <v>22.023935416724498</v>
      </c>
      <c r="B6514">
        <v>69.438835335634096</v>
      </c>
      <c r="C6514">
        <v>2000</v>
      </c>
    </row>
    <row r="6515" spans="1:11" x14ac:dyDescent="0.25">
      <c r="A6515" t="s">
        <v>87</v>
      </c>
    </row>
    <row r="6516" spans="1:11" x14ac:dyDescent="0.25">
      <c r="A6516">
        <v>415</v>
      </c>
      <c r="B6516">
        <v>0</v>
      </c>
      <c r="C6516">
        <v>0.460937572271931</v>
      </c>
      <c r="D6516">
        <v>0</v>
      </c>
      <c r="E6516">
        <v>5</v>
      </c>
      <c r="F6516">
        <v>1.5707963267949001</v>
      </c>
      <c r="G6516" t="s">
        <v>88</v>
      </c>
      <c r="H6516" t="s">
        <v>88</v>
      </c>
      <c r="I6516">
        <v>913</v>
      </c>
      <c r="J6516">
        <v>806</v>
      </c>
      <c r="K6516">
        <v>0</v>
      </c>
    </row>
    <row r="6517" spans="1:11" x14ac:dyDescent="0.25">
      <c r="A6517" t="s">
        <v>86</v>
      </c>
    </row>
    <row r="6518" spans="1:11" x14ac:dyDescent="0.25">
      <c r="A6518">
        <v>118.80306164678299</v>
      </c>
      <c r="B6518">
        <v>21.040271744616501</v>
      </c>
      <c r="C6518">
        <v>2000</v>
      </c>
    </row>
    <row r="6519" spans="1:11" x14ac:dyDescent="0.25">
      <c r="A6519">
        <v>118.477129563726</v>
      </c>
      <c r="B6519">
        <v>20.714339661559301</v>
      </c>
      <c r="C6519">
        <v>2000</v>
      </c>
    </row>
    <row r="6520" spans="1:11" x14ac:dyDescent="0.25">
      <c r="A6520">
        <v>118.477129563726</v>
      </c>
      <c r="B6520">
        <v>20.714339661559301</v>
      </c>
      <c r="C6520">
        <v>2001</v>
      </c>
    </row>
    <row r="6521" spans="1:11" x14ac:dyDescent="0.25">
      <c r="A6521">
        <v>118.80306164678299</v>
      </c>
      <c r="B6521">
        <v>21.040271744616501</v>
      </c>
      <c r="C6521">
        <v>2001</v>
      </c>
    </row>
    <row r="6522" spans="1:11" x14ac:dyDescent="0.25">
      <c r="A6522">
        <v>118.80306164678299</v>
      </c>
      <c r="B6522">
        <v>21.040271744616501</v>
      </c>
      <c r="C6522">
        <v>2000</v>
      </c>
    </row>
    <row r="6523" spans="1:11" x14ac:dyDescent="0.25">
      <c r="A6523" t="s">
        <v>87</v>
      </c>
    </row>
    <row r="6524" spans="1:11" x14ac:dyDescent="0.25">
      <c r="A6524">
        <v>481</v>
      </c>
      <c r="B6524">
        <v>0</v>
      </c>
      <c r="C6524">
        <v>0.437613592961</v>
      </c>
      <c r="D6524">
        <v>0</v>
      </c>
      <c r="E6524">
        <v>5</v>
      </c>
      <c r="F6524">
        <v>1.5707963267949001</v>
      </c>
      <c r="G6524" t="s">
        <v>88</v>
      </c>
      <c r="H6524" t="s">
        <v>88</v>
      </c>
      <c r="I6524">
        <v>496</v>
      </c>
      <c r="J6524">
        <v>725</v>
      </c>
      <c r="K6524">
        <v>0</v>
      </c>
    </row>
    <row r="6525" spans="1:11" x14ac:dyDescent="0.25">
      <c r="A6525" t="s">
        <v>86</v>
      </c>
    </row>
    <row r="6526" spans="1:11" x14ac:dyDescent="0.25">
      <c r="A6526">
        <v>35.295708004988597</v>
      </c>
      <c r="B6526">
        <v>91.675250274909303</v>
      </c>
      <c r="C6526">
        <v>2000</v>
      </c>
    </row>
    <row r="6527" spans="1:11" x14ac:dyDescent="0.25">
      <c r="A6527">
        <v>34.986268465866502</v>
      </c>
      <c r="B6527">
        <v>91.365810735787207</v>
      </c>
      <c r="C6527">
        <v>2000</v>
      </c>
    </row>
    <row r="6528" spans="1:11" x14ac:dyDescent="0.25">
      <c r="A6528">
        <v>34.986268465866502</v>
      </c>
      <c r="B6528">
        <v>91.365810735787207</v>
      </c>
      <c r="C6528">
        <v>2001</v>
      </c>
    </row>
    <row r="6529" spans="1:11" x14ac:dyDescent="0.25">
      <c r="A6529">
        <v>35.295708004988597</v>
      </c>
      <c r="B6529">
        <v>91.675250274909303</v>
      </c>
      <c r="C6529">
        <v>2001</v>
      </c>
    </row>
    <row r="6530" spans="1:11" x14ac:dyDescent="0.25">
      <c r="A6530">
        <v>35.295708004988597</v>
      </c>
      <c r="B6530">
        <v>91.675250274909303</v>
      </c>
      <c r="C6530">
        <v>2000</v>
      </c>
    </row>
    <row r="6531" spans="1:11" x14ac:dyDescent="0.25">
      <c r="A6531" t="s">
        <v>87</v>
      </c>
    </row>
    <row r="6532" spans="1:11" x14ac:dyDescent="0.25">
      <c r="A6532">
        <v>402</v>
      </c>
      <c r="B6532">
        <v>0</v>
      </c>
      <c r="C6532">
        <v>0</v>
      </c>
      <c r="D6532">
        <v>0.40519814871461801</v>
      </c>
      <c r="E6532">
        <v>4</v>
      </c>
      <c r="F6532">
        <v>1.5707963267949001</v>
      </c>
      <c r="G6532" t="s">
        <v>88</v>
      </c>
      <c r="H6532" t="s">
        <v>88</v>
      </c>
      <c r="I6532">
        <v>433</v>
      </c>
      <c r="J6532">
        <v>1042</v>
      </c>
      <c r="K6532">
        <v>0</v>
      </c>
    </row>
    <row r="6533" spans="1:11" x14ac:dyDescent="0.25">
      <c r="A6533" t="s">
        <v>86</v>
      </c>
    </row>
    <row r="6534" spans="1:11" x14ac:dyDescent="0.25">
      <c r="A6534">
        <v>119.47461141714599</v>
      </c>
      <c r="B6534">
        <v>17.9094639457341</v>
      </c>
      <c r="C6534">
        <v>2000</v>
      </c>
    </row>
    <row r="6535" spans="1:11" x14ac:dyDescent="0.25">
      <c r="A6535">
        <v>119.47461141714599</v>
      </c>
      <c r="B6535">
        <v>17.9094639457341</v>
      </c>
      <c r="C6535">
        <v>2001</v>
      </c>
    </row>
    <row r="6536" spans="1:11" x14ac:dyDescent="0.25">
      <c r="A6536">
        <v>119.76112977582601</v>
      </c>
      <c r="B6536">
        <v>18.1959823044144</v>
      </c>
      <c r="C6536">
        <v>2001</v>
      </c>
    </row>
    <row r="6537" spans="1:11" x14ac:dyDescent="0.25">
      <c r="A6537">
        <v>119.76112977582601</v>
      </c>
      <c r="B6537">
        <v>18.1959823044144</v>
      </c>
      <c r="C6537">
        <v>2000</v>
      </c>
    </row>
    <row r="6538" spans="1:11" x14ac:dyDescent="0.25">
      <c r="A6538" t="s">
        <v>87</v>
      </c>
    </row>
    <row r="6539" spans="1:11" x14ac:dyDescent="0.25">
      <c r="A6539">
        <v>245</v>
      </c>
      <c r="B6539">
        <v>0</v>
      </c>
      <c r="C6539">
        <v>0.17520049972127799</v>
      </c>
      <c r="D6539">
        <v>0</v>
      </c>
      <c r="E6539">
        <v>5</v>
      </c>
      <c r="F6539">
        <v>1.5707963267949001</v>
      </c>
      <c r="G6539" t="s">
        <v>88</v>
      </c>
      <c r="H6539" t="s">
        <v>88</v>
      </c>
      <c r="I6539">
        <v>249</v>
      </c>
      <c r="J6539">
        <v>1028</v>
      </c>
      <c r="K6539">
        <v>0</v>
      </c>
    </row>
    <row r="6540" spans="1:11" x14ac:dyDescent="0.25">
      <c r="A6540" t="s">
        <v>86</v>
      </c>
    </row>
    <row r="6541" spans="1:11" x14ac:dyDescent="0.25">
      <c r="A6541">
        <v>74.714041815471901</v>
      </c>
      <c r="B6541">
        <v>8.52577840375052</v>
      </c>
      <c r="C6541">
        <v>2000</v>
      </c>
    </row>
    <row r="6542" spans="1:11" x14ac:dyDescent="0.25">
      <c r="A6542">
        <v>74.5901563540517</v>
      </c>
      <c r="B6542">
        <v>8.4018929423303295</v>
      </c>
      <c r="C6542">
        <v>2000</v>
      </c>
    </row>
    <row r="6543" spans="1:11" x14ac:dyDescent="0.25">
      <c r="A6543">
        <v>74.5901563540517</v>
      </c>
      <c r="B6543">
        <v>8.4018929423303295</v>
      </c>
      <c r="C6543">
        <v>2001</v>
      </c>
    </row>
    <row r="6544" spans="1:11" x14ac:dyDescent="0.25">
      <c r="A6544">
        <v>74.714041815471901</v>
      </c>
      <c r="B6544">
        <v>8.52577840375052</v>
      </c>
      <c r="C6544">
        <v>2001</v>
      </c>
    </row>
    <row r="6545" spans="1:11" x14ac:dyDescent="0.25">
      <c r="A6545">
        <v>74.714041815471901</v>
      </c>
      <c r="B6545">
        <v>8.52577840375052</v>
      </c>
      <c r="C6545">
        <v>2000</v>
      </c>
    </row>
    <row r="6546" spans="1:11" x14ac:dyDescent="0.25">
      <c r="A6546" t="s">
        <v>87</v>
      </c>
    </row>
    <row r="6547" spans="1:11" x14ac:dyDescent="0.25">
      <c r="A6547">
        <v>575</v>
      </c>
      <c r="B6547">
        <v>0</v>
      </c>
      <c r="C6547">
        <v>0</v>
      </c>
      <c r="D6547">
        <v>0.16337861987014399</v>
      </c>
      <c r="E6547">
        <v>4</v>
      </c>
      <c r="F6547">
        <v>1.5707963267949001</v>
      </c>
      <c r="G6547" t="s">
        <v>88</v>
      </c>
      <c r="H6547" t="s">
        <v>88</v>
      </c>
      <c r="I6547">
        <v>511</v>
      </c>
      <c r="J6547">
        <v>726</v>
      </c>
      <c r="K6547">
        <v>0</v>
      </c>
    </row>
    <row r="6548" spans="1:11" x14ac:dyDescent="0.25">
      <c r="A6548" t="s">
        <v>86</v>
      </c>
    </row>
    <row r="6549" spans="1:11" x14ac:dyDescent="0.25">
      <c r="A6549">
        <v>34.129237725459603</v>
      </c>
      <c r="B6549">
        <v>100.61376022669199</v>
      </c>
      <c r="C6549">
        <v>2000</v>
      </c>
    </row>
    <row r="6550" spans="1:11" x14ac:dyDescent="0.25">
      <c r="A6550">
        <v>34.129237725459603</v>
      </c>
      <c r="B6550">
        <v>100.61376022669199</v>
      </c>
      <c r="C6550">
        <v>2001</v>
      </c>
    </row>
    <row r="6551" spans="1:11" x14ac:dyDescent="0.25">
      <c r="A6551">
        <v>34.244763855470701</v>
      </c>
      <c r="B6551">
        <v>100.729286356703</v>
      </c>
      <c r="C6551">
        <v>2001</v>
      </c>
    </row>
    <row r="6552" spans="1:11" x14ac:dyDescent="0.25">
      <c r="A6552">
        <v>34.244763855470701</v>
      </c>
      <c r="B6552">
        <v>100.729286356703</v>
      </c>
      <c r="C6552">
        <v>2000</v>
      </c>
    </row>
    <row r="6553" spans="1:11" x14ac:dyDescent="0.25">
      <c r="A6553" t="s">
        <v>87</v>
      </c>
    </row>
  </sheetData>
  <sortState xmlns:xlrd2="http://schemas.microsoft.com/office/spreadsheetml/2017/richdata2" ref="AP2:AV2">
    <sortCondition descending="1" ref="AQ2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Implicit_Fracs</vt:lpstr>
      <vt:lpstr>Explicit_DFN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Welch</dc:creator>
  <cp:lastModifiedBy>Michael Welch</cp:lastModifiedBy>
  <dcterms:created xsi:type="dcterms:W3CDTF">2017-09-22T11:54:38Z</dcterms:created>
  <dcterms:modified xsi:type="dcterms:W3CDTF">2022-11-28T18:35:21Z</dcterms:modified>
</cp:coreProperties>
</file>